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V:\Swapna\OPERATIONS\PORTFOLIO\Others\15. Jun'2025\Monthly portfolio 30.06.2025\Final sent\"/>
    </mc:Choice>
  </mc:AlternateContent>
  <xr:revisionPtr revIDLastSave="0" documentId="13_ncr:1_{78D28CEC-1C90-4ADD-B05B-FC6BD927C65D}" xr6:coauthVersionLast="47" xr6:coauthVersionMax="47" xr10:uidLastSave="{00000000-0000-0000-0000-000000000000}"/>
  <bookViews>
    <workbookView xWindow="-120" yWindow="-120" windowWidth="29040" windowHeight="15720" tabRatio="940" firstSheet="10" activeTab="30" xr2:uid="{D35643C1-8118-49FE-86DC-384F035D1608}"/>
  </bookViews>
  <sheets>
    <sheet name="Index" sheetId="30" r:id="rId1"/>
    <sheet name="CAPEXG" sheetId="1" r:id="rId2"/>
    <sheet name="GLOB" sheetId="29" r:id="rId3"/>
    <sheet name="MIDCAP" sheetId="2" r:id="rId4"/>
    <sheet name="MULTIP" sheetId="3" r:id="rId5"/>
    <sheet name="SLTADV3" sheetId="4" r:id="rId6"/>
    <sheet name="SLTADV4" sheetId="5" r:id="rId7"/>
    <sheet name="SLTAX2" sheetId="6" r:id="rId8"/>
    <sheet name="SLTAX3" sheetId="7" r:id="rId9"/>
    <sheet name="SLTAX4" sheetId="8" r:id="rId10"/>
    <sheet name="SLTAX5" sheetId="9" r:id="rId11"/>
    <sheet name="SLTAX6" sheetId="10" r:id="rId12"/>
    <sheet name="SMILE" sheetId="11" r:id="rId13"/>
    <sheet name="SPAHF" sheetId="12" r:id="rId14"/>
    <sheet name="SPARF" sheetId="13" r:id="rId15"/>
    <sheet name="SPBAF" sheetId="14" r:id="rId16"/>
    <sheet name="SPDYF" sheetId="15" r:id="rId17"/>
    <sheet name="SPESF" sheetId="16" r:id="rId18"/>
    <sheet name="SPFOCUS" sheetId="17" r:id="rId19"/>
    <sheet name="SPMUCF" sheetId="18" r:id="rId20"/>
    <sheet name="SPSN100" sheetId="19" r:id="rId21"/>
    <sheet name="SPTAX" sheetId="20" r:id="rId22"/>
    <sheet name="SRURAL" sheetId="21" r:id="rId23"/>
    <sheet name="SSFUND" sheetId="22" r:id="rId24"/>
    <sheet name="STAX" sheetId="23" r:id="rId25"/>
    <sheet name="SUNBCF" sheetId="24" r:id="rId26"/>
    <sheet name="SUNCYF" sheetId="25" r:id="rId27"/>
    <sheet name="SUNFCF" sheetId="26" r:id="rId28"/>
    <sheet name="SUNFOP" sheetId="27" r:id="rId29"/>
    <sheet name="SUNMAF" sheetId="28" r:id="rId30"/>
    <sheet name="Annexure-A" sheetId="31" r:id="rId31"/>
  </sheets>
  <definedNames>
    <definedName name="_xlnm._FilterDatabase" localSheetId="30" hidden="1">'Annexure-A'!$A$8:$F$8</definedName>
    <definedName name="_xlnm._FilterDatabase" localSheetId="0" hidden="1">Index!$A$1:$C$27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2" i="22" l="1"/>
  <c r="D135" i="1" l="1"/>
  <c r="F177" i="16"/>
  <c r="F178" i="16"/>
  <c r="F125" i="15"/>
  <c r="F219" i="12"/>
  <c r="G75" i="12"/>
  <c r="F75" i="12"/>
  <c r="F139" i="11"/>
  <c r="F138" i="11"/>
  <c r="G169" i="28"/>
  <c r="F169" i="28"/>
  <c r="G113" i="28"/>
  <c r="F113" i="28"/>
  <c r="G111" i="28"/>
  <c r="F111" i="28"/>
  <c r="G110" i="28"/>
  <c r="G109" i="28"/>
  <c r="G108" i="28"/>
  <c r="G107" i="28"/>
  <c r="G106" i="28"/>
  <c r="G105" i="28"/>
  <c r="G104" i="28"/>
  <c r="G103" i="28"/>
  <c r="G102" i="28"/>
  <c r="G101" i="28"/>
  <c r="G100" i="28"/>
  <c r="G99" i="28"/>
  <c r="G98" i="28"/>
  <c r="G97" i="28"/>
  <c r="G96" i="28"/>
  <c r="G95" i="28"/>
  <c r="G94" i="28"/>
  <c r="G93" i="28"/>
  <c r="G92" i="28"/>
  <c r="G91" i="28"/>
  <c r="G90" i="28"/>
  <c r="D140" i="20"/>
  <c r="G64" i="20"/>
  <c r="F64" i="20"/>
  <c r="G72" i="20"/>
  <c r="F72" i="20"/>
  <c r="D149" i="18"/>
  <c r="G69" i="18"/>
  <c r="F69" i="18"/>
  <c r="G83" i="18"/>
  <c r="F83" i="18"/>
  <c r="G177" i="16"/>
  <c r="G119" i="16"/>
  <c r="F119" i="16"/>
  <c r="F117" i="16"/>
  <c r="G116" i="16"/>
  <c r="G115" i="16"/>
  <c r="G114" i="16"/>
  <c r="G113" i="16"/>
  <c r="G112" i="16"/>
  <c r="G111" i="16"/>
  <c r="G110" i="16"/>
  <c r="G109" i="16"/>
  <c r="G108" i="16"/>
  <c r="G107" i="16"/>
  <c r="G106" i="16"/>
  <c r="G105" i="16"/>
  <c r="G104" i="16"/>
  <c r="G103" i="16"/>
  <c r="G102" i="16"/>
  <c r="G101" i="16"/>
  <c r="G100" i="16"/>
  <c r="G99" i="16"/>
  <c r="G98" i="16"/>
  <c r="G97" i="16"/>
  <c r="G96" i="16"/>
  <c r="G95" i="16"/>
  <c r="G94" i="16"/>
  <c r="G93" i="16"/>
  <c r="G92" i="16"/>
  <c r="G91" i="16"/>
  <c r="G90" i="16"/>
  <c r="G89" i="16"/>
  <c r="G88" i="16"/>
  <c r="G87" i="16"/>
  <c r="G117" i="16" s="1"/>
  <c r="G86" i="16"/>
  <c r="D136" i="15"/>
  <c r="G81" i="15"/>
  <c r="G126" i="15" s="1"/>
  <c r="F81" i="15"/>
  <c r="F126" i="15"/>
  <c r="F60" i="15"/>
  <c r="F35" i="15"/>
  <c r="G35" i="15" s="1"/>
  <c r="F13" i="15"/>
  <c r="G13" i="15" s="1"/>
  <c r="G60" i="15" s="1"/>
  <c r="G178" i="14"/>
  <c r="F178" i="14"/>
  <c r="G177" i="14"/>
  <c r="F177" i="14"/>
  <c r="F114" i="14"/>
  <c r="F112" i="14"/>
  <c r="G111" i="14"/>
  <c r="G110" i="14"/>
  <c r="G109" i="14"/>
  <c r="G108" i="14"/>
  <c r="G107" i="14"/>
  <c r="G106" i="14"/>
  <c r="G105" i="14"/>
  <c r="G104" i="14"/>
  <c r="G103" i="14"/>
  <c r="G102" i="14"/>
  <c r="G101" i="14"/>
  <c r="G100" i="14"/>
  <c r="G99" i="14"/>
  <c r="G98" i="14"/>
  <c r="G97" i="14"/>
  <c r="G96" i="14"/>
  <c r="G95" i="14"/>
  <c r="G112" i="14" s="1"/>
  <c r="G94" i="14"/>
  <c r="G93" i="14"/>
  <c r="G92" i="14"/>
  <c r="G88" i="14"/>
  <c r="F88" i="14"/>
  <c r="F73" i="14"/>
  <c r="F89" i="14"/>
  <c r="F52" i="14"/>
  <c r="G52" i="14" s="1"/>
  <c r="F15" i="14"/>
  <c r="G15" i="14" s="1"/>
  <c r="G73" i="14" s="1"/>
  <c r="F146" i="13"/>
  <c r="G146" i="13" s="1"/>
  <c r="G95" i="13"/>
  <c r="F95" i="13"/>
  <c r="G93" i="13"/>
  <c r="G92" i="13"/>
  <c r="G91" i="13"/>
  <c r="G90" i="13"/>
  <c r="G89" i="13"/>
  <c r="G88" i="13"/>
  <c r="G87" i="13"/>
  <c r="G86" i="13"/>
  <c r="G85" i="13"/>
  <c r="G84" i="13"/>
  <c r="G83" i="13"/>
  <c r="G82" i="13"/>
  <c r="G81" i="13"/>
  <c r="G80" i="13"/>
  <c r="G79" i="13"/>
  <c r="G78" i="13"/>
  <c r="G77" i="13"/>
  <c r="G76" i="13"/>
  <c r="G75" i="13"/>
  <c r="G74" i="13"/>
  <c r="G73" i="13"/>
  <c r="G72" i="13"/>
  <c r="G71" i="13"/>
  <c r="G70" i="13"/>
  <c r="G69" i="13"/>
  <c r="G68" i="13"/>
  <c r="G67" i="13"/>
  <c r="G66" i="13"/>
  <c r="G65" i="13"/>
  <c r="G64" i="13"/>
  <c r="G63" i="13"/>
  <c r="G62" i="13"/>
  <c r="G61" i="13"/>
  <c r="G60" i="13"/>
  <c r="G59" i="13"/>
  <c r="G58" i="13"/>
  <c r="F93" i="13"/>
  <c r="F43" i="13"/>
  <c r="D230" i="12"/>
  <c r="F124" i="12"/>
  <c r="F126" i="12"/>
  <c r="F220" i="12" s="1"/>
  <c r="G120" i="12" l="1"/>
  <c r="G122" i="12"/>
  <c r="G109" i="12"/>
  <c r="G121" i="12"/>
  <c r="G111" i="12"/>
  <c r="G110" i="12"/>
  <c r="G219" i="12"/>
  <c r="G101" i="12"/>
  <c r="G100" i="12"/>
  <c r="G98" i="12"/>
  <c r="G97" i="12"/>
  <c r="G112" i="12"/>
  <c r="G123" i="12"/>
  <c r="G99" i="12"/>
  <c r="G89" i="14"/>
  <c r="G114" i="14" s="1"/>
  <c r="G113" i="12"/>
  <c r="G263" i="12"/>
  <c r="G102" i="12"/>
  <c r="G114" i="12"/>
  <c r="G103" i="12"/>
  <c r="G115" i="12"/>
  <c r="G91" i="12"/>
  <c r="G104" i="12"/>
  <c r="G116" i="12"/>
  <c r="G105" i="12"/>
  <c r="G117" i="12"/>
  <c r="G106" i="12"/>
  <c r="G118" i="12"/>
  <c r="G95" i="12"/>
  <c r="G107" i="12"/>
  <c r="G119" i="12"/>
  <c r="G96" i="12"/>
  <c r="G108" i="12"/>
  <c r="G124" i="12" l="1"/>
  <c r="F91" i="12"/>
  <c r="F92" i="12" s="1"/>
  <c r="F82" i="12"/>
  <c r="D149" i="11"/>
  <c r="I177" i="13"/>
  <c r="F177" i="13"/>
  <c r="I253" i="12"/>
  <c r="F253" i="12"/>
  <c r="D92" i="29"/>
  <c r="G92" i="12" l="1"/>
  <c r="G126" i="12" s="1"/>
  <c r="G220" i="12" s="1"/>
  <c r="G62" i="1"/>
  <c r="F62" i="1"/>
</calcChain>
</file>

<file path=xl/sharedStrings.xml><?xml version="1.0" encoding="utf-8"?>
<sst xmlns="http://schemas.openxmlformats.org/spreadsheetml/2006/main" count="12626" uniqueCount="1232">
  <si>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</si>
  <si>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</si>
  <si>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</si>
  <si>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</si>
  <si>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</si>
  <si>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</si>
  <si>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</si>
  <si>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</si>
  <si>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</si>
  <si>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</si>
  <si>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</si>
  <si>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INE397D01024</t>
  </si>
  <si>
    <t>Bharti Airtel Ltd</t>
  </si>
  <si>
    <t>Telecom - Services</t>
  </si>
  <si>
    <t>INE002A01018</t>
  </si>
  <si>
    <t>Reliance Industries Ltd</t>
  </si>
  <si>
    <t>Petroleum Products</t>
  </si>
  <si>
    <t>INE018A01030</t>
  </si>
  <si>
    <t>Larsen &amp; Toubro Ltd</t>
  </si>
  <si>
    <t>Construction</t>
  </si>
  <si>
    <t>INE733E01010</t>
  </si>
  <si>
    <t>NTPC LTD</t>
  </si>
  <si>
    <t>Power</t>
  </si>
  <si>
    <t>INE481G01011</t>
  </si>
  <si>
    <t>Ultratech Cement Ltd</t>
  </si>
  <si>
    <t>Cement &amp; Cement Products</t>
  </si>
  <si>
    <t>INE263A01024</t>
  </si>
  <si>
    <t>Bharat Electronics Ltd</t>
  </si>
  <si>
    <t>Aerospace &amp; Defense</t>
  </si>
  <si>
    <t>INE752E01010</t>
  </si>
  <si>
    <t>Power Grid Corporation of India Ltd</t>
  </si>
  <si>
    <t>INE090A01021</t>
  </si>
  <si>
    <t>ICICI Bank Ltd</t>
  </si>
  <si>
    <t>Banks</t>
  </si>
  <si>
    <t>INE200A01026</t>
  </si>
  <si>
    <t>GE Vernova T and D India Ltd</t>
  </si>
  <si>
    <t>Electrical Equipment</t>
  </si>
  <si>
    <t>INE029A01011</t>
  </si>
  <si>
    <t>Bharat Petroleum Corporation Ltd</t>
  </si>
  <si>
    <t>INE245A01021</t>
  </si>
  <si>
    <t>TATA Power Company Ltd</t>
  </si>
  <si>
    <t>INE284S01014</t>
  </si>
  <si>
    <t>S.J.S. Enterprises Ltd</t>
  </si>
  <si>
    <t>Auto Components</t>
  </si>
  <si>
    <t>INE220B01022</t>
  </si>
  <si>
    <t>Kalpataru Projects International Ltd</t>
  </si>
  <si>
    <t>INE062A01020</t>
  </si>
  <si>
    <t>State Bank of India</t>
  </si>
  <si>
    <t>INE823G01014</t>
  </si>
  <si>
    <t>JK Cement Ltd</t>
  </si>
  <si>
    <t>INE646L01027</t>
  </si>
  <si>
    <t>Interglobe Aviation Ltd</t>
  </si>
  <si>
    <t>Transport Services</t>
  </si>
  <si>
    <t>INE371P01015</t>
  </si>
  <si>
    <t>Amber Enterprises India Ltd</t>
  </si>
  <si>
    <t>Consumer Durables</t>
  </si>
  <si>
    <t>INE742F01042</t>
  </si>
  <si>
    <t>Adani Ports and Special Economic Zone Ltd</t>
  </si>
  <si>
    <t>Transport Infrastructure</t>
  </si>
  <si>
    <t>INE791I01019</t>
  </si>
  <si>
    <t>Brigade Enterprises Ltd</t>
  </si>
  <si>
    <t>Realty</t>
  </si>
  <si>
    <t>INE121J01017</t>
  </si>
  <si>
    <t>Indus Towers Ltd (Prev Bharti Infratel Ltd)</t>
  </si>
  <si>
    <t>INE040H01021</t>
  </si>
  <si>
    <t>Suzlon Energy Ltd</t>
  </si>
  <si>
    <t>INE419M01027</t>
  </si>
  <si>
    <t>TD Power Systems Ltd</t>
  </si>
  <si>
    <t>INE213A01029</t>
  </si>
  <si>
    <t>Oil &amp; Natural Gas Corporation Ltd</t>
  </si>
  <si>
    <t>Oil</t>
  </si>
  <si>
    <t>INE284A01012</t>
  </si>
  <si>
    <t>ESAB India Ltd</t>
  </si>
  <si>
    <t>Industrial Products</t>
  </si>
  <si>
    <t>INE00LO01017</t>
  </si>
  <si>
    <t>Craftsman Automation Ltd</t>
  </si>
  <si>
    <t>INE343G01021</t>
  </si>
  <si>
    <t>Bharti Hexacom Ltd</t>
  </si>
  <si>
    <t>INE999A01023</t>
  </si>
  <si>
    <t>KSB LTD</t>
  </si>
  <si>
    <t>INE811A01020</t>
  </si>
  <si>
    <t>Kirlosakar Pneumatic Company Ltd</t>
  </si>
  <si>
    <t>INE07Y701011</t>
  </si>
  <si>
    <t>Hitachi Energy India Ltd</t>
  </si>
  <si>
    <t>INE342J01019</t>
  </si>
  <si>
    <t>ZF Commercial Vehicle Control Systems I Ltd</t>
  </si>
  <si>
    <t>INE813H01021</t>
  </si>
  <si>
    <t>Torrent Power Ltd</t>
  </si>
  <si>
    <t>INE205B01031</t>
  </si>
  <si>
    <t>Elecon Engineering Company Ltd</t>
  </si>
  <si>
    <t>INE671H01015</t>
  </si>
  <si>
    <t>Sobha Ltd</t>
  </si>
  <si>
    <t>INE129A01019</t>
  </si>
  <si>
    <t>GAIL (India) Ltd</t>
  </si>
  <si>
    <t>Gas</t>
  </si>
  <si>
    <t>INE003A01024</t>
  </si>
  <si>
    <t>Siemens Ltd</t>
  </si>
  <si>
    <t>INE298A01020</t>
  </si>
  <si>
    <t>Cummins India Ltd</t>
  </si>
  <si>
    <t>INE513A01022</t>
  </si>
  <si>
    <t>Schaeffler India Ltd</t>
  </si>
  <si>
    <t>INE079A01024</t>
  </si>
  <si>
    <t>Ambuja Cements Ltd</t>
  </si>
  <si>
    <t>INE117A01022</t>
  </si>
  <si>
    <t>ABB India Ltd</t>
  </si>
  <si>
    <t>INE878B01027</t>
  </si>
  <si>
    <t>KEI Industries Ltd</t>
  </si>
  <si>
    <t>INE148O01028</t>
  </si>
  <si>
    <t>Delhivery Ltd</t>
  </si>
  <si>
    <t>INE868B01028</t>
  </si>
  <si>
    <t>NCC Ltd</t>
  </si>
  <si>
    <t>INE702C01027</t>
  </si>
  <si>
    <t>APL Apollo Tubes Ltd</t>
  </si>
  <si>
    <t>INE146L01010</t>
  </si>
  <si>
    <t>Kirloskar Oil Engines Ltd</t>
  </si>
  <si>
    <t>INE257A01026</t>
  </si>
  <si>
    <t>Bharat Heavy Electricals Ltd</t>
  </si>
  <si>
    <t>INE074A01025</t>
  </si>
  <si>
    <t>Praj Industries Ltd</t>
  </si>
  <si>
    <t>Industrial Manufacturing</t>
  </si>
  <si>
    <t>INE152M01016</t>
  </si>
  <si>
    <t>Triveni Turbine Ltd</t>
  </si>
  <si>
    <t>INE465A01025</t>
  </si>
  <si>
    <t>Bharat Forge Ltd</t>
  </si>
  <si>
    <t>INE926X01010</t>
  </si>
  <si>
    <t>H.G. Infra Engineering Ltd</t>
  </si>
  <si>
    <t>INE152A01029</t>
  </si>
  <si>
    <t>Thermax Ltd</t>
  </si>
  <si>
    <t>INE111A01025</t>
  </si>
  <si>
    <t>Container Corporation of India Ltd</t>
  </si>
  <si>
    <t>INE1NPP01017</t>
  </si>
  <si>
    <t>Siemens Energy India Limited</t>
  </si>
  <si>
    <t>INE0BYP01024</t>
  </si>
  <si>
    <t>OSWAL PUMPS LIMITED</t>
  </si>
  <si>
    <t>INE749A01030</t>
  </si>
  <si>
    <t>Jindal Steel &amp; Power Ltd</t>
  </si>
  <si>
    <t>Ferrous Metals</t>
  </si>
  <si>
    <t>INE536A01023</t>
  </si>
  <si>
    <t>Grindwell Norton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</si>
  <si>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</si>
  <si>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</si>
  <si>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</si>
  <si>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</si>
  <si>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</si>
  <si>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</si>
  <si>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</si>
  <si>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</si>
  <si>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</si>
  <si>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</si>
  <si>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</si>
  <si>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</si>
  <si>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</si>
  <si>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</si>
  <si>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</si>
  <si>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</si>
  <si>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</si>
  <si>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</si>
  <si>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</si>
  <si>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</si>
  <si>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</si>
  <si>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</si>
  <si>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</si>
  <si>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</si>
  <si>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</si>
  <si>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</si>
  <si>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</si>
  <si>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</si>
  <si>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</si>
  <si>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</si>
  <si>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</si>
  <si>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</si>
  <si>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</si>
  <si>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</si>
  <si>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</si>
  <si>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</si>
  <si>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</si>
  <si>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</si>
  <si>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</si>
  <si>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</si>
  <si>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</si>
  <si>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</si>
  <si>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</si>
  <si>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</si>
  <si>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INE169A01031</t>
  </si>
  <si>
    <t>Coromandel International Ltd</t>
  </si>
  <si>
    <t>Fertilizers &amp; Agrochemicals</t>
  </si>
  <si>
    <t>INE171A01029</t>
  </si>
  <si>
    <t>The Federal Bank Ltd</t>
  </si>
  <si>
    <t>INE303R01014</t>
  </si>
  <si>
    <t>Kalyan Jewellers India Ltd</t>
  </si>
  <si>
    <t>INE774D01024</t>
  </si>
  <si>
    <t>Mahindra &amp; Mahindra Financial Services Ltd</t>
  </si>
  <si>
    <t>Finance</t>
  </si>
  <si>
    <t>INE061F01013</t>
  </si>
  <si>
    <t>Fortis Health Care Ltd</t>
  </si>
  <si>
    <t>Healthcare Services</t>
  </si>
  <si>
    <t>INE262H01021</t>
  </si>
  <si>
    <t>Persistent Systems Ltd</t>
  </si>
  <si>
    <t>It - Software</t>
  </si>
  <si>
    <t>INE326A01037</t>
  </si>
  <si>
    <t>Lupin Ltd</t>
  </si>
  <si>
    <t>Pharmaceuticals &amp; Biotechnology</t>
  </si>
  <si>
    <t>INE094A01015</t>
  </si>
  <si>
    <t>Hindustan Petroleum Corporation Ltd</t>
  </si>
  <si>
    <t>INE118H01025</t>
  </si>
  <si>
    <t>BSE Ltd</t>
  </si>
  <si>
    <t>Capital Markets</t>
  </si>
  <si>
    <t>INE196A01026</t>
  </si>
  <si>
    <t>Marico Ltd</t>
  </si>
  <si>
    <t>Agricultural Food &amp; Other Products</t>
  </si>
  <si>
    <t>INE562A01011</t>
  </si>
  <si>
    <t>Indian Bank</t>
  </si>
  <si>
    <t>INE591G01025</t>
  </si>
  <si>
    <t>Coforge Ltd</t>
  </si>
  <si>
    <t>INE417T01026</t>
  </si>
  <si>
    <t>PB Fintech Ltd</t>
  </si>
  <si>
    <t>Financial Technology (Fintech)</t>
  </si>
  <si>
    <t>INE211B01039</t>
  </si>
  <si>
    <t>The Phoenix Mills Ltd</t>
  </si>
  <si>
    <t>INE797F01020</t>
  </si>
  <si>
    <t>Jubilant Foodworks Ltd</t>
  </si>
  <si>
    <t>Leisure Services</t>
  </si>
  <si>
    <t>INE027H01010</t>
  </si>
  <si>
    <t>Max Healthcare Institute Ltd</t>
  </si>
  <si>
    <t>INE686F01025</t>
  </si>
  <si>
    <t>United Breweries Ltd</t>
  </si>
  <si>
    <t>Beverages</t>
  </si>
  <si>
    <t>INE438A01022</t>
  </si>
  <si>
    <t>Apollo Tyres Ltd</t>
  </si>
  <si>
    <t>INE105A01035</t>
  </si>
  <si>
    <t>TVS Holdings Ltd</t>
  </si>
  <si>
    <t>INE427F01016</t>
  </si>
  <si>
    <t>Chalet Hotels Ltd</t>
  </si>
  <si>
    <t>INE455K01017</t>
  </si>
  <si>
    <t>Polycab India Ltd</t>
  </si>
  <si>
    <t>INE949L01017</t>
  </si>
  <si>
    <t>AU Small Finance Bank Ltd</t>
  </si>
  <si>
    <t>INE115A01026</t>
  </si>
  <si>
    <t>LIC Housing Finance Ltd</t>
  </si>
  <si>
    <t>INE195A01028</t>
  </si>
  <si>
    <t>Supreme Industries Ltd</t>
  </si>
  <si>
    <t>INE600L01024</t>
  </si>
  <si>
    <t>Dr Lal Path Labs Ltd</t>
  </si>
  <si>
    <t>INE012A01025</t>
  </si>
  <si>
    <t>ACC Ltd</t>
  </si>
  <si>
    <t>INE811K01011</t>
  </si>
  <si>
    <t>Prestige Estates Projects Ltd</t>
  </si>
  <si>
    <t>INE540L01014</t>
  </si>
  <si>
    <t>Alkem Laboratories Ltd</t>
  </si>
  <si>
    <t>INE494B01023</t>
  </si>
  <si>
    <t>TVS Motor Company Ltd</t>
  </si>
  <si>
    <t>Automobiles</t>
  </si>
  <si>
    <t>INE092T01019</t>
  </si>
  <si>
    <t>IDFC First Bank Ltd</t>
  </si>
  <si>
    <t>INE180A01020</t>
  </si>
  <si>
    <t>Max Financial Services Ltd</t>
  </si>
  <si>
    <t>Insurance</t>
  </si>
  <si>
    <t>INE093I01010</t>
  </si>
  <si>
    <t>Oberoi Realty Ltd</t>
  </si>
  <si>
    <t>INE006I01046</t>
  </si>
  <si>
    <t>Astral Ltd</t>
  </si>
  <si>
    <t>INE634S01028</t>
  </si>
  <si>
    <t>Mankind Pharma Ltd</t>
  </si>
  <si>
    <t>INE010V01017</t>
  </si>
  <si>
    <t>L&amp;T Technology Services Ltd</t>
  </si>
  <si>
    <t>It - Services</t>
  </si>
  <si>
    <t>INE299U01018</t>
  </si>
  <si>
    <t>Crompton Greaves Consumer Electricals Ltd</t>
  </si>
  <si>
    <t>INE288B01029</t>
  </si>
  <si>
    <t>Deepak Nitrite Ltd</t>
  </si>
  <si>
    <t>Chemicals &amp; Petrochemicals</t>
  </si>
  <si>
    <t>INE405E01023</t>
  </si>
  <si>
    <t>UNO Minda Ltd</t>
  </si>
  <si>
    <t>INE872J01023</t>
  </si>
  <si>
    <t>Devyani international limited</t>
  </si>
  <si>
    <t>INE726G01019</t>
  </si>
  <si>
    <t>ICICI Prudential Life Insurance Company Ltd</t>
  </si>
  <si>
    <t>INE721A01047</t>
  </si>
  <si>
    <t>Shriram Finance Ltd</t>
  </si>
  <si>
    <t>INE338I01027</t>
  </si>
  <si>
    <t>Motilal Oswal Financial Services Ltd</t>
  </si>
  <si>
    <t>INE010B01027</t>
  </si>
  <si>
    <t>Zydus Lifesciences Ltd</t>
  </si>
  <si>
    <t>INE603J01030</t>
  </si>
  <si>
    <t>PI Industries Ltd</t>
  </si>
  <si>
    <t>INE388Y01029</t>
  </si>
  <si>
    <t>FSN E–Commerce Ventures Ltd(NYKAA)</t>
  </si>
  <si>
    <t>Retailing</t>
  </si>
  <si>
    <t>INE692A01016</t>
  </si>
  <si>
    <t>Union Bank of India</t>
  </si>
  <si>
    <t>INE935N01020</t>
  </si>
  <si>
    <t>Dixon Technologies (India) Ltd</t>
  </si>
  <si>
    <t>INE548C01032</t>
  </si>
  <si>
    <t>Emami Ltd</t>
  </si>
  <si>
    <t>Personal Products</t>
  </si>
  <si>
    <t>INE073K01018</t>
  </si>
  <si>
    <t>Sona BLW Precision Forgings Ltd</t>
  </si>
  <si>
    <t>INE246F01010</t>
  </si>
  <si>
    <t>Gujarat State Petronet Ltd</t>
  </si>
  <si>
    <t>INE466L01038</t>
  </si>
  <si>
    <t>360 ONE WAM Ltd (Prev IIFL Wealth Management Ltd)</t>
  </si>
  <si>
    <t>INE849A01020</t>
  </si>
  <si>
    <t>Trent Ltd</t>
  </si>
  <si>
    <t>INE007A01025</t>
  </si>
  <si>
    <t>CRISIL Ltd</t>
  </si>
  <si>
    <t>INE065X01017</t>
  </si>
  <si>
    <t>Indegene Limited</t>
  </si>
  <si>
    <t>INE640A01023</t>
  </si>
  <si>
    <t>SKF India Ltd</t>
  </si>
  <si>
    <t>INE596I01012</t>
  </si>
  <si>
    <t>Computer Age Management Services Ltd</t>
  </si>
  <si>
    <t>INE053A01029</t>
  </si>
  <si>
    <t>The Indian Hotels Company Ltd</t>
  </si>
  <si>
    <t>INE0LXG01040</t>
  </si>
  <si>
    <t>Ola Electric Mobility Ltd</t>
  </si>
  <si>
    <t>INE226A01021</t>
  </si>
  <si>
    <t>Voltas Ltd</t>
  </si>
  <si>
    <t>INE844O01030</t>
  </si>
  <si>
    <t>Gujarat Gas Co Ltd</t>
  </si>
  <si>
    <t>INF173K01GU0</t>
  </si>
  <si>
    <t>Sundaram Liquid Fund - Direct Growth</t>
  </si>
  <si>
    <t>Sundaram Large and Mid Cap Fund</t>
  </si>
  <si>
    <t>INE040A01034</t>
  </si>
  <si>
    <t>HDFC Bank Ltd</t>
  </si>
  <si>
    <t>INE238A01034</t>
  </si>
  <si>
    <t>Axis Bank Ltd</t>
  </si>
  <si>
    <t>INE237A01028</t>
  </si>
  <si>
    <t>Kotak Mahindra Bank Ltd</t>
  </si>
  <si>
    <t>INE009A01021</t>
  </si>
  <si>
    <t>Infosys Ltd</t>
  </si>
  <si>
    <t>INE745G01035</t>
  </si>
  <si>
    <t>Multi Commodity Exchange of India Ltd</t>
  </si>
  <si>
    <t>INE296A01032</t>
  </si>
  <si>
    <t>Bajaj Finance Ltd</t>
  </si>
  <si>
    <t>INE028A01039</t>
  </si>
  <si>
    <t>Bank of Baroda</t>
  </si>
  <si>
    <t>INE066F01020</t>
  </si>
  <si>
    <t>Hindustan Aeronautics Ltd</t>
  </si>
  <si>
    <t>INE101A01026</t>
  </si>
  <si>
    <t>Mahindra &amp; Mahindra Ltd</t>
  </si>
  <si>
    <t>INE00WC01027</t>
  </si>
  <si>
    <t>Affle (India) Ltd</t>
  </si>
  <si>
    <t>INE047A01021</t>
  </si>
  <si>
    <t>Grasim Industries Ltd</t>
  </si>
  <si>
    <t>INE663F01032</t>
  </si>
  <si>
    <t>Info Edge (India) Ltd</t>
  </si>
  <si>
    <t>INE121A01024</t>
  </si>
  <si>
    <t>Cholamandalam Investment and Finance Company Ltd</t>
  </si>
  <si>
    <t>INE044A01036</t>
  </si>
  <si>
    <t>Sun Pharmaceutical Industries Ltd</t>
  </si>
  <si>
    <t>INE758T01015</t>
  </si>
  <si>
    <t>Zomato Ltd</t>
  </si>
  <si>
    <t>INE154A01025</t>
  </si>
  <si>
    <t>ITC Ltd</t>
  </si>
  <si>
    <t>Diversified Fmcg</t>
  </si>
  <si>
    <t>INE317I01021</t>
  </si>
  <si>
    <t>Metro Brands Ltd</t>
  </si>
  <si>
    <t>INE200M01039</t>
  </si>
  <si>
    <t>Varun Beverages Ltd</t>
  </si>
  <si>
    <t>INE280A01028</t>
  </si>
  <si>
    <t>Titan Company Ltd</t>
  </si>
  <si>
    <t>INE880J01026</t>
  </si>
  <si>
    <t>JSW Infrastructure Ltd</t>
  </si>
  <si>
    <t>Sundaram Long Term Tax Advantage Fund Series III</t>
  </si>
  <si>
    <t>INE914M01019</t>
  </si>
  <si>
    <t>Aster DM Healthcare Ltd</t>
  </si>
  <si>
    <t>INE806T01020</t>
  </si>
  <si>
    <t>Sapphire Foods India Ltd</t>
  </si>
  <si>
    <t>INE429E01023</t>
  </si>
  <si>
    <t>Safari Industries (India) Ltd</t>
  </si>
  <si>
    <t>INE551W01018</t>
  </si>
  <si>
    <t>Ujjivan Small Finance Bank Ltd</t>
  </si>
  <si>
    <t>INE679A01013</t>
  </si>
  <si>
    <t>CSB Bank Ltd</t>
  </si>
  <si>
    <t>INE08ZM01014</t>
  </si>
  <si>
    <t>Green Panel Industries Ltd</t>
  </si>
  <si>
    <t>INE732I01013</t>
  </si>
  <si>
    <t>Angel One Ltd</t>
  </si>
  <si>
    <t>INE199A01012</t>
  </si>
  <si>
    <t>Procter &amp; Gamble Health Ltd</t>
  </si>
  <si>
    <t>INE063P01018</t>
  </si>
  <si>
    <t>Equitas Small Finance Bank Limited</t>
  </si>
  <si>
    <t>INE048G01026</t>
  </si>
  <si>
    <t>Navin Fluorine International Ltd</t>
  </si>
  <si>
    <t>INE572A01036</t>
  </si>
  <si>
    <t>JB Chemicals &amp; Pharmaceuticals Ltd</t>
  </si>
  <si>
    <t>INE149A01033</t>
  </si>
  <si>
    <t>Cholamandalam Financial Holdings Ltd</t>
  </si>
  <si>
    <t>INE477A01020</t>
  </si>
  <si>
    <t>Can Fin Homes Ltd</t>
  </si>
  <si>
    <t>INE285J01028</t>
  </si>
  <si>
    <t>SIS Ltd</t>
  </si>
  <si>
    <t>Other Consumer Services</t>
  </si>
  <si>
    <t>INE947Q01028</t>
  </si>
  <si>
    <t>Laurus Labs Ltd</t>
  </si>
  <si>
    <t>INE0CLI01024</t>
  </si>
  <si>
    <t>Rate Gain Travel Technologies Ltd</t>
  </si>
  <si>
    <t>INE191H01014</t>
  </si>
  <si>
    <t>PVR INOX Ltd</t>
  </si>
  <si>
    <t>Entertainment</t>
  </si>
  <si>
    <t>INE572E01012</t>
  </si>
  <si>
    <t>PNB Housing Finance Ltd</t>
  </si>
  <si>
    <t>INE274F01020</t>
  </si>
  <si>
    <t>Westlife Foodworld Ltd</t>
  </si>
  <si>
    <t>INE743M01012</t>
  </si>
  <si>
    <t>RHI Magnesita India Ltd</t>
  </si>
  <si>
    <t>INE741K01010</t>
  </si>
  <si>
    <t>Creditaccess Grameen Ltd</t>
  </si>
  <si>
    <t>INE411H01032</t>
  </si>
  <si>
    <t>R Systems International Ltd</t>
  </si>
  <si>
    <t>INE845D01014</t>
  </si>
  <si>
    <t>Ganesha Ecosphere Ltd</t>
  </si>
  <si>
    <t>Textiles &amp; Apparels</t>
  </si>
  <si>
    <t>INE836A01035</t>
  </si>
  <si>
    <t>Birlasoft Ltd</t>
  </si>
  <si>
    <t>INE081A01020</t>
  </si>
  <si>
    <t>Tata Steel Ltd</t>
  </si>
  <si>
    <t>INE348B01021</t>
  </si>
  <si>
    <t>Century Plyboards (India) Ltd</t>
  </si>
  <si>
    <t>INE295F01017</t>
  </si>
  <si>
    <t>Butterfly Gandhimathi Appliances Ltd</t>
  </si>
  <si>
    <t>INE120A01034</t>
  </si>
  <si>
    <t>Carborundum Universal Ltd</t>
  </si>
  <si>
    <t>INE227C01017</t>
  </si>
  <si>
    <t>MM Forgings Ltd</t>
  </si>
  <si>
    <t>Sundaram Long Term Tax Advantage Fund Series IV</t>
  </si>
  <si>
    <t>Sundaram Long Term Tax Advantage Fund Series-II</t>
  </si>
  <si>
    <t>INE155A01022</t>
  </si>
  <si>
    <t>Tata Motors Ltd</t>
  </si>
  <si>
    <t>INE860A01027</t>
  </si>
  <si>
    <t>HCL Technologies Ltd</t>
  </si>
  <si>
    <t>INE123W01016</t>
  </si>
  <si>
    <t>SBI Life Insurance Company Ltd</t>
  </si>
  <si>
    <t>INE467B01029</t>
  </si>
  <si>
    <t>Tata Consultancy Services Ltd</t>
  </si>
  <si>
    <t>INE038A01020</t>
  </si>
  <si>
    <t>Hindalco Industries Ltd</t>
  </si>
  <si>
    <t>Non - Ferrous Metals</t>
  </si>
  <si>
    <t>INE192A01025</t>
  </si>
  <si>
    <t>TATA Consumer Products Ltd</t>
  </si>
  <si>
    <t>INE059A01026</t>
  </si>
  <si>
    <t>Cipla Ltd</t>
  </si>
  <si>
    <t>INE340A01012</t>
  </si>
  <si>
    <t>Birla Corporation Ltd</t>
  </si>
  <si>
    <t>INE030A01027</t>
  </si>
  <si>
    <t>Hindustan UniLever Ltd</t>
  </si>
  <si>
    <t>INE095A01012</t>
  </si>
  <si>
    <t>IndusInd Bank Ltd</t>
  </si>
  <si>
    <t>INE075A01022</t>
  </si>
  <si>
    <t>Wipro Ltd</t>
  </si>
  <si>
    <t>Sundaram Long Term Micro Cap Tax Advantage Fund Series III</t>
  </si>
  <si>
    <t>INE386D01027</t>
  </si>
  <si>
    <t>Shivalik Bimetal Controls Ltd</t>
  </si>
  <si>
    <t>Sundaram Long Term Micro Cap Tax Advantage Fund Series IV</t>
  </si>
  <si>
    <t>Sundaram Long Term Micro Cap Tax Advantage Fund Series V</t>
  </si>
  <si>
    <t>Sundaram Long Term Micro Cap Tax Advantage Fund Series VI</t>
  </si>
  <si>
    <t>Sundaram Small Cap Fund</t>
  </si>
  <si>
    <t>INE126A01031</t>
  </si>
  <si>
    <t>EID Parry India Ltd</t>
  </si>
  <si>
    <t>Food Products</t>
  </si>
  <si>
    <t>INE119A01028</t>
  </si>
  <si>
    <t>Balrampur Chini Mills Ltd</t>
  </si>
  <si>
    <t>INE0UOS01011</t>
  </si>
  <si>
    <t>Sanofi Consumer Healthcare India Ltd</t>
  </si>
  <si>
    <t>INE864I01014</t>
  </si>
  <si>
    <t>MTAR Technologies Ltd</t>
  </si>
  <si>
    <t>INE503A01015</t>
  </si>
  <si>
    <t>DCB Bank Ltd</t>
  </si>
  <si>
    <t>INE794A01010</t>
  </si>
  <si>
    <t>Neuland Laboratories Ltd</t>
  </si>
  <si>
    <t>INE482A01020</t>
  </si>
  <si>
    <t>Ceat Ltd</t>
  </si>
  <si>
    <t>INE570A01022</t>
  </si>
  <si>
    <t>Ion Exchange (India) Ltd</t>
  </si>
  <si>
    <t>Other Utilities</t>
  </si>
  <si>
    <t>INE987B01026</t>
  </si>
  <si>
    <t>Natco Pharma Ltd</t>
  </si>
  <si>
    <t>INE177F01017</t>
  </si>
  <si>
    <t>Kovai Medical Center &amp; Hospital Ltd</t>
  </si>
  <si>
    <t>INE456Z01021</t>
  </si>
  <si>
    <t>Medi Assist Healthcare Services Ltd</t>
  </si>
  <si>
    <t>INE011K01018</t>
  </si>
  <si>
    <t>Tega Industries Ltd</t>
  </si>
  <si>
    <t>INE136B01020</t>
  </si>
  <si>
    <t>Cyient Ltd</t>
  </si>
  <si>
    <t>INE00F201020</t>
  </si>
  <si>
    <t>Prudent Corporate Advisory Services Ltd</t>
  </si>
  <si>
    <t>INE142Z01019</t>
  </si>
  <si>
    <t>Orient Electric Ltd</t>
  </si>
  <si>
    <t>INE02YR01019</t>
  </si>
  <si>
    <t>Electronics Mart India Ltd</t>
  </si>
  <si>
    <t>INE094J01016</t>
  </si>
  <si>
    <t>UTI Asset Management Co Ltd</t>
  </si>
  <si>
    <t>INE930H01031</t>
  </si>
  <si>
    <t>K.P.R. Mill Ltd</t>
  </si>
  <si>
    <t>INE136S01016</t>
  </si>
  <si>
    <t>Neogen Chemicals Ltd</t>
  </si>
  <si>
    <t>INE602W01027</t>
  </si>
  <si>
    <t>Senco Gold Ltd</t>
  </si>
  <si>
    <t>INE020B01018</t>
  </si>
  <si>
    <t>REC Ltd</t>
  </si>
  <si>
    <t>INF903JA1FR6</t>
  </si>
  <si>
    <t>Sundaram Aggressive Hybrid Fund</t>
  </si>
  <si>
    <t>INE585B01010</t>
  </si>
  <si>
    <t>Maruti Suzuki India Ltd</t>
  </si>
  <si>
    <t>INE481N01025</t>
  </si>
  <si>
    <t>Home First Finance Company Ltd</t>
  </si>
  <si>
    <t>INE854D01024</t>
  </si>
  <si>
    <t>United Spirits Ltd</t>
  </si>
  <si>
    <t>INE158A01026</t>
  </si>
  <si>
    <t>Hero MotoCorp Ltd</t>
  </si>
  <si>
    <t>INE917I01010</t>
  </si>
  <si>
    <t>Bajaj Auto Ltd</t>
  </si>
  <si>
    <t>INE669C01036</t>
  </si>
  <si>
    <t>Tech Mahindra Ltd</t>
  </si>
  <si>
    <t>INE885A01032</t>
  </si>
  <si>
    <t>Amara Raja Energy &amp; Mobility Ltd</t>
  </si>
  <si>
    <t>INE976G01028</t>
  </si>
  <si>
    <t>RBL Bank Ltd</t>
  </si>
  <si>
    <t>INE918I01026</t>
  </si>
  <si>
    <t>Bajaj Finserv Ltd</t>
  </si>
  <si>
    <t>INE795G01014</t>
  </si>
  <si>
    <t>HDFC Life Insurance Company Ltd</t>
  </si>
  <si>
    <t>INE376G01013</t>
  </si>
  <si>
    <t>Biocon Ltd</t>
  </si>
  <si>
    <t>INE361B01024</t>
  </si>
  <si>
    <t>Divis Laboratories Ltd</t>
  </si>
  <si>
    <t>INE016A01026</t>
  </si>
  <si>
    <t>Dabur India Ltd</t>
  </si>
  <si>
    <t>INE852S01026</t>
  </si>
  <si>
    <t>Stock Future</t>
  </si>
  <si>
    <t>INE261F08EF5</t>
  </si>
  <si>
    <t>National Bank for Agriculture &amp; Rural Development - 7.8% - 15/03/2027**</t>
  </si>
  <si>
    <t>ICRA AAA</t>
  </si>
  <si>
    <t>INE261F08DX0</t>
  </si>
  <si>
    <t>National Bank for Agriculture &amp; Rural Development - 7.58% - 31/07/2026**</t>
  </si>
  <si>
    <t>CRISIL AAA</t>
  </si>
  <si>
    <t>INE121A07RZ4</t>
  </si>
  <si>
    <t>Cholamandalam Investment and Finance Company Ltd - 8.54% - 12/04/2029**</t>
  </si>
  <si>
    <t>ICRA AA+</t>
  </si>
  <si>
    <t>INE296A07SV1</t>
  </si>
  <si>
    <t>Bajaj Finance Ltd - 7.82% - 31/01/2034**</t>
  </si>
  <si>
    <t>INE134E08MB9</t>
  </si>
  <si>
    <t>Power Finance Corporation Ltd - 7.82% - 06/03/2038**</t>
  </si>
  <si>
    <t>INE0KUG08027</t>
  </si>
  <si>
    <t>National Bank for Financing Infrastructure and Development - 7.65% - 22/12/2038</t>
  </si>
  <si>
    <t>INE115A07QH6</t>
  </si>
  <si>
    <t>LIC Housing Finance Ltd - 8.025% - 23/03/2033**</t>
  </si>
  <si>
    <t>INE134E08MX3</t>
  </si>
  <si>
    <t>Power Finance Corporation Ltd - 7.6% - 13/04/2029**</t>
  </si>
  <si>
    <t>INE261F08DV4</t>
  </si>
  <si>
    <t>National Bank for Agriculture &amp; Rural Development - 7.62% - 31/01/2028**</t>
  </si>
  <si>
    <t>INE556F08KM1</t>
  </si>
  <si>
    <t>Small Industries Development Bank of India - 7.79% - 14/05/2027**</t>
  </si>
  <si>
    <t>INE040A08955</t>
  </si>
  <si>
    <t>HDFC Bank Ltd - 7.7% - 16/05/2028</t>
  </si>
  <si>
    <t>INE721A07RH9</t>
  </si>
  <si>
    <t>Shriram Finance Ltd - 8.75% - 15/06/2026**</t>
  </si>
  <si>
    <t>CRISIL AA+</t>
  </si>
  <si>
    <t>INE556F08KH1</t>
  </si>
  <si>
    <t>Small Industries Development Bank of India - 7.43% - 31/08/2026**</t>
  </si>
  <si>
    <t>INE296A07SU3</t>
  </si>
  <si>
    <t>Bajaj Finance Ltd - 7.87% - 08/02/2034**</t>
  </si>
  <si>
    <t>INE261F08EO7</t>
  </si>
  <si>
    <t>National Bank for Agriculture &amp; Rural Development - 7.48% - 15/09/2028</t>
  </si>
  <si>
    <t>INE020B08FF1</t>
  </si>
  <si>
    <t>REC LTD - 7.56% - 31/08/2027</t>
  </si>
  <si>
    <t>INE0KUG08035</t>
  </si>
  <si>
    <t>National Bank for Financing Infrastructure and Development - 7.43% - 04/07/2034**</t>
  </si>
  <si>
    <t>INE053F08338</t>
  </si>
  <si>
    <t>Indian Railway Finance Corporation Ltd - 7.68% - 24/11/2026**</t>
  </si>
  <si>
    <t>INE053F08296</t>
  </si>
  <si>
    <t>Indian Railway Finance Corporation Ltd - 7.74% - 15/04/2038**</t>
  </si>
  <si>
    <t>INE040A08666</t>
  </si>
  <si>
    <t>HDFC Bank Ltd (Prev HDFC Ltd) - 7.8% - 03/05/2033**</t>
  </si>
  <si>
    <t>INE752E08734</t>
  </si>
  <si>
    <t>Power Grid Corporation of India Ltd - 7.35% - 12/03/2034**</t>
  </si>
  <si>
    <t>INE134E08MJ2</t>
  </si>
  <si>
    <t>Power Finance Corporation Ltd - 7.77% - 15/04/2028**</t>
  </si>
  <si>
    <t>INE261F08EM1</t>
  </si>
  <si>
    <t>National Bank for Agriculture &amp; Rural Development - 7.53% - 24/03/2028**</t>
  </si>
  <si>
    <t>INE134E08MC7</t>
  </si>
  <si>
    <t>Power Finance Corporation Ltd - 7.77% - 15/07/2026</t>
  </si>
  <si>
    <t>INE414G07II5</t>
  </si>
  <si>
    <t>Muthoot Finance Ltd - 8.4% - 28/08/2028**</t>
  </si>
  <si>
    <t>INE115A07PI6</t>
  </si>
  <si>
    <t>LIC Housing Finance Ltd - 6.17% - 03/09/2026**</t>
  </si>
  <si>
    <t>INE556F08KP4</t>
  </si>
  <si>
    <t>Small Industries Development Bank of India - 7.68% - 10/08/2027</t>
  </si>
  <si>
    <t>INE572E07183</t>
  </si>
  <si>
    <t>PNB Housing Finance Ltd - 8.15% - 29/07/2027**</t>
  </si>
  <si>
    <t>IND AA+</t>
  </si>
  <si>
    <t>INE477A07415</t>
  </si>
  <si>
    <t>Can Fin Homes Ltd - 8.09% - 04/01/2027**</t>
  </si>
  <si>
    <t>INE020B08EI8</t>
  </si>
  <si>
    <t>REC LTD - 7.51% - 31/07/2026**</t>
  </si>
  <si>
    <t>INE756I07EN4</t>
  </si>
  <si>
    <t>HDB Financial Services Ltd - 7.84% - 14/07/2026**</t>
  </si>
  <si>
    <t>INE557F08FR8</t>
  </si>
  <si>
    <t>National Housing Bank - 7.22% - 23/07/2026**</t>
  </si>
  <si>
    <t>INE020B08EL2</t>
  </si>
  <si>
    <t>REC LTD - 7.44% - 30/04/2026**</t>
  </si>
  <si>
    <t>INE756I07FG5</t>
  </si>
  <si>
    <t>HDB Financial Services Ltd - 7.4091% - 05/06/2028**</t>
  </si>
  <si>
    <t>INE121A07SN8</t>
  </si>
  <si>
    <t>Cholamandalam Investment and Finance Company Ltd - 7.38% - 28/05/2027**</t>
  </si>
  <si>
    <t>INE0KUG08084</t>
  </si>
  <si>
    <t>National Bank for Financing Infrastructure and Development - 7.04% - 07/04/2035**</t>
  </si>
  <si>
    <t>IN0020240019</t>
  </si>
  <si>
    <t>7.10% Central Government Securities 08/04/2034</t>
  </si>
  <si>
    <t>Sovereign</t>
  </si>
  <si>
    <t>IN0020240027</t>
  </si>
  <si>
    <t>IN0020230077</t>
  </si>
  <si>
    <t>7.18%  Government Securities - 24/07/2037</t>
  </si>
  <si>
    <t>IN0020220011</t>
  </si>
  <si>
    <t>IN0020230051</t>
  </si>
  <si>
    <t>7.30% Government Securities - 19/06/2053</t>
  </si>
  <si>
    <t>IN0020240035</t>
  </si>
  <si>
    <t>7.34% Central Government Securities 22/04/2064</t>
  </si>
  <si>
    <t>IN0020240076</t>
  </si>
  <si>
    <t>7.02% Central Government Securities 18/06/2031</t>
  </si>
  <si>
    <t>IN0020210160</t>
  </si>
  <si>
    <t>IN3120230484</t>
  </si>
  <si>
    <t>7.44% Tamil Nadu State Government Securities -20/03/2034</t>
  </si>
  <si>
    <t>INE238AD6AM2</t>
  </si>
  <si>
    <t>Axis Bank Ltd - 04/02/2026**</t>
  </si>
  <si>
    <t>CRISIL A1+</t>
  </si>
  <si>
    <t>Margin Money For Derivatives</t>
  </si>
  <si>
    <t>Individual &amp; HUF</t>
  </si>
  <si>
    <t>Others</t>
  </si>
  <si>
    <t>Sundaram Arbitrage Fund</t>
  </si>
  <si>
    <t>INE423A01024</t>
  </si>
  <si>
    <t>Adani Enterprises</t>
  </si>
  <si>
    <t>Metals &amp; Minerals Trading</t>
  </si>
  <si>
    <t>INE160A01022</t>
  </si>
  <si>
    <t>Punjab National Bank</t>
  </si>
  <si>
    <t>INE476A01022</t>
  </si>
  <si>
    <t>Canara Bank</t>
  </si>
  <si>
    <t>INE406A01037</t>
  </si>
  <si>
    <t>Aurobindo Pharma Ltd</t>
  </si>
  <si>
    <t>INE121E01018</t>
  </si>
  <si>
    <t>JSW Energy Ltd</t>
  </si>
  <si>
    <t>INE271C01023</t>
  </si>
  <si>
    <t>DLF Ltd</t>
  </si>
  <si>
    <t>INE242A01010</t>
  </si>
  <si>
    <t>Indian Oil Corporation Ltd</t>
  </si>
  <si>
    <t>INE769A01020</t>
  </si>
  <si>
    <t>Aarti Industries Ltd</t>
  </si>
  <si>
    <t>IN0020220037</t>
  </si>
  <si>
    <t>7.38% Central Government Securities 20/06/2027</t>
  </si>
  <si>
    <t>IN002024Z347</t>
  </si>
  <si>
    <t>IN002024Z248</t>
  </si>
  <si>
    <t>IN002024Z412</t>
  </si>
  <si>
    <t>Sundaram Balanced Advantage Fund</t>
  </si>
  <si>
    <t>INE002S01010</t>
  </si>
  <si>
    <t>Mahanagar Gas Ltd</t>
  </si>
  <si>
    <t>INE020B08FD6</t>
  </si>
  <si>
    <t>REC LTD - 7.58% - 31/05/2029**</t>
  </si>
  <si>
    <t>INE115A07QD5</t>
  </si>
  <si>
    <t>LIC Housing Finance Ltd - 7.82% - 28/11/2025**</t>
  </si>
  <si>
    <t>IN0020230135</t>
  </si>
  <si>
    <t>IN0020230036</t>
  </si>
  <si>
    <t>7.17% Government Securities - 17/04/20230</t>
  </si>
  <si>
    <t>-</t>
  </si>
  <si>
    <t>Sundaram Dividend Yield Fund</t>
  </si>
  <si>
    <t>INE522F01014</t>
  </si>
  <si>
    <t>Coal India Ltd</t>
  </si>
  <si>
    <t>Consumable Fuels</t>
  </si>
  <si>
    <t>INE216A01030</t>
  </si>
  <si>
    <t>Britannia Industries Ltd</t>
  </si>
  <si>
    <t>INE848E01016</t>
  </si>
  <si>
    <t>NHPC Ltd</t>
  </si>
  <si>
    <t>INE486A01021</t>
  </si>
  <si>
    <t>CESC Ltd</t>
  </si>
  <si>
    <t>INE172A01027</t>
  </si>
  <si>
    <t>Castrol India Ltd</t>
  </si>
  <si>
    <t>INE356A01018</t>
  </si>
  <si>
    <t>MphasiS Ltd</t>
  </si>
  <si>
    <t>INE058A01010</t>
  </si>
  <si>
    <t>Sanofi India Ltd</t>
  </si>
  <si>
    <t>INE274J01014</t>
  </si>
  <si>
    <t>Oil India Ltd</t>
  </si>
  <si>
    <t>INE462A01022</t>
  </si>
  <si>
    <t>Bayer Cropscience Ltd</t>
  </si>
  <si>
    <t>INE021A01026</t>
  </si>
  <si>
    <t>Asian Paints Ltd</t>
  </si>
  <si>
    <t>IDIA00069480</t>
  </si>
  <si>
    <t>IDIA00069477</t>
  </si>
  <si>
    <t>INE02CF01010</t>
  </si>
  <si>
    <t>INE759J01022</t>
  </si>
  <si>
    <t>Sundaram Equity Savings Fund</t>
  </si>
  <si>
    <t>INE019A01038</t>
  </si>
  <si>
    <t>JSW Steel Ltd</t>
  </si>
  <si>
    <t>INE725G01011</t>
  </si>
  <si>
    <t>ICRA Ltd</t>
  </si>
  <si>
    <t>INE115A07PR7</t>
  </si>
  <si>
    <t>LIC Housing Finance Ltd - 6.65% - 15/02/2027**</t>
  </si>
  <si>
    <t>INE134E08IE1</t>
  </si>
  <si>
    <t>Power Finance Corporation Ltd - 8.03% - 02/05/2026**</t>
  </si>
  <si>
    <t>INE261F08EA6</t>
  </si>
  <si>
    <t>National Bank for Agriculture &amp; Rural Development - 7.5% - 31/08/2026**</t>
  </si>
  <si>
    <t>INE134E08IO0</t>
  </si>
  <si>
    <t>Power Finance Corporation Ltd - 7.23% - 05/01/2027**</t>
  </si>
  <si>
    <t>IN0020230101</t>
  </si>
  <si>
    <t>7.37% Government Securities-23/10/2028</t>
  </si>
  <si>
    <t>IN0020240050</t>
  </si>
  <si>
    <t>7.04% Central Government Securities 03/06/2029</t>
  </si>
  <si>
    <t>INE476A16ZO0</t>
  </si>
  <si>
    <t>Canara Bank - 04/12/2025</t>
  </si>
  <si>
    <t>INE514E16CI1</t>
  </si>
  <si>
    <t>Export Import Bank of India - 30/12/2025**</t>
  </si>
  <si>
    <t>IN002024Z362</t>
  </si>
  <si>
    <t>364 Days - T Bill - 18/12/2025</t>
  </si>
  <si>
    <t>Sundaram Focused  Fund</t>
  </si>
  <si>
    <t>INE765G01017</t>
  </si>
  <si>
    <t>ICICI Lombard General Insurance Company Ltd</t>
  </si>
  <si>
    <t>INE089A01031</t>
  </si>
  <si>
    <t>Dr. Reddys Laboratories Ltd</t>
  </si>
  <si>
    <t>INE330T01021</t>
  </si>
  <si>
    <t>Happy Forgings Ltd</t>
  </si>
  <si>
    <t>INE192R01011</t>
  </si>
  <si>
    <t>Avenue Supermarts Ltd</t>
  </si>
  <si>
    <t>INE437A01024</t>
  </si>
  <si>
    <t>Apollo Hospitals Enterprise Ltd</t>
  </si>
  <si>
    <t>INE491A01021</t>
  </si>
  <si>
    <t>City Union Bank Ltd</t>
  </si>
  <si>
    <t>INE389H01022</t>
  </si>
  <si>
    <t>KEC International Ltd</t>
  </si>
  <si>
    <t>INE472A01039</t>
  </si>
  <si>
    <t>Blue Star Ltd</t>
  </si>
  <si>
    <t>Sundaram Multi Cap Fund</t>
  </si>
  <si>
    <t>INE668F01031</t>
  </si>
  <si>
    <t>Jyothy Laboratories Ltd</t>
  </si>
  <si>
    <t>Household Products</t>
  </si>
  <si>
    <t>INE112L01020</t>
  </si>
  <si>
    <t>Metropolis Healthcare Ltd</t>
  </si>
  <si>
    <t>INE217B01036</t>
  </si>
  <si>
    <t>Kajaria Ceramics Ltd</t>
  </si>
  <si>
    <t>INE183A01024</t>
  </si>
  <si>
    <t>Finolex Industries Ltd</t>
  </si>
  <si>
    <t>INE147E01013</t>
  </si>
  <si>
    <t>INE406B01019</t>
  </si>
  <si>
    <t>IDIA00069356</t>
  </si>
  <si>
    <t>INE348C01011</t>
  </si>
  <si>
    <t>Paper, Forest &amp; Jute Products</t>
  </si>
  <si>
    <t>INE431E01011</t>
  </si>
  <si>
    <t>Healthcare Equipment &amp; Supplies</t>
  </si>
  <si>
    <t>IDIA00069359</t>
  </si>
  <si>
    <t>INE604A01011</t>
  </si>
  <si>
    <t>Sundaram Nifty 100 Equal Weight Fund</t>
  </si>
  <si>
    <t>INE070A01015</t>
  </si>
  <si>
    <t>Shree Cement Ltd</t>
  </si>
  <si>
    <t>INE758E01017</t>
  </si>
  <si>
    <t>Jio Financial Services Ltd</t>
  </si>
  <si>
    <t>INE205A01025</t>
  </si>
  <si>
    <t>Vedanta Ltd</t>
  </si>
  <si>
    <t>Diversified Metals</t>
  </si>
  <si>
    <t>INE814H01011</t>
  </si>
  <si>
    <t>Adani Power Ltd</t>
  </si>
  <si>
    <t>INE931S01010</t>
  </si>
  <si>
    <t>Adani Energy Solutions Ltd</t>
  </si>
  <si>
    <t>INE685A01028</t>
  </si>
  <si>
    <t>Torrent Pharmaceuticals Ltd</t>
  </si>
  <si>
    <t>INE118A01012</t>
  </si>
  <si>
    <t>Bajaj Holdings &amp; Investment Ltd</t>
  </si>
  <si>
    <t>INE364U01010</t>
  </si>
  <si>
    <t>Adani Green Energy Ltd</t>
  </si>
  <si>
    <t>INE239A01024</t>
  </si>
  <si>
    <t>Nestle India Ltd</t>
  </si>
  <si>
    <t>INE134E01011</t>
  </si>
  <si>
    <t>Power Finance Corporation Ltd</t>
  </si>
  <si>
    <t>INE0V6F01027</t>
  </si>
  <si>
    <t>Hyundai Motor India Ltd</t>
  </si>
  <si>
    <t>INE066A01021</t>
  </si>
  <si>
    <t>Eicher Motors Ltd</t>
  </si>
  <si>
    <t>INE323A01026</t>
  </si>
  <si>
    <t>Bosch Ltd</t>
  </si>
  <si>
    <t>INE318A01026</t>
  </si>
  <si>
    <t>Pidilite Industries Ltd</t>
  </si>
  <si>
    <t>INE00H001014</t>
  </si>
  <si>
    <t>Swiggy Ltd</t>
  </si>
  <si>
    <t>INE775A01035</t>
  </si>
  <si>
    <t>Samvardhana Motherson International Ltd</t>
  </si>
  <si>
    <t>INE0J1Y01017</t>
  </si>
  <si>
    <t>LIC of India Ltd</t>
  </si>
  <si>
    <t>INE176B01034</t>
  </si>
  <si>
    <t>Havells India Ltd</t>
  </si>
  <si>
    <t>INE377Y01014</t>
  </si>
  <si>
    <t>BAJAJ HOUSING FINANCE LTD</t>
  </si>
  <si>
    <t>INE053F01010</t>
  </si>
  <si>
    <t>Indian Railway Finance Corporation Ltd</t>
  </si>
  <si>
    <t>INE067A01029</t>
  </si>
  <si>
    <t>CG Power and Industrial Solutions Ltd</t>
  </si>
  <si>
    <t>INE102D01028</t>
  </si>
  <si>
    <t>Godrej Consumer Products Ltd</t>
  </si>
  <si>
    <t>INE214T01019</t>
  </si>
  <si>
    <t>LTIMindtree Ltd</t>
  </si>
  <si>
    <t>INE670K01029</t>
  </si>
  <si>
    <t>Macrotech Developers Ltd</t>
  </si>
  <si>
    <t>Sundaram ELSS Tax Saver Fund</t>
  </si>
  <si>
    <t>INE451A01017</t>
  </si>
  <si>
    <t>Force Motors Ltd</t>
  </si>
  <si>
    <t>INE628A01036</t>
  </si>
  <si>
    <t>UPL Ltd</t>
  </si>
  <si>
    <t>INE176A01028</t>
  </si>
  <si>
    <t>Bata India Ltd</t>
  </si>
  <si>
    <t>IN9397D01014</t>
  </si>
  <si>
    <t>Sundaram Consumption Fund</t>
  </si>
  <si>
    <t>INE0BJS01011</t>
  </si>
  <si>
    <t>Go Fashion (India ) Ltd</t>
  </si>
  <si>
    <t>INE716A01013</t>
  </si>
  <si>
    <t>Whirlpool of India Ltd</t>
  </si>
  <si>
    <t>Sundaram Services Fund</t>
  </si>
  <si>
    <t>MU0295S00016</t>
  </si>
  <si>
    <t>Sundaram Diversified Equity</t>
  </si>
  <si>
    <t>Sundaram Large Cap Fund</t>
  </si>
  <si>
    <t>Sundaram Business Cycle Fund</t>
  </si>
  <si>
    <t>INE410P01011</t>
  </si>
  <si>
    <t>Narayana Hrudayalaya Ltd</t>
  </si>
  <si>
    <t>INE224A01026</t>
  </si>
  <si>
    <t>Greaves Cotton Ltd</t>
  </si>
  <si>
    <t>INE022Q01020</t>
  </si>
  <si>
    <t>Indian Energy Exchange Ltd</t>
  </si>
  <si>
    <t>INE04I401011</t>
  </si>
  <si>
    <t>KPIT Technologies Ltd</t>
  </si>
  <si>
    <t>INE0LMW01024</t>
  </si>
  <si>
    <t>Cello World Ltd</t>
  </si>
  <si>
    <t>INE599M01018</t>
  </si>
  <si>
    <t>Just Dial Ltd</t>
  </si>
  <si>
    <t>Sundaram Flexi Cap Fund</t>
  </si>
  <si>
    <t>Sundaram Financial Services Opportunities Fund</t>
  </si>
  <si>
    <t>INE756I01012</t>
  </si>
  <si>
    <t>HDB Financial Services Ltd</t>
  </si>
  <si>
    <t>Sundaram Multi Asset Allocation Fund</t>
  </si>
  <si>
    <t>IN0020240183</t>
  </si>
  <si>
    <t>6.75% Central Government Securities 23/12/2029</t>
  </si>
  <si>
    <t>INF200KA16D8</t>
  </si>
  <si>
    <t>SBI-ETF GOLD</t>
  </si>
  <si>
    <t>INF204KB17I5</t>
  </si>
  <si>
    <t>Nippon India ETF Gold Bees</t>
  </si>
  <si>
    <t>INF174KA1HJ8</t>
  </si>
  <si>
    <t>Kotak Mutual Fund - Gold Exchange Traded Fund</t>
  </si>
  <si>
    <t>INF179KC1981</t>
  </si>
  <si>
    <t>HDFC Gold Exchange Traded Fund</t>
  </si>
  <si>
    <t>INF740KA1SW3</t>
  </si>
  <si>
    <t>DSP-GOLD ETF</t>
  </si>
  <si>
    <t>Sundaram Global Brand Theme-Equity Active FOF</t>
  </si>
  <si>
    <t>SG9999013908</t>
  </si>
  <si>
    <t>Sundaram Global Brand Fund - Master Class</t>
  </si>
  <si>
    <t>YTM (%)</t>
  </si>
  <si>
    <t>Monthly Portfolio Statement for the month ended 30 June 2025</t>
  </si>
  <si>
    <t>Index</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</si>
  <si>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</si>
  <si>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</si>
  <si>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</si>
  <si>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</si>
  <si>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</si>
  <si>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</si>
  <si>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</si>
  <si>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Hindustan Dorr Oliver Ltd @</t>
  </si>
  <si>
    <t>d) IDCW declared during the period (Rupees per unit)</t>
  </si>
  <si>
    <t>Scheme Riskometer :</t>
  </si>
  <si>
    <t>Tier I Benchmark Riskometer :</t>
  </si>
  <si>
    <t xml:space="preserve">                     NIFTY Infrastructure TRI</t>
  </si>
  <si>
    <t xml:space="preserve">                    MSCI ACWI TRI</t>
  </si>
  <si>
    <t>Tier II Benchmark Riskometer :</t>
  </si>
  <si>
    <t xml:space="preserve">                        Nifty Mid Cap 150 TRI</t>
  </si>
  <si>
    <t xml:space="preserve">                            Nifty Mid Cap 100 TRI</t>
  </si>
  <si>
    <t xml:space="preserve">           Nifty Large Mid Cap 250 INDEX</t>
  </si>
  <si>
    <t xml:space="preserve">                           BSE 500 INDEX</t>
  </si>
  <si>
    <t xml:space="preserve">                                    BSE 500 INDEX</t>
  </si>
  <si>
    <t xml:space="preserve">                    BSE 500 INDEX</t>
  </si>
  <si>
    <t xml:space="preserve">                    Nifty Small Cap 100</t>
  </si>
  <si>
    <t xml:space="preserve">                   Nifty Small Cap 100</t>
  </si>
  <si>
    <t xml:space="preserve">                      Nifty Small Cap 100</t>
  </si>
  <si>
    <t xml:space="preserve">                     Nifty Small Cap 100</t>
  </si>
  <si>
    <t xml:space="preserve">           Nifty Small Cap 250 TRI</t>
  </si>
  <si>
    <t xml:space="preserve">           Nifty Small Cap 100 TRI</t>
  </si>
  <si>
    <t>ISIN</t>
  </si>
  <si>
    <t>NAME OF THE SECURITY</t>
  </si>
  <si>
    <t>TOTAL AMOUNT DUE (Rs. in Lacs)</t>
  </si>
  <si>
    <t>(Rs. in Lacs)</t>
  </si>
  <si>
    <t xml:space="preserve">Total Cost  </t>
  </si>
  <si>
    <t xml:space="preserve">Discounting Charges / Interest accrued till maturity </t>
  </si>
  <si>
    <t>Total CP Outstanding</t>
  </si>
  <si>
    <t>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</si>
  <si>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</si>
  <si>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</si>
  <si>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</si>
  <si>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</si>
  <si>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</si>
  <si>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</si>
  <si>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</si>
  <si>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https://www.sundarammutual.com/pdf2/2025/Rationale_for_Valuation/Update_on_ILFS_Financial_Services_Recovery_06_03_2025.pdf</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</si>
  <si>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</si>
  <si>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</si>
  <si>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</si>
  <si>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</si>
  <si>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</si>
  <si>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</si>
  <si>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</si>
  <si>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</si>
  <si>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</si>
  <si>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</si>
  <si>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</si>
  <si>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</si>
  <si>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</si>
  <si>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</si>
  <si>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</si>
  <si>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</si>
  <si>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</si>
  <si>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</si>
  <si>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 xml:space="preserve">           CRISIL Hybrid 35 Plus 65 - Aggressive Index</t>
  </si>
  <si>
    <t>Annexure-A</t>
  </si>
  <si>
    <t xml:space="preserve">           NIFTY 50 Arbitrage INDEX</t>
  </si>
  <si>
    <t xml:space="preserve">           NIFTY 50 Hybrid Composite Debt 50 : 50 INDEX</t>
  </si>
  <si>
    <t>Name of The security</t>
  </si>
  <si>
    <t xml:space="preserve">ISIN </t>
  </si>
  <si>
    <t>Net receivable/Market value  (Rs. Lakh)</t>
  </si>
  <si>
    <t>% to NAV</t>
  </si>
  <si>
    <t>Total Amount(Principal &amp; Interest)  (Rs. Lakh)</t>
  </si>
  <si>
    <t>21.50% Dewan Rubber Ltd</t>
  </si>
  <si>
    <t>Not Available</t>
  </si>
  <si>
    <t>Chemox Chemicals Industries</t>
  </si>
  <si>
    <t xml:space="preserve">                                NIFTY 500</t>
  </si>
  <si>
    <t xml:space="preserve">                      Nifty Equity Savings INDEX</t>
  </si>
  <si>
    <t xml:space="preserve">                              Nifty 500 TRI</t>
  </si>
  <si>
    <t xml:space="preserve">           Nifty Large MID CAP 250 TRI</t>
  </si>
  <si>
    <t>15% Premier Vinyl Ltd</t>
  </si>
  <si>
    <t xml:space="preserve">           Nifty 500 MultiCap 50:25:25</t>
  </si>
  <si>
    <t xml:space="preserve">          Nifty 100 Equal Weight TRI</t>
  </si>
  <si>
    <t>18% Jord Engineering Ltd</t>
  </si>
  <si>
    <t xml:space="preserve">                          NIFTY 500</t>
  </si>
  <si>
    <t xml:space="preserve">           Nifty India Consumption TRI</t>
  </si>
  <si>
    <t xml:space="preserve">           NIFTY Services Sector Index</t>
  </si>
  <si>
    <t xml:space="preserve">           NIFTY 500 MULTICAP 50:25:25</t>
  </si>
  <si>
    <t xml:space="preserve">                       NIFTY 500</t>
  </si>
  <si>
    <t xml:space="preserve">               Nifty 100 TRI INDEX</t>
  </si>
  <si>
    <t xml:space="preserve">                      Nifty_500_ TRI</t>
  </si>
  <si>
    <t xml:space="preserve">                  Nifty 500 TRI</t>
  </si>
  <si>
    <t xml:space="preserve">           Nifty Financial Services</t>
  </si>
  <si>
    <t>NIFTY 500 TRI (65%) + NIFTY Short Duration Debt Index (10%) + Domestic Prices of Gold (25%)</t>
  </si>
  <si>
    <t>i) Exposure to securities classified as below investment grade or default as on 30-Jun-2025</t>
  </si>
  <si>
    <t>% to AUM as on 30-Jun-2025</t>
  </si>
  <si>
    <t>30-Jun-2025</t>
  </si>
  <si>
    <t xml:space="preserve"> (a) Investments in Foreign Securities - Units of Mutual Funds</t>
  </si>
  <si>
    <t>Sundaram Liquid Fund - Direct Growth*</t>
  </si>
  <si>
    <t>INE0JEI23010</t>
  </si>
  <si>
    <t>Roadstar Infra Investment Trust (InvIT)</t>
  </si>
  <si>
    <t>Services</t>
  </si>
  <si>
    <t>Chennai Super Kings Ltd @</t>
  </si>
  <si>
    <t>(f) Convertible Debenture</t>
  </si>
  <si>
    <t>INE121A08PJ0</t>
  </si>
  <si>
    <t>7.5% Cholamandalam Investment and Company Ltd - 30/09/2026</t>
  </si>
  <si>
    <t>Unrated</t>
  </si>
  <si>
    <t>REC Limited JUL 2025</t>
  </si>
  <si>
    <t>Dabur India Limited JUL 2025</t>
  </si>
  <si>
    <t>UltraTech Cement Limited JUL 2025</t>
  </si>
  <si>
    <t>Divi's Laboratories Ltd JUL 2025</t>
  </si>
  <si>
    <t>SBI Life Insurance Company Limited JUL 2025</t>
  </si>
  <si>
    <t>Hindustan Aeronautics Limited JUL 2025</t>
  </si>
  <si>
    <t>Biocon Ltd JUL 2025</t>
  </si>
  <si>
    <t>HCL Technologies Limited JUL 2025</t>
  </si>
  <si>
    <t>Zydus Lifesciences Limited JUL 2025</t>
  </si>
  <si>
    <t>Power Grid Corporation of India Ltd JUL 2025</t>
  </si>
  <si>
    <t xml:space="preserve">	Mahindra &amp; Mahindra Limited JUL 2025</t>
  </si>
  <si>
    <t>ICICI Bank Limited JUL 2025</t>
  </si>
  <si>
    <t>HDFC Life Insurance Company Limited JUL 2025</t>
  </si>
  <si>
    <t>Bajaj Finserv Limited JUL 2025</t>
  </si>
  <si>
    <t>Larsen and Toubro Ltd JUL 2025</t>
  </si>
  <si>
    <t>Sun Pharmaceutical Industries Limited JUL 2025</t>
  </si>
  <si>
    <t>TATA Consultancy Services Limited JUL 2025</t>
  </si>
  <si>
    <t>IDFC First Bank Ltd  JUL 2025</t>
  </si>
  <si>
    <t>Grasim Industries Limited JUL 2025</t>
  </si>
  <si>
    <t xml:space="preserve">	Hindustan Unilever Limited JUL 2025</t>
  </si>
  <si>
    <t>Bharat Electronics Limited JUL 2025</t>
  </si>
  <si>
    <t>NTPC Limited JUL 2025</t>
  </si>
  <si>
    <t>RBL Bank Ltd JUL 2025</t>
  </si>
  <si>
    <t>Bharti Airtel Limited JUL 2025</t>
  </si>
  <si>
    <t>Infosys Limited JUL 2025</t>
  </si>
  <si>
    <t>Kotak Mahindra Bank Limited JUL 2025</t>
  </si>
  <si>
    <t xml:space="preserve">	State Bank Of India Limited JUL 2025</t>
  </si>
  <si>
    <t>Reliance Industries Limited JUL 2025</t>
  </si>
  <si>
    <t>HDFC Bank Limited JUL 2025</t>
  </si>
  <si>
    <t>7.11% Central Government Securities_Floating Rate Bond - 04/10/2028 ~</t>
  </si>
  <si>
    <t>Cash and Other Net Current Assets^</t>
  </si>
  <si>
    <t>Refer below point i)</t>
  </si>
  <si>
    <t>Direct Plan - Monthly IDCW</t>
  </si>
  <si>
    <t>Regular Plan - Monthly IDCW</t>
  </si>
  <si>
    <t>Aarti Industries Limited JUL 2025</t>
  </si>
  <si>
    <t>Indian Oil Corporation Ltd JUL 2025</t>
  </si>
  <si>
    <t>DLF Limited JUL 2025</t>
  </si>
  <si>
    <t>Aurobindo Pharma Limited JUL 2025</t>
  </si>
  <si>
    <t xml:space="preserve">	Tata Consumer Products Limited JUL 2025</t>
  </si>
  <si>
    <t>Canara Bank JUL 2025</t>
  </si>
  <si>
    <t>Punjab National Bank JUL 2025</t>
  </si>
  <si>
    <t xml:space="preserve">	Tata Steel Limited JUL 2025</t>
  </si>
  <si>
    <t>Cipla Limited JUL 2025</t>
  </si>
  <si>
    <t>Indus Towers Limited JUL 2025</t>
  </si>
  <si>
    <t>Tata Power Company Ltd JUL 2025</t>
  </si>
  <si>
    <t>Tata Motors Limited JUL 2025</t>
  </si>
  <si>
    <t>Bank of Baroda JUL 2025</t>
  </si>
  <si>
    <t>The Indian Hotels Company Limited JUL 2025</t>
  </si>
  <si>
    <t>Hindalco Industries Limited JUL 2025</t>
  </si>
  <si>
    <t>Bajaj Finance Limited JUL 2025</t>
  </si>
  <si>
    <t>Adani Enterprises Limited JUL 2025</t>
  </si>
  <si>
    <t>Ambuja Cements Limited JUL 2025</t>
  </si>
  <si>
    <t>Axis Bank Limited JUL 2025</t>
  </si>
  <si>
    <t>ITC Limited JUL 2025</t>
  </si>
  <si>
    <t>JSW Energy Ltd JUL 2025</t>
  </si>
  <si>
    <t>INE041025011</t>
  </si>
  <si>
    <t>Embassy Office Parks (REIT)</t>
  </si>
  <si>
    <t>INE0GGX23010</t>
  </si>
  <si>
    <t>Power Grid Infrastructure Investment Trust (InvIT)</t>
  </si>
  <si>
    <t>ICICI Bank AUG 2025</t>
  </si>
  <si>
    <t>Mahanagar Gas Ltd JUL 2025</t>
  </si>
  <si>
    <t>Titan Company Limited JUL 2025</t>
  </si>
  <si>
    <t>GAIL (India) Limited JUL 2025</t>
  </si>
  <si>
    <t>Tata Consultancy Services Ltd JUL 2025</t>
  </si>
  <si>
    <t>Power Grid Infrastructure Investment Trust(InvIT)</t>
  </si>
  <si>
    <t>Sandur Laminates Ltd @</t>
  </si>
  <si>
    <t>Crystal Cable Industries Ltd @</t>
  </si>
  <si>
    <t>Tirrihannah Company Ltd @</t>
  </si>
  <si>
    <t>Minerava Holdings Ltd @</t>
  </si>
  <si>
    <t>Lupin Limited JUL 2025</t>
  </si>
  <si>
    <t xml:space="preserve">	United Spirits Limited JUL 2025</t>
  </si>
  <si>
    <t>TVS Motor Company Limited JUL 2025</t>
  </si>
  <si>
    <t>JSW Steel Limited JUL 2025</t>
  </si>
  <si>
    <t>Interglobe Aviation Ltd JUL 2025</t>
  </si>
  <si>
    <t>Direct Plan - Quarterly IDCW</t>
  </si>
  <si>
    <t>Regular Plan - Quarterly IDCW</t>
  </si>
  <si>
    <t>Crescent Finstock Ltd @</t>
  </si>
  <si>
    <t>Balmer Lawrie Freight Containers Ltd @</t>
  </si>
  <si>
    <t>Precision Fasteners Ltd @</t>
  </si>
  <si>
    <t>Virtual Dynamics Software Ltd @</t>
  </si>
  <si>
    <t>Noble Brothers Impex Ltd @</t>
  </si>
  <si>
    <t>Sangam Health Care Products Ltd @</t>
  </si>
  <si>
    <t>Mukerian Papers Ltd @</t>
  </si>
  <si>
    <t>Bharti Airtel Ltd - Partly Paid Right Shares</t>
  </si>
  <si>
    <t>Make My Trip Ltd (USD)</t>
  </si>
  <si>
    <t>Oil &amp; Natural Gas Corporation Limited JUL 2025</t>
  </si>
  <si>
    <t>Eicher Motor Limited JUL 2025</t>
  </si>
  <si>
    <t>Alkem Laboratories Ltd JUL 2025</t>
  </si>
  <si>
    <t xml:space="preserve">	Tech Mahindra Limited JUL 2025</t>
  </si>
  <si>
    <t>Hindustan Petroleum Corpn Limited JUL 2025</t>
  </si>
  <si>
    <t>Ultracab (India) Limited JUL 2025</t>
  </si>
  <si>
    <t>YTM (%)*</t>
  </si>
  <si>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</si>
  <si>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</si>
  <si>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</si>
  <si>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</si>
  <si>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</si>
  <si>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</si>
  <si>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</si>
  <si>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</si>
  <si>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</si>
  <si>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</si>
  <si>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</si>
  <si>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</si>
  <si>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</si>
  <si>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</si>
  <si>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</si>
  <si>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</si>
  <si>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</si>
  <si>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</si>
  <si>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</si>
  <si>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</si>
  <si>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</si>
  <si>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</si>
  <si>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</si>
  <si>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</si>
  <si>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</si>
  <si>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</si>
  <si>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</si>
  <si>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</si>
  <si>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</si>
  <si>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</si>
  <si>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</si>
  <si>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</si>
  <si>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</si>
  <si>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</si>
  <si>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</si>
  <si>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</si>
  <si>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</si>
  <si>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</si>
  <si>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SUNCYF</t>
  </si>
  <si>
    <t>Direct Plan - IDCW</t>
  </si>
  <si>
    <t>Regular Plan - IDCW</t>
  </si>
  <si>
    <t>Sundaram Money Market Fund-Direct Plan - Growth*</t>
  </si>
  <si>
    <t>7.10% Central Government Securities 18/04/2029*</t>
  </si>
  <si>
    <t>7.23% Central Government Securities 15/04/2039*</t>
  </si>
  <si>
    <t>7.38% Central Government Securities 20/06/2027*</t>
  </si>
  <si>
    <t>364 Days - T Bill - 11/09/2025*</t>
  </si>
  <si>
    <t>364 Days - T Bill - 04/12/2025*</t>
  </si>
  <si>
    <t>364 Days - T Bill - 22/01/2026*</t>
  </si>
  <si>
    <t>7.32% Government Securities-13/11/2030*</t>
  </si>
  <si>
    <t>7.10% Central Government Securities 08/04/2034*</t>
  </si>
  <si>
    <t>7.37% Government Securities-23/10/2028*</t>
  </si>
  <si>
    <t>Sundaram Money Market Fund-Direct Plan - Growth *</t>
  </si>
  <si>
    <t>7.04% Central Government Securities 03/06/2029*</t>
  </si>
  <si>
    <t>DERIVATIVES DISCLOSURE</t>
  </si>
  <si>
    <t>Disclosure regarding Derivative positions pursuant to SEBI Circular no CIR/IMD/DF/11/2010 dated August18,2010</t>
  </si>
  <si>
    <t>DETAILS OF INVESTMENTS IN DERIVATIVE INSTRUMENTS</t>
  </si>
  <si>
    <t>A. Hedging Positions through Futures as on June 30,2025 :</t>
  </si>
  <si>
    <t>Scheme Name</t>
  </si>
  <si>
    <t>Underlying</t>
  </si>
  <si>
    <t>Long/Short</t>
  </si>
  <si>
    <t>Futures Price When Purchased</t>
  </si>
  <si>
    <t>Current Price of the contract</t>
  </si>
  <si>
    <t>Margin maintained in       (Rs in Lakhs)*</t>
  </si>
  <si>
    <t>Bajaj Finserv Ltd JUL-2025</t>
  </si>
  <si>
    <t>short</t>
  </si>
  <si>
    <t>Bharat Electronics Ltd JUL-2025</t>
  </si>
  <si>
    <t>Bharti Airtel Ltd JUL-2025</t>
  </si>
  <si>
    <t>Biocon Ltd JUL-2025</t>
  </si>
  <si>
    <t>Dabur India Ltd - Equity JUL-2025</t>
  </si>
  <si>
    <t>Divis Labarotories Ltd  JUL-2025</t>
  </si>
  <si>
    <t>Grasim Industries Ltd  JUL-2025</t>
  </si>
  <si>
    <t>HCL Technologies Ltd JUL-2025</t>
  </si>
  <si>
    <t>HDFC Bank Ltd JUL-2025</t>
  </si>
  <si>
    <t>HDFC Life Insurance Company Ltd JUL-2025</t>
  </si>
  <si>
    <t>Hindustan Aeronautics Ltd JUL-2025</t>
  </si>
  <si>
    <t>Hindustan Unilever Ltd JUL-2025</t>
  </si>
  <si>
    <t>ICICI Bank Ltd JUL-2025</t>
  </si>
  <si>
    <t>IDFC First Bank Ltd (PrevIDFC Bank Ltd) JUL-2025</t>
  </si>
  <si>
    <t>Infosys Ltd JUL-2025</t>
  </si>
  <si>
    <t>Kotak Mahindra Bank Ltd JUL-2025</t>
  </si>
  <si>
    <t>Larsen &amp; Toubro Ltd JUL-2025</t>
  </si>
  <si>
    <t>Mahindra &amp; Mahindra Ltd JUL-2025</t>
  </si>
  <si>
    <t>NTPC Ltd JUL-2025</t>
  </si>
  <si>
    <t>Power Grid Corporation of India Ltd JUL-2025</t>
  </si>
  <si>
    <t>RBL Bank Ltd JUL-2025</t>
  </si>
  <si>
    <t>REC Ltd (Prev : Rural Electrification Corporation Ltd) JUL-2025</t>
  </si>
  <si>
    <t>Reliance Industries Ltd JUL-2025</t>
  </si>
  <si>
    <t>SBI Life Insurance Company Ltd JUL-2025</t>
  </si>
  <si>
    <t>State Bank Of India Ltd JUL-2025</t>
  </si>
  <si>
    <t>Sun Pharmaceuticals Ltd JUL-2025</t>
  </si>
  <si>
    <t>TATA Consultancy Services Ltd JUL-2025</t>
  </si>
  <si>
    <t>Ultra Tech Cement Ltd JUL-2025</t>
  </si>
  <si>
    <t>Zydus Lifesciences Ltd ( Prev Cadila Healthcare Ltd)  JUL-2025</t>
  </si>
  <si>
    <t>Aarti Industries Ltd JUL-2025</t>
  </si>
  <si>
    <t>Adani Enterprises Ltd JUL-2025</t>
  </si>
  <si>
    <t>Aurobindo Pharma Ltd-Equ JUL-2025</t>
  </si>
  <si>
    <t>Axis Bank Ltd  JUL-2025</t>
  </si>
  <si>
    <t>Bajaj Finance Ltd JUL-2025</t>
  </si>
  <si>
    <t>Bank of Baroda JUL-2025</t>
  </si>
  <si>
    <t>Canara Bank JUL-2025</t>
  </si>
  <si>
    <t>Cipla Ltd JUL-2025</t>
  </si>
  <si>
    <t>DLF Ltd JUL-2025</t>
  </si>
  <si>
    <t>Gujarat Ambuja Cement Co.Ltd JUL-2025</t>
  </si>
  <si>
    <t>Hindalco Industries Ltd JUL-2025</t>
  </si>
  <si>
    <t>ICICI Bank Ltd AUG-2025</t>
  </si>
  <si>
    <t>Indian Hotels Company Ltd JUL-2025</t>
  </si>
  <si>
    <t>Indian Oil Corporation Ltd JUL-2025</t>
  </si>
  <si>
    <t>Indus Towers Ltd (Prev name Bharti Infratel Ltd) JUL-2025</t>
  </si>
  <si>
    <t>ITC Ltd JUL-2025</t>
  </si>
  <si>
    <t>JSW Energy Ltd JUL-2025</t>
  </si>
  <si>
    <t>Punjab National Bank JUL-2025</t>
  </si>
  <si>
    <t>Tata Consumer Products Limited JUL-2025</t>
  </si>
  <si>
    <t>Tata Motors Ltd JUL-2025</t>
  </si>
  <si>
    <t>TATA Power Co Ltd JUL-2025</t>
  </si>
  <si>
    <t>Tata Steel Ltd JUL-2025</t>
  </si>
  <si>
    <t>GAIL (India) Ltd JUL-2025</t>
  </si>
  <si>
    <t>Mahanagar Gas Ltd JUL-2025</t>
  </si>
  <si>
    <t>Titan Industries Ltd JUL-2025</t>
  </si>
  <si>
    <t>Interglobe Aviation Ltd JUL-2025</t>
  </si>
  <si>
    <t>JSW Steel Ltd JUL-2025</t>
  </si>
  <si>
    <t>Lupin Ltd JUL-2025</t>
  </si>
  <si>
    <t>TVS Motor Company Ltd   JUL-2025</t>
  </si>
  <si>
    <t>United Spirits Ltd JUL-2025</t>
  </si>
  <si>
    <t>Alkem Laboratories Ltd JUL-2025</t>
  </si>
  <si>
    <t>Eicher Motor Ltd JUL-2025</t>
  </si>
  <si>
    <t>Hindustan Petroleum Corpn Ltd JUL-2025</t>
  </si>
  <si>
    <t>Oil &amp; Natural Gas Corpn.Ltd JUL-2025</t>
  </si>
  <si>
    <t>Tech Mahindra Ltd JUL-2025</t>
  </si>
  <si>
    <t>Ultra Tech Cement Ltd AUG-2025</t>
  </si>
  <si>
    <t xml:space="preserve">Total percentage of existing assets hedged through futures as a percentage of net assets </t>
  </si>
  <si>
    <t>%</t>
  </si>
  <si>
    <t>For the period ended June 30,2025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</si>
  <si>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</si>
  <si>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</si>
  <si>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</si>
  <si>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</si>
  <si>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</si>
  <si>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Margin maintained in       (Rs. in Lakhs) *</t>
  </si>
  <si>
    <t>Long</t>
  </si>
  <si>
    <t>Total percentage of existing assets due to non-hedging positions as a percentage of net assets</t>
  </si>
  <si>
    <t>B. Other than hedging positions through futures as on Jun 30,2025 : NIL</t>
  </si>
  <si>
    <t>For the period ended June 30,2025 following were the non-hedging transactions through futures which have been squared off / expired</t>
  </si>
  <si>
    <t>Gross Notional value of contracts where futures were sold      ( Rs. in Lakhs)</t>
  </si>
  <si>
    <t>Net Profit / (Loss) value on all contracts combined      (Rs. in lakhs)</t>
  </si>
  <si>
    <t>C. Hedging Positions through Put Options as on June 30,2025: NIL</t>
  </si>
  <si>
    <t>Call/Put</t>
  </si>
  <si>
    <t>Number of Contracts</t>
  </si>
  <si>
    <t>Option Price when purchased</t>
  </si>
  <si>
    <t>Current Option Price</t>
  </si>
  <si>
    <t>Total % of existing assets hedged through Put Options</t>
  </si>
  <si>
    <t xml:space="preserve"> </t>
  </si>
  <si>
    <t>For the period ended  June 30,2025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</si>
  <si>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</si>
  <si>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</si>
  <si>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</si>
  <si>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</si>
  <si>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June 30,2025 : NIL</t>
  </si>
  <si>
    <t xml:space="preserve">Total Exposure through Options other than hedging as a percentage of net assets </t>
  </si>
  <si>
    <t>For the period ended June 30,2025 , the following non hedging transactions through options which have been already exercised/expired</t>
  </si>
  <si>
    <t>Gross Notional value of contracts  bought(Rs. in Lakhs)</t>
  </si>
  <si>
    <t>Gross Notional value of contracts  sold (Rs. in Lakhs)</t>
  </si>
  <si>
    <t>E. Hedging Positions through Swaps as on June 30,2025:</t>
  </si>
  <si>
    <t>Scheme name</t>
  </si>
  <si>
    <t>Swap Type</t>
  </si>
  <si>
    <t>Underlying Security</t>
  </si>
  <si>
    <t>Long Position</t>
  </si>
  <si>
    <t>Short Position</t>
  </si>
  <si>
    <t>Notional Value (Rs. in lacs.)</t>
  </si>
  <si>
    <t>Maturity date</t>
  </si>
  <si>
    <t>Sundaram Ultra Short Duration  Fund</t>
  </si>
  <si>
    <t>Fixed to Float</t>
  </si>
  <si>
    <t>7.56% REC Ltd NCD MD 30-06-2026</t>
  </si>
  <si>
    <t>Receiving Floating</t>
  </si>
  <si>
    <t>Pay Fixed</t>
  </si>
  <si>
    <t>7.58%  NABARD- NCD-31-07-2026</t>
  </si>
  <si>
    <t>9.20% Shriram Finance Ltd 22 05 2026</t>
  </si>
  <si>
    <t>F. Hedging Positions through Interest Rate Futures as on June 30,2025: NIL</t>
  </si>
  <si>
    <t xml:space="preserve">Futures Price
When Purchased </t>
  </si>
  <si>
    <t>Current Price of
the contract</t>
  </si>
  <si>
    <t>Margin maintained
in (Rs. in Lakhs)</t>
  </si>
  <si>
    <t>Total percentage of existing assets hedged through Interest Rate Futures a Percentage of net assets</t>
  </si>
  <si>
    <t>For the period ended June 30,2025 following were the hedging transactions through Interest Rate Futures which have been squared off/ expired</t>
  </si>
  <si>
    <t>For the period ended June 30,2025 following were the Non Hedging transactions through Interest Rate Futures which have been squared off/ expired</t>
  </si>
  <si>
    <t>* Note: Margin maintained denotes security specific margin.</t>
  </si>
  <si>
    <t xml:space="preserve">           NIFTY Dividend Opportunities 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</si>
</sst>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
    <numFmt numFmtId="172" formatCode="[$-1014009]#,##0.000000;\-#,##0.000000"/>
    <numFmt numFmtId="173" formatCode="_(* #,##0.00_);_(* \(#,##0.00\);_(* &quot;-&quot;??_);_(@_)"/>
    <numFmt numFmtId="174" formatCode="[$-1014009]#,##0.00;\(#,##0.00\)"/>
    <numFmt numFmtId="175" formatCode="_(* #,##0_);_(* \(#,##0\);_(* &quot;-&quot;??_);_(@_)"/>
    <numFmt numFmtId="176" formatCode="0.000000000"/>
    <numFmt numFmtId="177" formatCode="#,##0.0000;\(#,##0.0000\)"/>
    <numFmt numFmtId="178" formatCode="_(* #,##0.000_);_(* \(#,##0.000\);_(* &quot;-&quot;??_);_(@_)"/>
  </numFmts>
  <fonts count="31" x14ac:knownFonts="1">
    <font>
      <sz val="10"/>
      <name val="Arial"/>
      <charset val="1"/>
    </font>
    <font>
      <sz val="11"/>
      <color theme="1"/>
      <name val="Aptos Narrow"/>
      <family val="2"/>
      <scheme val="minor"/>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
      <sz val="10"/>
      <name val="Arial"/>
      <family val="2"/>
    </font>
    <font>
      <sz val="10"/>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sz val="10"/>
      <color theme="1"/>
      <name val="Calibri"/>
      <family val="2"/>
    </font>
    <font>
      <b/>
      <sz val="11"/>
      <name val="Aptos Narrow"/>
      <family val="2"/>
      <scheme val="minor"/>
    </font>
    <font>
      <sz val="11"/>
      <name val="Aptos Narrow"/>
      <family val="2"/>
      <scheme val="minor"/>
    </font>
    <font>
      <b/>
      <sz val="10"/>
      <name val="Calibri"/>
      <family val="2"/>
    </font>
    <font>
      <sz val="10"/>
      <name val="Aptos Narrow"/>
      <family val="2"/>
      <scheme val="minor"/>
    </font>
    <font>
      <u/>
      <sz val="11"/>
      <color theme="10"/>
      <name val="Aptos Narrow"/>
      <family val="2"/>
      <scheme val="minor"/>
    </font>
    <font>
      <b/>
      <sz val="10"/>
      <color theme="1"/>
      <name val="Arial"/>
      <family val="2"/>
    </font>
    <font>
      <b/>
      <sz val="10"/>
      <color theme="1"/>
      <name val="Tahoma"/>
      <family val="2"/>
    </font>
    <font>
      <b/>
      <sz val="10"/>
      <color rgb="FF000000"/>
      <name val="Tahoma"/>
      <family val="2"/>
    </font>
  </fonts>
  <fills count="2">
    <fill>
      <patternFill patternType="none"/>
    </fill>
    <fill>
      <patternFill patternType="gray125"/>
    </fill>
  </fills>
  <borders count="2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4">
    <xf numFmtId="0" fontId="0" fillId="0" borderId="0">
      <alignment wrapText="1"/>
    </xf>
    <xf numFmtId="43" fontId="7" fillId="0" borderId="0" applyFont="0" applyFill="0" applyBorder="0" applyAlignment="0" applyProtection="0"/>
    <xf numFmtId="9" fontId="7" fillId="0" borderId="0" applyFont="0" applyFill="0" applyBorder="0" applyAlignment="0" applyProtection="0"/>
    <xf numFmtId="0" fontId="9" fillId="0" borderId="0" applyNumberFormat="0" applyFill="0" applyBorder="0" applyAlignment="0" applyProtection="0">
      <alignment wrapText="1"/>
    </xf>
    <xf numFmtId="0" fontId="2" fillId="0" borderId="0"/>
    <xf numFmtId="0" fontId="15" fillId="0" borderId="0">
      <alignment wrapText="1"/>
    </xf>
    <xf numFmtId="0" fontId="2" fillId="0" borderId="0"/>
    <xf numFmtId="0" fontId="15" fillId="0" borderId="0">
      <alignment wrapText="1"/>
    </xf>
    <xf numFmtId="43" fontId="2" fillId="0" borderId="0" applyFont="0" applyFill="0" applyBorder="0" applyAlignment="0" applyProtection="0"/>
    <xf numFmtId="9" fontId="20" fillId="0" borderId="0" applyFont="0" applyFill="0" applyBorder="0" applyAlignment="0" applyProtection="0"/>
    <xf numFmtId="0" fontId="15" fillId="0" borderId="0">
      <alignment wrapText="1"/>
    </xf>
    <xf numFmtId="0" fontId="1" fillId="0" borderId="0"/>
    <xf numFmtId="0" fontId="15" fillId="0" borderId="0"/>
    <xf numFmtId="173" fontId="20" fillId="0" borderId="0" applyFont="0" applyFill="0" applyBorder="0" applyAlignment="0" applyProtection="0"/>
  </cellStyleXfs>
  <cellXfs count="244">
    <xf numFmtId="0" fontId="0" fillId="0" borderId="0" xfId="0">
      <alignment wrapText="1"/>
    </xf>
    <xf numFmtId="0" fontId="10" fillId="0" borderId="0" xfId="3" applyFont="1" applyFill="1" applyBorder="1" applyAlignment="1">
      <alignment horizontal="center" vertical="center" wrapText="1"/>
    </xf>
    <xf numFmtId="43" fontId="19" fillId="0" borderId="8" xfId="8" applyFont="1" applyFill="1" applyBorder="1"/>
    <xf numFmtId="4" fontId="19" fillId="0" borderId="8" xfId="9" applyNumberFormat="1" applyFont="1" applyFill="1" applyBorder="1"/>
    <xf numFmtId="0" fontId="9" fillId="0" borderId="0" xfId="3" applyFill="1" applyAlignment="1"/>
    <xf numFmtId="175" fontId="17" fillId="0" borderId="0" xfId="1" applyNumberFormat="1" applyFont="1" applyFill="1"/>
    <xf numFmtId="43" fontId="17" fillId="0" borderId="0" xfId="1" applyFont="1" applyFill="1"/>
    <xf numFmtId="10" fontId="17" fillId="0" borderId="0" xfId="2" applyNumberFormat="1" applyFont="1" applyFill="1" applyBorder="1" applyAlignment="1">
      <alignment vertical="center"/>
    </xf>
    <xf numFmtId="4" fontId="16" fillId="0" borderId="8" xfId="8" applyNumberFormat="1" applyFont="1" applyFill="1" applyBorder="1" applyAlignment="1">
      <alignment horizontal="center" vertical="center"/>
    </xf>
    <xf numFmtId="10" fontId="16" fillId="0" borderId="8" xfId="8" applyNumberFormat="1" applyFont="1" applyFill="1" applyBorder="1" applyAlignment="1">
      <alignment horizontal="center" vertical="center"/>
    </xf>
    <xf numFmtId="4" fontId="26" fillId="0" borderId="8" xfId="8" applyNumberFormat="1" applyFont="1" applyFill="1" applyBorder="1" applyAlignment="1">
      <alignment horizontal="center" vertical="center"/>
    </xf>
    <xf numFmtId="10" fontId="26" fillId="0" borderId="8" xfId="8" applyNumberFormat="1" applyFont="1" applyFill="1" applyBorder="1" applyAlignment="1">
      <alignment horizontal="center" vertical="center"/>
    </xf>
    <xf numFmtId="175" fontId="19" fillId="0" borderId="0" xfId="1" applyNumberFormat="1" applyFont="1" applyFill="1"/>
    <xf numFmtId="43" fontId="19" fillId="0" borderId="0" xfId="1" applyFont="1" applyFill="1"/>
    <xf numFmtId="43" fontId="26" fillId="0" borderId="17" xfId="8" applyFont="1" applyFill="1" applyBorder="1" applyAlignment="1">
      <alignment horizontal="right" vertical="center"/>
    </xf>
    <xf numFmtId="43" fontId="26" fillId="0" borderId="17" xfId="8" applyFont="1" applyFill="1" applyBorder="1" applyAlignment="1">
      <alignment horizontal="center" vertical="center"/>
    </xf>
    <xf numFmtId="37" fontId="26" fillId="0" borderId="19" xfId="13" applyNumberFormat="1" applyFont="1" applyFill="1" applyBorder="1" applyAlignment="1">
      <alignment horizontal="center"/>
    </xf>
    <xf numFmtId="39" fontId="26" fillId="0" borderId="19" xfId="13" applyNumberFormat="1" applyFont="1" applyFill="1" applyBorder="1" applyAlignment="1">
      <alignment horizontal="center"/>
    </xf>
    <xf numFmtId="173" fontId="26" fillId="0" borderId="0" xfId="13" applyFont="1" applyFill="1" applyBorder="1"/>
    <xf numFmtId="173" fontId="26" fillId="0" borderId="0" xfId="13" applyFont="1" applyFill="1" applyBorder="1" applyAlignment="1" applyProtection="1">
      <alignment horizontal="left"/>
      <protection locked="0"/>
    </xf>
    <xf numFmtId="175" fontId="26" fillId="0" borderId="19" xfId="13" applyNumberFormat="1" applyFont="1" applyFill="1" applyBorder="1" applyAlignment="1">
      <alignment horizontal="left" vertical="top"/>
    </xf>
    <xf numFmtId="173" fontId="26" fillId="0" borderId="19" xfId="13" applyFont="1" applyFill="1" applyBorder="1" applyAlignment="1">
      <alignment horizontal="center" vertical="top" wrapText="1"/>
    </xf>
    <xf numFmtId="178" fontId="26" fillId="0" borderId="0" xfId="13" applyNumberFormat="1" applyFont="1" applyFill="1" applyBorder="1" applyAlignment="1">
      <alignment horizontal="center" vertical="top" wrapText="1"/>
    </xf>
    <xf numFmtId="175" fontId="26" fillId="0" borderId="0" xfId="13" applyNumberFormat="1" applyFont="1" applyFill="1" applyBorder="1" applyAlignment="1">
      <alignment horizontal="right" vertical="top" wrapText="1"/>
    </xf>
    <xf numFmtId="4" fontId="26" fillId="0" borderId="0" xfId="13" applyNumberFormat="1" applyFont="1" applyFill="1" applyBorder="1"/>
    <xf numFmtId="173" fontId="26" fillId="0" borderId="19" xfId="13" applyFont="1" applyFill="1" applyBorder="1" applyAlignment="1">
      <alignment horizontal="left" vertical="top"/>
    </xf>
    <xf numFmtId="14" fontId="26" fillId="0" borderId="19" xfId="13" applyNumberFormat="1" applyFont="1" applyFill="1" applyBorder="1" applyAlignment="1">
      <alignment horizontal="center" vertical="top"/>
    </xf>
    <xf numFmtId="173" fontId="26" fillId="0" borderId="19" xfId="13" applyFont="1" applyFill="1" applyBorder="1" applyAlignment="1"/>
    <xf numFmtId="4" fontId="26" fillId="0" borderId="19" xfId="13" applyNumberFormat="1" applyFont="1" applyFill="1" applyBorder="1" applyAlignment="1">
      <alignment horizontal="center"/>
    </xf>
    <xf numFmtId="0" fontId="8" fillId="0" borderId="9" xfId="0" applyFont="1" applyBorder="1" applyAlignment="1">
      <alignment horizontal="center" vertical="center" wrapText="1" readingOrder="1"/>
    </xf>
    <xf numFmtId="0" fontId="8" fillId="0" borderId="7" xfId="0" applyFont="1" applyBorder="1" applyAlignment="1">
      <alignment horizontal="center" vertical="center" wrapText="1" readingOrder="1"/>
    </xf>
    <xf numFmtId="0" fontId="0" fillId="0" borderId="0" xfId="0" applyAlignment="1">
      <alignment horizontal="center" vertical="center" wrapText="1"/>
    </xf>
    <xf numFmtId="0" fontId="11" fillId="0" borderId="4" xfId="0" applyFont="1" applyBorder="1" applyAlignment="1">
      <alignment horizontal="right" vertical="top" wrapText="1" readingOrder="1"/>
    </xf>
    <xf numFmtId="0" fontId="12" fillId="0" borderId="4" xfId="0" applyFont="1" applyBorder="1" applyAlignment="1">
      <alignment horizontal="left" vertical="center" wrapText="1" readingOrder="1"/>
    </xf>
    <xf numFmtId="166" fontId="11" fillId="0" borderId="8" xfId="0" applyNumberFormat="1" applyFont="1" applyBorder="1" applyAlignment="1">
      <alignment horizontal="right" vertical="center" wrapText="1" readingOrder="1"/>
    </xf>
    <xf numFmtId="164"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5" fontId="3" fillId="0" borderId="4" xfId="0" applyNumberFormat="1"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7" fontId="3" fillId="0" borderId="4" xfId="0" applyNumberFormat="1" applyFont="1" applyBorder="1" applyAlignment="1">
      <alignment horizontal="right" vertical="center" wrapText="1" readingOrder="1"/>
    </xf>
    <xf numFmtId="167" fontId="11" fillId="0" borderId="4" xfId="0" applyNumberFormat="1" applyFont="1" applyBorder="1" applyAlignment="1">
      <alignment horizontal="right" vertical="center" wrapText="1" readingOrder="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166" fontId="4"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0" fontId="4" fillId="0" borderId="4" xfId="0" applyFont="1" applyBorder="1" applyAlignment="1">
      <alignment horizontal="right" vertical="center" wrapText="1" readingOrder="1"/>
    </xf>
    <xf numFmtId="0" fontId="3" fillId="0" borderId="4" xfId="0" applyFont="1" applyBorder="1" applyAlignment="1">
      <alignment horizontal="right" vertical="center" wrapText="1" readingOrder="1"/>
    </xf>
    <xf numFmtId="171" fontId="3" fillId="0" borderId="4" xfId="0" applyNumberFormat="1" applyFont="1" applyBorder="1" applyAlignment="1">
      <alignment horizontal="right" vertical="center" wrapText="1" readingOrder="1"/>
    </xf>
    <xf numFmtId="0" fontId="11" fillId="0" borderId="4" xfId="0" applyFont="1" applyBorder="1" applyAlignment="1">
      <alignment horizontal="left" vertical="center" wrapText="1" readingOrder="1"/>
    </xf>
    <xf numFmtId="168" fontId="4"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13" fillId="0" borderId="0" xfId="0" applyFont="1" applyAlignment="1">
      <alignment horizontal="left" vertical="center" wrapText="1" readingOrder="1"/>
    </xf>
    <xf numFmtId="0" fontId="11" fillId="0" borderId="0" xfId="0" applyFont="1" applyAlignment="1">
      <alignment horizontal="left" vertical="center" wrapText="1" readingOrder="1"/>
    </xf>
    <xf numFmtId="0" fontId="14" fillId="0" borderId="0" xfId="0" applyFont="1" applyAlignment="1">
      <alignment horizontal="center" vertical="center" wrapText="1"/>
    </xf>
    <xf numFmtId="0" fontId="13" fillId="0" borderId="0" xfId="4" applyFont="1" applyAlignment="1">
      <alignment horizontal="left" vertical="center" wrapText="1" readingOrder="1"/>
    </xf>
    <xf numFmtId="0" fontId="2" fillId="0" borderId="0" xfId="4" applyAlignment="1">
      <alignment wrapText="1"/>
    </xf>
    <xf numFmtId="0" fontId="13" fillId="0" borderId="0" xfId="0" applyFont="1" applyAlignment="1">
      <alignment horizontal="right" vertical="center" wrapText="1" readingOrder="1"/>
    </xf>
    <xf numFmtId="0" fontId="13" fillId="0" borderId="6" xfId="0" applyFont="1" applyBorder="1" applyAlignment="1">
      <alignment horizontal="right" vertical="center" wrapText="1" readingOrder="1"/>
    </xf>
    <xf numFmtId="0" fontId="13" fillId="0" borderId="4" xfId="0" applyFont="1" applyBorder="1" applyAlignment="1">
      <alignment horizontal="right" vertical="center" wrapText="1" readingOrder="1"/>
    </xf>
    <xf numFmtId="0" fontId="11" fillId="0" borderId="0" xfId="0" applyFont="1" applyAlignment="1">
      <alignment horizontal="right" vertical="top" wrapText="1" readingOrder="1"/>
    </xf>
    <xf numFmtId="0" fontId="12" fillId="0" borderId="4" xfId="0" applyFont="1" applyBorder="1" applyAlignment="1">
      <alignment horizontal="right" vertical="top" wrapText="1" readingOrder="1"/>
    </xf>
    <xf numFmtId="0" fontId="12" fillId="0" borderId="4" xfId="0" applyFont="1" applyBorder="1" applyAlignment="1">
      <alignment horizontal="center" vertical="top" wrapText="1" readingOrder="1"/>
    </xf>
    <xf numFmtId="15" fontId="12" fillId="0" borderId="4" xfId="0" applyNumberFormat="1" applyFont="1" applyBorder="1" applyAlignment="1">
      <alignment horizontal="right" vertical="top" wrapText="1" readingOrder="1"/>
    </xf>
    <xf numFmtId="0" fontId="3" fillId="0" borderId="0" xfId="0" applyFont="1" applyAlignment="1">
      <alignment horizontal="right" vertical="top" wrapText="1" readingOrder="1"/>
    </xf>
    <xf numFmtId="169"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0" fillId="0" borderId="0" xfId="0" applyAlignment="1">
      <alignment horizontal="center" vertical="top" readingOrder="1"/>
    </xf>
    <xf numFmtId="0" fontId="11" fillId="0" borderId="6" xfId="0" applyFont="1" applyBorder="1" applyAlignment="1">
      <alignment horizontal="right" vertical="top" wrapText="1" readingOrder="1"/>
    </xf>
    <xf numFmtId="170" fontId="12" fillId="0" borderId="4" xfId="0" applyNumberFormat="1" applyFont="1" applyBorder="1" applyAlignment="1">
      <alignment horizontal="left" vertical="center" wrapText="1" readingOrder="1"/>
    </xf>
    <xf numFmtId="0" fontId="11" fillId="0" borderId="0" xfId="0" applyFont="1" applyAlignment="1">
      <alignment horizontal="right" vertical="center" wrapText="1" readingOrder="1"/>
    </xf>
    <xf numFmtId="0" fontId="16" fillId="0" borderId="8" xfId="0" applyFont="1" applyBorder="1" applyAlignment="1">
      <alignment horizontal="center" vertical="center" wrapText="1"/>
    </xf>
    <xf numFmtId="0" fontId="16" fillId="0" borderId="8" xfId="0" applyFont="1" applyBorder="1">
      <alignment wrapText="1"/>
    </xf>
    <xf numFmtId="0" fontId="16" fillId="0" borderId="8" xfId="0" applyFont="1" applyBorder="1" applyAlignment="1">
      <alignment horizontal="justify" vertical="center" wrapText="1"/>
    </xf>
    <xf numFmtId="174" fontId="12" fillId="0" borderId="4" xfId="0" applyNumberFormat="1" applyFont="1" applyBorder="1" applyAlignment="1">
      <alignment horizontal="left" vertical="center" wrapText="1" readingOrder="1"/>
    </xf>
    <xf numFmtId="14" fontId="16" fillId="0" borderId="8" xfId="0" quotePrefix="1" applyNumberFormat="1" applyFont="1" applyBorder="1" applyAlignment="1">
      <alignment horizontal="justify" vertical="center" wrapText="1"/>
    </xf>
    <xf numFmtId="0" fontId="14" fillId="0" borderId="0" xfId="0" applyFont="1" applyAlignment="1"/>
    <xf numFmtId="0" fontId="0" fillId="0" borderId="0" xfId="0" applyAlignment="1"/>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72" fontId="3" fillId="0" borderId="4" xfId="0" applyNumberFormat="1" applyFont="1" applyBorder="1" applyAlignment="1">
      <alignment horizontal="right" vertical="center" wrapText="1" readingOrder="1"/>
    </xf>
    <xf numFmtId="166" fontId="12" fillId="0" borderId="4" xfId="0" applyNumberFormat="1" applyFont="1" applyBorder="1" applyAlignment="1">
      <alignment horizontal="left" vertical="center" wrapText="1" readingOrder="1"/>
    </xf>
    <xf numFmtId="0" fontId="15" fillId="0" borderId="0" xfId="0" applyFont="1" applyAlignment="1"/>
    <xf numFmtId="174" fontId="11" fillId="0" borderId="18" xfId="12" applyNumberFormat="1" applyFont="1" applyBorder="1" applyAlignment="1">
      <alignment horizontal="center" vertical="center" wrapText="1" readingOrder="1"/>
    </xf>
    <xf numFmtId="2" fontId="11" fillId="0" borderId="18" xfId="12" applyNumberFormat="1" applyFont="1" applyBorder="1" applyAlignment="1">
      <alignment horizontal="center" vertical="center" wrapText="1" readingOrder="1"/>
    </xf>
    <xf numFmtId="0" fontId="12" fillId="0" borderId="4" xfId="0" applyFont="1" applyBorder="1" applyAlignment="1">
      <alignment horizontal="left" vertical="center" readingOrder="1"/>
    </xf>
    <xf numFmtId="0" fontId="16" fillId="0" borderId="0" xfId="0" applyFont="1" applyAlignment="1"/>
    <xf numFmtId="0" fontId="19" fillId="0" borderId="0" xfId="0" applyFont="1" applyAlignment="1"/>
    <xf numFmtId="0" fontId="18" fillId="0" borderId="17" xfId="0" applyFont="1" applyBorder="1" applyAlignment="1">
      <alignment horizontal="center" wrapText="1"/>
    </xf>
    <xf numFmtId="0" fontId="26" fillId="0" borderId="17" xfId="0" applyFont="1" applyBorder="1" applyAlignment="1">
      <alignment horizontal="left" vertical="center"/>
    </xf>
    <xf numFmtId="0" fontId="26" fillId="0" borderId="17" xfId="0" applyFont="1" applyBorder="1" applyAlignment="1">
      <alignment horizontal="center" vertical="center"/>
    </xf>
    <xf numFmtId="4" fontId="26" fillId="0" borderId="17" xfId="0" applyNumberFormat="1" applyFont="1" applyBorder="1" applyAlignment="1">
      <alignment horizontal="right" vertical="center"/>
    </xf>
    <xf numFmtId="0" fontId="18" fillId="0" borderId="8" xfId="0" applyFont="1" applyBorder="1" applyAlignment="1">
      <alignment horizontal="center" vertical="center" wrapText="1"/>
    </xf>
    <xf numFmtId="0" fontId="26" fillId="0" borderId="8" xfId="0" applyFont="1" applyBorder="1" applyAlignment="1">
      <alignment horizontal="left" vertical="center"/>
    </xf>
    <xf numFmtId="0" fontId="26" fillId="0" borderId="8" xfId="0" applyFont="1" applyBorder="1" applyAlignment="1">
      <alignment horizontal="center" vertical="center"/>
    </xf>
    <xf numFmtId="4" fontId="26" fillId="0" borderId="8" xfId="0" applyNumberFormat="1" applyFont="1" applyBorder="1" applyAlignment="1">
      <alignment horizontal="center" vertical="center"/>
    </xf>
    <xf numFmtId="0" fontId="3" fillId="0" borderId="5" xfId="0" applyFont="1" applyBorder="1" applyAlignment="1">
      <alignment horizontal="left" vertical="center" wrapText="1" readingOrder="1"/>
    </xf>
    <xf numFmtId="0" fontId="4" fillId="0" borderId="5" xfId="0" applyFont="1" applyBorder="1" applyAlignment="1">
      <alignment horizontal="left" vertical="center" wrapText="1" readingOrder="1"/>
    </xf>
    <xf numFmtId="0" fontId="16" fillId="0" borderId="8" xfId="0" applyFont="1" applyBorder="1" applyAlignment="1">
      <alignment horizontal="justify" vertical="center"/>
    </xf>
    <xf numFmtId="164" fontId="11" fillId="0" borderId="4" xfId="0" applyNumberFormat="1" applyFont="1" applyBorder="1" applyAlignment="1">
      <alignment horizontal="right" vertical="center" wrapText="1" readingOrder="1"/>
    </xf>
    <xf numFmtId="165" fontId="11" fillId="0" borderId="4" xfId="0" applyNumberFormat="1" applyFont="1" applyBorder="1" applyAlignment="1">
      <alignment horizontal="right" vertical="center" wrapText="1" readingOrder="1"/>
    </xf>
    <xf numFmtId="166" fontId="11" fillId="0" borderId="4" xfId="0" applyNumberFormat="1" applyFont="1" applyBorder="1" applyAlignment="1">
      <alignment horizontal="right" vertical="center" wrapText="1" readingOrder="1"/>
    </xf>
    <xf numFmtId="167" fontId="16" fillId="0" borderId="4" xfId="0" applyNumberFormat="1" applyFont="1" applyBorder="1" applyAlignment="1">
      <alignment horizontal="right" vertical="center" wrapText="1" readingOrder="1"/>
    </xf>
    <xf numFmtId="0" fontId="16" fillId="0" borderId="0" xfId="0" applyFont="1">
      <alignment wrapText="1"/>
    </xf>
    <xf numFmtId="0" fontId="17" fillId="0" borderId="0" xfId="0" applyFont="1" applyAlignment="1"/>
    <xf numFmtId="0" fontId="22" fillId="0" borderId="8" xfId="0" applyFont="1" applyBorder="1" applyAlignment="1">
      <alignment horizontal="left" wrapText="1"/>
    </xf>
    <xf numFmtId="0" fontId="22" fillId="0" borderId="8" xfId="0" applyFont="1" applyBorder="1" applyAlignment="1">
      <alignment horizontal="center" wrapText="1"/>
    </xf>
    <xf numFmtId="0" fontId="16" fillId="0" borderId="8" xfId="0" applyFont="1" applyBorder="1" applyAlignment="1">
      <alignment horizontal="left" vertical="center" wrapText="1"/>
    </xf>
    <xf numFmtId="0" fontId="16" fillId="0" borderId="8" xfId="0" applyFont="1" applyBorder="1" applyAlignment="1">
      <alignment horizontal="center" vertical="center"/>
    </xf>
    <xf numFmtId="4" fontId="16" fillId="0" borderId="8" xfId="0" applyNumberFormat="1" applyFont="1" applyBorder="1" applyAlignment="1">
      <alignment horizontal="center" vertical="center"/>
    </xf>
    <xf numFmtId="0" fontId="13" fillId="0" borderId="4" xfId="0" applyFont="1" applyBorder="1" applyAlignment="1">
      <alignment horizontal="left" vertical="center" wrapText="1" readingOrder="1"/>
    </xf>
    <xf numFmtId="166" fontId="12" fillId="0" borderId="4" xfId="0" applyNumberFormat="1" applyFont="1" applyBorder="1" applyAlignment="1">
      <alignment horizontal="right" vertical="center" wrapText="1" readingOrder="1"/>
    </xf>
    <xf numFmtId="167" fontId="12" fillId="0" borderId="4" xfId="0" applyNumberFormat="1" applyFont="1" applyBorder="1" applyAlignment="1">
      <alignment horizontal="right" vertical="center" wrapText="1" readingOrder="1"/>
    </xf>
    <xf numFmtId="10" fontId="0" fillId="0" borderId="0" xfId="2" applyNumberFormat="1" applyFont="1" applyFill="1" applyAlignment="1">
      <alignment wrapText="1"/>
    </xf>
    <xf numFmtId="0" fontId="12" fillId="0" borderId="4" xfId="10" applyFont="1" applyBorder="1" applyAlignment="1">
      <alignment horizontal="left" vertical="center" wrapText="1" readingOrder="1"/>
    </xf>
    <xf numFmtId="0" fontId="0" fillId="0" borderId="0" xfId="0" applyAlignment="1">
      <alignment vertical="center" wrapText="1"/>
    </xf>
    <xf numFmtId="0" fontId="15" fillId="0" borderId="0" xfId="7">
      <alignment wrapText="1"/>
    </xf>
    <xf numFmtId="0" fontId="18" fillId="0" borderId="8" xfId="6" applyFont="1" applyBorder="1" applyAlignment="1">
      <alignment horizontal="center" vertical="center" wrapText="1"/>
    </xf>
    <xf numFmtId="0" fontId="19" fillId="0" borderId="8" xfId="6" applyFont="1" applyBorder="1"/>
    <xf numFmtId="0" fontId="19" fillId="0" borderId="8" xfId="6" applyFont="1" applyBorder="1" applyAlignment="1">
      <alignment wrapText="1"/>
    </xf>
    <xf numFmtId="4" fontId="16" fillId="0" borderId="8" xfId="0" applyNumberFormat="1" applyFont="1" applyBorder="1" applyAlignment="1">
      <alignment vertical="center"/>
    </xf>
    <xf numFmtId="173" fontId="19" fillId="0" borderId="8" xfId="6" applyNumberFormat="1" applyFont="1" applyBorder="1"/>
    <xf numFmtId="0" fontId="16" fillId="0" borderId="0" xfId="0" applyFont="1" applyAlignment="1">
      <alignment vertical="center" wrapText="1"/>
    </xf>
    <xf numFmtId="0" fontId="16" fillId="0" borderId="0" xfId="0" applyFont="1" applyAlignment="1">
      <alignment vertical="center"/>
    </xf>
    <xf numFmtId="2" fontId="16" fillId="0" borderId="0" xfId="0" applyNumberFormat="1" applyFont="1" applyAlignment="1">
      <alignment vertical="center"/>
    </xf>
    <xf numFmtId="4" fontId="16" fillId="0" borderId="0" xfId="0" applyNumberFormat="1" applyFont="1" applyAlignment="1">
      <alignment vertical="center"/>
    </xf>
    <xf numFmtId="0" fontId="19" fillId="0" borderId="0" xfId="6" applyFont="1" applyAlignment="1">
      <alignment vertical="center" wrapText="1"/>
    </xf>
    <xf numFmtId="0" fontId="21" fillId="0" borderId="0" xfId="0" applyFont="1" applyAlignment="1"/>
    <xf numFmtId="0" fontId="12" fillId="0" borderId="4" xfId="0" applyFont="1" applyBorder="1" applyAlignment="1">
      <alignment horizontal="right" vertical="center" wrapText="1" readingOrder="1"/>
    </xf>
    <xf numFmtId="0" fontId="17" fillId="0" borderId="0" xfId="0" applyFont="1" applyAlignment="1">
      <alignment vertical="center"/>
    </xf>
    <xf numFmtId="0" fontId="22" fillId="0" borderId="8" xfId="4" applyFont="1" applyBorder="1" applyAlignment="1">
      <alignment horizontal="center" vertical="center"/>
    </xf>
    <xf numFmtId="0" fontId="17" fillId="0" borderId="8" xfId="4" applyFont="1" applyBorder="1" applyAlignment="1">
      <alignment vertical="center"/>
    </xf>
    <xf numFmtId="0" fontId="17" fillId="0" borderId="8" xfId="4" applyFont="1" applyBorder="1" applyAlignment="1">
      <alignment vertical="center" wrapText="1"/>
    </xf>
    <xf numFmtId="0" fontId="22" fillId="0" borderId="8" xfId="4" applyFont="1" applyBorder="1" applyAlignment="1">
      <alignment horizontal="center" vertical="center" wrapText="1"/>
    </xf>
    <xf numFmtId="0" fontId="23" fillId="0" borderId="0" xfId="5" applyFont="1" applyAlignment="1">
      <alignment horizontal="center" vertical="center"/>
    </xf>
    <xf numFmtId="0" fontId="17" fillId="0" borderId="8" xfId="4" applyFont="1" applyBorder="1" applyAlignment="1">
      <alignment horizontal="left" vertical="center"/>
    </xf>
    <xf numFmtId="2" fontId="17" fillId="0" borderId="8" xfId="4" applyNumberFormat="1" applyFont="1" applyBorder="1" applyAlignment="1">
      <alignment horizontal="right" vertical="center" wrapText="1"/>
    </xf>
    <xf numFmtId="4" fontId="17" fillId="0" borderId="8" xfId="4" applyNumberFormat="1" applyFont="1" applyBorder="1" applyAlignment="1">
      <alignment horizontal="right" vertical="center"/>
    </xf>
    <xf numFmtId="10" fontId="17" fillId="0" borderId="8" xfId="2" applyNumberFormat="1" applyFont="1" applyFill="1" applyBorder="1" applyAlignment="1">
      <alignment vertical="center" wrapText="1"/>
    </xf>
    <xf numFmtId="4" fontId="24" fillId="0" borderId="0" xfId="4" applyNumberFormat="1" applyFont="1" applyAlignment="1">
      <alignment vertical="center"/>
    </xf>
    <xf numFmtId="0" fontId="25" fillId="0" borderId="8" xfId="0" applyFont="1" applyBorder="1" applyAlignment="1">
      <alignment horizontal="justify" vertical="center" wrapText="1"/>
    </xf>
    <xf numFmtId="171" fontId="11" fillId="0" borderId="4" xfId="0" applyNumberFormat="1" applyFont="1" applyBorder="1" applyAlignment="1">
      <alignment horizontal="right" vertical="center" wrapText="1" readingOrder="1"/>
    </xf>
    <xf numFmtId="0" fontId="15" fillId="0" borderId="0" xfId="5">
      <alignment wrapText="1"/>
    </xf>
    <xf numFmtId="0" fontId="11" fillId="0" borderId="5" xfId="0" applyFont="1" applyBorder="1" applyAlignment="1">
      <alignment horizontal="left" vertical="center" wrapText="1" readingOrder="1"/>
    </xf>
    <xf numFmtId="0" fontId="12" fillId="0" borderId="5" xfId="0" applyFont="1" applyBorder="1" applyAlignment="1">
      <alignment horizontal="left" vertical="center" wrapText="1" readingOrder="1"/>
    </xf>
    <xf numFmtId="0" fontId="23" fillId="0" borderId="8" xfId="4" applyFont="1" applyBorder="1" applyAlignment="1">
      <alignment horizontal="center" vertical="center"/>
    </xf>
    <xf numFmtId="0" fontId="24" fillId="0" borderId="0" xfId="5" applyFont="1">
      <alignment wrapText="1"/>
    </xf>
    <xf numFmtId="0" fontId="24" fillId="0" borderId="8" xfId="5" applyFont="1" applyBorder="1" applyAlignment="1">
      <alignment horizontal="center" wrapText="1"/>
    </xf>
    <xf numFmtId="0" fontId="27" fillId="0" borderId="8" xfId="3" applyFont="1" applyFill="1" applyBorder="1" applyAlignment="1"/>
    <xf numFmtId="0" fontId="24" fillId="0" borderId="8" xfId="5" applyFont="1" applyBorder="1" applyAlignment="1"/>
    <xf numFmtId="0" fontId="9" fillId="0" borderId="8" xfId="3" applyFill="1" applyBorder="1" applyAlignment="1"/>
    <xf numFmtId="0" fontId="11" fillId="0" borderId="1"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14" fillId="0" borderId="0" xfId="0" applyFont="1" applyAlignment="1">
      <alignment horizontal="left" vertical="top" wrapText="1"/>
    </xf>
    <xf numFmtId="0" fontId="8" fillId="0" borderId="8" xfId="0" applyFont="1" applyBorder="1" applyAlignment="1">
      <alignment horizontal="center" vertical="center" wrapText="1" readingOrder="1"/>
    </xf>
    <xf numFmtId="0" fontId="11" fillId="0" borderId="0" xfId="0" applyFont="1" applyAlignment="1">
      <alignment horizontal="left" vertical="center" wrapText="1" readingOrder="1"/>
    </xf>
    <xf numFmtId="0" fontId="11" fillId="0" borderId="0" xfId="0" applyFont="1" applyAlignment="1">
      <alignment horizontal="justify" vertical="top" wrapText="1" readingOrder="1"/>
    </xf>
    <xf numFmtId="0" fontId="12" fillId="0" borderId="1" xfId="0" applyFont="1" applyBorder="1" applyAlignment="1">
      <alignment horizontal="left" vertical="center" wrapText="1" readingOrder="1"/>
    </xf>
    <xf numFmtId="0" fontId="12" fillId="0" borderId="2" xfId="0" applyFont="1" applyBorder="1" applyAlignment="1">
      <alignment horizontal="left" vertical="center" wrapText="1" readingOrder="1"/>
    </xf>
    <xf numFmtId="0" fontId="12" fillId="0" borderId="3" xfId="0" applyFont="1" applyBorder="1" applyAlignment="1">
      <alignment horizontal="left" vertical="center" wrapText="1" readingOrder="1"/>
    </xf>
    <xf numFmtId="0" fontId="3" fillId="0" borderId="1"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18" fillId="0" borderId="10" xfId="6" applyFont="1" applyBorder="1" applyAlignment="1">
      <alignment horizontal="center" vertical="center"/>
    </xf>
    <xf numFmtId="0" fontId="18" fillId="0" borderId="14" xfId="6" applyFont="1" applyBorder="1" applyAlignment="1">
      <alignment horizontal="center" vertical="center"/>
    </xf>
    <xf numFmtId="0" fontId="18" fillId="0" borderId="7" xfId="6" applyFont="1" applyBorder="1" applyAlignment="1">
      <alignment horizontal="center" vertical="center"/>
    </xf>
    <xf numFmtId="0" fontId="18" fillId="0" borderId="11" xfId="6" applyFont="1" applyBorder="1" applyAlignment="1">
      <alignment horizontal="center" vertical="center"/>
    </xf>
    <xf numFmtId="0" fontId="18" fillId="0" borderId="12" xfId="6" applyFont="1" applyBorder="1" applyAlignment="1">
      <alignment horizontal="center" vertical="center"/>
    </xf>
    <xf numFmtId="0" fontId="18" fillId="0" borderId="13" xfId="6" applyFont="1" applyBorder="1" applyAlignment="1">
      <alignment horizontal="center" vertical="center"/>
    </xf>
    <xf numFmtId="0" fontId="18" fillId="0" borderId="11" xfId="6" applyFont="1" applyBorder="1" applyAlignment="1">
      <alignment horizontal="center" vertical="center" wrapText="1"/>
    </xf>
    <xf numFmtId="0" fontId="18" fillId="0" borderId="12" xfId="6" applyFont="1" applyBorder="1" applyAlignment="1">
      <alignment horizontal="center" vertical="center" wrapText="1"/>
    </xf>
    <xf numFmtId="0" fontId="18" fillId="0" borderId="13" xfId="6" applyFont="1" applyBorder="1" applyAlignment="1">
      <alignment horizontal="center" vertical="center" wrapText="1"/>
    </xf>
    <xf numFmtId="0" fontId="18" fillId="0" borderId="10" xfId="6" applyFont="1" applyBorder="1" applyAlignment="1">
      <alignment horizontal="center" vertical="center" wrapText="1"/>
    </xf>
    <xf numFmtId="0" fontId="18" fillId="0" borderId="7" xfId="6" applyFont="1" applyBorder="1" applyAlignment="1">
      <alignment horizontal="center" vertical="center" wrapText="1"/>
    </xf>
    <xf numFmtId="0" fontId="18" fillId="0" borderId="15" xfId="6" applyFont="1" applyBorder="1" applyAlignment="1">
      <alignment horizontal="center" vertical="center" wrapText="1"/>
    </xf>
    <xf numFmtId="0" fontId="18" fillId="0" borderId="16" xfId="6" applyFont="1" applyBorder="1" applyAlignment="1">
      <alignment horizontal="center" vertical="center" wrapText="1"/>
    </xf>
    <xf numFmtId="0" fontId="19" fillId="0" borderId="0" xfId="6" applyFont="1" applyAlignment="1">
      <alignment horizontal="justify" vertical="center" wrapText="1"/>
    </xf>
    <xf numFmtId="0" fontId="22" fillId="0" borderId="11" xfId="4" applyFont="1" applyBorder="1" applyAlignment="1">
      <alignment horizontal="center" vertical="center" wrapText="1"/>
    </xf>
    <xf numFmtId="0" fontId="22" fillId="0" borderId="13" xfId="4" applyFont="1" applyBorder="1" applyAlignment="1">
      <alignment horizontal="center" vertical="center" wrapText="1"/>
    </xf>
    <xf numFmtId="0" fontId="22" fillId="0" borderId="8" xfId="4" applyFont="1" applyBorder="1" applyAlignment="1">
      <alignment horizontal="center" vertical="center"/>
    </xf>
    <xf numFmtId="0" fontId="17" fillId="0" borderId="11" xfId="1" applyNumberFormat="1" applyFont="1" applyFill="1" applyBorder="1" applyAlignment="1">
      <alignment horizontal="center" vertical="center"/>
    </xf>
    <xf numFmtId="0" fontId="17" fillId="0" borderId="13" xfId="1" applyNumberFormat="1" applyFont="1" applyFill="1" applyBorder="1" applyAlignment="1">
      <alignment horizontal="center" vertical="center"/>
    </xf>
    <xf numFmtId="0" fontId="22" fillId="0" borderId="11" xfId="4" applyFont="1" applyBorder="1" applyAlignment="1">
      <alignment horizontal="center" vertical="center"/>
    </xf>
    <xf numFmtId="0" fontId="22" fillId="0" borderId="12" xfId="4" applyFont="1" applyBorder="1" applyAlignment="1">
      <alignment horizontal="center" vertical="center"/>
    </xf>
    <xf numFmtId="0" fontId="22" fillId="0" borderId="13" xfId="4" applyFont="1" applyBorder="1" applyAlignment="1">
      <alignment horizontal="center" vertical="center"/>
    </xf>
    <xf numFmtId="0" fontId="17" fillId="0" borderId="11" xfId="4" applyFont="1" applyBorder="1" applyAlignment="1">
      <alignment horizontal="left" vertical="center" wrapText="1"/>
    </xf>
    <xf numFmtId="0" fontId="17" fillId="0" borderId="12" xfId="4" applyFont="1" applyBorder="1" applyAlignment="1">
      <alignment horizontal="left" vertical="center" wrapText="1"/>
    </xf>
    <xf numFmtId="0" fontId="17" fillId="0" borderId="13" xfId="4" applyFont="1" applyBorder="1" applyAlignment="1">
      <alignment horizontal="left" vertical="center" wrapText="1"/>
    </xf>
    <xf numFmtId="0" fontId="25" fillId="0" borderId="11" xfId="0" applyFont="1" applyBorder="1" applyAlignment="1">
      <alignment horizontal="center" vertical="center"/>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11" fillId="0" borderId="8" xfId="0" applyFont="1" applyBorder="1" applyAlignment="1">
      <alignment horizontal="left" vertical="center" wrapText="1" readingOrder="1"/>
    </xf>
    <xf numFmtId="0" fontId="11" fillId="0" borderId="11" xfId="0" applyFont="1" applyBorder="1" applyAlignment="1">
      <alignment horizontal="left" vertical="center" wrapText="1" readingOrder="1"/>
    </xf>
    <xf numFmtId="0" fontId="11" fillId="0" borderId="13" xfId="0" applyFont="1" applyBorder="1" applyAlignment="1">
      <alignment horizontal="left" vertical="center" wrapText="1" readingOrder="1"/>
    </xf>
    <xf numFmtId="0" fontId="11" fillId="0" borderId="12" xfId="0" applyFont="1" applyBorder="1" applyAlignment="1">
      <alignment horizontal="left" vertical="center" wrapText="1" readingOrder="1"/>
    </xf>
    <xf numFmtId="0" fontId="26" fillId="0" borderId="0" xfId="0" applyFont="1" applyAlignment="1"/>
    <xf numFmtId="0" fontId="21" fillId="0" borderId="0" xfId="0" applyFont="1" applyAlignment="1">
      <alignment horizontal="center"/>
    </xf>
    <xf numFmtId="0" fontId="21" fillId="0" borderId="19" xfId="0" applyFont="1" applyBorder="1" applyAlignment="1">
      <alignment horizontal="center" vertical="top"/>
    </xf>
    <xf numFmtId="0" fontId="21" fillId="0" borderId="19" xfId="0" applyFont="1" applyBorder="1" applyAlignment="1">
      <alignment horizontal="center" vertical="top" wrapText="1"/>
    </xf>
    <xf numFmtId="0" fontId="26" fillId="0" borderId="19" xfId="0" applyFont="1" applyBorder="1" applyAlignment="1">
      <alignment horizontal="left" vertical="top"/>
    </xf>
    <xf numFmtId="0" fontId="26" fillId="0" borderId="19" xfId="0" applyFont="1" applyBorder="1" applyAlignment="1">
      <alignment horizontal="center" vertical="top"/>
    </xf>
    <xf numFmtId="2" fontId="26" fillId="0" borderId="19" xfId="0" applyNumberFormat="1" applyFont="1" applyBorder="1" applyAlignment="1">
      <alignment horizontal="center" vertical="top" wrapText="1"/>
    </xf>
    <xf numFmtId="2" fontId="26" fillId="0" borderId="0" xfId="0" applyNumberFormat="1" applyFont="1" applyAlignment="1"/>
    <xf numFmtId="174" fontId="26" fillId="0" borderId="0" xfId="0" applyNumberFormat="1" applyFont="1" applyAlignment="1"/>
    <xf numFmtId="0" fontId="21" fillId="0" borderId="19" xfId="0" applyFont="1" applyBorder="1" applyAlignment="1">
      <alignment horizontal="center"/>
    </xf>
    <xf numFmtId="2" fontId="26" fillId="0" borderId="19" xfId="0" applyNumberFormat="1" applyFont="1" applyBorder="1" applyAlignment="1">
      <alignment horizontal="center"/>
    </xf>
    <xf numFmtId="0" fontId="26" fillId="0" borderId="19" xfId="0" applyFont="1" applyBorder="1" applyAlignment="1"/>
    <xf numFmtId="173" fontId="26" fillId="0" borderId="0" xfId="0" applyNumberFormat="1" applyFont="1" applyAlignment="1"/>
    <xf numFmtId="4" fontId="26" fillId="0" borderId="0" xfId="0" applyNumberFormat="1" applyFont="1" applyAlignment="1"/>
    <xf numFmtId="176" fontId="26" fillId="0" borderId="0" xfId="0" applyNumberFormat="1" applyFont="1" applyAlignment="1"/>
    <xf numFmtId="0" fontId="11" fillId="0" borderId="18" xfId="0" applyFont="1" applyBorder="1" applyAlignment="1">
      <alignment horizontal="left" vertical="center" wrapText="1" readingOrder="1"/>
    </xf>
    <xf numFmtId="174" fontId="11" fillId="0" borderId="18" xfId="0" applyNumberFormat="1" applyFont="1" applyBorder="1" applyAlignment="1">
      <alignment horizontal="right" vertical="center" wrapText="1" readingOrder="1"/>
    </xf>
    <xf numFmtId="4" fontId="11" fillId="0" borderId="18" xfId="0" applyNumberFormat="1" applyFont="1" applyBorder="1" applyAlignment="1">
      <alignment horizontal="right" vertical="center" wrapText="1" readingOrder="1"/>
    </xf>
    <xf numFmtId="2" fontId="26" fillId="0" borderId="19" xfId="0" applyNumberFormat="1" applyFont="1" applyBorder="1" applyAlignment="1">
      <alignment horizontal="right" vertical="top" wrapText="1"/>
    </xf>
    <xf numFmtId="0" fontId="26" fillId="0" borderId="0" xfId="0" applyFont="1" applyAlignment="1" applyProtection="1">
      <alignment horizontal="left"/>
      <protection locked="0"/>
    </xf>
    <xf numFmtId="0" fontId="26" fillId="0" borderId="0" xfId="0" applyFont="1" applyAlignment="1">
      <alignment horizontal="center" vertical="top"/>
    </xf>
    <xf numFmtId="4" fontId="26" fillId="0" borderId="0" xfId="0" applyNumberFormat="1" applyFont="1" applyAlignment="1">
      <alignment horizontal="right" vertical="center"/>
    </xf>
    <xf numFmtId="2" fontId="26" fillId="0" borderId="19" xfId="0" applyNumberFormat="1" applyFont="1" applyBorder="1" applyAlignment="1">
      <alignment horizontal="center" vertical="top"/>
    </xf>
    <xf numFmtId="0" fontId="26" fillId="0" borderId="0" xfId="0" applyFont="1" applyAlignment="1">
      <alignment horizontal="left" vertical="top"/>
    </xf>
    <xf numFmtId="174" fontId="11" fillId="0" borderId="0" xfId="0" applyNumberFormat="1" applyFont="1" applyAlignment="1">
      <alignment horizontal="center" vertical="center" wrapText="1" readingOrder="1"/>
    </xf>
    <xf numFmtId="37" fontId="26" fillId="0" borderId="0" xfId="0" applyNumberFormat="1" applyFont="1" applyAlignment="1"/>
    <xf numFmtId="39" fontId="26" fillId="0" borderId="0" xfId="0" applyNumberFormat="1" applyFont="1" applyAlignment="1"/>
    <xf numFmtId="0" fontId="21" fillId="0" borderId="0" xfId="0" applyFont="1" applyAlignment="1">
      <alignment vertical="top" wrapText="1"/>
    </xf>
    <xf numFmtId="0" fontId="26" fillId="0" borderId="0" xfId="0" applyFont="1" applyAlignment="1">
      <alignment horizontal="center"/>
    </xf>
    <xf numFmtId="2" fontId="26" fillId="0" borderId="0" xfId="0" applyNumberFormat="1" applyFont="1" applyAlignment="1">
      <alignment horizontal="right"/>
    </xf>
    <xf numFmtId="0" fontId="26" fillId="0" borderId="0" xfId="0" applyFont="1" applyAlignment="1">
      <alignment horizontal="right" vertical="top" wrapText="1"/>
    </xf>
    <xf numFmtId="0" fontId="26" fillId="0" borderId="19" xfId="0" applyFont="1" applyBorder="1" applyAlignment="1">
      <alignment horizontal="center" vertical="top" wrapText="1"/>
    </xf>
    <xf numFmtId="177" fontId="26" fillId="0" borderId="0" xfId="0" applyNumberFormat="1" applyFont="1" applyAlignment="1">
      <alignment horizontal="right" vertical="top" wrapText="1"/>
    </xf>
    <xf numFmtId="2" fontId="26" fillId="0" borderId="0" xfId="0" applyNumberFormat="1" applyFont="1" applyAlignment="1">
      <alignment horizontal="center"/>
    </xf>
    <xf numFmtId="10" fontId="26" fillId="0" borderId="0" xfId="0" applyNumberFormat="1" applyFont="1" applyAlignment="1">
      <alignment horizontal="center"/>
    </xf>
    <xf numFmtId="0" fontId="26" fillId="0" borderId="19" xfId="0" applyFont="1" applyBorder="1" applyAlignment="1">
      <alignment horizontal="left"/>
    </xf>
    <xf numFmtId="0" fontId="26" fillId="0" borderId="0" xfId="0" applyFont="1" applyAlignment="1">
      <alignment horizontal="left"/>
    </xf>
    <xf numFmtId="0" fontId="26" fillId="0" borderId="0" xfId="0" applyFont="1" applyAlignment="1">
      <alignment horizontal="right" vertical="top"/>
    </xf>
    <xf numFmtId="2" fontId="26" fillId="0" borderId="0" xfId="0" applyNumberFormat="1" applyFont="1" applyAlignment="1">
      <alignment horizontal="right" vertical="top"/>
    </xf>
    <xf numFmtId="0" fontId="26" fillId="0" borderId="0" xfId="0" applyFont="1" applyAlignment="1">
      <alignment horizontal="left" vertical="top" wrapText="1"/>
    </xf>
    <xf numFmtId="0" fontId="28" fillId="0" borderId="19" xfId="0" applyFont="1" applyBorder="1" applyAlignment="1"/>
    <xf numFmtId="0" fontId="29" fillId="0" borderId="19" xfId="0" applyFont="1" applyBorder="1" applyAlignment="1">
      <alignment horizontal="left" wrapText="1"/>
    </xf>
    <xf numFmtId="0" fontId="30" fillId="0" borderId="19" xfId="0" applyFont="1" applyBorder="1" applyAlignment="1">
      <alignment horizontal="left" wrapText="1"/>
    </xf>
    <xf numFmtId="0" fontId="26" fillId="0" borderId="19" xfId="0" applyFont="1" applyBorder="1" applyAlignment="1">
      <alignment horizontal="center"/>
    </xf>
    <xf numFmtId="4" fontId="26" fillId="0" borderId="19" xfId="0" applyNumberFormat="1" applyFont="1" applyBorder="1" applyAlignment="1">
      <alignment horizontal="center"/>
    </xf>
    <xf numFmtId="4" fontId="21" fillId="0" borderId="19" xfId="0" applyNumberFormat="1" applyFont="1" applyBorder="1" applyAlignment="1">
      <alignment horizontal="center" vertical="top" wrapText="1"/>
    </xf>
    <xf numFmtId="4" fontId="26" fillId="0" borderId="19" xfId="0" applyNumberFormat="1" applyFont="1" applyBorder="1" applyAlignment="1">
      <alignment horizontal="center" vertical="top" wrapText="1"/>
    </xf>
  </cellXfs>
  <cellStyles count="14">
    <cellStyle name="Comma" xfId="1" builtinId="3"/>
    <cellStyle name="Comma 2" xfId="8" xr:uid="{8DC07B4E-66A7-436D-A6DB-854B9AACABEB}"/>
    <cellStyle name="Comma 3" xfId="13" xr:uid="{B113F453-A223-47D1-9D4D-AF0ED56BD75F}"/>
    <cellStyle name="Hyperlink 2" xfId="3" xr:uid="{EA6FD2F3-2998-4F79-8975-A937A90BED8C}"/>
    <cellStyle name="Normal" xfId="0" builtinId="0"/>
    <cellStyle name="Normal 2" xfId="5" xr:uid="{3EA600DF-AE75-4F79-B343-64D0D1E677B1}"/>
    <cellStyle name="Normal 2 2" xfId="10" xr:uid="{72B0C3FC-1594-4D9D-83DE-3670219A14B1}"/>
    <cellStyle name="Normal 2 2 2" xfId="6" xr:uid="{702F307D-AABB-4D04-AF6D-D78B8842A046}"/>
    <cellStyle name="Normal 2 2 3 2 2 3 2" xfId="4" xr:uid="{8FA9661C-FD84-4C47-B688-2589283CACC1}"/>
    <cellStyle name="Normal 2 3" xfId="12" xr:uid="{E9C19C7E-4B5C-41A3-89F9-72DAF2E9B4CB}"/>
    <cellStyle name="Normal 3" xfId="7" xr:uid="{2DD227B9-3431-4A18-819C-F251A8F855B3}"/>
    <cellStyle name="Normal 4" xfId="11" xr:uid="{B6637B0E-54A4-42A2-B9D7-40B4441EF06E}"/>
    <cellStyle name="Percent" xfId="2" builtinId="5"/>
    <cellStyle name="Percent 2" xfId="9" xr:uid="{FE1D16DA-72F0-49BF-921B-33D072502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2</xdr:col>
      <xdr:colOff>1975855</xdr:colOff>
      <xdr:row>153</xdr:row>
      <xdr:rowOff>27375</xdr:rowOff>
    </xdr:to>
    <xdr:pic>
      <xdr:nvPicPr>
        <xdr:cNvPr id="4" name="Picture 3">
          <a:extLst>
            <a:ext uri="{FF2B5EF4-FFF2-40B4-BE49-F238E27FC236}">
              <a16:creationId xmlns:a16="http://schemas.microsoft.com/office/drawing/2014/main" id="{4D233110-7A93-4F59-B011-D33297F7C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7251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157</xdr:row>
      <xdr:rowOff>0</xdr:rowOff>
    </xdr:from>
    <xdr:to>
      <xdr:col>2</xdr:col>
      <xdr:colOff>1975855</xdr:colOff>
      <xdr:row>157</xdr:row>
      <xdr:rowOff>1980000</xdr:rowOff>
    </xdr:to>
    <xdr:pic>
      <xdr:nvPicPr>
        <xdr:cNvPr id="5" name="Picture 4">
          <a:extLst>
            <a:ext uri="{FF2B5EF4-FFF2-40B4-BE49-F238E27FC236}">
              <a16:creationId xmlns:a16="http://schemas.microsoft.com/office/drawing/2014/main" id="{C1EB091B-CCFD-42CB-92D2-C35D19B21C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98513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1975855</xdr:colOff>
      <xdr:row>98</xdr:row>
      <xdr:rowOff>27375</xdr:rowOff>
    </xdr:to>
    <xdr:pic>
      <xdr:nvPicPr>
        <xdr:cNvPr id="4" name="Picture 3">
          <a:extLst>
            <a:ext uri="{FF2B5EF4-FFF2-40B4-BE49-F238E27FC236}">
              <a16:creationId xmlns:a16="http://schemas.microsoft.com/office/drawing/2014/main" id="{903E3BA2-BA2D-4758-917F-ABBBAA6A3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17697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102</xdr:row>
      <xdr:rowOff>0</xdr:rowOff>
    </xdr:from>
    <xdr:to>
      <xdr:col>2</xdr:col>
      <xdr:colOff>1975855</xdr:colOff>
      <xdr:row>102</xdr:row>
      <xdr:rowOff>1980000</xdr:rowOff>
    </xdr:to>
    <xdr:pic>
      <xdr:nvPicPr>
        <xdr:cNvPr id="5" name="Picture 4">
          <a:extLst>
            <a:ext uri="{FF2B5EF4-FFF2-40B4-BE49-F238E27FC236}">
              <a16:creationId xmlns:a16="http://schemas.microsoft.com/office/drawing/2014/main" id="{7E24DAA1-EAA6-4EEF-B83F-6FBB8214565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0297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178</xdr:row>
      <xdr:rowOff>0</xdr:rowOff>
    </xdr:from>
    <xdr:to>
      <xdr:col>2</xdr:col>
      <xdr:colOff>1975855</xdr:colOff>
      <xdr:row>190</xdr:row>
      <xdr:rowOff>36900</xdr:rowOff>
    </xdr:to>
    <xdr:pic>
      <xdr:nvPicPr>
        <xdr:cNvPr id="2" name="Picture 1">
          <a:extLst>
            <a:ext uri="{FF2B5EF4-FFF2-40B4-BE49-F238E27FC236}">
              <a16:creationId xmlns:a16="http://schemas.microsoft.com/office/drawing/2014/main" id="{546264BC-2CDB-46D5-9845-C4ED673591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30898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200025</xdr:colOff>
      <xdr:row>178</xdr:row>
      <xdr:rowOff>0</xdr:rowOff>
    </xdr:from>
    <xdr:to>
      <xdr:col>5</xdr:col>
      <xdr:colOff>1080505</xdr:colOff>
      <xdr:row>190</xdr:row>
      <xdr:rowOff>36900</xdr:rowOff>
    </xdr:to>
    <xdr:pic>
      <xdr:nvPicPr>
        <xdr:cNvPr id="3" name="Picture 2">
          <a:extLst>
            <a:ext uri="{FF2B5EF4-FFF2-40B4-BE49-F238E27FC236}">
              <a16:creationId xmlns:a16="http://schemas.microsoft.com/office/drawing/2014/main" id="{5728A5D4-4AEB-4C61-8B1D-50C1806BF6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05350" y="330898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173</xdr:row>
      <xdr:rowOff>0</xdr:rowOff>
    </xdr:from>
    <xdr:to>
      <xdr:col>2</xdr:col>
      <xdr:colOff>1975855</xdr:colOff>
      <xdr:row>174</xdr:row>
      <xdr:rowOff>27375</xdr:rowOff>
    </xdr:to>
    <xdr:pic>
      <xdr:nvPicPr>
        <xdr:cNvPr id="5" name="Picture 4">
          <a:extLst>
            <a:ext uri="{FF2B5EF4-FFF2-40B4-BE49-F238E27FC236}">
              <a16:creationId xmlns:a16="http://schemas.microsoft.com/office/drawing/2014/main" id="{AC51591F-2CEF-4EF5-A096-46E3DF584E7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24326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257175</xdr:colOff>
      <xdr:row>183</xdr:row>
      <xdr:rowOff>85725</xdr:rowOff>
    </xdr:from>
    <xdr:to>
      <xdr:col>2</xdr:col>
      <xdr:colOff>1775830</xdr:colOff>
      <xdr:row>195</xdr:row>
      <xdr:rowOff>122625</xdr:rowOff>
    </xdr:to>
    <xdr:pic>
      <xdr:nvPicPr>
        <xdr:cNvPr id="2" name="Picture 1">
          <a:extLst>
            <a:ext uri="{FF2B5EF4-FFF2-40B4-BE49-F238E27FC236}">
              <a16:creationId xmlns:a16="http://schemas.microsoft.com/office/drawing/2014/main" id="{D12DC5E1-7A78-457B-90AA-54456A146A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33004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168</xdr:row>
      <xdr:rowOff>0</xdr:rowOff>
    </xdr:from>
    <xdr:to>
      <xdr:col>2</xdr:col>
      <xdr:colOff>1975855</xdr:colOff>
      <xdr:row>180</xdr:row>
      <xdr:rowOff>36900</xdr:rowOff>
    </xdr:to>
    <xdr:pic>
      <xdr:nvPicPr>
        <xdr:cNvPr id="3" name="Picture 2">
          <a:extLst>
            <a:ext uri="{FF2B5EF4-FFF2-40B4-BE49-F238E27FC236}">
              <a16:creationId xmlns:a16="http://schemas.microsoft.com/office/drawing/2014/main" id="{4D064009-5E63-4D68-A538-F0611477AA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489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2</xdr:col>
      <xdr:colOff>1975855</xdr:colOff>
      <xdr:row>135</xdr:row>
      <xdr:rowOff>27375</xdr:rowOff>
    </xdr:to>
    <xdr:pic>
      <xdr:nvPicPr>
        <xdr:cNvPr id="4" name="Picture 3">
          <a:extLst>
            <a:ext uri="{FF2B5EF4-FFF2-40B4-BE49-F238E27FC236}">
              <a16:creationId xmlns:a16="http://schemas.microsoft.com/office/drawing/2014/main" id="{279A8F09-6E0F-40F4-9E58-DBE171A1F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44983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139</xdr:row>
      <xdr:rowOff>0</xdr:rowOff>
    </xdr:from>
    <xdr:to>
      <xdr:col>2</xdr:col>
      <xdr:colOff>1975855</xdr:colOff>
      <xdr:row>139</xdr:row>
      <xdr:rowOff>1980000</xdr:rowOff>
    </xdr:to>
    <xdr:pic>
      <xdr:nvPicPr>
        <xdr:cNvPr id="5" name="Picture 4">
          <a:extLst>
            <a:ext uri="{FF2B5EF4-FFF2-40B4-BE49-F238E27FC236}">
              <a16:creationId xmlns:a16="http://schemas.microsoft.com/office/drawing/2014/main" id="{40A7A000-17CA-4394-91AE-AEE170BEB0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70986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2</xdr:col>
      <xdr:colOff>1975855</xdr:colOff>
      <xdr:row>136</xdr:row>
      <xdr:rowOff>27375</xdr:rowOff>
    </xdr:to>
    <xdr:pic>
      <xdr:nvPicPr>
        <xdr:cNvPr id="4" name="Picture 3">
          <a:extLst>
            <a:ext uri="{FF2B5EF4-FFF2-40B4-BE49-F238E27FC236}">
              <a16:creationId xmlns:a16="http://schemas.microsoft.com/office/drawing/2014/main" id="{9C3B45F7-158C-4F55-BD61-D9E9175EF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46602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140</xdr:row>
      <xdr:rowOff>0</xdr:rowOff>
    </xdr:from>
    <xdr:to>
      <xdr:col>2</xdr:col>
      <xdr:colOff>1975855</xdr:colOff>
      <xdr:row>140</xdr:row>
      <xdr:rowOff>1980000</xdr:rowOff>
    </xdr:to>
    <xdr:pic>
      <xdr:nvPicPr>
        <xdr:cNvPr id="5" name="Picture 4">
          <a:extLst>
            <a:ext uri="{FF2B5EF4-FFF2-40B4-BE49-F238E27FC236}">
              <a16:creationId xmlns:a16="http://schemas.microsoft.com/office/drawing/2014/main" id="{BFB61008-4770-4F76-B30E-B222111B86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72605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2</xdr:col>
      <xdr:colOff>1975855</xdr:colOff>
      <xdr:row>128</xdr:row>
      <xdr:rowOff>27375</xdr:rowOff>
    </xdr:to>
    <xdr:pic>
      <xdr:nvPicPr>
        <xdr:cNvPr id="4" name="Picture 3">
          <a:extLst>
            <a:ext uri="{FF2B5EF4-FFF2-40B4-BE49-F238E27FC236}">
              <a16:creationId xmlns:a16="http://schemas.microsoft.com/office/drawing/2014/main" id="{07731EB2-E4FF-4C76-BE66-BFFEF0493A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3364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132</xdr:row>
      <xdr:rowOff>0</xdr:rowOff>
    </xdr:from>
    <xdr:to>
      <xdr:col>2</xdr:col>
      <xdr:colOff>1975855</xdr:colOff>
      <xdr:row>132</xdr:row>
      <xdr:rowOff>1980000</xdr:rowOff>
    </xdr:to>
    <xdr:pic>
      <xdr:nvPicPr>
        <xdr:cNvPr id="5" name="Picture 4">
          <a:extLst>
            <a:ext uri="{FF2B5EF4-FFF2-40B4-BE49-F238E27FC236}">
              <a16:creationId xmlns:a16="http://schemas.microsoft.com/office/drawing/2014/main" id="{BAB2904B-84EE-481A-9C5F-CA515F566C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5965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1975855</xdr:colOff>
      <xdr:row>132</xdr:row>
      <xdr:rowOff>27375</xdr:rowOff>
    </xdr:to>
    <xdr:pic>
      <xdr:nvPicPr>
        <xdr:cNvPr id="4" name="Picture 3">
          <a:extLst>
            <a:ext uri="{FF2B5EF4-FFF2-40B4-BE49-F238E27FC236}">
              <a16:creationId xmlns:a16="http://schemas.microsoft.com/office/drawing/2014/main" id="{B0873FFF-285B-4546-9637-57F4BFBFB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36886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136</xdr:row>
      <xdr:rowOff>0</xdr:rowOff>
    </xdr:from>
    <xdr:to>
      <xdr:col>2</xdr:col>
      <xdr:colOff>1975855</xdr:colOff>
      <xdr:row>136</xdr:row>
      <xdr:rowOff>1980000</xdr:rowOff>
    </xdr:to>
    <xdr:pic>
      <xdr:nvPicPr>
        <xdr:cNvPr id="5" name="Picture 4">
          <a:extLst>
            <a:ext uri="{FF2B5EF4-FFF2-40B4-BE49-F238E27FC236}">
              <a16:creationId xmlns:a16="http://schemas.microsoft.com/office/drawing/2014/main" id="{7B2A0306-48CE-494C-8F6D-A69A05CB11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6289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1975855</xdr:colOff>
      <xdr:row>132</xdr:row>
      <xdr:rowOff>27375</xdr:rowOff>
    </xdr:to>
    <xdr:pic>
      <xdr:nvPicPr>
        <xdr:cNvPr id="4" name="Picture 3">
          <a:extLst>
            <a:ext uri="{FF2B5EF4-FFF2-40B4-BE49-F238E27FC236}">
              <a16:creationId xmlns:a16="http://schemas.microsoft.com/office/drawing/2014/main" id="{4A27077D-2EF7-4F55-A495-EAB0EE18A7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36886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136</xdr:row>
      <xdr:rowOff>0</xdr:rowOff>
    </xdr:from>
    <xdr:to>
      <xdr:col>2</xdr:col>
      <xdr:colOff>1975855</xdr:colOff>
      <xdr:row>136</xdr:row>
      <xdr:rowOff>1980000</xdr:rowOff>
    </xdr:to>
    <xdr:pic>
      <xdr:nvPicPr>
        <xdr:cNvPr id="5" name="Picture 4">
          <a:extLst>
            <a:ext uri="{FF2B5EF4-FFF2-40B4-BE49-F238E27FC236}">
              <a16:creationId xmlns:a16="http://schemas.microsoft.com/office/drawing/2014/main" id="{B95D8C3B-B5DA-40DA-9FBA-6AE6312DA82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6289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2</xdr:col>
      <xdr:colOff>1975855</xdr:colOff>
      <xdr:row>134</xdr:row>
      <xdr:rowOff>27375</xdr:rowOff>
    </xdr:to>
    <xdr:pic>
      <xdr:nvPicPr>
        <xdr:cNvPr id="4" name="Picture 3">
          <a:extLst>
            <a:ext uri="{FF2B5EF4-FFF2-40B4-BE49-F238E27FC236}">
              <a16:creationId xmlns:a16="http://schemas.microsoft.com/office/drawing/2014/main" id="{B1D15838-5821-45F5-AAB4-198C20F27E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4174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138</xdr:row>
      <xdr:rowOff>0</xdr:rowOff>
    </xdr:from>
    <xdr:to>
      <xdr:col>2</xdr:col>
      <xdr:colOff>1975855</xdr:colOff>
      <xdr:row>138</xdr:row>
      <xdr:rowOff>1980000</xdr:rowOff>
    </xdr:to>
    <xdr:pic>
      <xdr:nvPicPr>
        <xdr:cNvPr id="5" name="Picture 4">
          <a:extLst>
            <a:ext uri="{FF2B5EF4-FFF2-40B4-BE49-F238E27FC236}">
              <a16:creationId xmlns:a16="http://schemas.microsoft.com/office/drawing/2014/main" id="{31321A74-E94F-4166-9BA2-A21D2B950A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6774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28575</xdr:colOff>
      <xdr:row>131</xdr:row>
      <xdr:rowOff>0</xdr:rowOff>
    </xdr:from>
    <xdr:to>
      <xdr:col>2</xdr:col>
      <xdr:colOff>2004430</xdr:colOff>
      <xdr:row>132</xdr:row>
      <xdr:rowOff>27375</xdr:rowOff>
    </xdr:to>
    <xdr:pic>
      <xdr:nvPicPr>
        <xdr:cNvPr id="4" name="Picture 3">
          <a:extLst>
            <a:ext uri="{FF2B5EF4-FFF2-40B4-BE49-F238E27FC236}">
              <a16:creationId xmlns:a16="http://schemas.microsoft.com/office/drawing/2014/main" id="{7B6D69F4-17C6-4EE7-8AE0-0F9DB2956B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238506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136</xdr:row>
      <xdr:rowOff>9525</xdr:rowOff>
    </xdr:from>
    <xdr:to>
      <xdr:col>2</xdr:col>
      <xdr:colOff>1975855</xdr:colOff>
      <xdr:row>136</xdr:row>
      <xdr:rowOff>1989525</xdr:rowOff>
    </xdr:to>
    <xdr:pic>
      <xdr:nvPicPr>
        <xdr:cNvPr id="5" name="Picture 4">
          <a:extLst>
            <a:ext uri="{FF2B5EF4-FFF2-40B4-BE49-F238E27FC236}">
              <a16:creationId xmlns:a16="http://schemas.microsoft.com/office/drawing/2014/main" id="{2ADD3CB4-0AFC-4E07-846B-6157EA5D04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6460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1975855</xdr:colOff>
      <xdr:row>167</xdr:row>
      <xdr:rowOff>27375</xdr:rowOff>
    </xdr:to>
    <xdr:pic>
      <xdr:nvPicPr>
        <xdr:cNvPr id="5" name="Picture 4">
          <a:extLst>
            <a:ext uri="{FF2B5EF4-FFF2-40B4-BE49-F238E27FC236}">
              <a16:creationId xmlns:a16="http://schemas.microsoft.com/office/drawing/2014/main" id="{8B150248-FDBA-4226-AB09-4F1C14E0F4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14515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171</xdr:row>
      <xdr:rowOff>0</xdr:rowOff>
    </xdr:from>
    <xdr:to>
      <xdr:col>2</xdr:col>
      <xdr:colOff>1975855</xdr:colOff>
      <xdr:row>171</xdr:row>
      <xdr:rowOff>1980000</xdr:rowOff>
    </xdr:to>
    <xdr:pic>
      <xdr:nvPicPr>
        <xdr:cNvPr id="6" name="Picture 5">
          <a:extLst>
            <a:ext uri="{FF2B5EF4-FFF2-40B4-BE49-F238E27FC236}">
              <a16:creationId xmlns:a16="http://schemas.microsoft.com/office/drawing/2014/main" id="{55A64204-6781-43CC-AC8B-3796E1389D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40518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38100</xdr:colOff>
      <xdr:row>170</xdr:row>
      <xdr:rowOff>152400</xdr:rowOff>
    </xdr:from>
    <xdr:to>
      <xdr:col>5</xdr:col>
      <xdr:colOff>918580</xdr:colOff>
      <xdr:row>171</xdr:row>
      <xdr:rowOff>1970475</xdr:rowOff>
    </xdr:to>
    <xdr:pic>
      <xdr:nvPicPr>
        <xdr:cNvPr id="7" name="Picture 6">
          <a:extLst>
            <a:ext uri="{FF2B5EF4-FFF2-40B4-BE49-F238E27FC236}">
              <a16:creationId xmlns:a16="http://schemas.microsoft.com/office/drawing/2014/main" id="{F25A9E54-F660-4E30-8DDA-13E97164F2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2900" y="340423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9525</xdr:colOff>
      <xdr:row>279</xdr:row>
      <xdr:rowOff>0</xdr:rowOff>
    </xdr:from>
    <xdr:to>
      <xdr:col>2</xdr:col>
      <xdr:colOff>1986302</xdr:colOff>
      <xdr:row>280</xdr:row>
      <xdr:rowOff>27375</xdr:rowOff>
    </xdr:to>
    <xdr:pic>
      <xdr:nvPicPr>
        <xdr:cNvPr id="4" name="Picture 3">
          <a:extLst>
            <a:ext uri="{FF2B5EF4-FFF2-40B4-BE49-F238E27FC236}">
              <a16:creationId xmlns:a16="http://schemas.microsoft.com/office/drawing/2014/main" id="{72445E45-9A3C-4BDE-AA54-C0DEB6AC35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581596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284</xdr:row>
      <xdr:rowOff>171450</xdr:rowOff>
    </xdr:from>
    <xdr:to>
      <xdr:col>2</xdr:col>
      <xdr:colOff>1976777</xdr:colOff>
      <xdr:row>285</xdr:row>
      <xdr:rowOff>55950</xdr:rowOff>
    </xdr:to>
    <xdr:pic>
      <xdr:nvPicPr>
        <xdr:cNvPr id="5" name="Picture 4">
          <a:extLst>
            <a:ext uri="{FF2B5EF4-FFF2-40B4-BE49-F238E27FC236}">
              <a16:creationId xmlns:a16="http://schemas.microsoft.com/office/drawing/2014/main" id="{A4FF41AA-D97C-45E9-9F58-2BA14E645C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6093142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201</xdr:row>
      <xdr:rowOff>0</xdr:rowOff>
    </xdr:from>
    <xdr:to>
      <xdr:col>2</xdr:col>
      <xdr:colOff>2015039</xdr:colOff>
      <xdr:row>201</xdr:row>
      <xdr:rowOff>1980000</xdr:rowOff>
    </xdr:to>
    <xdr:pic>
      <xdr:nvPicPr>
        <xdr:cNvPr id="4" name="Picture 3">
          <a:extLst>
            <a:ext uri="{FF2B5EF4-FFF2-40B4-BE49-F238E27FC236}">
              <a16:creationId xmlns:a16="http://schemas.microsoft.com/office/drawing/2014/main" id="{A5204337-C586-4D8A-87FC-6919D131F7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88905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196</xdr:row>
      <xdr:rowOff>0</xdr:rowOff>
    </xdr:from>
    <xdr:to>
      <xdr:col>2</xdr:col>
      <xdr:colOff>2015039</xdr:colOff>
      <xdr:row>197</xdr:row>
      <xdr:rowOff>27375</xdr:rowOff>
    </xdr:to>
    <xdr:pic>
      <xdr:nvPicPr>
        <xdr:cNvPr id="5" name="Picture 4">
          <a:extLst>
            <a:ext uri="{FF2B5EF4-FFF2-40B4-BE49-F238E27FC236}">
              <a16:creationId xmlns:a16="http://schemas.microsoft.com/office/drawing/2014/main" id="{6F0EB0D4-E2BE-47CA-9ACC-A54DF53663C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62902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225</xdr:row>
      <xdr:rowOff>133350</xdr:rowOff>
    </xdr:from>
    <xdr:to>
      <xdr:col>2</xdr:col>
      <xdr:colOff>1976777</xdr:colOff>
      <xdr:row>226</xdr:row>
      <xdr:rowOff>17850</xdr:rowOff>
    </xdr:to>
    <xdr:pic>
      <xdr:nvPicPr>
        <xdr:cNvPr id="4" name="Picture 3">
          <a:extLst>
            <a:ext uri="{FF2B5EF4-FFF2-40B4-BE49-F238E27FC236}">
              <a16:creationId xmlns:a16="http://schemas.microsoft.com/office/drawing/2014/main" id="{2E10989F-EE40-4C92-BF42-3395D8355A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472940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220</xdr:row>
      <xdr:rowOff>0</xdr:rowOff>
    </xdr:from>
    <xdr:to>
      <xdr:col>2</xdr:col>
      <xdr:colOff>1976777</xdr:colOff>
      <xdr:row>221</xdr:row>
      <xdr:rowOff>27375</xdr:rowOff>
    </xdr:to>
    <xdr:pic>
      <xdr:nvPicPr>
        <xdr:cNvPr id="5" name="Picture 4">
          <a:extLst>
            <a:ext uri="{FF2B5EF4-FFF2-40B4-BE49-F238E27FC236}">
              <a16:creationId xmlns:a16="http://schemas.microsoft.com/office/drawing/2014/main" id="{A7531955-D5C9-4860-9D95-F90573B953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4199572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1975855</xdr:colOff>
      <xdr:row>159</xdr:row>
      <xdr:rowOff>27375</xdr:rowOff>
    </xdr:to>
    <xdr:pic>
      <xdr:nvPicPr>
        <xdr:cNvPr id="5" name="Picture 4">
          <a:extLst>
            <a:ext uri="{FF2B5EF4-FFF2-40B4-BE49-F238E27FC236}">
              <a16:creationId xmlns:a16="http://schemas.microsoft.com/office/drawing/2014/main" id="{033CDD25-A10C-43E3-A6DE-68661169B2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8965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163</xdr:row>
      <xdr:rowOff>0</xdr:rowOff>
    </xdr:from>
    <xdr:to>
      <xdr:col>2</xdr:col>
      <xdr:colOff>1975855</xdr:colOff>
      <xdr:row>163</xdr:row>
      <xdr:rowOff>1980000</xdr:rowOff>
    </xdr:to>
    <xdr:pic>
      <xdr:nvPicPr>
        <xdr:cNvPr id="6" name="Picture 5">
          <a:extLst>
            <a:ext uri="{FF2B5EF4-FFF2-40B4-BE49-F238E27FC236}">
              <a16:creationId xmlns:a16="http://schemas.microsoft.com/office/drawing/2014/main" id="{EEDCDB17-A52E-4101-8301-44C61C239A3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15658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266700</xdr:colOff>
      <xdr:row>163</xdr:row>
      <xdr:rowOff>0</xdr:rowOff>
    </xdr:from>
    <xdr:to>
      <xdr:col>5</xdr:col>
      <xdr:colOff>1147180</xdr:colOff>
      <xdr:row>163</xdr:row>
      <xdr:rowOff>1980000</xdr:rowOff>
    </xdr:to>
    <xdr:pic>
      <xdr:nvPicPr>
        <xdr:cNvPr id="7" name="Picture 6">
          <a:extLst>
            <a:ext uri="{FF2B5EF4-FFF2-40B4-BE49-F238E27FC236}">
              <a16:creationId xmlns:a16="http://schemas.microsoft.com/office/drawing/2014/main" id="{E2239866-379F-43FF-B4C4-3E86756FD53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315658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222</xdr:row>
      <xdr:rowOff>0</xdr:rowOff>
    </xdr:from>
    <xdr:to>
      <xdr:col>2</xdr:col>
      <xdr:colOff>2015039</xdr:colOff>
      <xdr:row>223</xdr:row>
      <xdr:rowOff>27375</xdr:rowOff>
    </xdr:to>
    <xdr:pic>
      <xdr:nvPicPr>
        <xdr:cNvPr id="4" name="Picture 3">
          <a:extLst>
            <a:ext uri="{FF2B5EF4-FFF2-40B4-BE49-F238E27FC236}">
              <a16:creationId xmlns:a16="http://schemas.microsoft.com/office/drawing/2014/main" id="{BCA7E47F-EE04-4765-96C3-7FA999B6C7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25672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227</xdr:row>
      <xdr:rowOff>57150</xdr:rowOff>
    </xdr:from>
    <xdr:to>
      <xdr:col>2</xdr:col>
      <xdr:colOff>2024564</xdr:colOff>
      <xdr:row>227</xdr:row>
      <xdr:rowOff>2037150</xdr:rowOff>
    </xdr:to>
    <xdr:pic>
      <xdr:nvPicPr>
        <xdr:cNvPr id="5" name="Picture 4">
          <a:extLst>
            <a:ext uri="{FF2B5EF4-FFF2-40B4-BE49-F238E27FC236}">
              <a16:creationId xmlns:a16="http://schemas.microsoft.com/office/drawing/2014/main" id="{E81D15DA-7F7B-4EE8-BEE0-8E484155DD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6725" y="452247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1975855</xdr:colOff>
      <xdr:row>122</xdr:row>
      <xdr:rowOff>27375</xdr:rowOff>
    </xdr:to>
    <xdr:pic>
      <xdr:nvPicPr>
        <xdr:cNvPr id="5" name="Picture 4">
          <a:extLst>
            <a:ext uri="{FF2B5EF4-FFF2-40B4-BE49-F238E27FC236}">
              <a16:creationId xmlns:a16="http://schemas.microsoft.com/office/drawing/2014/main" id="{5D55CD29-0805-47BE-A8FB-E521DCF231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28885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126</xdr:row>
      <xdr:rowOff>0</xdr:rowOff>
    </xdr:from>
    <xdr:to>
      <xdr:col>2</xdr:col>
      <xdr:colOff>1975855</xdr:colOff>
      <xdr:row>126</xdr:row>
      <xdr:rowOff>1980000</xdr:rowOff>
    </xdr:to>
    <xdr:pic>
      <xdr:nvPicPr>
        <xdr:cNvPr id="6" name="Picture 5">
          <a:extLst>
            <a:ext uri="{FF2B5EF4-FFF2-40B4-BE49-F238E27FC236}">
              <a16:creationId xmlns:a16="http://schemas.microsoft.com/office/drawing/2014/main" id="{45CAD5D6-A676-43BF-8F11-C7B47D54A6C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54889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266700</xdr:colOff>
      <xdr:row>126</xdr:row>
      <xdr:rowOff>0</xdr:rowOff>
    </xdr:from>
    <xdr:to>
      <xdr:col>5</xdr:col>
      <xdr:colOff>1147180</xdr:colOff>
      <xdr:row>126</xdr:row>
      <xdr:rowOff>1980000</xdr:rowOff>
    </xdr:to>
    <xdr:pic>
      <xdr:nvPicPr>
        <xdr:cNvPr id="7" name="Picture 6">
          <a:extLst>
            <a:ext uri="{FF2B5EF4-FFF2-40B4-BE49-F238E27FC236}">
              <a16:creationId xmlns:a16="http://schemas.microsoft.com/office/drawing/2014/main" id="{19187924-39BB-46C6-8E3A-08D19BBB400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254889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2</xdr:col>
      <xdr:colOff>1975855</xdr:colOff>
      <xdr:row>171</xdr:row>
      <xdr:rowOff>27375</xdr:rowOff>
    </xdr:to>
    <xdr:pic>
      <xdr:nvPicPr>
        <xdr:cNvPr id="4" name="Picture 3">
          <a:extLst>
            <a:ext uri="{FF2B5EF4-FFF2-40B4-BE49-F238E27FC236}">
              <a16:creationId xmlns:a16="http://schemas.microsoft.com/office/drawing/2014/main" id="{80649114-F47E-44C0-9D4D-30AE990986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28041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175</xdr:row>
      <xdr:rowOff>0</xdr:rowOff>
    </xdr:from>
    <xdr:to>
      <xdr:col>2</xdr:col>
      <xdr:colOff>1975855</xdr:colOff>
      <xdr:row>175</xdr:row>
      <xdr:rowOff>1980000</xdr:rowOff>
    </xdr:to>
    <xdr:pic>
      <xdr:nvPicPr>
        <xdr:cNvPr id="5" name="Picture 4">
          <a:extLst>
            <a:ext uri="{FF2B5EF4-FFF2-40B4-BE49-F238E27FC236}">
              <a16:creationId xmlns:a16="http://schemas.microsoft.com/office/drawing/2014/main" id="{A7C6BFD4-5B4B-4E43-BCEB-856C2717FC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54044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196</xdr:row>
      <xdr:rowOff>0</xdr:rowOff>
    </xdr:from>
    <xdr:to>
      <xdr:col>2</xdr:col>
      <xdr:colOff>1975855</xdr:colOff>
      <xdr:row>197</xdr:row>
      <xdr:rowOff>27375</xdr:rowOff>
    </xdr:to>
    <xdr:pic>
      <xdr:nvPicPr>
        <xdr:cNvPr id="4" name="Picture 3">
          <a:extLst>
            <a:ext uri="{FF2B5EF4-FFF2-40B4-BE49-F238E27FC236}">
              <a16:creationId xmlns:a16="http://schemas.microsoft.com/office/drawing/2014/main" id="{D9E379E3-4B94-4EC8-8DEB-DA3AF2A726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64807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200</xdr:row>
      <xdr:rowOff>0</xdr:rowOff>
    </xdr:from>
    <xdr:to>
      <xdr:col>2</xdr:col>
      <xdr:colOff>1975855</xdr:colOff>
      <xdr:row>200</xdr:row>
      <xdr:rowOff>1980000</xdr:rowOff>
    </xdr:to>
    <xdr:pic>
      <xdr:nvPicPr>
        <xdr:cNvPr id="5" name="Picture 4">
          <a:extLst>
            <a:ext uri="{FF2B5EF4-FFF2-40B4-BE49-F238E27FC236}">
              <a16:creationId xmlns:a16="http://schemas.microsoft.com/office/drawing/2014/main" id="{289A684E-A73C-49C8-9615-79E35DC517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8919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76200</xdr:colOff>
      <xdr:row>161</xdr:row>
      <xdr:rowOff>0</xdr:rowOff>
    </xdr:from>
    <xdr:to>
      <xdr:col>2</xdr:col>
      <xdr:colOff>2052055</xdr:colOff>
      <xdr:row>162</xdr:row>
      <xdr:rowOff>27375</xdr:rowOff>
    </xdr:to>
    <xdr:pic>
      <xdr:nvPicPr>
        <xdr:cNvPr id="4" name="Picture 3">
          <a:extLst>
            <a:ext uri="{FF2B5EF4-FFF2-40B4-BE49-F238E27FC236}">
              <a16:creationId xmlns:a16="http://schemas.microsoft.com/office/drawing/2014/main" id="{9727B6F7-A9F4-4D6B-B756-0E81BCC588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 y="313563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161925</xdr:rowOff>
    </xdr:from>
    <xdr:to>
      <xdr:col>2</xdr:col>
      <xdr:colOff>1975855</xdr:colOff>
      <xdr:row>167</xdr:row>
      <xdr:rowOff>46425</xdr:rowOff>
    </xdr:to>
    <xdr:pic>
      <xdr:nvPicPr>
        <xdr:cNvPr id="5" name="Picture 4">
          <a:extLst>
            <a:ext uri="{FF2B5EF4-FFF2-40B4-BE49-F238E27FC236}">
              <a16:creationId xmlns:a16="http://schemas.microsoft.com/office/drawing/2014/main" id="{79A01866-8103-493C-B78E-AF26E22B64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41185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2</xdr:col>
      <xdr:colOff>1975855</xdr:colOff>
      <xdr:row>129</xdr:row>
      <xdr:rowOff>27375</xdr:rowOff>
    </xdr:to>
    <xdr:pic>
      <xdr:nvPicPr>
        <xdr:cNvPr id="4" name="Picture 3">
          <a:extLst>
            <a:ext uri="{FF2B5EF4-FFF2-40B4-BE49-F238E27FC236}">
              <a16:creationId xmlns:a16="http://schemas.microsoft.com/office/drawing/2014/main" id="{8BCE3AE1-F334-4E9F-B077-85ED9A98C9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28123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133</xdr:row>
      <xdr:rowOff>0</xdr:rowOff>
    </xdr:from>
    <xdr:to>
      <xdr:col>2</xdr:col>
      <xdr:colOff>1975855</xdr:colOff>
      <xdr:row>133</xdr:row>
      <xdr:rowOff>1980000</xdr:rowOff>
    </xdr:to>
    <xdr:pic>
      <xdr:nvPicPr>
        <xdr:cNvPr id="5" name="Picture 4">
          <a:extLst>
            <a:ext uri="{FF2B5EF4-FFF2-40B4-BE49-F238E27FC236}">
              <a16:creationId xmlns:a16="http://schemas.microsoft.com/office/drawing/2014/main" id="{B89E1440-FD8F-4679-BC8A-7F0E3BB48B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5412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2</xdr:col>
      <xdr:colOff>1975855</xdr:colOff>
      <xdr:row>148</xdr:row>
      <xdr:rowOff>27375</xdr:rowOff>
    </xdr:to>
    <xdr:pic>
      <xdr:nvPicPr>
        <xdr:cNvPr id="5" name="Picture 4">
          <a:extLst>
            <a:ext uri="{FF2B5EF4-FFF2-40B4-BE49-F238E27FC236}">
              <a16:creationId xmlns:a16="http://schemas.microsoft.com/office/drawing/2014/main" id="{5DC09EE9-8B59-4938-A747-46AFBC2C9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6774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153</xdr:row>
      <xdr:rowOff>66675</xdr:rowOff>
    </xdr:from>
    <xdr:to>
      <xdr:col>2</xdr:col>
      <xdr:colOff>1975855</xdr:colOff>
      <xdr:row>153</xdr:row>
      <xdr:rowOff>2046675</xdr:rowOff>
    </xdr:to>
    <xdr:pic>
      <xdr:nvPicPr>
        <xdr:cNvPr id="6" name="Picture 5">
          <a:extLst>
            <a:ext uri="{FF2B5EF4-FFF2-40B4-BE49-F238E27FC236}">
              <a16:creationId xmlns:a16="http://schemas.microsoft.com/office/drawing/2014/main" id="{749C0CA3-7C75-4790-AB1B-8DEBC158BC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9603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266700</xdr:colOff>
      <xdr:row>153</xdr:row>
      <xdr:rowOff>66675</xdr:rowOff>
    </xdr:from>
    <xdr:to>
      <xdr:col>5</xdr:col>
      <xdr:colOff>1147180</xdr:colOff>
      <xdr:row>153</xdr:row>
      <xdr:rowOff>2046675</xdr:rowOff>
    </xdr:to>
    <xdr:pic>
      <xdr:nvPicPr>
        <xdr:cNvPr id="7" name="Picture 6">
          <a:extLst>
            <a:ext uri="{FF2B5EF4-FFF2-40B4-BE49-F238E27FC236}">
              <a16:creationId xmlns:a16="http://schemas.microsoft.com/office/drawing/2014/main" id="{18B66250-DC24-4376-BA32-DA6D48BE0E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29603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2</xdr:col>
      <xdr:colOff>1975855</xdr:colOff>
      <xdr:row>157</xdr:row>
      <xdr:rowOff>27375</xdr:rowOff>
    </xdr:to>
    <xdr:pic>
      <xdr:nvPicPr>
        <xdr:cNvPr id="4" name="Picture 3">
          <a:extLst>
            <a:ext uri="{FF2B5EF4-FFF2-40B4-BE49-F238E27FC236}">
              <a16:creationId xmlns:a16="http://schemas.microsoft.com/office/drawing/2014/main" id="{241BE3F8-6FBE-4368-A3BB-F4B0210FC5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9194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161</xdr:row>
      <xdr:rowOff>0</xdr:rowOff>
    </xdr:from>
    <xdr:to>
      <xdr:col>2</xdr:col>
      <xdr:colOff>1975855</xdr:colOff>
      <xdr:row>161</xdr:row>
      <xdr:rowOff>1980000</xdr:rowOff>
    </xdr:to>
    <xdr:pic>
      <xdr:nvPicPr>
        <xdr:cNvPr id="5" name="Picture 4">
          <a:extLst>
            <a:ext uri="{FF2B5EF4-FFF2-40B4-BE49-F238E27FC236}">
              <a16:creationId xmlns:a16="http://schemas.microsoft.com/office/drawing/2014/main" id="{C5D4C08C-08F6-4FB8-89CA-A0213B6F67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1794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2</xdr:col>
      <xdr:colOff>1975855</xdr:colOff>
      <xdr:row>130</xdr:row>
      <xdr:rowOff>27375</xdr:rowOff>
    </xdr:to>
    <xdr:pic>
      <xdr:nvPicPr>
        <xdr:cNvPr id="4" name="Picture 3">
          <a:extLst>
            <a:ext uri="{FF2B5EF4-FFF2-40B4-BE49-F238E27FC236}">
              <a16:creationId xmlns:a16="http://schemas.microsoft.com/office/drawing/2014/main" id="{1FD5A83C-D0C5-4AAA-82B8-6319C71471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36886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134</xdr:row>
      <xdr:rowOff>0</xdr:rowOff>
    </xdr:from>
    <xdr:to>
      <xdr:col>2</xdr:col>
      <xdr:colOff>1975855</xdr:colOff>
      <xdr:row>134</xdr:row>
      <xdr:rowOff>1980000</xdr:rowOff>
    </xdr:to>
    <xdr:pic>
      <xdr:nvPicPr>
        <xdr:cNvPr id="5" name="Picture 4">
          <a:extLst>
            <a:ext uri="{FF2B5EF4-FFF2-40B4-BE49-F238E27FC236}">
              <a16:creationId xmlns:a16="http://schemas.microsoft.com/office/drawing/2014/main" id="{898C1618-D36A-49DB-8F3C-FFA3CD601A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6289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28575</xdr:colOff>
      <xdr:row>141</xdr:row>
      <xdr:rowOff>0</xdr:rowOff>
    </xdr:from>
    <xdr:to>
      <xdr:col>2</xdr:col>
      <xdr:colOff>2004430</xdr:colOff>
      <xdr:row>142</xdr:row>
      <xdr:rowOff>27375</xdr:rowOff>
    </xdr:to>
    <xdr:pic>
      <xdr:nvPicPr>
        <xdr:cNvPr id="4" name="Picture 3">
          <a:extLst>
            <a:ext uri="{FF2B5EF4-FFF2-40B4-BE49-F238E27FC236}">
              <a16:creationId xmlns:a16="http://schemas.microsoft.com/office/drawing/2014/main" id="{6447C22B-0A4B-4011-89DD-DB4C853D6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259842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145</xdr:row>
      <xdr:rowOff>152400</xdr:rowOff>
    </xdr:from>
    <xdr:to>
      <xdr:col>2</xdr:col>
      <xdr:colOff>1975855</xdr:colOff>
      <xdr:row>146</xdr:row>
      <xdr:rowOff>1970475</xdr:rowOff>
    </xdr:to>
    <xdr:pic>
      <xdr:nvPicPr>
        <xdr:cNvPr id="5" name="Picture 4">
          <a:extLst>
            <a:ext uri="{FF2B5EF4-FFF2-40B4-BE49-F238E27FC236}">
              <a16:creationId xmlns:a16="http://schemas.microsoft.com/office/drawing/2014/main" id="{BBE6CE9A-BE23-4089-B1D9-72835F0059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8575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155</xdr:row>
      <xdr:rowOff>0</xdr:rowOff>
    </xdr:from>
    <xdr:to>
      <xdr:col>2</xdr:col>
      <xdr:colOff>1975855</xdr:colOff>
      <xdr:row>156</xdr:row>
      <xdr:rowOff>27375</xdr:rowOff>
    </xdr:to>
    <xdr:pic>
      <xdr:nvPicPr>
        <xdr:cNvPr id="4" name="Picture 3">
          <a:extLst>
            <a:ext uri="{FF2B5EF4-FFF2-40B4-BE49-F238E27FC236}">
              <a16:creationId xmlns:a16="http://schemas.microsoft.com/office/drawing/2014/main" id="{0F28CC09-B02A-40E5-8DDB-40980BFED1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9194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160</xdr:row>
      <xdr:rowOff>0</xdr:rowOff>
    </xdr:from>
    <xdr:to>
      <xdr:col>2</xdr:col>
      <xdr:colOff>1975855</xdr:colOff>
      <xdr:row>160</xdr:row>
      <xdr:rowOff>1980000</xdr:rowOff>
    </xdr:to>
    <xdr:pic>
      <xdr:nvPicPr>
        <xdr:cNvPr id="5" name="Picture 4">
          <a:extLst>
            <a:ext uri="{FF2B5EF4-FFF2-40B4-BE49-F238E27FC236}">
              <a16:creationId xmlns:a16="http://schemas.microsoft.com/office/drawing/2014/main" id="{AA4CA591-7D09-427F-A8A2-F617DB58CB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1794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1975855</xdr:colOff>
      <xdr:row>122</xdr:row>
      <xdr:rowOff>27375</xdr:rowOff>
    </xdr:to>
    <xdr:pic>
      <xdr:nvPicPr>
        <xdr:cNvPr id="4" name="Picture 3">
          <a:extLst>
            <a:ext uri="{FF2B5EF4-FFF2-40B4-BE49-F238E27FC236}">
              <a16:creationId xmlns:a16="http://schemas.microsoft.com/office/drawing/2014/main" id="{0FBC3D79-5353-43D0-90CA-8DB227CCEF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22408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126</xdr:row>
      <xdr:rowOff>0</xdr:rowOff>
    </xdr:from>
    <xdr:to>
      <xdr:col>2</xdr:col>
      <xdr:colOff>1975855</xdr:colOff>
      <xdr:row>126</xdr:row>
      <xdr:rowOff>1980000</xdr:rowOff>
    </xdr:to>
    <xdr:pic>
      <xdr:nvPicPr>
        <xdr:cNvPr id="5" name="Picture 4">
          <a:extLst>
            <a:ext uri="{FF2B5EF4-FFF2-40B4-BE49-F238E27FC236}">
              <a16:creationId xmlns:a16="http://schemas.microsoft.com/office/drawing/2014/main" id="{1953983F-46D9-427A-BAAE-AF773416970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48412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214</xdr:row>
      <xdr:rowOff>152400</xdr:rowOff>
    </xdr:from>
    <xdr:to>
      <xdr:col>2</xdr:col>
      <xdr:colOff>1976777</xdr:colOff>
      <xdr:row>215</xdr:row>
      <xdr:rowOff>36900</xdr:rowOff>
    </xdr:to>
    <xdr:pic>
      <xdr:nvPicPr>
        <xdr:cNvPr id="4" name="Picture 3">
          <a:extLst>
            <a:ext uri="{FF2B5EF4-FFF2-40B4-BE49-F238E27FC236}">
              <a16:creationId xmlns:a16="http://schemas.microsoft.com/office/drawing/2014/main" id="{5745594F-8DAC-4EFC-884D-44E0C4392E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231957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209</xdr:row>
      <xdr:rowOff>0</xdr:rowOff>
    </xdr:from>
    <xdr:to>
      <xdr:col>2</xdr:col>
      <xdr:colOff>1976777</xdr:colOff>
      <xdr:row>210</xdr:row>
      <xdr:rowOff>27375</xdr:rowOff>
    </xdr:to>
    <xdr:pic>
      <xdr:nvPicPr>
        <xdr:cNvPr id="5" name="Picture 4">
          <a:extLst>
            <a:ext uri="{FF2B5EF4-FFF2-40B4-BE49-F238E27FC236}">
              <a16:creationId xmlns:a16="http://schemas.microsoft.com/office/drawing/2014/main" id="{D6CCCEC1-E4BA-4E75-BE00-177085E87AC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95668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EE524-DCB4-4A9A-BD4E-8808FE83C055}">
  <dimension ref="A1:C30"/>
  <sheetViews>
    <sheetView zoomScale="110" zoomScaleNormal="110" workbookViewId="0">
      <pane ySplit="1" topLeftCell="A2" activePane="bottomLeft" state="frozen"/>
      <selection sqref="A1:H1"/>
      <selection pane="bottomLeft"/>
    </sheetView>
  </sheetViews>
  <sheetFormatPr defaultColWidth="9.140625" defaultRowHeight="15" x14ac:dyDescent="0.25"/>
  <cols>
    <col min="1" max="1" width="6.140625" style="149" bestFit="1" customWidth="1"/>
    <col min="2" max="2" width="10.42578125" style="149" bestFit="1" customWidth="1"/>
    <col min="3" max="3" width="56.140625" style="149" bestFit="1" customWidth="1"/>
    <col min="4" max="16384" width="9.140625" style="149"/>
  </cols>
  <sheetData>
    <row r="1" spans="1:3" x14ac:dyDescent="0.25">
      <c r="A1" s="148" t="s">
        <v>1047</v>
      </c>
      <c r="B1" s="148" t="s">
        <v>1048</v>
      </c>
      <c r="C1" s="148" t="s">
        <v>1049</v>
      </c>
    </row>
    <row r="2" spans="1:3" x14ac:dyDescent="0.25">
      <c r="A2" s="150">
        <v>1</v>
      </c>
      <c r="B2" s="151" t="s">
        <v>1050</v>
      </c>
      <c r="C2" s="152" t="s">
        <v>1</v>
      </c>
    </row>
    <row r="3" spans="1:3" x14ac:dyDescent="0.25">
      <c r="A3" s="150">
        <v>2</v>
      </c>
      <c r="B3" s="151" t="s">
        <v>1051</v>
      </c>
      <c r="C3" s="152" t="s">
        <v>846</v>
      </c>
    </row>
    <row r="4" spans="1:3" x14ac:dyDescent="0.25">
      <c r="A4" s="150">
        <v>3</v>
      </c>
      <c r="B4" s="151" t="s">
        <v>1052</v>
      </c>
      <c r="C4" s="152" t="s">
        <v>182</v>
      </c>
    </row>
    <row r="5" spans="1:3" x14ac:dyDescent="0.25">
      <c r="A5" s="150">
        <v>4</v>
      </c>
      <c r="B5" s="151" t="s">
        <v>1053</v>
      </c>
      <c r="C5" s="152" t="s">
        <v>1054</v>
      </c>
    </row>
    <row r="6" spans="1:3" x14ac:dyDescent="0.25">
      <c r="A6" s="150">
        <v>5</v>
      </c>
      <c r="B6" s="151" t="s">
        <v>1055</v>
      </c>
      <c r="C6" s="152" t="s">
        <v>1056</v>
      </c>
    </row>
    <row r="7" spans="1:3" x14ac:dyDescent="0.25">
      <c r="A7" s="150">
        <v>6</v>
      </c>
      <c r="B7" s="151" t="s">
        <v>1057</v>
      </c>
      <c r="C7" s="152" t="s">
        <v>1058</v>
      </c>
    </row>
    <row r="8" spans="1:3" x14ac:dyDescent="0.25">
      <c r="A8" s="150">
        <v>7</v>
      </c>
      <c r="B8" s="151" t="s">
        <v>1059</v>
      </c>
      <c r="C8" s="152" t="s">
        <v>1060</v>
      </c>
    </row>
    <row r="9" spans="1:3" x14ac:dyDescent="0.25">
      <c r="A9" s="150">
        <v>8</v>
      </c>
      <c r="B9" s="151" t="s">
        <v>1061</v>
      </c>
      <c r="C9" s="152" t="s">
        <v>450</v>
      </c>
    </row>
    <row r="10" spans="1:3" x14ac:dyDescent="0.25">
      <c r="A10" s="150">
        <v>9</v>
      </c>
      <c r="B10" s="151" t="s">
        <v>1062</v>
      </c>
      <c r="C10" s="152" t="s">
        <v>453</v>
      </c>
    </row>
    <row r="11" spans="1:3" x14ac:dyDescent="0.25">
      <c r="A11" s="150">
        <v>10</v>
      </c>
      <c r="B11" s="151" t="s">
        <v>1063</v>
      </c>
      <c r="C11" s="152" t="s">
        <v>454</v>
      </c>
    </row>
    <row r="12" spans="1:3" x14ac:dyDescent="0.25">
      <c r="A12" s="150">
        <v>11</v>
      </c>
      <c r="B12" s="151" t="s">
        <v>1064</v>
      </c>
      <c r="C12" s="152" t="s">
        <v>455</v>
      </c>
    </row>
    <row r="13" spans="1:3" x14ac:dyDescent="0.25">
      <c r="A13" s="150">
        <v>12</v>
      </c>
      <c r="B13" s="151" t="s">
        <v>1065</v>
      </c>
      <c r="C13" s="152" t="s">
        <v>456</v>
      </c>
    </row>
    <row r="14" spans="1:3" x14ac:dyDescent="0.25">
      <c r="A14" s="150">
        <v>13</v>
      </c>
      <c r="B14" s="151" t="s">
        <v>1066</v>
      </c>
      <c r="C14" s="152" t="s">
        <v>502</v>
      </c>
    </row>
    <row r="15" spans="1:3" x14ac:dyDescent="0.25">
      <c r="A15" s="150">
        <v>14</v>
      </c>
      <c r="B15" s="151" t="s">
        <v>1067</v>
      </c>
      <c r="C15" s="152" t="s">
        <v>1068</v>
      </c>
    </row>
    <row r="16" spans="1:3" x14ac:dyDescent="0.25">
      <c r="A16" s="150">
        <v>15</v>
      </c>
      <c r="B16" s="151" t="s">
        <v>1069</v>
      </c>
      <c r="C16" s="152" t="s">
        <v>653</v>
      </c>
    </row>
    <row r="17" spans="1:3" x14ac:dyDescent="0.25">
      <c r="A17" s="150">
        <v>16</v>
      </c>
      <c r="B17" s="151" t="s">
        <v>1070</v>
      </c>
      <c r="C17" s="152" t="s">
        <v>664</v>
      </c>
    </row>
    <row r="18" spans="1:3" x14ac:dyDescent="0.25">
      <c r="A18" s="150">
        <v>17</v>
      </c>
      <c r="B18" s="151" t="s">
        <v>1071</v>
      </c>
      <c r="C18" s="152" t="s">
        <v>690</v>
      </c>
    </row>
    <row r="19" spans="1:3" x14ac:dyDescent="0.25">
      <c r="A19" s="150">
        <v>18</v>
      </c>
      <c r="B19" s="151" t="s">
        <v>1072</v>
      </c>
      <c r="C19" s="152" t="s">
        <v>1073</v>
      </c>
    </row>
    <row r="20" spans="1:3" x14ac:dyDescent="0.25">
      <c r="A20" s="150">
        <v>19</v>
      </c>
      <c r="B20" s="151" t="s">
        <v>1074</v>
      </c>
      <c r="C20" s="152" t="s">
        <v>730</v>
      </c>
    </row>
    <row r="21" spans="1:3" x14ac:dyDescent="0.25">
      <c r="A21" s="150">
        <v>20</v>
      </c>
      <c r="B21" s="151" t="s">
        <v>1075</v>
      </c>
      <c r="C21" s="152" t="s">
        <v>1076</v>
      </c>
    </row>
    <row r="22" spans="1:3" x14ac:dyDescent="0.25">
      <c r="A22" s="150">
        <v>21</v>
      </c>
      <c r="B22" s="151" t="s">
        <v>1077</v>
      </c>
      <c r="C22" s="152" t="s">
        <v>799</v>
      </c>
    </row>
    <row r="23" spans="1:3" x14ac:dyDescent="0.25">
      <c r="A23" s="150">
        <v>22</v>
      </c>
      <c r="B23" s="151" t="s">
        <v>1078</v>
      </c>
      <c r="C23" s="152" t="s">
        <v>807</v>
      </c>
    </row>
    <row r="24" spans="1:3" x14ac:dyDescent="0.25">
      <c r="A24" s="150">
        <v>23</v>
      </c>
      <c r="B24" s="151" t="s">
        <v>1079</v>
      </c>
      <c r="C24" s="152" t="s">
        <v>812</v>
      </c>
    </row>
    <row r="25" spans="1:3" x14ac:dyDescent="0.25">
      <c r="A25" s="150">
        <v>24</v>
      </c>
      <c r="B25" s="151" t="s">
        <v>1080</v>
      </c>
      <c r="C25" s="152" t="s">
        <v>814</v>
      </c>
    </row>
    <row r="26" spans="1:3" x14ac:dyDescent="0.25">
      <c r="A26" s="150">
        <v>25</v>
      </c>
      <c r="B26" s="151" t="s">
        <v>1081</v>
      </c>
      <c r="C26" s="152" t="s">
        <v>815</v>
      </c>
    </row>
    <row r="27" spans="1:3" x14ac:dyDescent="0.25">
      <c r="A27" s="150">
        <v>26</v>
      </c>
      <c r="B27" s="151" t="s">
        <v>1082</v>
      </c>
      <c r="C27" s="152" t="s">
        <v>829</v>
      </c>
    </row>
    <row r="28" spans="1:3" x14ac:dyDescent="0.25">
      <c r="A28" s="150">
        <v>27</v>
      </c>
      <c r="B28" s="151" t="s">
        <v>1083</v>
      </c>
      <c r="C28" s="152" t="s">
        <v>830</v>
      </c>
    </row>
    <row r="29" spans="1:3" x14ac:dyDescent="0.25">
      <c r="A29" s="150">
        <v>28</v>
      </c>
      <c r="B29" s="151" t="s">
        <v>1084</v>
      </c>
      <c r="C29" s="152" t="s">
        <v>833</v>
      </c>
    </row>
    <row r="30" spans="1:3" x14ac:dyDescent="0.25">
      <c r="A30" s="150">
        <v>29</v>
      </c>
      <c r="B30" s="153" t="s">
        <v>1085</v>
      </c>
      <c r="C30" s="152" t="s">
        <v>816</v>
      </c>
    </row>
  </sheetData>
  <hyperlinks>
    <hyperlink ref="B4" location="MIDCAP!A1" display="MIDCAP" xr:uid="{C0C19A6F-B7C3-4FA5-8B45-85BF8CC54B41}"/>
    <hyperlink ref="B5" location="MULTIP!A1" display="MULTIP" xr:uid="{D0BACB06-7762-4E80-95A8-0B6D31F01739}"/>
    <hyperlink ref="B6" location="SLTADV3!A1" display="SLTADV3" xr:uid="{215432AC-1F81-4054-AB42-5FD4075D1BAB}"/>
    <hyperlink ref="B7" location="SLTADV4!A1" display="SLTADV4" xr:uid="{DD169758-ACB3-4977-9A16-15049E16D427}"/>
    <hyperlink ref="B8" location="SLTAX2!A1" display="SLTAX2" xr:uid="{6FF07C77-35A9-4100-BFA7-0FB4706E982A}"/>
    <hyperlink ref="B9" location="SLTAX3!A1" display="SLTAX3" xr:uid="{D77FBF91-1556-4478-98F1-48EE98E8B67B}"/>
    <hyperlink ref="B10" location="SLTAX4!A1" display="SLTAX4" xr:uid="{CC073B1A-F4BA-41F6-9EA6-0C70462C9D92}"/>
    <hyperlink ref="B11" location="SLTAX5!A1" display="SLTAX5" xr:uid="{E4DDD552-0343-4A61-A8B0-178E3E8A4534}"/>
    <hyperlink ref="B12" location="SLTAX6!A1" display="SLTAX6" xr:uid="{FD066D99-5E15-44EC-9E7B-16E8B18E2CED}"/>
    <hyperlink ref="B13" location="SMILE!A1" display="SMILE" xr:uid="{4372AAFC-841B-4AAA-AE2F-D20CAFD9CE7E}"/>
    <hyperlink ref="B14" location="SPAHF!A1" display="SPAHF" xr:uid="{540CE6FD-A349-418D-A447-37DE3B81AD5D}"/>
    <hyperlink ref="B15" location="SPARF!A1" display="SPARF" xr:uid="{14605944-225B-4B98-998D-06FC872776C4}"/>
    <hyperlink ref="B16" location="SPBAF!A1" display="SPBAF" xr:uid="{492867F4-202C-483D-9EDC-5BA664037E89}"/>
    <hyperlink ref="B18" location="SPESF!A1" display="SPESF" xr:uid="{C6E8349F-248A-45C8-9B8B-9DE28CDD612C}"/>
    <hyperlink ref="B19" location="SPFOCUS!A1" display="SPFOCUS" xr:uid="{3FC6DCD1-3814-4BE6-B2D6-2D6E82DC78A0}"/>
    <hyperlink ref="B20" location="SPMUCF!A1" display="SPMUCF" xr:uid="{9AB0B9B1-4237-4307-A55E-7C89623BA971}"/>
    <hyperlink ref="B21" location="SPSN100!A1" display="SPSN100" xr:uid="{CD1B8AB5-3FBA-4C88-B0F0-7190AEF6BB56}"/>
    <hyperlink ref="B22" location="SPTAX!A1" display="SPTAX" xr:uid="{64167D20-5EB5-41B7-A4EB-6DD33D2106B8}"/>
    <hyperlink ref="B23" location="SRURAL!A1" display="SRURAL" xr:uid="{26547DB0-C9AE-47E7-89DB-88AC59AEA25D}"/>
    <hyperlink ref="B24" location="SSFUND!A1" display="SSFUND" xr:uid="{CD818ED7-C27F-4EE9-A33A-EFEDFE303608}"/>
    <hyperlink ref="B25" location="STAX!A1" display="STAX" xr:uid="{D2888FB5-C0FF-4372-B710-7A3E47880FBD}"/>
    <hyperlink ref="B26" location="SUNBCF!A1" display="SUNBCF" xr:uid="{607177E2-4F42-4E95-8986-EAEEAD01A699}"/>
    <hyperlink ref="B28" location="SUNFOP!A1" display="SUNFOP" xr:uid="{2507062F-A74E-457F-8A9B-C550DD268AB2}"/>
    <hyperlink ref="B3" location="GLOB!A1" display="GLOB" xr:uid="{3AB9F714-CFDE-4F3D-91CA-B2FF53053801}"/>
    <hyperlink ref="B27" location="SUNFCF!A1" display="SUNFCF" xr:uid="{54093F56-2479-4BAF-9034-399A4D14DFBB}"/>
    <hyperlink ref="B17" location="SPDYF!A1" display="SPDYF" xr:uid="{58D21351-95FB-40D5-8350-26B0E3FC4F8A}"/>
    <hyperlink ref="B29" location="SUNMAF!A1" display="SUNMAF" xr:uid="{C8FF708D-3198-4172-B1C6-675DFFDB7D5C}"/>
    <hyperlink ref="B2" location="CAPEXG!A1" display="CAPEXG" xr:uid="{044AEFC8-499F-4CDE-8784-859252363545}"/>
    <hyperlink ref="B30" location="SUNCYF!A1" display="SUNCYF" xr:uid="{87958D19-D79B-41FF-ACD4-73CEB5BAA9EA}"/>
  </hyperlinks>
  <pageMargins left="0.7" right="0.7" top="0.75" bottom="0.75" header="0.3" footer="0.3"/>
  <headerFooter>
    <oddHeader>&amp;L&amp;"Aptos"&amp;10&amp;KFF0000 "Sensitivity: Internal Use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1880B-19F9-4D53-8427-CBF09A238A12}">
  <sheetPr>
    <outlinePr summaryBelow="0" summaryRight="0"/>
  </sheetPr>
  <dimension ref="A1:Q162"/>
  <sheetViews>
    <sheetView showGridLines="0" workbookViewId="0">
      <selection sqref="A1:H1"/>
    </sheetView>
  </sheetViews>
  <sheetFormatPr defaultRowHeight="12.75" x14ac:dyDescent="0.2"/>
  <cols>
    <col min="1" max="1" width="6.85546875" customWidth="1"/>
    <col min="2" max="2" width="20.5703125" customWidth="1"/>
    <col min="3" max="3" width="35.855468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1</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ht="25.5" x14ac:dyDescent="0.2">
      <c r="A6" s="32"/>
      <c r="B6" s="32"/>
      <c r="C6" s="33" t="s">
        <v>10</v>
      </c>
      <c r="D6" s="32"/>
      <c r="E6" s="32"/>
      <c r="F6" s="32"/>
      <c r="G6" s="32"/>
      <c r="H6" s="34" t="s">
        <v>143</v>
      </c>
    </row>
    <row r="7" spans="1:9" x14ac:dyDescent="0.2">
      <c r="A7" s="35">
        <v>1</v>
      </c>
      <c r="B7" s="36" t="s">
        <v>11</v>
      </c>
      <c r="C7" s="36" t="s">
        <v>12</v>
      </c>
      <c r="D7" s="36" t="s">
        <v>13</v>
      </c>
      <c r="E7" s="37">
        <v>425000</v>
      </c>
      <c r="F7" s="38">
        <v>8540.7999999999993</v>
      </c>
      <c r="G7" s="39">
        <v>8.6990999999999999E-2</v>
      </c>
      <c r="H7" s="34" t="s">
        <v>143</v>
      </c>
    </row>
    <row r="8" spans="1:9" x14ac:dyDescent="0.2">
      <c r="A8" s="35">
        <v>2</v>
      </c>
      <c r="B8" s="36" t="s">
        <v>14</v>
      </c>
      <c r="C8" s="36" t="s">
        <v>15</v>
      </c>
      <c r="D8" s="36" t="s">
        <v>16</v>
      </c>
      <c r="E8" s="37">
        <v>545000</v>
      </c>
      <c r="F8" s="38">
        <v>8178.27</v>
      </c>
      <c r="G8" s="39">
        <v>8.3298510000000006E-2</v>
      </c>
      <c r="H8" s="34" t="s">
        <v>143</v>
      </c>
    </row>
    <row r="9" spans="1:9" x14ac:dyDescent="0.2">
      <c r="A9" s="35">
        <v>3</v>
      </c>
      <c r="B9" s="36" t="s">
        <v>17</v>
      </c>
      <c r="C9" s="36" t="s">
        <v>18</v>
      </c>
      <c r="D9" s="36" t="s">
        <v>19</v>
      </c>
      <c r="E9" s="37">
        <v>210000</v>
      </c>
      <c r="F9" s="38">
        <v>7706.58</v>
      </c>
      <c r="G9" s="39">
        <v>7.8494179999999997E-2</v>
      </c>
      <c r="H9" s="34" t="s">
        <v>143</v>
      </c>
    </row>
    <row r="10" spans="1:9" x14ac:dyDescent="0.2">
      <c r="A10" s="35">
        <v>4</v>
      </c>
      <c r="B10" s="36" t="s">
        <v>20</v>
      </c>
      <c r="C10" s="36" t="s">
        <v>21</v>
      </c>
      <c r="D10" s="36" t="s">
        <v>22</v>
      </c>
      <c r="E10" s="37">
        <v>1340000</v>
      </c>
      <c r="F10" s="38">
        <v>4487.66</v>
      </c>
      <c r="G10" s="39">
        <v>4.5708369999999998E-2</v>
      </c>
      <c r="H10" s="34" t="s">
        <v>143</v>
      </c>
    </row>
    <row r="11" spans="1:9" ht="25.5" x14ac:dyDescent="0.2">
      <c r="A11" s="35">
        <v>5</v>
      </c>
      <c r="B11" s="36" t="s">
        <v>23</v>
      </c>
      <c r="C11" s="36" t="s">
        <v>24</v>
      </c>
      <c r="D11" s="36" t="s">
        <v>25</v>
      </c>
      <c r="E11" s="37">
        <v>28000</v>
      </c>
      <c r="F11" s="38">
        <v>3386.04</v>
      </c>
      <c r="G11" s="39">
        <v>3.4487990000000003E-2</v>
      </c>
      <c r="H11" s="34" t="s">
        <v>143</v>
      </c>
    </row>
    <row r="12" spans="1:9" x14ac:dyDescent="0.2">
      <c r="A12" s="35">
        <v>6</v>
      </c>
      <c r="B12" s="36" t="s">
        <v>26</v>
      </c>
      <c r="C12" s="36" t="s">
        <v>27</v>
      </c>
      <c r="D12" s="36" t="s">
        <v>28</v>
      </c>
      <c r="E12" s="37">
        <v>675000</v>
      </c>
      <c r="F12" s="38">
        <v>2845.125</v>
      </c>
      <c r="G12" s="39">
        <v>2.897858E-2</v>
      </c>
      <c r="H12" s="34" t="s">
        <v>143</v>
      </c>
    </row>
    <row r="13" spans="1:9" x14ac:dyDescent="0.2">
      <c r="A13" s="35">
        <v>7</v>
      </c>
      <c r="B13" s="36" t="s">
        <v>29</v>
      </c>
      <c r="C13" s="36" t="s">
        <v>30</v>
      </c>
      <c r="D13" s="36" t="s">
        <v>22</v>
      </c>
      <c r="E13" s="37">
        <v>800000</v>
      </c>
      <c r="F13" s="38">
        <v>2399.1999999999998</v>
      </c>
      <c r="G13" s="39">
        <v>2.4436679999999999E-2</v>
      </c>
      <c r="H13" s="34" t="s">
        <v>143</v>
      </c>
    </row>
    <row r="14" spans="1:9" x14ac:dyDescent="0.2">
      <c r="A14" s="35">
        <v>8</v>
      </c>
      <c r="B14" s="36" t="s">
        <v>31</v>
      </c>
      <c r="C14" s="36" t="s">
        <v>32</v>
      </c>
      <c r="D14" s="36" t="s">
        <v>33</v>
      </c>
      <c r="E14" s="37">
        <v>160000</v>
      </c>
      <c r="F14" s="38">
        <v>2313.2800000000002</v>
      </c>
      <c r="G14" s="39">
        <v>2.3561559999999999E-2</v>
      </c>
      <c r="H14" s="34" t="s">
        <v>143</v>
      </c>
    </row>
    <row r="15" spans="1:9" x14ac:dyDescent="0.2">
      <c r="A15" s="35">
        <v>9</v>
      </c>
      <c r="B15" s="36" t="s">
        <v>34</v>
      </c>
      <c r="C15" s="36" t="s">
        <v>35</v>
      </c>
      <c r="D15" s="36" t="s">
        <v>36</v>
      </c>
      <c r="E15" s="37">
        <v>90000</v>
      </c>
      <c r="F15" s="38">
        <v>2124.9899999999998</v>
      </c>
      <c r="G15" s="39">
        <v>2.1643760000000001E-2</v>
      </c>
      <c r="H15" s="34" t="s">
        <v>143</v>
      </c>
    </row>
    <row r="16" spans="1:9" x14ac:dyDescent="0.2">
      <c r="A16" s="35">
        <v>10</v>
      </c>
      <c r="B16" s="36" t="s">
        <v>37</v>
      </c>
      <c r="C16" s="36" t="s">
        <v>38</v>
      </c>
      <c r="D16" s="36" t="s">
        <v>16</v>
      </c>
      <c r="E16" s="37">
        <v>575000</v>
      </c>
      <c r="F16" s="38">
        <v>1908.7125000000001</v>
      </c>
      <c r="G16" s="39">
        <v>1.9440900000000001E-2</v>
      </c>
      <c r="H16" s="34" t="s">
        <v>143</v>
      </c>
    </row>
    <row r="17" spans="1:8" x14ac:dyDescent="0.2">
      <c r="A17" s="35">
        <v>11</v>
      </c>
      <c r="B17" s="36" t="s">
        <v>39</v>
      </c>
      <c r="C17" s="36" t="s">
        <v>40</v>
      </c>
      <c r="D17" s="36" t="s">
        <v>22</v>
      </c>
      <c r="E17" s="37">
        <v>415000</v>
      </c>
      <c r="F17" s="38">
        <v>1682.6175000000001</v>
      </c>
      <c r="G17" s="39">
        <v>1.713804E-2</v>
      </c>
      <c r="H17" s="34" t="s">
        <v>143</v>
      </c>
    </row>
    <row r="18" spans="1:8" x14ac:dyDescent="0.2">
      <c r="A18" s="35">
        <v>12</v>
      </c>
      <c r="B18" s="36" t="s">
        <v>41</v>
      </c>
      <c r="C18" s="36" t="s">
        <v>42</v>
      </c>
      <c r="D18" s="36" t="s">
        <v>43</v>
      </c>
      <c r="E18" s="37">
        <v>125000</v>
      </c>
      <c r="F18" s="38">
        <v>1603.875</v>
      </c>
      <c r="G18" s="39">
        <v>1.633602E-2</v>
      </c>
      <c r="H18" s="34" t="s">
        <v>143</v>
      </c>
    </row>
    <row r="19" spans="1:8" x14ac:dyDescent="0.2">
      <c r="A19" s="35">
        <v>13</v>
      </c>
      <c r="B19" s="36" t="s">
        <v>44</v>
      </c>
      <c r="C19" s="36" t="s">
        <v>45</v>
      </c>
      <c r="D19" s="36" t="s">
        <v>19</v>
      </c>
      <c r="E19" s="37">
        <v>130000</v>
      </c>
      <c r="F19" s="38">
        <v>1595.36</v>
      </c>
      <c r="G19" s="39">
        <v>1.624929E-2</v>
      </c>
      <c r="H19" s="34" t="s">
        <v>143</v>
      </c>
    </row>
    <row r="20" spans="1:8" x14ac:dyDescent="0.2">
      <c r="A20" s="35">
        <v>14</v>
      </c>
      <c r="B20" s="36" t="s">
        <v>46</v>
      </c>
      <c r="C20" s="36" t="s">
        <v>47</v>
      </c>
      <c r="D20" s="36" t="s">
        <v>33</v>
      </c>
      <c r="E20" s="37">
        <v>190000</v>
      </c>
      <c r="F20" s="38">
        <v>1558.665</v>
      </c>
      <c r="G20" s="39">
        <v>1.587554E-2</v>
      </c>
      <c r="H20" s="34" t="s">
        <v>143</v>
      </c>
    </row>
    <row r="21" spans="1:8" ht="25.5" x14ac:dyDescent="0.2">
      <c r="A21" s="35">
        <v>15</v>
      </c>
      <c r="B21" s="36" t="s">
        <v>48</v>
      </c>
      <c r="C21" s="36" t="s">
        <v>49</v>
      </c>
      <c r="D21" s="36" t="s">
        <v>25</v>
      </c>
      <c r="E21" s="37">
        <v>25000</v>
      </c>
      <c r="F21" s="38">
        <v>1537.5</v>
      </c>
      <c r="G21" s="39">
        <v>1.5659969999999999E-2</v>
      </c>
      <c r="H21" s="34" t="s">
        <v>143</v>
      </c>
    </row>
    <row r="22" spans="1:8" x14ac:dyDescent="0.2">
      <c r="A22" s="35">
        <v>16</v>
      </c>
      <c r="B22" s="36" t="s">
        <v>50</v>
      </c>
      <c r="C22" s="36" t="s">
        <v>51</v>
      </c>
      <c r="D22" s="36" t="s">
        <v>52</v>
      </c>
      <c r="E22" s="37">
        <v>25000</v>
      </c>
      <c r="F22" s="38">
        <v>1494.125</v>
      </c>
      <c r="G22" s="39">
        <v>1.521818E-2</v>
      </c>
      <c r="H22" s="34" t="s">
        <v>143</v>
      </c>
    </row>
    <row r="23" spans="1:8" x14ac:dyDescent="0.2">
      <c r="A23" s="35">
        <v>17</v>
      </c>
      <c r="B23" s="36" t="s">
        <v>53</v>
      </c>
      <c r="C23" s="36" t="s">
        <v>54</v>
      </c>
      <c r="D23" s="36" t="s">
        <v>55</v>
      </c>
      <c r="E23" s="37">
        <v>21500</v>
      </c>
      <c r="F23" s="38">
        <v>1455.4425000000001</v>
      </c>
      <c r="G23" s="39">
        <v>1.4824189999999999E-2</v>
      </c>
      <c r="H23" s="34" t="s">
        <v>143</v>
      </c>
    </row>
    <row r="24" spans="1:8" ht="25.5" x14ac:dyDescent="0.2">
      <c r="A24" s="35">
        <v>18</v>
      </c>
      <c r="B24" s="36" t="s">
        <v>56</v>
      </c>
      <c r="C24" s="36" t="s">
        <v>57</v>
      </c>
      <c r="D24" s="36" t="s">
        <v>58</v>
      </c>
      <c r="E24" s="37">
        <v>100000</v>
      </c>
      <c r="F24" s="38">
        <v>1450.2</v>
      </c>
      <c r="G24" s="39">
        <v>1.4770790000000001E-2</v>
      </c>
      <c r="H24" s="34" t="s">
        <v>143</v>
      </c>
    </row>
    <row r="25" spans="1:8" x14ac:dyDescent="0.2">
      <c r="A25" s="35">
        <v>19</v>
      </c>
      <c r="B25" s="36" t="s">
        <v>59</v>
      </c>
      <c r="C25" s="36" t="s">
        <v>60</v>
      </c>
      <c r="D25" s="36" t="s">
        <v>61</v>
      </c>
      <c r="E25" s="37">
        <v>127695</v>
      </c>
      <c r="F25" s="38">
        <v>1417.1591100000001</v>
      </c>
      <c r="G25" s="39">
        <v>1.4434260000000001E-2</v>
      </c>
      <c r="H25" s="34" t="s">
        <v>143</v>
      </c>
    </row>
    <row r="26" spans="1:8" x14ac:dyDescent="0.2">
      <c r="A26" s="35">
        <v>20</v>
      </c>
      <c r="B26" s="36" t="s">
        <v>62</v>
      </c>
      <c r="C26" s="36" t="s">
        <v>63</v>
      </c>
      <c r="D26" s="36" t="s">
        <v>13</v>
      </c>
      <c r="E26" s="37">
        <v>325000</v>
      </c>
      <c r="F26" s="38">
        <v>1368.575</v>
      </c>
      <c r="G26" s="39">
        <v>1.3939409999999999E-2</v>
      </c>
      <c r="H26" s="34" t="s">
        <v>143</v>
      </c>
    </row>
    <row r="27" spans="1:8" x14ac:dyDescent="0.2">
      <c r="A27" s="35">
        <v>21</v>
      </c>
      <c r="B27" s="36" t="s">
        <v>64</v>
      </c>
      <c r="C27" s="36" t="s">
        <v>65</v>
      </c>
      <c r="D27" s="36" t="s">
        <v>36</v>
      </c>
      <c r="E27" s="37">
        <v>2000000</v>
      </c>
      <c r="F27" s="38">
        <v>1354.4</v>
      </c>
      <c r="G27" s="39">
        <v>1.379503E-2</v>
      </c>
      <c r="H27" s="34" t="s">
        <v>143</v>
      </c>
    </row>
    <row r="28" spans="1:8" x14ac:dyDescent="0.2">
      <c r="A28" s="35">
        <v>22</v>
      </c>
      <c r="B28" s="36" t="s">
        <v>66</v>
      </c>
      <c r="C28" s="36" t="s">
        <v>67</v>
      </c>
      <c r="D28" s="36" t="s">
        <v>36</v>
      </c>
      <c r="E28" s="37">
        <v>270000</v>
      </c>
      <c r="F28" s="38">
        <v>1348.65</v>
      </c>
      <c r="G28" s="39">
        <v>1.3736470000000001E-2</v>
      </c>
      <c r="H28" s="34" t="s">
        <v>143</v>
      </c>
    </row>
    <row r="29" spans="1:8" x14ac:dyDescent="0.2">
      <c r="A29" s="35">
        <v>23</v>
      </c>
      <c r="B29" s="36" t="s">
        <v>68</v>
      </c>
      <c r="C29" s="36" t="s">
        <v>69</v>
      </c>
      <c r="D29" s="36" t="s">
        <v>70</v>
      </c>
      <c r="E29" s="37">
        <v>550000</v>
      </c>
      <c r="F29" s="38">
        <v>1343.155</v>
      </c>
      <c r="G29" s="39">
        <v>1.36805E-2</v>
      </c>
      <c r="H29" s="34" t="s">
        <v>143</v>
      </c>
    </row>
    <row r="30" spans="1:8" x14ac:dyDescent="0.2">
      <c r="A30" s="35">
        <v>24</v>
      </c>
      <c r="B30" s="36" t="s">
        <v>71</v>
      </c>
      <c r="C30" s="36" t="s">
        <v>72</v>
      </c>
      <c r="D30" s="36" t="s">
        <v>73</v>
      </c>
      <c r="E30" s="37">
        <v>25000</v>
      </c>
      <c r="F30" s="38">
        <v>1289.25</v>
      </c>
      <c r="G30" s="39">
        <v>1.3131459999999999E-2</v>
      </c>
      <c r="H30" s="34" t="s">
        <v>143</v>
      </c>
    </row>
    <row r="31" spans="1:8" x14ac:dyDescent="0.2">
      <c r="A31" s="35">
        <v>25</v>
      </c>
      <c r="B31" s="36" t="s">
        <v>74</v>
      </c>
      <c r="C31" s="36" t="s">
        <v>75</v>
      </c>
      <c r="D31" s="36" t="s">
        <v>43</v>
      </c>
      <c r="E31" s="37">
        <v>23000</v>
      </c>
      <c r="F31" s="38">
        <v>1281.2149999999999</v>
      </c>
      <c r="G31" s="39">
        <v>1.304962E-2</v>
      </c>
      <c r="H31" s="34" t="s">
        <v>143</v>
      </c>
    </row>
    <row r="32" spans="1:8" x14ac:dyDescent="0.2">
      <c r="A32" s="35">
        <v>26</v>
      </c>
      <c r="B32" s="36" t="s">
        <v>76</v>
      </c>
      <c r="C32" s="36" t="s">
        <v>77</v>
      </c>
      <c r="D32" s="36" t="s">
        <v>13</v>
      </c>
      <c r="E32" s="37">
        <v>65000</v>
      </c>
      <c r="F32" s="38">
        <v>1269.2550000000001</v>
      </c>
      <c r="G32" s="39">
        <v>1.29278E-2</v>
      </c>
      <c r="H32" s="34" t="s">
        <v>143</v>
      </c>
    </row>
    <row r="33" spans="1:8" x14ac:dyDescent="0.2">
      <c r="A33" s="35">
        <v>27</v>
      </c>
      <c r="B33" s="36" t="s">
        <v>78</v>
      </c>
      <c r="C33" s="36" t="s">
        <v>79</v>
      </c>
      <c r="D33" s="36" t="s">
        <v>73</v>
      </c>
      <c r="E33" s="37">
        <v>155000</v>
      </c>
      <c r="F33" s="38">
        <v>1267.9775</v>
      </c>
      <c r="G33" s="39">
        <v>1.2914790000000001E-2</v>
      </c>
      <c r="H33" s="34" t="s">
        <v>143</v>
      </c>
    </row>
    <row r="34" spans="1:8" x14ac:dyDescent="0.2">
      <c r="A34" s="35">
        <v>28</v>
      </c>
      <c r="B34" s="36" t="s">
        <v>80</v>
      </c>
      <c r="C34" s="36" t="s">
        <v>81</v>
      </c>
      <c r="D34" s="36" t="s">
        <v>73</v>
      </c>
      <c r="E34" s="37">
        <v>87000</v>
      </c>
      <c r="F34" s="38">
        <v>1232.9639999999999</v>
      </c>
      <c r="G34" s="39">
        <v>1.2558160000000001E-2</v>
      </c>
      <c r="H34" s="34" t="s">
        <v>143</v>
      </c>
    </row>
    <row r="35" spans="1:8" x14ac:dyDescent="0.2">
      <c r="A35" s="35">
        <v>29</v>
      </c>
      <c r="B35" s="36" t="s">
        <v>82</v>
      </c>
      <c r="C35" s="36" t="s">
        <v>83</v>
      </c>
      <c r="D35" s="36" t="s">
        <v>36</v>
      </c>
      <c r="E35" s="37">
        <v>6000</v>
      </c>
      <c r="F35" s="38">
        <v>1200.42</v>
      </c>
      <c r="G35" s="39">
        <v>1.222669E-2</v>
      </c>
      <c r="H35" s="34" t="s">
        <v>143</v>
      </c>
    </row>
    <row r="36" spans="1:8" ht="25.5" x14ac:dyDescent="0.2">
      <c r="A36" s="35">
        <v>30</v>
      </c>
      <c r="B36" s="36" t="s">
        <v>84</v>
      </c>
      <c r="C36" s="36" t="s">
        <v>85</v>
      </c>
      <c r="D36" s="36" t="s">
        <v>43</v>
      </c>
      <c r="E36" s="37">
        <v>8921</v>
      </c>
      <c r="F36" s="38">
        <v>1194.7003199999999</v>
      </c>
      <c r="G36" s="39">
        <v>1.2168440000000001E-2</v>
      </c>
      <c r="H36" s="34" t="s">
        <v>143</v>
      </c>
    </row>
    <row r="37" spans="1:8" x14ac:dyDescent="0.2">
      <c r="A37" s="35">
        <v>31</v>
      </c>
      <c r="B37" s="36" t="s">
        <v>86</v>
      </c>
      <c r="C37" s="36" t="s">
        <v>87</v>
      </c>
      <c r="D37" s="36" t="s">
        <v>22</v>
      </c>
      <c r="E37" s="37">
        <v>80000</v>
      </c>
      <c r="F37" s="38">
        <v>1174.08</v>
      </c>
      <c r="G37" s="39">
        <v>1.1958409999999999E-2</v>
      </c>
      <c r="H37" s="34" t="s">
        <v>143</v>
      </c>
    </row>
    <row r="38" spans="1:8" x14ac:dyDescent="0.2">
      <c r="A38" s="35">
        <v>32</v>
      </c>
      <c r="B38" s="36" t="s">
        <v>88</v>
      </c>
      <c r="C38" s="36" t="s">
        <v>89</v>
      </c>
      <c r="D38" s="36" t="s">
        <v>36</v>
      </c>
      <c r="E38" s="37">
        <v>175000</v>
      </c>
      <c r="F38" s="38">
        <v>1145.7249999999999</v>
      </c>
      <c r="G38" s="39">
        <v>1.166961E-2</v>
      </c>
      <c r="H38" s="34" t="s">
        <v>143</v>
      </c>
    </row>
    <row r="39" spans="1:8" x14ac:dyDescent="0.2">
      <c r="A39" s="35">
        <v>33</v>
      </c>
      <c r="B39" s="36" t="s">
        <v>90</v>
      </c>
      <c r="C39" s="36" t="s">
        <v>91</v>
      </c>
      <c r="D39" s="36" t="s">
        <v>61</v>
      </c>
      <c r="E39" s="37">
        <v>75000</v>
      </c>
      <c r="F39" s="38">
        <v>1099.3499999999999</v>
      </c>
      <c r="G39" s="39">
        <v>1.1197260000000001E-2</v>
      </c>
      <c r="H39" s="34" t="s">
        <v>143</v>
      </c>
    </row>
    <row r="40" spans="1:8" x14ac:dyDescent="0.2">
      <c r="A40" s="35">
        <v>34</v>
      </c>
      <c r="B40" s="36" t="s">
        <v>92</v>
      </c>
      <c r="C40" s="36" t="s">
        <v>93</v>
      </c>
      <c r="D40" s="36" t="s">
        <v>94</v>
      </c>
      <c r="E40" s="37">
        <v>575000</v>
      </c>
      <c r="F40" s="38">
        <v>1097.33</v>
      </c>
      <c r="G40" s="39">
        <v>1.117669E-2</v>
      </c>
      <c r="H40" s="34" t="s">
        <v>143</v>
      </c>
    </row>
    <row r="41" spans="1:8" x14ac:dyDescent="0.2">
      <c r="A41" s="35">
        <v>35</v>
      </c>
      <c r="B41" s="36" t="s">
        <v>95</v>
      </c>
      <c r="C41" s="36" t="s">
        <v>96</v>
      </c>
      <c r="D41" s="36" t="s">
        <v>36</v>
      </c>
      <c r="E41" s="37">
        <v>33000</v>
      </c>
      <c r="F41" s="38">
        <v>1072.9949999999999</v>
      </c>
      <c r="G41" s="39">
        <v>1.092883E-2</v>
      </c>
      <c r="H41" s="34" t="s">
        <v>143</v>
      </c>
    </row>
    <row r="42" spans="1:8" x14ac:dyDescent="0.2">
      <c r="A42" s="35">
        <v>36</v>
      </c>
      <c r="B42" s="36" t="s">
        <v>97</v>
      </c>
      <c r="C42" s="36" t="s">
        <v>98</v>
      </c>
      <c r="D42" s="36" t="s">
        <v>73</v>
      </c>
      <c r="E42" s="37">
        <v>30000</v>
      </c>
      <c r="F42" s="38">
        <v>1019.82</v>
      </c>
      <c r="G42" s="39">
        <v>1.0387220000000001E-2</v>
      </c>
      <c r="H42" s="34" t="s">
        <v>143</v>
      </c>
    </row>
    <row r="43" spans="1:8" x14ac:dyDescent="0.2">
      <c r="A43" s="35">
        <v>37</v>
      </c>
      <c r="B43" s="36" t="s">
        <v>99</v>
      </c>
      <c r="C43" s="36" t="s">
        <v>100</v>
      </c>
      <c r="D43" s="36" t="s">
        <v>43</v>
      </c>
      <c r="E43" s="37">
        <v>25000</v>
      </c>
      <c r="F43" s="38">
        <v>1011.825</v>
      </c>
      <c r="G43" s="39">
        <v>1.030579E-2</v>
      </c>
      <c r="H43" s="34" t="s">
        <v>143</v>
      </c>
    </row>
    <row r="44" spans="1:8" ht="25.5" x14ac:dyDescent="0.2">
      <c r="A44" s="35">
        <v>38</v>
      </c>
      <c r="B44" s="36" t="s">
        <v>101</v>
      </c>
      <c r="C44" s="36" t="s">
        <v>102</v>
      </c>
      <c r="D44" s="36" t="s">
        <v>25</v>
      </c>
      <c r="E44" s="37">
        <v>175000</v>
      </c>
      <c r="F44" s="38">
        <v>1010.5375</v>
      </c>
      <c r="G44" s="39">
        <v>1.029267E-2</v>
      </c>
      <c r="H44" s="34" t="s">
        <v>143</v>
      </c>
    </row>
    <row r="45" spans="1:8" x14ac:dyDescent="0.2">
      <c r="A45" s="35">
        <v>39</v>
      </c>
      <c r="B45" s="36" t="s">
        <v>103</v>
      </c>
      <c r="C45" s="36" t="s">
        <v>104</v>
      </c>
      <c r="D45" s="36" t="s">
        <v>36</v>
      </c>
      <c r="E45" s="37">
        <v>16000</v>
      </c>
      <c r="F45" s="38">
        <v>972.88</v>
      </c>
      <c r="G45" s="39">
        <v>9.9091200000000004E-3</v>
      </c>
      <c r="H45" s="34" t="s">
        <v>143</v>
      </c>
    </row>
    <row r="46" spans="1:8" x14ac:dyDescent="0.2">
      <c r="A46" s="35">
        <v>40</v>
      </c>
      <c r="B46" s="36" t="s">
        <v>105</v>
      </c>
      <c r="C46" s="36" t="s">
        <v>106</v>
      </c>
      <c r="D46" s="36" t="s">
        <v>73</v>
      </c>
      <c r="E46" s="37">
        <v>24000</v>
      </c>
      <c r="F46" s="38">
        <v>910.22400000000005</v>
      </c>
      <c r="G46" s="39">
        <v>9.27095E-3</v>
      </c>
      <c r="H46" s="34" t="s">
        <v>143</v>
      </c>
    </row>
    <row r="47" spans="1:8" x14ac:dyDescent="0.2">
      <c r="A47" s="35">
        <v>41</v>
      </c>
      <c r="B47" s="36" t="s">
        <v>107</v>
      </c>
      <c r="C47" s="36" t="s">
        <v>108</v>
      </c>
      <c r="D47" s="36" t="s">
        <v>52</v>
      </c>
      <c r="E47" s="37">
        <v>235000</v>
      </c>
      <c r="F47" s="38">
        <v>899.58</v>
      </c>
      <c r="G47" s="39">
        <v>9.1625300000000003E-3</v>
      </c>
      <c r="H47" s="34" t="s">
        <v>143</v>
      </c>
    </row>
    <row r="48" spans="1:8" x14ac:dyDescent="0.2">
      <c r="A48" s="35">
        <v>42</v>
      </c>
      <c r="B48" s="36" t="s">
        <v>109</v>
      </c>
      <c r="C48" s="36" t="s">
        <v>110</v>
      </c>
      <c r="D48" s="36" t="s">
        <v>19</v>
      </c>
      <c r="E48" s="37">
        <v>380000</v>
      </c>
      <c r="F48" s="38">
        <v>875.74800000000005</v>
      </c>
      <c r="G48" s="39">
        <v>8.9198000000000003E-3</v>
      </c>
      <c r="H48" s="34" t="s">
        <v>143</v>
      </c>
    </row>
    <row r="49" spans="1:8" x14ac:dyDescent="0.2">
      <c r="A49" s="35">
        <v>43</v>
      </c>
      <c r="B49" s="36" t="s">
        <v>111</v>
      </c>
      <c r="C49" s="36" t="s">
        <v>112</v>
      </c>
      <c r="D49" s="36" t="s">
        <v>73</v>
      </c>
      <c r="E49" s="37">
        <v>50000</v>
      </c>
      <c r="F49" s="38">
        <v>869.55</v>
      </c>
      <c r="G49" s="39">
        <v>8.8566700000000005E-3</v>
      </c>
      <c r="H49" s="34" t="s">
        <v>143</v>
      </c>
    </row>
    <row r="50" spans="1:8" x14ac:dyDescent="0.2">
      <c r="A50" s="35">
        <v>44</v>
      </c>
      <c r="B50" s="36" t="s">
        <v>113</v>
      </c>
      <c r="C50" s="36" t="s">
        <v>114</v>
      </c>
      <c r="D50" s="36" t="s">
        <v>73</v>
      </c>
      <c r="E50" s="37">
        <v>101916</v>
      </c>
      <c r="F50" s="38">
        <v>867.35611800000004</v>
      </c>
      <c r="G50" s="39">
        <v>8.8343199999999997E-3</v>
      </c>
      <c r="H50" s="34" t="s">
        <v>143</v>
      </c>
    </row>
    <row r="51" spans="1:8" x14ac:dyDescent="0.2">
      <c r="A51" s="35">
        <v>45</v>
      </c>
      <c r="B51" s="36" t="s">
        <v>115</v>
      </c>
      <c r="C51" s="36" t="s">
        <v>116</v>
      </c>
      <c r="D51" s="36" t="s">
        <v>36</v>
      </c>
      <c r="E51" s="37">
        <v>325000</v>
      </c>
      <c r="F51" s="38">
        <v>865.47500000000002</v>
      </c>
      <c r="G51" s="39">
        <v>8.8151600000000007E-3</v>
      </c>
      <c r="H51" s="34" t="s">
        <v>143</v>
      </c>
    </row>
    <row r="52" spans="1:8" ht="25.5" x14ac:dyDescent="0.2">
      <c r="A52" s="35">
        <v>46</v>
      </c>
      <c r="B52" s="36" t="s">
        <v>117</v>
      </c>
      <c r="C52" s="36" t="s">
        <v>118</v>
      </c>
      <c r="D52" s="36" t="s">
        <v>119</v>
      </c>
      <c r="E52" s="37">
        <v>170000</v>
      </c>
      <c r="F52" s="38">
        <v>865.04499999999996</v>
      </c>
      <c r="G52" s="39">
        <v>8.8107800000000007E-3</v>
      </c>
      <c r="H52" s="34" t="s">
        <v>143</v>
      </c>
    </row>
    <row r="53" spans="1:8" x14ac:dyDescent="0.2">
      <c r="A53" s="35">
        <v>47</v>
      </c>
      <c r="B53" s="36" t="s">
        <v>120</v>
      </c>
      <c r="C53" s="36" t="s">
        <v>121</v>
      </c>
      <c r="D53" s="36" t="s">
        <v>36</v>
      </c>
      <c r="E53" s="37">
        <v>135000</v>
      </c>
      <c r="F53" s="38">
        <v>826.8075</v>
      </c>
      <c r="G53" s="39">
        <v>8.4213199999999995E-3</v>
      </c>
      <c r="H53" s="34" t="s">
        <v>143</v>
      </c>
    </row>
    <row r="54" spans="1:8" x14ac:dyDescent="0.2">
      <c r="A54" s="35">
        <v>48</v>
      </c>
      <c r="B54" s="36" t="s">
        <v>122</v>
      </c>
      <c r="C54" s="36" t="s">
        <v>123</v>
      </c>
      <c r="D54" s="36" t="s">
        <v>43</v>
      </c>
      <c r="E54" s="37">
        <v>60000</v>
      </c>
      <c r="F54" s="38">
        <v>784.86</v>
      </c>
      <c r="G54" s="39">
        <v>7.9940700000000007E-3</v>
      </c>
      <c r="H54" s="34" t="s">
        <v>143</v>
      </c>
    </row>
    <row r="55" spans="1:8" x14ac:dyDescent="0.2">
      <c r="A55" s="35">
        <v>49</v>
      </c>
      <c r="B55" s="36" t="s">
        <v>124</v>
      </c>
      <c r="C55" s="36" t="s">
        <v>125</v>
      </c>
      <c r="D55" s="36" t="s">
        <v>19</v>
      </c>
      <c r="E55" s="37">
        <v>70000</v>
      </c>
      <c r="F55" s="38">
        <v>754.6</v>
      </c>
      <c r="G55" s="39">
        <v>7.6858600000000001E-3</v>
      </c>
      <c r="H55" s="34" t="s">
        <v>143</v>
      </c>
    </row>
    <row r="56" spans="1:8" x14ac:dyDescent="0.2">
      <c r="A56" s="35">
        <v>50</v>
      </c>
      <c r="B56" s="36" t="s">
        <v>126</v>
      </c>
      <c r="C56" s="36" t="s">
        <v>127</v>
      </c>
      <c r="D56" s="36" t="s">
        <v>36</v>
      </c>
      <c r="E56" s="37">
        <v>20000</v>
      </c>
      <c r="F56" s="38">
        <v>683.86</v>
      </c>
      <c r="G56" s="39">
        <v>6.9653500000000004E-3</v>
      </c>
      <c r="H56" s="34" t="s">
        <v>143</v>
      </c>
    </row>
    <row r="57" spans="1:8" x14ac:dyDescent="0.2">
      <c r="A57" s="35">
        <v>51</v>
      </c>
      <c r="B57" s="36" t="s">
        <v>128</v>
      </c>
      <c r="C57" s="36" t="s">
        <v>129</v>
      </c>
      <c r="D57" s="36" t="s">
        <v>52</v>
      </c>
      <c r="E57" s="37">
        <v>90000</v>
      </c>
      <c r="F57" s="38">
        <v>683.82</v>
      </c>
      <c r="G57" s="39">
        <v>6.9649400000000002E-3</v>
      </c>
      <c r="H57" s="34" t="s">
        <v>143</v>
      </c>
    </row>
    <row r="58" spans="1:8" x14ac:dyDescent="0.2">
      <c r="A58" s="35">
        <v>52</v>
      </c>
      <c r="B58" s="36" t="s">
        <v>130</v>
      </c>
      <c r="C58" s="36" t="s">
        <v>131</v>
      </c>
      <c r="D58" s="36" t="s">
        <v>36</v>
      </c>
      <c r="E58" s="37">
        <v>21000</v>
      </c>
      <c r="F58" s="38">
        <v>624.93899999999996</v>
      </c>
      <c r="G58" s="39">
        <v>6.3652200000000004E-3</v>
      </c>
      <c r="H58" s="34" t="s">
        <v>143</v>
      </c>
    </row>
    <row r="59" spans="1:8" x14ac:dyDescent="0.2">
      <c r="A59" s="35">
        <v>53</v>
      </c>
      <c r="B59" s="36" t="s">
        <v>132</v>
      </c>
      <c r="C59" s="36" t="s">
        <v>133</v>
      </c>
      <c r="D59" s="36" t="s">
        <v>73</v>
      </c>
      <c r="E59" s="37">
        <v>81463</v>
      </c>
      <c r="F59" s="38">
        <v>573.74390900000003</v>
      </c>
      <c r="G59" s="39">
        <v>5.8437799999999998E-3</v>
      </c>
      <c r="H59" s="34" t="s">
        <v>143</v>
      </c>
    </row>
    <row r="60" spans="1:8" x14ac:dyDescent="0.2">
      <c r="A60" s="35">
        <v>54</v>
      </c>
      <c r="B60" s="36" t="s">
        <v>134</v>
      </c>
      <c r="C60" s="36" t="s">
        <v>135</v>
      </c>
      <c r="D60" s="36" t="s">
        <v>136</v>
      </c>
      <c r="E60" s="37">
        <v>50000</v>
      </c>
      <c r="F60" s="38">
        <v>470.85</v>
      </c>
      <c r="G60" s="39">
        <v>4.7957700000000004E-3</v>
      </c>
      <c r="H60" s="34" t="s">
        <v>143</v>
      </c>
    </row>
    <row r="61" spans="1:8" x14ac:dyDescent="0.2">
      <c r="A61" s="35">
        <v>55</v>
      </c>
      <c r="B61" s="36" t="s">
        <v>137</v>
      </c>
      <c r="C61" s="36" t="s">
        <v>138</v>
      </c>
      <c r="D61" s="36" t="s">
        <v>73</v>
      </c>
      <c r="E61" s="37">
        <v>7913</v>
      </c>
      <c r="F61" s="38">
        <v>136.83159599999999</v>
      </c>
      <c r="G61" s="39">
        <v>1.39368E-3</v>
      </c>
      <c r="H61" s="34" t="s">
        <v>143</v>
      </c>
    </row>
    <row r="62" spans="1:8" x14ac:dyDescent="0.2">
      <c r="A62" s="41"/>
      <c r="B62" s="41"/>
      <c r="C62" s="42" t="s">
        <v>142</v>
      </c>
      <c r="D62" s="41"/>
      <c r="E62" s="41" t="s">
        <v>143</v>
      </c>
      <c r="F62" s="43">
        <f>SUM(F7:F61)</f>
        <v>93133.996053000054</v>
      </c>
      <c r="G62" s="44">
        <f>SUM(G7:G61)</f>
        <v>0.94860197999999973</v>
      </c>
      <c r="H62" s="34" t="s">
        <v>143</v>
      </c>
    </row>
    <row r="63" spans="1:8" x14ac:dyDescent="0.2">
      <c r="A63" s="41"/>
      <c r="B63" s="41"/>
      <c r="C63" s="45"/>
      <c r="D63" s="41"/>
      <c r="E63" s="41"/>
      <c r="F63" s="46"/>
      <c r="G63" s="46"/>
      <c r="H63" s="34" t="s">
        <v>143</v>
      </c>
    </row>
    <row r="64" spans="1:8" x14ac:dyDescent="0.2">
      <c r="A64" s="41"/>
      <c r="B64" s="41"/>
      <c r="C64" s="42" t="s">
        <v>144</v>
      </c>
      <c r="D64" s="41"/>
      <c r="E64" s="41"/>
      <c r="F64" s="41"/>
      <c r="G64" s="41"/>
      <c r="H64" s="34" t="s">
        <v>143</v>
      </c>
    </row>
    <row r="65" spans="1:8" x14ac:dyDescent="0.2">
      <c r="A65" s="41"/>
      <c r="B65" s="41"/>
      <c r="C65" s="42" t="s">
        <v>142</v>
      </c>
      <c r="D65" s="41"/>
      <c r="E65" s="41" t="s">
        <v>143</v>
      </c>
      <c r="F65" s="47" t="s">
        <v>145</v>
      </c>
      <c r="G65" s="44">
        <v>0</v>
      </c>
      <c r="H65" s="34" t="s">
        <v>143</v>
      </c>
    </row>
    <row r="66" spans="1:8" x14ac:dyDescent="0.2">
      <c r="A66" s="41"/>
      <c r="B66" s="41"/>
      <c r="C66" s="45"/>
      <c r="D66" s="41"/>
      <c r="E66" s="41"/>
      <c r="F66" s="46"/>
      <c r="G66" s="46"/>
      <c r="H66" s="34" t="s">
        <v>143</v>
      </c>
    </row>
    <row r="67" spans="1:8" x14ac:dyDescent="0.2">
      <c r="A67" s="41"/>
      <c r="B67" s="41"/>
      <c r="C67" s="42" t="s">
        <v>146</v>
      </c>
      <c r="D67" s="41"/>
      <c r="E67" s="41"/>
      <c r="F67" s="41"/>
      <c r="G67" s="41"/>
      <c r="H67" s="34" t="s">
        <v>143</v>
      </c>
    </row>
    <row r="68" spans="1:8" x14ac:dyDescent="0.2">
      <c r="A68" s="35">
        <v>1</v>
      </c>
      <c r="B68" s="36" t="s">
        <v>139</v>
      </c>
      <c r="C68" s="50" t="s">
        <v>859</v>
      </c>
      <c r="D68" s="36" t="s">
        <v>140</v>
      </c>
      <c r="E68" s="37">
        <v>559425</v>
      </c>
      <c r="F68" s="38">
        <v>1.1189000000000001E-5</v>
      </c>
      <c r="G68" s="48" t="s">
        <v>141</v>
      </c>
      <c r="H68" s="34" t="s">
        <v>143</v>
      </c>
    </row>
    <row r="69" spans="1:8" x14ac:dyDescent="0.2">
      <c r="A69" s="41"/>
      <c r="B69" s="41"/>
      <c r="C69" s="42" t="s">
        <v>142</v>
      </c>
      <c r="D69" s="41"/>
      <c r="E69" s="41" t="s">
        <v>143</v>
      </c>
      <c r="F69" s="47" t="s">
        <v>145</v>
      </c>
      <c r="G69" s="44">
        <v>0</v>
      </c>
      <c r="H69" s="34" t="s">
        <v>143</v>
      </c>
    </row>
    <row r="70" spans="1:8" x14ac:dyDescent="0.2">
      <c r="A70" s="41"/>
      <c r="B70" s="41"/>
      <c r="C70" s="45"/>
      <c r="D70" s="41"/>
      <c r="E70" s="41"/>
      <c r="F70" s="46"/>
      <c r="G70" s="46"/>
      <c r="H70" s="34" t="s">
        <v>143</v>
      </c>
    </row>
    <row r="71" spans="1:8" x14ac:dyDescent="0.2">
      <c r="A71" s="41"/>
      <c r="B71" s="41"/>
      <c r="C71" s="42" t="s">
        <v>147</v>
      </c>
      <c r="D71" s="41"/>
      <c r="E71" s="41"/>
      <c r="F71" s="41"/>
      <c r="G71" s="41"/>
      <c r="H71" s="34" t="s">
        <v>143</v>
      </c>
    </row>
    <row r="72" spans="1:8" x14ac:dyDescent="0.2">
      <c r="A72" s="41"/>
      <c r="B72" s="41"/>
      <c r="C72" s="42" t="s">
        <v>142</v>
      </c>
      <c r="D72" s="41"/>
      <c r="E72" s="41" t="s">
        <v>143</v>
      </c>
      <c r="F72" s="47" t="s">
        <v>145</v>
      </c>
      <c r="G72" s="44">
        <v>0</v>
      </c>
      <c r="H72" s="34" t="s">
        <v>143</v>
      </c>
    </row>
    <row r="73" spans="1:8" x14ac:dyDescent="0.2">
      <c r="A73" s="41"/>
      <c r="B73" s="41"/>
      <c r="C73" s="45"/>
      <c r="D73" s="41"/>
      <c r="E73" s="41"/>
      <c r="F73" s="46"/>
      <c r="G73" s="46"/>
      <c r="H73" s="34" t="s">
        <v>143</v>
      </c>
    </row>
    <row r="74" spans="1:8" x14ac:dyDescent="0.2">
      <c r="A74" s="41"/>
      <c r="B74" s="41"/>
      <c r="C74" s="42" t="s">
        <v>148</v>
      </c>
      <c r="D74" s="41"/>
      <c r="E74" s="41"/>
      <c r="F74" s="46"/>
      <c r="G74" s="46"/>
      <c r="H74" s="34" t="s">
        <v>143</v>
      </c>
    </row>
    <row r="75" spans="1:8" x14ac:dyDescent="0.2">
      <c r="A75" s="41"/>
      <c r="B75" s="41"/>
      <c r="C75" s="42" t="s">
        <v>142</v>
      </c>
      <c r="D75" s="41"/>
      <c r="E75" s="41" t="s">
        <v>143</v>
      </c>
      <c r="F75" s="47" t="s">
        <v>145</v>
      </c>
      <c r="G75" s="44">
        <v>0</v>
      </c>
      <c r="H75" s="34" t="s">
        <v>143</v>
      </c>
    </row>
    <row r="76" spans="1:8" x14ac:dyDescent="0.2">
      <c r="A76" s="41"/>
      <c r="B76" s="41"/>
      <c r="C76" s="45"/>
      <c r="D76" s="41"/>
      <c r="E76" s="41"/>
      <c r="F76" s="46"/>
      <c r="G76" s="46"/>
      <c r="H76" s="34" t="s">
        <v>143</v>
      </c>
    </row>
    <row r="77" spans="1:8" x14ac:dyDescent="0.2">
      <c r="A77" s="41"/>
      <c r="B77" s="41"/>
      <c r="C77" s="42" t="s">
        <v>149</v>
      </c>
      <c r="D77" s="41"/>
      <c r="E77" s="41"/>
      <c r="F77" s="46"/>
      <c r="G77" s="46"/>
      <c r="H77" s="34" t="s">
        <v>143</v>
      </c>
    </row>
    <row r="78" spans="1:8" x14ac:dyDescent="0.2">
      <c r="A78" s="41"/>
      <c r="B78" s="41"/>
      <c r="C78" s="42" t="s">
        <v>142</v>
      </c>
      <c r="D78" s="41"/>
      <c r="E78" s="41" t="s">
        <v>143</v>
      </c>
      <c r="F78" s="47" t="s">
        <v>145</v>
      </c>
      <c r="G78" s="44">
        <v>0</v>
      </c>
      <c r="H78" s="34" t="s">
        <v>143</v>
      </c>
    </row>
    <row r="79" spans="1:8" x14ac:dyDescent="0.2">
      <c r="A79" s="41"/>
      <c r="B79" s="41"/>
      <c r="C79" s="45"/>
      <c r="D79" s="41"/>
      <c r="E79" s="41"/>
      <c r="F79" s="46"/>
      <c r="G79" s="46"/>
      <c r="H79" s="34" t="s">
        <v>143</v>
      </c>
    </row>
    <row r="80" spans="1:8" x14ac:dyDescent="0.2">
      <c r="A80" s="41"/>
      <c r="B80" s="41"/>
      <c r="C80" s="42" t="s">
        <v>150</v>
      </c>
      <c r="D80" s="41"/>
      <c r="E80" s="41"/>
      <c r="F80" s="43">
        <v>93133.996064189007</v>
      </c>
      <c r="G80" s="44">
        <v>0.94860197999999996</v>
      </c>
      <c r="H80" s="34" t="s">
        <v>143</v>
      </c>
    </row>
    <row r="81" spans="1:8" x14ac:dyDescent="0.2">
      <c r="A81" s="41"/>
      <c r="B81" s="41"/>
      <c r="C81" s="45"/>
      <c r="D81" s="41"/>
      <c r="E81" s="41"/>
      <c r="F81" s="46"/>
      <c r="G81" s="46"/>
      <c r="H81" s="34" t="s">
        <v>143</v>
      </c>
    </row>
    <row r="82" spans="1:8" x14ac:dyDescent="0.2">
      <c r="A82" s="41"/>
      <c r="B82" s="41"/>
      <c r="C82" s="42" t="s">
        <v>151</v>
      </c>
      <c r="D82" s="41"/>
      <c r="E82" s="41"/>
      <c r="F82" s="46"/>
      <c r="G82" s="46"/>
      <c r="H82" s="34" t="s">
        <v>143</v>
      </c>
    </row>
    <row r="83" spans="1:8" ht="25.5" x14ac:dyDescent="0.2">
      <c r="A83" s="41"/>
      <c r="B83" s="41"/>
      <c r="C83" s="42" t="s">
        <v>10</v>
      </c>
      <c r="D83" s="41"/>
      <c r="E83" s="41"/>
      <c r="F83" s="46"/>
      <c r="G83" s="46"/>
      <c r="H83" s="34" t="s">
        <v>143</v>
      </c>
    </row>
    <row r="84" spans="1:8" x14ac:dyDescent="0.2">
      <c r="A84" s="41"/>
      <c r="B84" s="41"/>
      <c r="C84" s="42" t="s">
        <v>142</v>
      </c>
      <c r="D84" s="41"/>
      <c r="E84" s="41" t="s">
        <v>143</v>
      </c>
      <c r="F84" s="47" t="s">
        <v>145</v>
      </c>
      <c r="G84" s="44">
        <v>0</v>
      </c>
      <c r="H84" s="34" t="s">
        <v>143</v>
      </c>
    </row>
    <row r="85" spans="1:8" x14ac:dyDescent="0.2">
      <c r="A85" s="41"/>
      <c r="B85" s="41"/>
      <c r="C85" s="45"/>
      <c r="D85" s="41"/>
      <c r="E85" s="41"/>
      <c r="F85" s="46"/>
      <c r="G85" s="46"/>
      <c r="H85" s="34" t="s">
        <v>143</v>
      </c>
    </row>
    <row r="86" spans="1:8" x14ac:dyDescent="0.2">
      <c r="A86" s="41"/>
      <c r="B86" s="41"/>
      <c r="C86" s="42" t="s">
        <v>152</v>
      </c>
      <c r="D86" s="41"/>
      <c r="E86" s="41"/>
      <c r="F86" s="41"/>
      <c r="G86" s="41"/>
      <c r="H86" s="34" t="s">
        <v>143</v>
      </c>
    </row>
    <row r="87" spans="1:8" x14ac:dyDescent="0.2">
      <c r="A87" s="41"/>
      <c r="B87" s="41"/>
      <c r="C87" s="42" t="s">
        <v>142</v>
      </c>
      <c r="D87" s="41"/>
      <c r="E87" s="41" t="s">
        <v>143</v>
      </c>
      <c r="F87" s="47" t="s">
        <v>145</v>
      </c>
      <c r="G87" s="44">
        <v>0</v>
      </c>
      <c r="H87" s="34" t="s">
        <v>143</v>
      </c>
    </row>
    <row r="88" spans="1:8" x14ac:dyDescent="0.2">
      <c r="A88" s="41"/>
      <c r="B88" s="41"/>
      <c r="C88" s="45"/>
      <c r="D88" s="41"/>
      <c r="E88" s="41"/>
      <c r="F88" s="46"/>
      <c r="G88" s="46"/>
      <c r="H88" s="34" t="s">
        <v>143</v>
      </c>
    </row>
    <row r="89" spans="1:8" x14ac:dyDescent="0.2">
      <c r="A89" s="41"/>
      <c r="B89" s="41"/>
      <c r="C89" s="42" t="s">
        <v>153</v>
      </c>
      <c r="D89" s="41"/>
      <c r="E89" s="41"/>
      <c r="F89" s="41"/>
      <c r="G89" s="41"/>
      <c r="H89" s="34" t="s">
        <v>143</v>
      </c>
    </row>
    <row r="90" spans="1:8" x14ac:dyDescent="0.2">
      <c r="A90" s="41"/>
      <c r="B90" s="41"/>
      <c r="C90" s="42" t="s">
        <v>142</v>
      </c>
      <c r="D90" s="41"/>
      <c r="E90" s="41" t="s">
        <v>143</v>
      </c>
      <c r="F90" s="47" t="s">
        <v>145</v>
      </c>
      <c r="G90" s="44">
        <v>0</v>
      </c>
      <c r="H90" s="34" t="s">
        <v>143</v>
      </c>
    </row>
    <row r="91" spans="1:8" x14ac:dyDescent="0.2">
      <c r="A91" s="41"/>
      <c r="B91" s="41"/>
      <c r="C91" s="45"/>
      <c r="D91" s="41"/>
      <c r="E91" s="41"/>
      <c r="F91" s="46"/>
      <c r="G91" s="46"/>
      <c r="H91" s="34" t="s">
        <v>143</v>
      </c>
    </row>
    <row r="92" spans="1:8" x14ac:dyDescent="0.2">
      <c r="A92" s="41"/>
      <c r="B92" s="41"/>
      <c r="C92" s="42" t="s">
        <v>154</v>
      </c>
      <c r="D92" s="41"/>
      <c r="E92" s="41"/>
      <c r="F92" s="46"/>
      <c r="G92" s="46"/>
      <c r="H92" s="34" t="s">
        <v>143</v>
      </c>
    </row>
    <row r="93" spans="1:8" x14ac:dyDescent="0.2">
      <c r="A93" s="41"/>
      <c r="B93" s="41"/>
      <c r="C93" s="42" t="s">
        <v>142</v>
      </c>
      <c r="D93" s="41"/>
      <c r="E93" s="41" t="s">
        <v>143</v>
      </c>
      <c r="F93" s="47" t="s">
        <v>145</v>
      </c>
      <c r="G93" s="44">
        <v>0</v>
      </c>
      <c r="H93" s="34" t="s">
        <v>143</v>
      </c>
    </row>
    <row r="94" spans="1:8" x14ac:dyDescent="0.2">
      <c r="A94" s="41"/>
      <c r="B94" s="41"/>
      <c r="C94" s="45"/>
      <c r="D94" s="41"/>
      <c r="E94" s="41"/>
      <c r="F94" s="46"/>
      <c r="G94" s="46"/>
      <c r="H94" s="34" t="s">
        <v>143</v>
      </c>
    </row>
    <row r="95" spans="1:8" x14ac:dyDescent="0.2">
      <c r="A95" s="41"/>
      <c r="B95" s="41"/>
      <c r="C95" s="42" t="s">
        <v>155</v>
      </c>
      <c r="D95" s="41"/>
      <c r="E95" s="41"/>
      <c r="F95" s="43">
        <v>0</v>
      </c>
      <c r="G95" s="44">
        <v>0</v>
      </c>
      <c r="H95" s="34" t="s">
        <v>143</v>
      </c>
    </row>
    <row r="96" spans="1:8" x14ac:dyDescent="0.2">
      <c r="A96" s="41"/>
      <c r="B96" s="41"/>
      <c r="C96" s="45"/>
      <c r="D96" s="41"/>
      <c r="E96" s="41"/>
      <c r="F96" s="46"/>
      <c r="G96" s="46"/>
      <c r="H96" s="34" t="s">
        <v>143</v>
      </c>
    </row>
    <row r="97" spans="1:8" x14ac:dyDescent="0.2">
      <c r="A97" s="41"/>
      <c r="B97" s="41"/>
      <c r="C97" s="42" t="s">
        <v>156</v>
      </c>
      <c r="D97" s="41"/>
      <c r="E97" s="41"/>
      <c r="F97" s="46"/>
      <c r="G97" s="46"/>
      <c r="H97" s="34" t="s">
        <v>143</v>
      </c>
    </row>
    <row r="98" spans="1:8" x14ac:dyDescent="0.2">
      <c r="A98" s="41"/>
      <c r="B98" s="41"/>
      <c r="C98" s="42" t="s">
        <v>157</v>
      </c>
      <c r="D98" s="41"/>
      <c r="E98" s="41"/>
      <c r="F98" s="46"/>
      <c r="G98" s="46"/>
      <c r="H98" s="34" t="s">
        <v>143</v>
      </c>
    </row>
    <row r="99" spans="1:8" x14ac:dyDescent="0.2">
      <c r="A99" s="41"/>
      <c r="B99" s="41"/>
      <c r="C99" s="42" t="s">
        <v>142</v>
      </c>
      <c r="D99" s="41"/>
      <c r="E99" s="41" t="s">
        <v>143</v>
      </c>
      <c r="F99" s="47" t="s">
        <v>145</v>
      </c>
      <c r="G99" s="44">
        <v>0</v>
      </c>
      <c r="H99" s="34" t="s">
        <v>143</v>
      </c>
    </row>
    <row r="100" spans="1:8" x14ac:dyDescent="0.2">
      <c r="A100" s="41"/>
      <c r="B100" s="41"/>
      <c r="C100" s="45"/>
      <c r="D100" s="41"/>
      <c r="E100" s="41"/>
      <c r="F100" s="46"/>
      <c r="G100" s="46"/>
      <c r="H100" s="34" t="s">
        <v>143</v>
      </c>
    </row>
    <row r="101" spans="1:8" x14ac:dyDescent="0.2">
      <c r="A101" s="41"/>
      <c r="B101" s="41"/>
      <c r="C101" s="42" t="s">
        <v>158</v>
      </c>
      <c r="D101" s="41"/>
      <c r="E101" s="41"/>
      <c r="F101" s="46"/>
      <c r="G101" s="46"/>
      <c r="H101" s="34" t="s">
        <v>143</v>
      </c>
    </row>
    <row r="102" spans="1:8" x14ac:dyDescent="0.2">
      <c r="A102" s="41"/>
      <c r="B102" s="41"/>
      <c r="C102" s="42" t="s">
        <v>142</v>
      </c>
      <c r="D102" s="41"/>
      <c r="E102" s="41" t="s">
        <v>143</v>
      </c>
      <c r="F102" s="47" t="s">
        <v>145</v>
      </c>
      <c r="G102" s="44">
        <v>0</v>
      </c>
      <c r="H102" s="34" t="s">
        <v>143</v>
      </c>
    </row>
    <row r="103" spans="1:8" x14ac:dyDescent="0.2">
      <c r="A103" s="41"/>
      <c r="B103" s="41"/>
      <c r="C103" s="45"/>
      <c r="D103" s="41"/>
      <c r="E103" s="41"/>
      <c r="F103" s="46"/>
      <c r="G103" s="46"/>
      <c r="H103" s="34" t="s">
        <v>143</v>
      </c>
    </row>
    <row r="104" spans="1:8" x14ac:dyDescent="0.2">
      <c r="A104" s="41"/>
      <c r="B104" s="41"/>
      <c r="C104" s="42" t="s">
        <v>159</v>
      </c>
      <c r="D104" s="41"/>
      <c r="E104" s="41"/>
      <c r="F104" s="46"/>
      <c r="G104" s="46"/>
      <c r="H104" s="34" t="s">
        <v>143</v>
      </c>
    </row>
    <row r="105" spans="1:8" x14ac:dyDescent="0.2">
      <c r="A105" s="41"/>
      <c r="B105" s="41"/>
      <c r="C105" s="42" t="s">
        <v>142</v>
      </c>
      <c r="D105" s="41"/>
      <c r="E105" s="41" t="s">
        <v>143</v>
      </c>
      <c r="F105" s="47" t="s">
        <v>145</v>
      </c>
      <c r="G105" s="44">
        <v>0</v>
      </c>
      <c r="H105" s="34" t="s">
        <v>143</v>
      </c>
    </row>
    <row r="106" spans="1:8" x14ac:dyDescent="0.2">
      <c r="A106" s="41"/>
      <c r="B106" s="41"/>
      <c r="C106" s="45"/>
      <c r="D106" s="41"/>
      <c r="E106" s="41"/>
      <c r="F106" s="46"/>
      <c r="G106" s="46"/>
      <c r="H106" s="34" t="s">
        <v>143</v>
      </c>
    </row>
    <row r="107" spans="1:8" x14ac:dyDescent="0.2">
      <c r="A107" s="41"/>
      <c r="B107" s="41"/>
      <c r="C107" s="42" t="s">
        <v>160</v>
      </c>
      <c r="D107" s="41"/>
      <c r="E107" s="41"/>
      <c r="F107" s="46"/>
      <c r="G107" s="46"/>
      <c r="H107" s="34" t="s">
        <v>143</v>
      </c>
    </row>
    <row r="108" spans="1:8" x14ac:dyDescent="0.2">
      <c r="A108" s="35">
        <v>1</v>
      </c>
      <c r="B108" s="36"/>
      <c r="C108" s="36" t="s">
        <v>161</v>
      </c>
      <c r="D108" s="36"/>
      <c r="E108" s="48"/>
      <c r="F108" s="38">
        <v>3845.6014009999999</v>
      </c>
      <c r="G108" s="39">
        <v>3.916878E-2</v>
      </c>
      <c r="H108" s="34">
        <v>5.47</v>
      </c>
    </row>
    <row r="109" spans="1:8" x14ac:dyDescent="0.2">
      <c r="A109" s="41"/>
      <c r="B109" s="41"/>
      <c r="C109" s="42" t="s">
        <v>142</v>
      </c>
      <c r="D109" s="41"/>
      <c r="E109" s="41" t="s">
        <v>143</v>
      </c>
      <c r="F109" s="43">
        <v>3845.6014009999999</v>
      </c>
      <c r="G109" s="44">
        <v>3.916878E-2</v>
      </c>
      <c r="H109" s="34" t="s">
        <v>143</v>
      </c>
    </row>
    <row r="110" spans="1:8" x14ac:dyDescent="0.2">
      <c r="A110" s="41"/>
      <c r="B110" s="41"/>
      <c r="C110" s="45"/>
      <c r="D110" s="41"/>
      <c r="E110" s="41"/>
      <c r="F110" s="46"/>
      <c r="G110" s="46"/>
      <c r="H110" s="34" t="s">
        <v>143</v>
      </c>
    </row>
    <row r="111" spans="1:8" x14ac:dyDescent="0.2">
      <c r="A111" s="41"/>
      <c r="B111" s="41"/>
      <c r="C111" s="42" t="s">
        <v>162</v>
      </c>
      <c r="D111" s="41"/>
      <c r="E111" s="41"/>
      <c r="F111" s="43">
        <v>3845.6014009999999</v>
      </c>
      <c r="G111" s="44">
        <v>3.916878E-2</v>
      </c>
      <c r="H111" s="34" t="s">
        <v>143</v>
      </c>
    </row>
    <row r="112" spans="1:8" x14ac:dyDescent="0.2">
      <c r="A112" s="41"/>
      <c r="B112" s="41"/>
      <c r="C112" s="46"/>
      <c r="D112" s="41"/>
      <c r="E112" s="41"/>
      <c r="F112" s="41"/>
      <c r="G112" s="41"/>
      <c r="H112" s="34" t="s">
        <v>143</v>
      </c>
    </row>
    <row r="113" spans="1:10" x14ac:dyDescent="0.2">
      <c r="A113" s="41"/>
      <c r="B113" s="41"/>
      <c r="C113" s="42" t="s">
        <v>163</v>
      </c>
      <c r="D113" s="41"/>
      <c r="E113" s="41"/>
      <c r="F113" s="41"/>
      <c r="G113" s="41"/>
      <c r="H113" s="34" t="s">
        <v>143</v>
      </c>
    </row>
    <row r="114" spans="1:10" x14ac:dyDescent="0.2">
      <c r="A114" s="41"/>
      <c r="B114" s="41"/>
      <c r="C114" s="42" t="s">
        <v>164</v>
      </c>
      <c r="D114" s="41"/>
      <c r="E114" s="41"/>
      <c r="F114" s="41"/>
      <c r="G114" s="41"/>
      <c r="H114" s="34" t="s">
        <v>143</v>
      </c>
    </row>
    <row r="115" spans="1:10" x14ac:dyDescent="0.2">
      <c r="A115" s="41"/>
      <c r="B115" s="41"/>
      <c r="C115" s="42" t="s">
        <v>142</v>
      </c>
      <c r="D115" s="41"/>
      <c r="E115" s="41" t="s">
        <v>143</v>
      </c>
      <c r="F115" s="47" t="s">
        <v>145</v>
      </c>
      <c r="G115" s="44">
        <v>0</v>
      </c>
      <c r="H115" s="34" t="s">
        <v>143</v>
      </c>
    </row>
    <row r="116" spans="1:10" x14ac:dyDescent="0.2">
      <c r="A116" s="41"/>
      <c r="B116" s="41"/>
      <c r="C116" s="45"/>
      <c r="D116" s="41"/>
      <c r="E116" s="41"/>
      <c r="F116" s="46"/>
      <c r="G116" s="46"/>
      <c r="H116" s="34" t="s">
        <v>143</v>
      </c>
    </row>
    <row r="117" spans="1:10" x14ac:dyDescent="0.2">
      <c r="A117" s="41"/>
      <c r="B117" s="41"/>
      <c r="C117" s="42" t="s">
        <v>165</v>
      </c>
      <c r="D117" s="41"/>
      <c r="E117" s="41"/>
      <c r="F117" s="41"/>
      <c r="G117" s="41"/>
      <c r="H117" s="34" t="s">
        <v>143</v>
      </c>
    </row>
    <row r="118" spans="1:10" x14ac:dyDescent="0.2">
      <c r="A118" s="41"/>
      <c r="B118" s="41"/>
      <c r="C118" s="42" t="s">
        <v>166</v>
      </c>
      <c r="D118" s="41"/>
      <c r="E118" s="41"/>
      <c r="F118" s="41"/>
      <c r="G118" s="41"/>
      <c r="H118" s="34" t="s">
        <v>143</v>
      </c>
    </row>
    <row r="119" spans="1:10" x14ac:dyDescent="0.2">
      <c r="A119" s="41"/>
      <c r="B119" s="41"/>
      <c r="C119" s="42" t="s">
        <v>142</v>
      </c>
      <c r="D119" s="41"/>
      <c r="E119" s="41" t="s">
        <v>143</v>
      </c>
      <c r="F119" s="47" t="s">
        <v>145</v>
      </c>
      <c r="G119" s="44">
        <v>0</v>
      </c>
      <c r="H119" s="34" t="s">
        <v>143</v>
      </c>
    </row>
    <row r="120" spans="1:10" x14ac:dyDescent="0.2">
      <c r="A120" s="41"/>
      <c r="B120" s="41"/>
      <c r="C120" s="45"/>
      <c r="D120" s="41"/>
      <c r="E120" s="41"/>
      <c r="F120" s="46"/>
      <c r="G120" s="46"/>
      <c r="H120" s="34" t="s">
        <v>143</v>
      </c>
    </row>
    <row r="121" spans="1:10" ht="25.5" x14ac:dyDescent="0.2">
      <c r="A121" s="41"/>
      <c r="B121" s="41"/>
      <c r="C121" s="42" t="s">
        <v>167</v>
      </c>
      <c r="D121" s="41"/>
      <c r="E121" s="41"/>
      <c r="F121" s="46"/>
      <c r="G121" s="46"/>
      <c r="H121" s="34" t="s">
        <v>143</v>
      </c>
    </row>
    <row r="122" spans="1:10" x14ac:dyDescent="0.2">
      <c r="A122" s="41"/>
      <c r="B122" s="41"/>
      <c r="C122" s="42" t="s">
        <v>142</v>
      </c>
      <c r="D122" s="41"/>
      <c r="E122" s="41" t="s">
        <v>143</v>
      </c>
      <c r="F122" s="47" t="s">
        <v>145</v>
      </c>
      <c r="G122" s="44">
        <v>0</v>
      </c>
      <c r="H122" s="34" t="s">
        <v>143</v>
      </c>
    </row>
    <row r="123" spans="1:10" x14ac:dyDescent="0.2">
      <c r="A123" s="41"/>
      <c r="B123" s="36"/>
      <c r="C123" s="36"/>
      <c r="D123" s="42"/>
      <c r="E123" s="41"/>
      <c r="F123" s="36"/>
      <c r="G123" s="48"/>
      <c r="H123" s="34" t="s">
        <v>143</v>
      </c>
    </row>
    <row r="124" spans="1:10" x14ac:dyDescent="0.2">
      <c r="A124" s="48"/>
      <c r="B124" s="36"/>
      <c r="C124" s="36" t="s">
        <v>168</v>
      </c>
      <c r="D124" s="36"/>
      <c r="E124" s="48"/>
      <c r="F124" s="38">
        <v>1200.67482862</v>
      </c>
      <c r="G124" s="39">
        <v>1.222929E-2</v>
      </c>
      <c r="H124" s="34" t="s">
        <v>143</v>
      </c>
    </row>
    <row r="125" spans="1:10" x14ac:dyDescent="0.2">
      <c r="A125" s="45"/>
      <c r="B125" s="45"/>
      <c r="C125" s="42" t="s">
        <v>169</v>
      </c>
      <c r="D125" s="46"/>
      <c r="E125" s="46"/>
      <c r="F125" s="43">
        <v>98180.272293809001</v>
      </c>
      <c r="G125" s="51">
        <v>1.0000000499999999</v>
      </c>
      <c r="H125" s="34" t="s">
        <v>143</v>
      </c>
    </row>
    <row r="126" spans="1:10" x14ac:dyDescent="0.2">
      <c r="A126" s="52"/>
      <c r="B126" s="52"/>
      <c r="C126" s="52"/>
      <c r="D126" s="53"/>
      <c r="E126" s="53"/>
      <c r="F126" s="53"/>
      <c r="G126" s="53"/>
    </row>
    <row r="127" spans="1:10" x14ac:dyDescent="0.2">
      <c r="A127" s="54"/>
      <c r="B127" s="158" t="s">
        <v>852</v>
      </c>
      <c r="C127" s="158"/>
      <c r="D127" s="158"/>
      <c r="E127" s="158"/>
      <c r="F127" s="158"/>
      <c r="G127" s="158"/>
      <c r="H127" s="158"/>
      <c r="J127" s="56"/>
    </row>
    <row r="128" spans="1:10" x14ac:dyDescent="0.2">
      <c r="A128" s="54"/>
      <c r="B128" s="158" t="s">
        <v>853</v>
      </c>
      <c r="C128" s="158"/>
      <c r="D128" s="158"/>
      <c r="E128" s="158"/>
      <c r="F128" s="158"/>
      <c r="G128" s="158"/>
      <c r="H128" s="158"/>
      <c r="J128" s="56"/>
    </row>
    <row r="129" spans="1:17" x14ac:dyDescent="0.2">
      <c r="A129" s="54"/>
      <c r="B129" s="158" t="s">
        <v>854</v>
      </c>
      <c r="C129" s="158"/>
      <c r="D129" s="158"/>
      <c r="E129" s="158"/>
      <c r="F129" s="158"/>
      <c r="G129" s="158"/>
      <c r="H129" s="158"/>
      <c r="J129" s="56"/>
    </row>
    <row r="130" spans="1:17" s="58" customFormat="1" ht="66.75" customHeight="1" x14ac:dyDescent="0.25">
      <c r="A130" s="57"/>
      <c r="B130" s="159" t="s">
        <v>855</v>
      </c>
      <c r="C130" s="159"/>
      <c r="D130" s="159"/>
      <c r="E130" s="159"/>
      <c r="F130" s="159"/>
      <c r="G130" s="159"/>
      <c r="H130" s="159"/>
      <c r="I130"/>
      <c r="J130" s="56"/>
      <c r="K130"/>
      <c r="L130"/>
      <c r="M130"/>
      <c r="N130"/>
      <c r="O130"/>
      <c r="P130"/>
      <c r="Q130"/>
    </row>
    <row r="131" spans="1:17" x14ac:dyDescent="0.2">
      <c r="A131" s="54"/>
      <c r="B131" s="158" t="s">
        <v>856</v>
      </c>
      <c r="C131" s="158"/>
      <c r="D131" s="158"/>
      <c r="E131" s="158"/>
      <c r="F131" s="158"/>
      <c r="G131" s="158"/>
      <c r="H131" s="158"/>
      <c r="J131" s="56"/>
    </row>
    <row r="132" spans="1:17" x14ac:dyDescent="0.2">
      <c r="A132" s="54"/>
      <c r="B132" s="54"/>
      <c r="C132" s="54"/>
      <c r="D132" s="59"/>
      <c r="E132" s="59"/>
      <c r="F132" s="59"/>
      <c r="G132" s="59"/>
    </row>
    <row r="133" spans="1:17" x14ac:dyDescent="0.2">
      <c r="A133" s="54"/>
      <c r="B133" s="160" t="s">
        <v>170</v>
      </c>
      <c r="C133" s="161"/>
      <c r="D133" s="162"/>
      <c r="E133" s="60"/>
      <c r="F133" s="59"/>
      <c r="G133" s="59"/>
    </row>
    <row r="134" spans="1:17" ht="27.75" customHeight="1" x14ac:dyDescent="0.2">
      <c r="A134" s="54"/>
      <c r="B134" s="154" t="s">
        <v>171</v>
      </c>
      <c r="C134" s="155"/>
      <c r="D134" s="33" t="s">
        <v>172</v>
      </c>
      <c r="E134" s="60"/>
      <c r="F134" s="59"/>
      <c r="G134" s="59"/>
    </row>
    <row r="135" spans="1:17" ht="12.75" customHeight="1" x14ac:dyDescent="0.2">
      <c r="A135" s="54"/>
      <c r="B135" s="154" t="s">
        <v>857</v>
      </c>
      <c r="C135" s="155"/>
      <c r="D135" s="33" t="str">
        <f>"Rs. "&amp;TEXT(F69,"0.00")&amp;" lacs/ #"</f>
        <v>Rs. 0.00 lacs/ #</v>
      </c>
      <c r="E135" s="60"/>
      <c r="F135" s="59"/>
      <c r="G135" s="59"/>
    </row>
    <row r="136" spans="1:17" x14ac:dyDescent="0.2">
      <c r="A136" s="54"/>
      <c r="B136" s="154" t="s">
        <v>173</v>
      </c>
      <c r="C136" s="155"/>
      <c r="D136" s="61" t="s">
        <v>143</v>
      </c>
      <c r="E136" s="60"/>
      <c r="F136" s="59"/>
      <c r="G136" s="59"/>
    </row>
    <row r="137" spans="1:17" x14ac:dyDescent="0.2">
      <c r="A137" s="62"/>
      <c r="B137" s="63" t="s">
        <v>143</v>
      </c>
      <c r="C137" s="63" t="s">
        <v>858</v>
      </c>
      <c r="D137" s="63" t="s">
        <v>174</v>
      </c>
      <c r="E137" s="62"/>
      <c r="F137" s="62"/>
      <c r="G137" s="62"/>
      <c r="H137" s="62"/>
      <c r="J137" s="56"/>
    </row>
    <row r="138" spans="1:17" x14ac:dyDescent="0.2">
      <c r="A138" s="62"/>
      <c r="B138" s="64" t="s">
        <v>175</v>
      </c>
      <c r="C138" s="65">
        <v>45808</v>
      </c>
      <c r="D138" s="65">
        <v>45838</v>
      </c>
      <c r="E138" s="62"/>
      <c r="F138" s="62"/>
      <c r="G138" s="62"/>
      <c r="J138" s="56"/>
    </row>
    <row r="139" spans="1:17" x14ac:dyDescent="0.2">
      <c r="A139" s="66"/>
      <c r="B139" s="36" t="s">
        <v>176</v>
      </c>
      <c r="C139" s="67">
        <v>99.659499999999994</v>
      </c>
      <c r="D139" s="67">
        <v>103.2229</v>
      </c>
      <c r="E139" s="66"/>
      <c r="F139" s="68"/>
      <c r="G139" s="69"/>
    </row>
    <row r="140" spans="1:17" x14ac:dyDescent="0.2">
      <c r="A140" s="66"/>
      <c r="B140" s="36" t="s">
        <v>1086</v>
      </c>
      <c r="C140" s="67">
        <v>61.403799999999997</v>
      </c>
      <c r="D140" s="67">
        <v>63.599299999999999</v>
      </c>
      <c r="E140" s="66"/>
      <c r="F140" s="68"/>
      <c r="G140" s="69"/>
    </row>
    <row r="141" spans="1:17" x14ac:dyDescent="0.2">
      <c r="A141" s="66"/>
      <c r="B141" s="36" t="s">
        <v>177</v>
      </c>
      <c r="C141" s="67">
        <v>93.328699999999998</v>
      </c>
      <c r="D141" s="67">
        <v>96.624499999999998</v>
      </c>
      <c r="E141" s="66"/>
      <c r="F141" s="68"/>
      <c r="G141" s="69"/>
    </row>
    <row r="142" spans="1:17" x14ac:dyDescent="0.2">
      <c r="A142" s="66"/>
      <c r="B142" s="36" t="s">
        <v>1087</v>
      </c>
      <c r="C142" s="67">
        <v>57.208799999999997</v>
      </c>
      <c r="D142" s="67">
        <v>59.228999999999999</v>
      </c>
      <c r="E142" s="66"/>
      <c r="F142" s="68"/>
      <c r="G142" s="69"/>
    </row>
    <row r="143" spans="1:17" x14ac:dyDescent="0.2">
      <c r="A143" s="66"/>
      <c r="B143" s="70"/>
      <c r="C143" s="70"/>
      <c r="D143" s="70"/>
      <c r="E143" s="66"/>
      <c r="F143" s="66"/>
      <c r="G143" s="66"/>
    </row>
    <row r="144" spans="1:17" x14ac:dyDescent="0.2">
      <c r="A144" s="62"/>
      <c r="B144" s="154" t="s">
        <v>860</v>
      </c>
      <c r="C144" s="155"/>
      <c r="D144" s="33" t="s">
        <v>172</v>
      </c>
      <c r="E144" s="62"/>
      <c r="F144" s="62"/>
      <c r="G144" s="62"/>
    </row>
    <row r="145" spans="1:10" x14ac:dyDescent="0.2">
      <c r="A145" s="62"/>
      <c r="B145" s="146"/>
      <c r="C145" s="146"/>
      <c r="D145" s="147"/>
      <c r="E145" s="62"/>
      <c r="F145" s="55"/>
      <c r="G145" s="73"/>
      <c r="J145" s="56"/>
    </row>
    <row r="146" spans="1:10" x14ac:dyDescent="0.2">
      <c r="A146" s="62"/>
      <c r="B146" s="154" t="s">
        <v>178</v>
      </c>
      <c r="C146" s="155"/>
      <c r="D146" s="33" t="s">
        <v>172</v>
      </c>
      <c r="E146" s="71"/>
      <c r="F146" s="62"/>
      <c r="G146" s="62"/>
      <c r="J146" s="56"/>
    </row>
    <row r="147" spans="1:10" x14ac:dyDescent="0.2">
      <c r="A147" s="62"/>
      <c r="B147" s="154" t="s">
        <v>179</v>
      </c>
      <c r="C147" s="155"/>
      <c r="D147" s="33" t="s">
        <v>172</v>
      </c>
      <c r="E147" s="71"/>
      <c r="F147" s="62"/>
      <c r="G147" s="62"/>
      <c r="J147" s="56"/>
    </row>
    <row r="148" spans="1:10" x14ac:dyDescent="0.2">
      <c r="A148" s="62"/>
      <c r="B148" s="154" t="s">
        <v>180</v>
      </c>
      <c r="C148" s="155"/>
      <c r="D148" s="33" t="s">
        <v>172</v>
      </c>
      <c r="E148" s="71"/>
      <c r="F148" s="62"/>
      <c r="G148" s="62"/>
      <c r="J148" s="56"/>
    </row>
    <row r="149" spans="1:10" x14ac:dyDescent="0.2">
      <c r="A149" s="62"/>
      <c r="B149" s="154" t="s">
        <v>181</v>
      </c>
      <c r="C149" s="155"/>
      <c r="D149" s="72">
        <v>0.36380101968925133</v>
      </c>
      <c r="E149" s="62"/>
      <c r="F149" s="55"/>
      <c r="G149" s="73"/>
      <c r="J149" s="56"/>
    </row>
    <row r="150" spans="1:10" x14ac:dyDescent="0.2">
      <c r="J150" s="56"/>
    </row>
    <row r="151" spans="1:10" x14ac:dyDescent="0.2">
      <c r="B151" s="156" t="s">
        <v>861</v>
      </c>
      <c r="C151" s="156"/>
    </row>
    <row r="153" spans="1:10" ht="153.75" customHeight="1" x14ac:dyDescent="0.2"/>
    <row r="156" spans="1:10" x14ac:dyDescent="0.2">
      <c r="B156" s="79" t="s">
        <v>862</v>
      </c>
      <c r="C156" s="80"/>
      <c r="D156" s="79"/>
    </row>
    <row r="157" spans="1:10" x14ac:dyDescent="0.2">
      <c r="B157" s="79" t="s">
        <v>863</v>
      </c>
      <c r="D157" s="79"/>
    </row>
    <row r="158" spans="1:10" ht="165" customHeight="1" x14ac:dyDescent="0.2"/>
    <row r="160" spans="1:10" x14ac:dyDescent="0.2">
      <c r="J160" s="31"/>
    </row>
    <row r="161" spans="10:10" x14ac:dyDescent="0.2">
      <c r="J161" s="31"/>
    </row>
    <row r="162" spans="10:10" x14ac:dyDescent="0.2">
      <c r="J162" s="31"/>
    </row>
  </sheetData>
  <mergeCells count="18">
    <mergeCell ref="B146:C146"/>
    <mergeCell ref="B147:C147"/>
    <mergeCell ref="B148:C148"/>
    <mergeCell ref="B144:C144"/>
    <mergeCell ref="B151:C151"/>
    <mergeCell ref="A1:H1"/>
    <mergeCell ref="A2:H2"/>
    <mergeCell ref="A3:H3"/>
    <mergeCell ref="B127:H127"/>
    <mergeCell ref="B128:H128"/>
    <mergeCell ref="B135:C135"/>
    <mergeCell ref="B136:C136"/>
    <mergeCell ref="B149:C149"/>
    <mergeCell ref="B129:H129"/>
    <mergeCell ref="B130:H130"/>
    <mergeCell ref="B131:H131"/>
    <mergeCell ref="B133:D133"/>
    <mergeCell ref="B134:C134"/>
  </mergeCells>
  <hyperlinks>
    <hyperlink ref="I1" location="Index!B2" display="Index" xr:uid="{5F5EE83A-6F4A-4EC6-91CD-1B510E6593F2}"/>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7BC46-EA63-4C7B-865D-82C1AB4CE5E7}">
  <sheetPr>
    <outlinePr summaryBelow="0" summaryRight="0"/>
  </sheetPr>
  <dimension ref="A1:Q103"/>
  <sheetViews>
    <sheetView showGridLines="0" workbookViewId="0">
      <selection sqref="A1:H1"/>
    </sheetView>
  </sheetViews>
  <sheetFormatPr defaultRowHeight="12.75" x14ac:dyDescent="0.2"/>
  <cols>
    <col min="1" max="1" width="6.85546875" customWidth="1"/>
    <col min="2" max="2" width="20.5703125" customWidth="1"/>
    <col min="3" max="3" width="37.5703125" customWidth="1"/>
    <col min="4" max="4" width="17.85546875" customWidth="1"/>
    <col min="5" max="6" width="19.140625" customWidth="1"/>
    <col min="7" max="7" width="16.42578125" customWidth="1"/>
    <col min="257" max="257" width="6.85546875" customWidth="1"/>
    <col min="258" max="258" width="20.5703125" customWidth="1"/>
    <col min="259" max="259" width="34.28515625" customWidth="1"/>
    <col min="260" max="260" width="17.85546875" customWidth="1"/>
    <col min="261" max="262" width="19.140625" customWidth="1"/>
    <col min="263" max="263" width="16.42578125" customWidth="1"/>
    <col min="513" max="513" width="6.85546875" customWidth="1"/>
    <col min="514" max="514" width="20.5703125" customWidth="1"/>
    <col min="515" max="515" width="34.28515625" customWidth="1"/>
    <col min="516" max="516" width="17.85546875" customWidth="1"/>
    <col min="517" max="518" width="19.140625" customWidth="1"/>
    <col min="519" max="519" width="16.42578125" customWidth="1"/>
    <col min="769" max="769" width="6.85546875" customWidth="1"/>
    <col min="770" max="770" width="20.5703125" customWidth="1"/>
    <col min="771" max="771" width="34.28515625" customWidth="1"/>
    <col min="772" max="772" width="17.85546875" customWidth="1"/>
    <col min="773" max="774" width="19.140625" customWidth="1"/>
    <col min="775" max="775" width="16.42578125" customWidth="1"/>
    <col min="1025" max="1025" width="6.85546875" customWidth="1"/>
    <col min="1026" max="1026" width="20.5703125" customWidth="1"/>
    <col min="1027" max="1027" width="34.28515625" customWidth="1"/>
    <col min="1028" max="1028" width="17.85546875" customWidth="1"/>
    <col min="1029" max="1030" width="19.140625" customWidth="1"/>
    <col min="1031" max="1031" width="16.42578125" customWidth="1"/>
    <col min="1281" max="1281" width="6.85546875" customWidth="1"/>
    <col min="1282" max="1282" width="20.5703125" customWidth="1"/>
    <col min="1283" max="1283" width="34.28515625" customWidth="1"/>
    <col min="1284" max="1284" width="17.85546875" customWidth="1"/>
    <col min="1285" max="1286" width="19.140625" customWidth="1"/>
    <col min="1287" max="1287" width="16.42578125" customWidth="1"/>
    <col min="1537" max="1537" width="6.85546875" customWidth="1"/>
    <col min="1538" max="1538" width="20.5703125" customWidth="1"/>
    <col min="1539" max="1539" width="34.28515625" customWidth="1"/>
    <col min="1540" max="1540" width="17.85546875" customWidth="1"/>
    <col min="1541" max="1542" width="19.140625" customWidth="1"/>
    <col min="1543" max="1543" width="16.42578125" customWidth="1"/>
    <col min="1793" max="1793" width="6.85546875" customWidth="1"/>
    <col min="1794" max="1794" width="20.5703125" customWidth="1"/>
    <col min="1795" max="1795" width="34.28515625" customWidth="1"/>
    <col min="1796" max="1796" width="17.85546875" customWidth="1"/>
    <col min="1797" max="1798" width="19.140625" customWidth="1"/>
    <col min="1799" max="1799" width="16.42578125" customWidth="1"/>
    <col min="2049" max="2049" width="6.85546875" customWidth="1"/>
    <col min="2050" max="2050" width="20.5703125" customWidth="1"/>
    <col min="2051" max="2051" width="34.28515625" customWidth="1"/>
    <col min="2052" max="2052" width="17.85546875" customWidth="1"/>
    <col min="2053" max="2054" width="19.140625" customWidth="1"/>
    <col min="2055" max="2055" width="16.42578125" customWidth="1"/>
    <col min="2305" max="2305" width="6.85546875" customWidth="1"/>
    <col min="2306" max="2306" width="20.5703125" customWidth="1"/>
    <col min="2307" max="2307" width="34.28515625" customWidth="1"/>
    <col min="2308" max="2308" width="17.85546875" customWidth="1"/>
    <col min="2309" max="2310" width="19.140625" customWidth="1"/>
    <col min="2311" max="2311" width="16.42578125" customWidth="1"/>
    <col min="2561" max="2561" width="6.85546875" customWidth="1"/>
    <col min="2562" max="2562" width="20.5703125" customWidth="1"/>
    <col min="2563" max="2563" width="34.28515625" customWidth="1"/>
    <col min="2564" max="2564" width="17.85546875" customWidth="1"/>
    <col min="2565" max="2566" width="19.140625" customWidth="1"/>
    <col min="2567" max="2567" width="16.42578125" customWidth="1"/>
    <col min="2817" max="2817" width="6.85546875" customWidth="1"/>
    <col min="2818" max="2818" width="20.5703125" customWidth="1"/>
    <col min="2819" max="2819" width="34.28515625" customWidth="1"/>
    <col min="2820" max="2820" width="17.85546875" customWidth="1"/>
    <col min="2821" max="2822" width="19.140625" customWidth="1"/>
    <col min="2823" max="2823" width="16.42578125" customWidth="1"/>
    <col min="3073" max="3073" width="6.85546875" customWidth="1"/>
    <col min="3074" max="3074" width="20.5703125" customWidth="1"/>
    <col min="3075" max="3075" width="34.28515625" customWidth="1"/>
    <col min="3076" max="3076" width="17.85546875" customWidth="1"/>
    <col min="3077" max="3078" width="19.140625" customWidth="1"/>
    <col min="3079" max="3079" width="16.42578125" customWidth="1"/>
    <col min="3329" max="3329" width="6.85546875" customWidth="1"/>
    <col min="3330" max="3330" width="20.5703125" customWidth="1"/>
    <col min="3331" max="3331" width="34.28515625" customWidth="1"/>
    <col min="3332" max="3332" width="17.85546875" customWidth="1"/>
    <col min="3333" max="3334" width="19.140625" customWidth="1"/>
    <col min="3335" max="3335" width="16.42578125" customWidth="1"/>
    <col min="3585" max="3585" width="6.85546875" customWidth="1"/>
    <col min="3586" max="3586" width="20.5703125" customWidth="1"/>
    <col min="3587" max="3587" width="34.28515625" customWidth="1"/>
    <col min="3588" max="3588" width="17.85546875" customWidth="1"/>
    <col min="3589" max="3590" width="19.140625" customWidth="1"/>
    <col min="3591" max="3591" width="16.42578125" customWidth="1"/>
    <col min="3841" max="3841" width="6.85546875" customWidth="1"/>
    <col min="3842" max="3842" width="20.5703125" customWidth="1"/>
    <col min="3843" max="3843" width="34.28515625" customWidth="1"/>
    <col min="3844" max="3844" width="17.85546875" customWidth="1"/>
    <col min="3845" max="3846" width="19.140625" customWidth="1"/>
    <col min="3847" max="3847" width="16.42578125" customWidth="1"/>
    <col min="4097" max="4097" width="6.85546875" customWidth="1"/>
    <col min="4098" max="4098" width="20.5703125" customWidth="1"/>
    <col min="4099" max="4099" width="34.28515625" customWidth="1"/>
    <col min="4100" max="4100" width="17.85546875" customWidth="1"/>
    <col min="4101" max="4102" width="19.140625" customWidth="1"/>
    <col min="4103" max="4103" width="16.42578125" customWidth="1"/>
    <col min="4353" max="4353" width="6.85546875" customWidth="1"/>
    <col min="4354" max="4354" width="20.5703125" customWidth="1"/>
    <col min="4355" max="4355" width="34.28515625" customWidth="1"/>
    <col min="4356" max="4356" width="17.85546875" customWidth="1"/>
    <col min="4357" max="4358" width="19.140625" customWidth="1"/>
    <col min="4359" max="4359" width="16.42578125" customWidth="1"/>
    <col min="4609" max="4609" width="6.85546875" customWidth="1"/>
    <col min="4610" max="4610" width="20.5703125" customWidth="1"/>
    <col min="4611" max="4611" width="34.28515625" customWidth="1"/>
    <col min="4612" max="4612" width="17.85546875" customWidth="1"/>
    <col min="4613" max="4614" width="19.140625" customWidth="1"/>
    <col min="4615" max="4615" width="16.42578125" customWidth="1"/>
    <col min="4865" max="4865" width="6.85546875" customWidth="1"/>
    <col min="4866" max="4866" width="20.5703125" customWidth="1"/>
    <col min="4867" max="4867" width="34.28515625" customWidth="1"/>
    <col min="4868" max="4868" width="17.85546875" customWidth="1"/>
    <col min="4869" max="4870" width="19.140625" customWidth="1"/>
    <col min="4871" max="4871" width="16.42578125" customWidth="1"/>
    <col min="5121" max="5121" width="6.85546875" customWidth="1"/>
    <col min="5122" max="5122" width="20.5703125" customWidth="1"/>
    <col min="5123" max="5123" width="34.28515625" customWidth="1"/>
    <col min="5124" max="5124" width="17.85546875" customWidth="1"/>
    <col min="5125" max="5126" width="19.140625" customWidth="1"/>
    <col min="5127" max="5127" width="16.42578125" customWidth="1"/>
    <col min="5377" max="5377" width="6.85546875" customWidth="1"/>
    <col min="5378" max="5378" width="20.5703125" customWidth="1"/>
    <col min="5379" max="5379" width="34.28515625" customWidth="1"/>
    <col min="5380" max="5380" width="17.85546875" customWidth="1"/>
    <col min="5381" max="5382" width="19.140625" customWidth="1"/>
    <col min="5383" max="5383" width="16.42578125" customWidth="1"/>
    <col min="5633" max="5633" width="6.85546875" customWidth="1"/>
    <col min="5634" max="5634" width="20.5703125" customWidth="1"/>
    <col min="5635" max="5635" width="34.28515625" customWidth="1"/>
    <col min="5636" max="5636" width="17.85546875" customWidth="1"/>
    <col min="5637" max="5638" width="19.140625" customWidth="1"/>
    <col min="5639" max="5639" width="16.42578125" customWidth="1"/>
    <col min="5889" max="5889" width="6.85546875" customWidth="1"/>
    <col min="5890" max="5890" width="20.5703125" customWidth="1"/>
    <col min="5891" max="5891" width="34.28515625" customWidth="1"/>
    <col min="5892" max="5892" width="17.85546875" customWidth="1"/>
    <col min="5893" max="5894" width="19.140625" customWidth="1"/>
    <col min="5895" max="5895" width="16.42578125" customWidth="1"/>
    <col min="6145" max="6145" width="6.85546875" customWidth="1"/>
    <col min="6146" max="6146" width="20.5703125" customWidth="1"/>
    <col min="6147" max="6147" width="34.28515625" customWidth="1"/>
    <col min="6148" max="6148" width="17.85546875" customWidth="1"/>
    <col min="6149" max="6150" width="19.140625" customWidth="1"/>
    <col min="6151" max="6151" width="16.42578125" customWidth="1"/>
    <col min="6401" max="6401" width="6.85546875" customWidth="1"/>
    <col min="6402" max="6402" width="20.5703125" customWidth="1"/>
    <col min="6403" max="6403" width="34.28515625" customWidth="1"/>
    <col min="6404" max="6404" width="17.85546875" customWidth="1"/>
    <col min="6405" max="6406" width="19.140625" customWidth="1"/>
    <col min="6407" max="6407" width="16.42578125" customWidth="1"/>
    <col min="6657" max="6657" width="6.85546875" customWidth="1"/>
    <col min="6658" max="6658" width="20.5703125" customWidth="1"/>
    <col min="6659" max="6659" width="34.28515625" customWidth="1"/>
    <col min="6660" max="6660" width="17.85546875" customWidth="1"/>
    <col min="6661" max="6662" width="19.140625" customWidth="1"/>
    <col min="6663" max="6663" width="16.42578125" customWidth="1"/>
    <col min="6913" max="6913" width="6.85546875" customWidth="1"/>
    <col min="6914" max="6914" width="20.5703125" customWidth="1"/>
    <col min="6915" max="6915" width="34.28515625" customWidth="1"/>
    <col min="6916" max="6916" width="17.85546875" customWidth="1"/>
    <col min="6917" max="6918" width="19.140625" customWidth="1"/>
    <col min="6919" max="6919" width="16.42578125" customWidth="1"/>
    <col min="7169" max="7169" width="6.85546875" customWidth="1"/>
    <col min="7170" max="7170" width="20.5703125" customWidth="1"/>
    <col min="7171" max="7171" width="34.28515625" customWidth="1"/>
    <col min="7172" max="7172" width="17.85546875" customWidth="1"/>
    <col min="7173" max="7174" width="19.140625" customWidth="1"/>
    <col min="7175" max="7175" width="16.42578125" customWidth="1"/>
    <col min="7425" max="7425" width="6.85546875" customWidth="1"/>
    <col min="7426" max="7426" width="20.5703125" customWidth="1"/>
    <col min="7427" max="7427" width="34.28515625" customWidth="1"/>
    <col min="7428" max="7428" width="17.85546875" customWidth="1"/>
    <col min="7429" max="7430" width="19.140625" customWidth="1"/>
    <col min="7431" max="7431" width="16.42578125" customWidth="1"/>
    <col min="7681" max="7681" width="6.85546875" customWidth="1"/>
    <col min="7682" max="7682" width="20.5703125" customWidth="1"/>
    <col min="7683" max="7683" width="34.28515625" customWidth="1"/>
    <col min="7684" max="7684" width="17.85546875" customWidth="1"/>
    <col min="7685" max="7686" width="19.140625" customWidth="1"/>
    <col min="7687" max="7687" width="16.42578125" customWidth="1"/>
    <col min="7937" max="7937" width="6.85546875" customWidth="1"/>
    <col min="7938" max="7938" width="20.5703125" customWidth="1"/>
    <col min="7939" max="7939" width="34.28515625" customWidth="1"/>
    <col min="7940" max="7940" width="17.85546875" customWidth="1"/>
    <col min="7941" max="7942" width="19.140625" customWidth="1"/>
    <col min="7943" max="7943" width="16.42578125" customWidth="1"/>
    <col min="8193" max="8193" width="6.85546875" customWidth="1"/>
    <col min="8194" max="8194" width="20.5703125" customWidth="1"/>
    <col min="8195" max="8195" width="34.28515625" customWidth="1"/>
    <col min="8196" max="8196" width="17.85546875" customWidth="1"/>
    <col min="8197" max="8198" width="19.140625" customWidth="1"/>
    <col min="8199" max="8199" width="16.42578125" customWidth="1"/>
    <col min="8449" max="8449" width="6.85546875" customWidth="1"/>
    <col min="8450" max="8450" width="20.5703125" customWidth="1"/>
    <col min="8451" max="8451" width="34.28515625" customWidth="1"/>
    <col min="8452" max="8452" width="17.85546875" customWidth="1"/>
    <col min="8453" max="8454" width="19.140625" customWidth="1"/>
    <col min="8455" max="8455" width="16.42578125" customWidth="1"/>
    <col min="8705" max="8705" width="6.85546875" customWidth="1"/>
    <col min="8706" max="8706" width="20.5703125" customWidth="1"/>
    <col min="8707" max="8707" width="34.28515625" customWidth="1"/>
    <col min="8708" max="8708" width="17.85546875" customWidth="1"/>
    <col min="8709" max="8710" width="19.140625" customWidth="1"/>
    <col min="8711" max="8711" width="16.42578125" customWidth="1"/>
    <col min="8961" max="8961" width="6.85546875" customWidth="1"/>
    <col min="8962" max="8962" width="20.5703125" customWidth="1"/>
    <col min="8963" max="8963" width="34.28515625" customWidth="1"/>
    <col min="8964" max="8964" width="17.85546875" customWidth="1"/>
    <col min="8965" max="8966" width="19.140625" customWidth="1"/>
    <col min="8967" max="8967" width="16.42578125" customWidth="1"/>
    <col min="9217" max="9217" width="6.85546875" customWidth="1"/>
    <col min="9218" max="9218" width="20.5703125" customWidth="1"/>
    <col min="9219" max="9219" width="34.28515625" customWidth="1"/>
    <col min="9220" max="9220" width="17.85546875" customWidth="1"/>
    <col min="9221" max="9222" width="19.140625" customWidth="1"/>
    <col min="9223" max="9223" width="16.42578125" customWidth="1"/>
    <col min="9473" max="9473" width="6.85546875" customWidth="1"/>
    <col min="9474" max="9474" width="20.5703125" customWidth="1"/>
    <col min="9475" max="9475" width="34.28515625" customWidth="1"/>
    <col min="9476" max="9476" width="17.85546875" customWidth="1"/>
    <col min="9477" max="9478" width="19.140625" customWidth="1"/>
    <col min="9479" max="9479" width="16.42578125" customWidth="1"/>
    <col min="9729" max="9729" width="6.85546875" customWidth="1"/>
    <col min="9730" max="9730" width="20.5703125" customWidth="1"/>
    <col min="9731" max="9731" width="34.28515625" customWidth="1"/>
    <col min="9732" max="9732" width="17.85546875" customWidth="1"/>
    <col min="9733" max="9734" width="19.140625" customWidth="1"/>
    <col min="9735" max="9735" width="16.42578125" customWidth="1"/>
    <col min="9985" max="9985" width="6.85546875" customWidth="1"/>
    <col min="9986" max="9986" width="20.5703125" customWidth="1"/>
    <col min="9987" max="9987" width="34.28515625" customWidth="1"/>
    <col min="9988" max="9988" width="17.85546875" customWidth="1"/>
    <col min="9989" max="9990" width="19.140625" customWidth="1"/>
    <col min="9991" max="9991" width="16.42578125" customWidth="1"/>
    <col min="10241" max="10241" width="6.85546875" customWidth="1"/>
    <col min="10242" max="10242" width="20.5703125" customWidth="1"/>
    <col min="10243" max="10243" width="34.28515625" customWidth="1"/>
    <col min="10244" max="10244" width="17.85546875" customWidth="1"/>
    <col min="10245" max="10246" width="19.140625" customWidth="1"/>
    <col min="10247" max="10247" width="16.42578125" customWidth="1"/>
    <col min="10497" max="10497" width="6.85546875" customWidth="1"/>
    <col min="10498" max="10498" width="20.5703125" customWidth="1"/>
    <col min="10499" max="10499" width="34.28515625" customWidth="1"/>
    <col min="10500" max="10500" width="17.85546875" customWidth="1"/>
    <col min="10501" max="10502" width="19.140625" customWidth="1"/>
    <col min="10503" max="10503" width="16.42578125" customWidth="1"/>
    <col min="10753" max="10753" width="6.85546875" customWidth="1"/>
    <col min="10754" max="10754" width="20.5703125" customWidth="1"/>
    <col min="10755" max="10755" width="34.28515625" customWidth="1"/>
    <col min="10756" max="10756" width="17.85546875" customWidth="1"/>
    <col min="10757" max="10758" width="19.140625" customWidth="1"/>
    <col min="10759" max="10759" width="16.42578125" customWidth="1"/>
    <col min="11009" max="11009" width="6.85546875" customWidth="1"/>
    <col min="11010" max="11010" width="20.5703125" customWidth="1"/>
    <col min="11011" max="11011" width="34.28515625" customWidth="1"/>
    <col min="11012" max="11012" width="17.85546875" customWidth="1"/>
    <col min="11013" max="11014" width="19.140625" customWidth="1"/>
    <col min="11015" max="11015" width="16.42578125" customWidth="1"/>
    <col min="11265" max="11265" width="6.85546875" customWidth="1"/>
    <col min="11266" max="11266" width="20.5703125" customWidth="1"/>
    <col min="11267" max="11267" width="34.28515625" customWidth="1"/>
    <col min="11268" max="11268" width="17.85546875" customWidth="1"/>
    <col min="11269" max="11270" width="19.140625" customWidth="1"/>
    <col min="11271" max="11271" width="16.42578125" customWidth="1"/>
    <col min="11521" max="11521" width="6.85546875" customWidth="1"/>
    <col min="11522" max="11522" width="20.5703125" customWidth="1"/>
    <col min="11523" max="11523" width="34.28515625" customWidth="1"/>
    <col min="11524" max="11524" width="17.85546875" customWidth="1"/>
    <col min="11525" max="11526" width="19.140625" customWidth="1"/>
    <col min="11527" max="11527" width="16.42578125" customWidth="1"/>
    <col min="11777" max="11777" width="6.85546875" customWidth="1"/>
    <col min="11778" max="11778" width="20.5703125" customWidth="1"/>
    <col min="11779" max="11779" width="34.28515625" customWidth="1"/>
    <col min="11780" max="11780" width="17.85546875" customWidth="1"/>
    <col min="11781" max="11782" width="19.140625" customWidth="1"/>
    <col min="11783" max="11783" width="16.42578125" customWidth="1"/>
    <col min="12033" max="12033" width="6.85546875" customWidth="1"/>
    <col min="12034" max="12034" width="20.5703125" customWidth="1"/>
    <col min="12035" max="12035" width="34.28515625" customWidth="1"/>
    <col min="12036" max="12036" width="17.85546875" customWidth="1"/>
    <col min="12037" max="12038" width="19.140625" customWidth="1"/>
    <col min="12039" max="12039" width="16.42578125" customWidth="1"/>
    <col min="12289" max="12289" width="6.85546875" customWidth="1"/>
    <col min="12290" max="12290" width="20.5703125" customWidth="1"/>
    <col min="12291" max="12291" width="34.28515625" customWidth="1"/>
    <col min="12292" max="12292" width="17.85546875" customWidth="1"/>
    <col min="12293" max="12294" width="19.140625" customWidth="1"/>
    <col min="12295" max="12295" width="16.42578125" customWidth="1"/>
    <col min="12545" max="12545" width="6.85546875" customWidth="1"/>
    <col min="12546" max="12546" width="20.5703125" customWidth="1"/>
    <col min="12547" max="12547" width="34.28515625" customWidth="1"/>
    <col min="12548" max="12548" width="17.85546875" customWidth="1"/>
    <col min="12549" max="12550" width="19.140625" customWidth="1"/>
    <col min="12551" max="12551" width="16.42578125" customWidth="1"/>
    <col min="12801" max="12801" width="6.85546875" customWidth="1"/>
    <col min="12802" max="12802" width="20.5703125" customWidth="1"/>
    <col min="12803" max="12803" width="34.28515625" customWidth="1"/>
    <col min="12804" max="12804" width="17.85546875" customWidth="1"/>
    <col min="12805" max="12806" width="19.140625" customWidth="1"/>
    <col min="12807" max="12807" width="16.42578125" customWidth="1"/>
    <col min="13057" max="13057" width="6.85546875" customWidth="1"/>
    <col min="13058" max="13058" width="20.5703125" customWidth="1"/>
    <col min="13059" max="13059" width="34.28515625" customWidth="1"/>
    <col min="13060" max="13060" width="17.85546875" customWidth="1"/>
    <col min="13061" max="13062" width="19.140625" customWidth="1"/>
    <col min="13063" max="13063" width="16.42578125" customWidth="1"/>
    <col min="13313" max="13313" width="6.85546875" customWidth="1"/>
    <col min="13314" max="13314" width="20.5703125" customWidth="1"/>
    <col min="13315" max="13315" width="34.28515625" customWidth="1"/>
    <col min="13316" max="13316" width="17.85546875" customWidth="1"/>
    <col min="13317" max="13318" width="19.140625" customWidth="1"/>
    <col min="13319" max="13319" width="16.42578125" customWidth="1"/>
    <col min="13569" max="13569" width="6.85546875" customWidth="1"/>
    <col min="13570" max="13570" width="20.5703125" customWidth="1"/>
    <col min="13571" max="13571" width="34.28515625" customWidth="1"/>
    <col min="13572" max="13572" width="17.85546875" customWidth="1"/>
    <col min="13573" max="13574" width="19.140625" customWidth="1"/>
    <col min="13575" max="13575" width="16.42578125" customWidth="1"/>
    <col min="13825" max="13825" width="6.85546875" customWidth="1"/>
    <col min="13826" max="13826" width="20.5703125" customWidth="1"/>
    <col min="13827" max="13827" width="34.28515625" customWidth="1"/>
    <col min="13828" max="13828" width="17.85546875" customWidth="1"/>
    <col min="13829" max="13830" width="19.140625" customWidth="1"/>
    <col min="13831" max="13831" width="16.42578125" customWidth="1"/>
    <col min="14081" max="14081" width="6.85546875" customWidth="1"/>
    <col min="14082" max="14082" width="20.5703125" customWidth="1"/>
    <col min="14083" max="14083" width="34.28515625" customWidth="1"/>
    <col min="14084" max="14084" width="17.85546875" customWidth="1"/>
    <col min="14085" max="14086" width="19.140625" customWidth="1"/>
    <col min="14087" max="14087" width="16.42578125" customWidth="1"/>
    <col min="14337" max="14337" width="6.85546875" customWidth="1"/>
    <col min="14338" max="14338" width="20.5703125" customWidth="1"/>
    <col min="14339" max="14339" width="34.28515625" customWidth="1"/>
    <col min="14340" max="14340" width="17.85546875" customWidth="1"/>
    <col min="14341" max="14342" width="19.140625" customWidth="1"/>
    <col min="14343" max="14343" width="16.42578125" customWidth="1"/>
    <col min="14593" max="14593" width="6.85546875" customWidth="1"/>
    <col min="14594" max="14594" width="20.5703125" customWidth="1"/>
    <col min="14595" max="14595" width="34.28515625" customWidth="1"/>
    <col min="14596" max="14596" width="17.85546875" customWidth="1"/>
    <col min="14597" max="14598" width="19.140625" customWidth="1"/>
    <col min="14599" max="14599" width="16.42578125" customWidth="1"/>
    <col min="14849" max="14849" width="6.85546875" customWidth="1"/>
    <col min="14850" max="14850" width="20.5703125" customWidth="1"/>
    <col min="14851" max="14851" width="34.28515625" customWidth="1"/>
    <col min="14852" max="14852" width="17.85546875" customWidth="1"/>
    <col min="14853" max="14854" width="19.140625" customWidth="1"/>
    <col min="14855" max="14855" width="16.42578125" customWidth="1"/>
    <col min="15105" max="15105" width="6.85546875" customWidth="1"/>
    <col min="15106" max="15106" width="20.5703125" customWidth="1"/>
    <col min="15107" max="15107" width="34.28515625" customWidth="1"/>
    <col min="15108" max="15108" width="17.85546875" customWidth="1"/>
    <col min="15109" max="15110" width="19.140625" customWidth="1"/>
    <col min="15111" max="15111" width="16.42578125" customWidth="1"/>
    <col min="15361" max="15361" width="6.85546875" customWidth="1"/>
    <col min="15362" max="15362" width="20.5703125" customWidth="1"/>
    <col min="15363" max="15363" width="34.28515625" customWidth="1"/>
    <col min="15364" max="15364" width="17.85546875" customWidth="1"/>
    <col min="15365" max="15366" width="19.140625" customWidth="1"/>
    <col min="15367" max="15367" width="16.42578125" customWidth="1"/>
    <col min="15617" max="15617" width="6.85546875" customWidth="1"/>
    <col min="15618" max="15618" width="20.5703125" customWidth="1"/>
    <col min="15619" max="15619" width="34.28515625" customWidth="1"/>
    <col min="15620" max="15620" width="17.85546875" customWidth="1"/>
    <col min="15621" max="15622" width="19.140625" customWidth="1"/>
    <col min="15623" max="15623" width="16.42578125" customWidth="1"/>
    <col min="15873" max="15873" width="6.85546875" customWidth="1"/>
    <col min="15874" max="15874" width="20.5703125" customWidth="1"/>
    <col min="15875" max="15875" width="34.28515625" customWidth="1"/>
    <col min="15876" max="15876" width="17.85546875" customWidth="1"/>
    <col min="15877" max="15878" width="19.140625" customWidth="1"/>
    <col min="15879" max="15879" width="16.42578125" customWidth="1"/>
    <col min="16129" max="16129" width="6.85546875" customWidth="1"/>
    <col min="16130" max="16130" width="20.5703125" customWidth="1"/>
    <col min="16131" max="16131" width="34.28515625" customWidth="1"/>
    <col min="16132" max="16132" width="17.85546875" customWidth="1"/>
    <col min="16133" max="16134" width="19.140625" customWidth="1"/>
    <col min="16135" max="16135" width="16.42578125" customWidth="1"/>
  </cols>
  <sheetData>
    <row r="1" spans="1:9" ht="15" x14ac:dyDescent="0.2">
      <c r="A1" s="157" t="s">
        <v>0</v>
      </c>
      <c r="B1" s="157"/>
      <c r="C1" s="157"/>
      <c r="D1" s="157"/>
      <c r="E1" s="157"/>
      <c r="F1" s="157"/>
      <c r="G1" s="157"/>
      <c r="H1" s="157"/>
      <c r="I1" s="1" t="s">
        <v>851</v>
      </c>
    </row>
    <row r="2" spans="1:9" ht="15" x14ac:dyDescent="0.2">
      <c r="A2" s="157" t="s">
        <v>846</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41"/>
      <c r="B7" s="41"/>
      <c r="C7" s="42" t="s">
        <v>142</v>
      </c>
      <c r="D7" s="41"/>
      <c r="E7" s="41" t="s">
        <v>143</v>
      </c>
      <c r="F7" s="47" t="s">
        <v>145</v>
      </c>
      <c r="G7" s="44">
        <v>0</v>
      </c>
      <c r="H7" s="34" t="s">
        <v>143</v>
      </c>
    </row>
    <row r="8" spans="1:9" x14ac:dyDescent="0.2">
      <c r="A8" s="41"/>
      <c r="B8" s="41"/>
      <c r="C8" s="45"/>
      <c r="D8" s="41"/>
      <c r="E8" s="41"/>
      <c r="F8" s="46"/>
      <c r="G8" s="46"/>
      <c r="H8" s="34" t="s">
        <v>143</v>
      </c>
    </row>
    <row r="9" spans="1:9" x14ac:dyDescent="0.2">
      <c r="A9" s="41"/>
      <c r="B9" s="41"/>
      <c r="C9" s="42" t="s">
        <v>144</v>
      </c>
      <c r="D9" s="41"/>
      <c r="E9" s="41"/>
      <c r="F9" s="41"/>
      <c r="G9" s="41"/>
      <c r="H9" s="34" t="s">
        <v>143</v>
      </c>
    </row>
    <row r="10" spans="1:9" x14ac:dyDescent="0.2">
      <c r="A10" s="41"/>
      <c r="B10" s="41"/>
      <c r="C10" s="42" t="s">
        <v>142</v>
      </c>
      <c r="D10" s="41"/>
      <c r="E10" s="41" t="s">
        <v>143</v>
      </c>
      <c r="F10" s="47" t="s">
        <v>145</v>
      </c>
      <c r="G10" s="44">
        <v>0</v>
      </c>
      <c r="H10" s="34" t="s">
        <v>143</v>
      </c>
    </row>
    <row r="11" spans="1:9" x14ac:dyDescent="0.2">
      <c r="A11" s="41"/>
      <c r="B11" s="41"/>
      <c r="C11" s="45"/>
      <c r="D11" s="41"/>
      <c r="E11" s="41"/>
      <c r="F11" s="46"/>
      <c r="G11" s="46"/>
      <c r="H11" s="34" t="s">
        <v>143</v>
      </c>
    </row>
    <row r="12" spans="1:9" x14ac:dyDescent="0.2">
      <c r="A12" s="41"/>
      <c r="B12" s="41"/>
      <c r="C12" s="42" t="s">
        <v>146</v>
      </c>
      <c r="D12" s="41"/>
      <c r="E12" s="41"/>
      <c r="F12" s="41"/>
      <c r="G12" s="41"/>
      <c r="H12" s="34" t="s">
        <v>143</v>
      </c>
    </row>
    <row r="13" spans="1:9" x14ac:dyDescent="0.2">
      <c r="A13" s="41"/>
      <c r="B13" s="41"/>
      <c r="C13" s="42" t="s">
        <v>142</v>
      </c>
      <c r="D13" s="41"/>
      <c r="E13" s="41" t="s">
        <v>143</v>
      </c>
      <c r="F13" s="47" t="s">
        <v>145</v>
      </c>
      <c r="G13" s="44">
        <v>0</v>
      </c>
      <c r="H13" s="34" t="s">
        <v>143</v>
      </c>
    </row>
    <row r="14" spans="1:9" x14ac:dyDescent="0.2">
      <c r="A14" s="41"/>
      <c r="B14" s="41"/>
      <c r="C14" s="45"/>
      <c r="D14" s="41"/>
      <c r="E14" s="41"/>
      <c r="F14" s="46"/>
      <c r="G14" s="46"/>
      <c r="H14" s="34" t="s">
        <v>143</v>
      </c>
    </row>
    <row r="15" spans="1:9" x14ac:dyDescent="0.2">
      <c r="A15" s="41"/>
      <c r="B15" s="41"/>
      <c r="C15" s="42" t="s">
        <v>147</v>
      </c>
      <c r="D15" s="41"/>
      <c r="E15" s="41"/>
      <c r="F15" s="41"/>
      <c r="G15" s="41"/>
      <c r="H15" s="34" t="s">
        <v>143</v>
      </c>
    </row>
    <row r="16" spans="1:9" x14ac:dyDescent="0.2">
      <c r="A16" s="41"/>
      <c r="B16" s="41"/>
      <c r="C16" s="42" t="s">
        <v>142</v>
      </c>
      <c r="D16" s="41"/>
      <c r="E16" s="41" t="s">
        <v>143</v>
      </c>
      <c r="F16" s="47" t="s">
        <v>145</v>
      </c>
      <c r="G16" s="44">
        <v>0</v>
      </c>
      <c r="H16" s="34" t="s">
        <v>143</v>
      </c>
    </row>
    <row r="17" spans="1:8" x14ac:dyDescent="0.2">
      <c r="A17" s="41"/>
      <c r="B17" s="41"/>
      <c r="C17" s="45"/>
      <c r="D17" s="41"/>
      <c r="E17" s="41"/>
      <c r="F17" s="46"/>
      <c r="G17" s="46"/>
      <c r="H17" s="34" t="s">
        <v>143</v>
      </c>
    </row>
    <row r="18" spans="1:8" x14ac:dyDescent="0.2">
      <c r="A18" s="41"/>
      <c r="B18" s="41"/>
      <c r="C18" s="42" t="s">
        <v>148</v>
      </c>
      <c r="D18" s="41"/>
      <c r="E18" s="41"/>
      <c r="F18" s="46"/>
      <c r="G18" s="46"/>
      <c r="H18" s="34" t="s">
        <v>143</v>
      </c>
    </row>
    <row r="19" spans="1:8" x14ac:dyDescent="0.2">
      <c r="A19" s="41"/>
      <c r="B19" s="41"/>
      <c r="C19" s="42" t="s">
        <v>142</v>
      </c>
      <c r="D19" s="41"/>
      <c r="E19" s="41" t="s">
        <v>143</v>
      </c>
      <c r="F19" s="47" t="s">
        <v>145</v>
      </c>
      <c r="G19" s="44">
        <v>0</v>
      </c>
      <c r="H19" s="34" t="s">
        <v>143</v>
      </c>
    </row>
    <row r="20" spans="1:8" x14ac:dyDescent="0.2">
      <c r="A20" s="41"/>
      <c r="B20" s="41"/>
      <c r="C20" s="45"/>
      <c r="D20" s="41"/>
      <c r="E20" s="41"/>
      <c r="F20" s="46"/>
      <c r="G20" s="46"/>
      <c r="H20" s="34" t="s">
        <v>143</v>
      </c>
    </row>
    <row r="21" spans="1:8" x14ac:dyDescent="0.2">
      <c r="A21" s="41"/>
      <c r="B21" s="41"/>
      <c r="C21" s="42" t="s">
        <v>149</v>
      </c>
      <c r="D21" s="41"/>
      <c r="E21" s="41"/>
      <c r="F21" s="46"/>
      <c r="G21" s="46"/>
      <c r="H21" s="34" t="s">
        <v>143</v>
      </c>
    </row>
    <row r="22" spans="1:8" x14ac:dyDescent="0.2">
      <c r="A22" s="41"/>
      <c r="B22" s="41"/>
      <c r="C22" s="42" t="s">
        <v>142</v>
      </c>
      <c r="D22" s="41"/>
      <c r="E22" s="41" t="s">
        <v>143</v>
      </c>
      <c r="F22" s="47" t="s">
        <v>145</v>
      </c>
      <c r="G22" s="44">
        <v>0</v>
      </c>
      <c r="H22" s="34" t="s">
        <v>143</v>
      </c>
    </row>
    <row r="23" spans="1:8" x14ac:dyDescent="0.2">
      <c r="A23" s="41"/>
      <c r="B23" s="41"/>
      <c r="C23" s="45"/>
      <c r="D23" s="41"/>
      <c r="E23" s="41"/>
      <c r="F23" s="46"/>
      <c r="G23" s="46"/>
      <c r="H23" s="34" t="s">
        <v>143</v>
      </c>
    </row>
    <row r="24" spans="1:8" x14ac:dyDescent="0.2">
      <c r="A24" s="41"/>
      <c r="B24" s="41"/>
      <c r="C24" s="42" t="s">
        <v>150</v>
      </c>
      <c r="D24" s="41"/>
      <c r="E24" s="41"/>
      <c r="F24" s="43">
        <v>0</v>
      </c>
      <c r="G24" s="44">
        <v>0</v>
      </c>
      <c r="H24" s="34" t="s">
        <v>143</v>
      </c>
    </row>
    <row r="25" spans="1:8" x14ac:dyDescent="0.2">
      <c r="A25" s="41"/>
      <c r="B25" s="41"/>
      <c r="C25" s="45"/>
      <c r="D25" s="41"/>
      <c r="E25" s="41"/>
      <c r="F25" s="46"/>
      <c r="G25" s="46"/>
      <c r="H25" s="34" t="s">
        <v>143</v>
      </c>
    </row>
    <row r="26" spans="1:8" x14ac:dyDescent="0.2">
      <c r="A26" s="41"/>
      <c r="B26" s="41"/>
      <c r="C26" s="42" t="s">
        <v>151</v>
      </c>
      <c r="D26" s="41"/>
      <c r="E26" s="41"/>
      <c r="F26" s="46"/>
      <c r="G26" s="46"/>
      <c r="H26" s="34" t="s">
        <v>143</v>
      </c>
    </row>
    <row r="27" spans="1:8" x14ac:dyDescent="0.2">
      <c r="A27" s="41"/>
      <c r="B27" s="41"/>
      <c r="C27" s="42" t="s">
        <v>10</v>
      </c>
      <c r="D27" s="41"/>
      <c r="E27" s="41"/>
      <c r="F27" s="46"/>
      <c r="G27" s="46"/>
      <c r="H27" s="34" t="s">
        <v>143</v>
      </c>
    </row>
    <row r="28" spans="1:8" x14ac:dyDescent="0.2">
      <c r="A28" s="41"/>
      <c r="B28" s="41"/>
      <c r="C28" s="42" t="s">
        <v>142</v>
      </c>
      <c r="D28" s="41"/>
      <c r="E28" s="41" t="s">
        <v>143</v>
      </c>
      <c r="F28" s="47" t="s">
        <v>145</v>
      </c>
      <c r="G28" s="44">
        <v>0</v>
      </c>
      <c r="H28" s="34" t="s">
        <v>143</v>
      </c>
    </row>
    <row r="29" spans="1:8" x14ac:dyDescent="0.2">
      <c r="A29" s="41"/>
      <c r="B29" s="41"/>
      <c r="C29" s="45"/>
      <c r="D29" s="41"/>
      <c r="E29" s="41"/>
      <c r="F29" s="46"/>
      <c r="G29" s="46"/>
      <c r="H29" s="34" t="s">
        <v>143</v>
      </c>
    </row>
    <row r="30" spans="1:8" x14ac:dyDescent="0.2">
      <c r="A30" s="41"/>
      <c r="B30" s="41"/>
      <c r="C30" s="42" t="s">
        <v>152</v>
      </c>
      <c r="D30" s="41"/>
      <c r="E30" s="41"/>
      <c r="F30" s="41"/>
      <c r="G30" s="41"/>
      <c r="H30" s="34" t="s">
        <v>143</v>
      </c>
    </row>
    <row r="31" spans="1:8" x14ac:dyDescent="0.2">
      <c r="A31" s="41"/>
      <c r="B31" s="41"/>
      <c r="C31" s="42" t="s">
        <v>142</v>
      </c>
      <c r="D31" s="41"/>
      <c r="E31" s="41" t="s">
        <v>143</v>
      </c>
      <c r="F31" s="47" t="s">
        <v>145</v>
      </c>
      <c r="G31" s="44">
        <v>0</v>
      </c>
      <c r="H31" s="34" t="s">
        <v>143</v>
      </c>
    </row>
    <row r="32" spans="1:8" x14ac:dyDescent="0.2">
      <c r="A32" s="41"/>
      <c r="B32" s="41"/>
      <c r="C32" s="45"/>
      <c r="D32" s="41"/>
      <c r="E32" s="41"/>
      <c r="F32" s="46"/>
      <c r="G32" s="46"/>
      <c r="H32" s="34" t="s">
        <v>143</v>
      </c>
    </row>
    <row r="33" spans="1:8" x14ac:dyDescent="0.2">
      <c r="A33" s="41"/>
      <c r="B33" s="41"/>
      <c r="C33" s="42" t="s">
        <v>153</v>
      </c>
      <c r="D33" s="41"/>
      <c r="E33" s="41"/>
      <c r="F33" s="41"/>
      <c r="G33" s="41"/>
      <c r="H33" s="34" t="s">
        <v>143</v>
      </c>
    </row>
    <row r="34" spans="1:8" x14ac:dyDescent="0.2">
      <c r="A34" s="41"/>
      <c r="B34" s="41"/>
      <c r="C34" s="42" t="s">
        <v>142</v>
      </c>
      <c r="D34" s="41"/>
      <c r="E34" s="41" t="s">
        <v>143</v>
      </c>
      <c r="F34" s="47" t="s">
        <v>145</v>
      </c>
      <c r="G34" s="44">
        <v>0</v>
      </c>
      <c r="H34" s="34" t="s">
        <v>143</v>
      </c>
    </row>
    <row r="35" spans="1:8" x14ac:dyDescent="0.2">
      <c r="A35" s="41"/>
      <c r="B35" s="41"/>
      <c r="C35" s="45"/>
      <c r="D35" s="41"/>
      <c r="E35" s="41"/>
      <c r="F35" s="46"/>
      <c r="G35" s="46"/>
      <c r="H35" s="34" t="s">
        <v>143</v>
      </c>
    </row>
    <row r="36" spans="1:8" x14ac:dyDescent="0.2">
      <c r="A36" s="41"/>
      <c r="B36" s="41"/>
      <c r="C36" s="42" t="s">
        <v>154</v>
      </c>
      <c r="D36" s="41"/>
      <c r="E36" s="41"/>
      <c r="F36" s="46"/>
      <c r="G36" s="46"/>
      <c r="H36" s="34" t="s">
        <v>143</v>
      </c>
    </row>
    <row r="37" spans="1:8" x14ac:dyDescent="0.2">
      <c r="A37" s="41"/>
      <c r="B37" s="41"/>
      <c r="C37" s="42" t="s">
        <v>142</v>
      </c>
      <c r="D37" s="41"/>
      <c r="E37" s="41" t="s">
        <v>143</v>
      </c>
      <c r="F37" s="47" t="s">
        <v>145</v>
      </c>
      <c r="G37" s="44">
        <v>0</v>
      </c>
      <c r="H37" s="34" t="s">
        <v>143</v>
      </c>
    </row>
    <row r="38" spans="1:8" x14ac:dyDescent="0.2">
      <c r="A38" s="41"/>
      <c r="B38" s="41"/>
      <c r="C38" s="45"/>
      <c r="D38" s="41"/>
      <c r="E38" s="41"/>
      <c r="F38" s="46"/>
      <c r="G38" s="46"/>
      <c r="H38" s="34" t="s">
        <v>143</v>
      </c>
    </row>
    <row r="39" spans="1:8" x14ac:dyDescent="0.2">
      <c r="A39" s="41"/>
      <c r="B39" s="41"/>
      <c r="C39" s="42" t="s">
        <v>155</v>
      </c>
      <c r="D39" s="41"/>
      <c r="E39" s="41"/>
      <c r="F39" s="43">
        <v>0</v>
      </c>
      <c r="G39" s="44">
        <v>0</v>
      </c>
      <c r="H39" s="34" t="s">
        <v>143</v>
      </c>
    </row>
    <row r="40" spans="1:8" x14ac:dyDescent="0.2">
      <c r="A40" s="41"/>
      <c r="B40" s="41"/>
      <c r="C40" s="45"/>
      <c r="D40" s="41"/>
      <c r="E40" s="41"/>
      <c r="F40" s="46"/>
      <c r="G40" s="46"/>
      <c r="H40" s="34" t="s">
        <v>143</v>
      </c>
    </row>
    <row r="41" spans="1:8" x14ac:dyDescent="0.2">
      <c r="A41" s="41"/>
      <c r="B41" s="41"/>
      <c r="C41" s="42" t="s">
        <v>156</v>
      </c>
      <c r="D41" s="41"/>
      <c r="E41" s="41"/>
      <c r="F41" s="46"/>
      <c r="G41" s="46"/>
      <c r="H41" s="34" t="s">
        <v>143</v>
      </c>
    </row>
    <row r="42" spans="1:8" x14ac:dyDescent="0.2">
      <c r="A42" s="41"/>
      <c r="B42" s="41"/>
      <c r="C42" s="42" t="s">
        <v>157</v>
      </c>
      <c r="D42" s="41"/>
      <c r="E42" s="41"/>
      <c r="F42" s="46"/>
      <c r="G42" s="46"/>
      <c r="H42" s="34" t="s">
        <v>143</v>
      </c>
    </row>
    <row r="43" spans="1:8" x14ac:dyDescent="0.2">
      <c r="A43" s="41"/>
      <c r="B43" s="41"/>
      <c r="C43" s="42" t="s">
        <v>142</v>
      </c>
      <c r="D43" s="41"/>
      <c r="E43" s="41" t="s">
        <v>143</v>
      </c>
      <c r="F43" s="47" t="s">
        <v>145</v>
      </c>
      <c r="G43" s="44">
        <v>0</v>
      </c>
      <c r="H43" s="34" t="s">
        <v>143</v>
      </c>
    </row>
    <row r="44" spans="1:8" x14ac:dyDescent="0.2">
      <c r="A44" s="41"/>
      <c r="B44" s="41"/>
      <c r="C44" s="45"/>
      <c r="D44" s="41"/>
      <c r="E44" s="41"/>
      <c r="F44" s="46"/>
      <c r="G44" s="46"/>
      <c r="H44" s="34" t="s">
        <v>143</v>
      </c>
    </row>
    <row r="45" spans="1:8" x14ac:dyDescent="0.2">
      <c r="A45" s="41"/>
      <c r="B45" s="41"/>
      <c r="C45" s="42" t="s">
        <v>158</v>
      </c>
      <c r="D45" s="41"/>
      <c r="E45" s="41"/>
      <c r="F45" s="46"/>
      <c r="G45" s="46"/>
      <c r="H45" s="34" t="s">
        <v>143</v>
      </c>
    </row>
    <row r="46" spans="1:8" x14ac:dyDescent="0.2">
      <c r="A46" s="41"/>
      <c r="B46" s="41"/>
      <c r="C46" s="42" t="s">
        <v>142</v>
      </c>
      <c r="D46" s="41"/>
      <c r="E46" s="41" t="s">
        <v>143</v>
      </c>
      <c r="F46" s="47" t="s">
        <v>145</v>
      </c>
      <c r="G46" s="44">
        <v>0</v>
      </c>
      <c r="H46" s="34" t="s">
        <v>143</v>
      </c>
    </row>
    <row r="47" spans="1:8" x14ac:dyDescent="0.2">
      <c r="A47" s="41"/>
      <c r="B47" s="41"/>
      <c r="C47" s="45"/>
      <c r="D47" s="41"/>
      <c r="E47" s="41"/>
      <c r="F47" s="46"/>
      <c r="G47" s="46"/>
      <c r="H47" s="34" t="s">
        <v>143</v>
      </c>
    </row>
    <row r="48" spans="1:8" x14ac:dyDescent="0.2">
      <c r="A48" s="41"/>
      <c r="B48" s="41"/>
      <c r="C48" s="42" t="s">
        <v>159</v>
      </c>
      <c r="D48" s="41"/>
      <c r="E48" s="41"/>
      <c r="F48" s="46"/>
      <c r="G48" s="46"/>
      <c r="H48" s="34" t="s">
        <v>143</v>
      </c>
    </row>
    <row r="49" spans="1:8" x14ac:dyDescent="0.2">
      <c r="A49" s="41"/>
      <c r="B49" s="41"/>
      <c r="C49" s="42" t="s">
        <v>142</v>
      </c>
      <c r="D49" s="41"/>
      <c r="E49" s="41" t="s">
        <v>143</v>
      </c>
      <c r="F49" s="47" t="s">
        <v>145</v>
      </c>
      <c r="G49" s="44">
        <v>0</v>
      </c>
      <c r="H49" s="34" t="s">
        <v>143</v>
      </c>
    </row>
    <row r="50" spans="1:8" x14ac:dyDescent="0.2">
      <c r="A50" s="41"/>
      <c r="B50" s="41"/>
      <c r="C50" s="45"/>
      <c r="D50" s="41"/>
      <c r="E50" s="41"/>
      <c r="F50" s="46"/>
      <c r="G50" s="46"/>
      <c r="H50" s="34" t="s">
        <v>143</v>
      </c>
    </row>
    <row r="51" spans="1:8" x14ac:dyDescent="0.2">
      <c r="A51" s="41"/>
      <c r="B51" s="41"/>
      <c r="C51" s="42" t="s">
        <v>160</v>
      </c>
      <c r="D51" s="41"/>
      <c r="E51" s="41"/>
      <c r="F51" s="46"/>
      <c r="G51" s="46"/>
      <c r="H51" s="34" t="s">
        <v>143</v>
      </c>
    </row>
    <row r="52" spans="1:8" x14ac:dyDescent="0.2">
      <c r="A52" s="35">
        <v>1</v>
      </c>
      <c r="B52" s="36"/>
      <c r="C52" s="36" t="s">
        <v>161</v>
      </c>
      <c r="D52" s="36"/>
      <c r="E52" s="48"/>
      <c r="F52" s="38">
        <v>590.38562899999999</v>
      </c>
      <c r="G52" s="39">
        <v>4.8039480000000002E-2</v>
      </c>
      <c r="H52" s="34">
        <v>5.47</v>
      </c>
    </row>
    <row r="53" spans="1:8" x14ac:dyDescent="0.2">
      <c r="A53" s="41"/>
      <c r="B53" s="41"/>
      <c r="C53" s="42" t="s">
        <v>142</v>
      </c>
      <c r="D53" s="41"/>
      <c r="E53" s="41" t="s">
        <v>143</v>
      </c>
      <c r="F53" s="43">
        <v>590.38562899999999</v>
      </c>
      <c r="G53" s="44">
        <v>4.8039480000000002E-2</v>
      </c>
      <c r="H53" s="34" t="s">
        <v>143</v>
      </c>
    </row>
    <row r="54" spans="1:8" x14ac:dyDescent="0.2">
      <c r="A54" s="41"/>
      <c r="B54" s="41"/>
      <c r="C54" s="45"/>
      <c r="D54" s="41"/>
      <c r="E54" s="41"/>
      <c r="F54" s="46"/>
      <c r="G54" s="46"/>
      <c r="H54" s="34" t="s">
        <v>143</v>
      </c>
    </row>
    <row r="55" spans="1:8" x14ac:dyDescent="0.2">
      <c r="A55" s="41"/>
      <c r="B55" s="41"/>
      <c r="C55" s="42" t="s">
        <v>162</v>
      </c>
      <c r="D55" s="41"/>
      <c r="E55" s="41"/>
      <c r="F55" s="43">
        <v>590.38562899999999</v>
      </c>
      <c r="G55" s="44">
        <v>4.8039480000000002E-2</v>
      </c>
      <c r="H55" s="34" t="s">
        <v>143</v>
      </c>
    </row>
    <row r="56" spans="1:8" x14ac:dyDescent="0.2">
      <c r="A56" s="41"/>
      <c r="B56" s="41"/>
      <c r="C56" s="46"/>
      <c r="D56" s="41"/>
      <c r="E56" s="41"/>
      <c r="F56" s="41"/>
      <c r="G56" s="41"/>
      <c r="H56" s="34" t="s">
        <v>143</v>
      </c>
    </row>
    <row r="57" spans="1:8" x14ac:dyDescent="0.2">
      <c r="A57" s="41"/>
      <c r="B57" s="41"/>
      <c r="C57" s="42" t="s">
        <v>163</v>
      </c>
      <c r="D57" s="41"/>
      <c r="E57" s="41"/>
      <c r="F57" s="41"/>
      <c r="G57" s="41"/>
      <c r="H57" s="34" t="s">
        <v>143</v>
      </c>
    </row>
    <row r="58" spans="1:8" ht="25.5" x14ac:dyDescent="0.2">
      <c r="A58" s="41"/>
      <c r="B58" s="41"/>
      <c r="C58" s="33" t="s">
        <v>945</v>
      </c>
      <c r="D58" s="41"/>
      <c r="E58" s="41"/>
      <c r="F58" s="41"/>
      <c r="G58" s="41"/>
      <c r="H58" s="34" t="s">
        <v>143</v>
      </c>
    </row>
    <row r="59" spans="1:8" x14ac:dyDescent="0.2">
      <c r="A59" s="35">
        <v>1</v>
      </c>
      <c r="B59" s="36" t="s">
        <v>847</v>
      </c>
      <c r="C59" s="36" t="s">
        <v>848</v>
      </c>
      <c r="D59" s="36"/>
      <c r="E59" s="49">
        <v>8283224.3490000004</v>
      </c>
      <c r="F59" s="38">
        <v>11726.987669677999</v>
      </c>
      <c r="G59" s="39">
        <v>0.95422108000000005</v>
      </c>
      <c r="H59" s="34" t="s">
        <v>143</v>
      </c>
    </row>
    <row r="60" spans="1:8" x14ac:dyDescent="0.2">
      <c r="A60" s="41"/>
      <c r="B60" s="41"/>
      <c r="C60" s="42" t="s">
        <v>142</v>
      </c>
      <c r="D60" s="41"/>
      <c r="E60" s="41" t="s">
        <v>143</v>
      </c>
      <c r="F60" s="43">
        <v>11726.987669677999</v>
      </c>
      <c r="G60" s="44">
        <v>0.95422108000000005</v>
      </c>
      <c r="H60" s="34" t="s">
        <v>143</v>
      </c>
    </row>
    <row r="61" spans="1:8" x14ac:dyDescent="0.2">
      <c r="A61" s="41"/>
      <c r="B61" s="41"/>
      <c r="C61" s="45"/>
      <c r="D61" s="41"/>
      <c r="E61" s="41"/>
      <c r="F61" s="46"/>
      <c r="G61" s="46"/>
      <c r="H61" s="34" t="s">
        <v>143</v>
      </c>
    </row>
    <row r="62" spans="1:8" x14ac:dyDescent="0.2">
      <c r="A62" s="41"/>
      <c r="B62" s="41"/>
      <c r="C62" s="42" t="s">
        <v>165</v>
      </c>
      <c r="D62" s="41"/>
      <c r="E62" s="41"/>
      <c r="F62" s="41"/>
      <c r="G62" s="41"/>
      <c r="H62" s="34" t="s">
        <v>143</v>
      </c>
    </row>
    <row r="63" spans="1:8" x14ac:dyDescent="0.2">
      <c r="A63" s="41"/>
      <c r="B63" s="41"/>
      <c r="C63" s="42" t="s">
        <v>166</v>
      </c>
      <c r="D63" s="41"/>
      <c r="E63" s="41"/>
      <c r="F63" s="41"/>
      <c r="G63" s="41"/>
      <c r="H63" s="34" t="s">
        <v>143</v>
      </c>
    </row>
    <row r="64" spans="1:8" x14ac:dyDescent="0.2">
      <c r="A64" s="41"/>
      <c r="B64" s="41"/>
      <c r="C64" s="42" t="s">
        <v>142</v>
      </c>
      <c r="D64" s="41"/>
      <c r="E64" s="41" t="s">
        <v>143</v>
      </c>
      <c r="F64" s="47" t="s">
        <v>145</v>
      </c>
      <c r="G64" s="44">
        <v>0</v>
      </c>
      <c r="H64" s="34" t="s">
        <v>143</v>
      </c>
    </row>
    <row r="65" spans="1:17" x14ac:dyDescent="0.2">
      <c r="A65" s="41"/>
      <c r="B65" s="41"/>
      <c r="C65" s="45"/>
      <c r="D65" s="41"/>
      <c r="E65" s="41"/>
      <c r="F65" s="46"/>
      <c r="G65" s="46"/>
      <c r="H65" s="34" t="s">
        <v>143</v>
      </c>
    </row>
    <row r="66" spans="1:17" ht="25.5" x14ac:dyDescent="0.2">
      <c r="A66" s="41"/>
      <c r="B66" s="41"/>
      <c r="C66" s="42" t="s">
        <v>167</v>
      </c>
      <c r="D66" s="41"/>
      <c r="E66" s="41"/>
      <c r="F66" s="46"/>
      <c r="G66" s="46"/>
      <c r="H66" s="34" t="s">
        <v>143</v>
      </c>
    </row>
    <row r="67" spans="1:17" x14ac:dyDescent="0.2">
      <c r="A67" s="41"/>
      <c r="B67" s="41"/>
      <c r="C67" s="42" t="s">
        <v>142</v>
      </c>
      <c r="D67" s="41"/>
      <c r="E67" s="41" t="s">
        <v>143</v>
      </c>
      <c r="F67" s="47" t="s">
        <v>145</v>
      </c>
      <c r="G67" s="44">
        <v>0</v>
      </c>
      <c r="H67" s="34" t="s">
        <v>143</v>
      </c>
    </row>
    <row r="68" spans="1:17" x14ac:dyDescent="0.2">
      <c r="A68" s="41"/>
      <c r="B68" s="41"/>
      <c r="C68" s="45"/>
      <c r="D68" s="41"/>
      <c r="E68" s="41"/>
      <c r="F68" s="46"/>
      <c r="G68" s="46"/>
      <c r="H68" s="34" t="s">
        <v>143</v>
      </c>
    </row>
    <row r="69" spans="1:17" x14ac:dyDescent="0.2">
      <c r="A69" s="48"/>
      <c r="B69" s="36"/>
      <c r="C69" s="50" t="s">
        <v>168</v>
      </c>
      <c r="D69" s="36"/>
      <c r="E69" s="48"/>
      <c r="F69" s="38">
        <v>-27.781426320000001</v>
      </c>
      <c r="G69" s="39">
        <v>-2.2605699999999999E-3</v>
      </c>
      <c r="H69" s="34" t="s">
        <v>143</v>
      </c>
    </row>
    <row r="70" spans="1:17" x14ac:dyDescent="0.2">
      <c r="A70" s="45"/>
      <c r="B70" s="45"/>
      <c r="C70" s="42" t="s">
        <v>169</v>
      </c>
      <c r="D70" s="46"/>
      <c r="E70" s="46"/>
      <c r="F70" s="43">
        <v>12289.591872358</v>
      </c>
      <c r="G70" s="51">
        <v>0.99999998999999995</v>
      </c>
      <c r="H70" s="34" t="s">
        <v>143</v>
      </c>
    </row>
    <row r="71" spans="1:17" x14ac:dyDescent="0.2">
      <c r="A71" s="52"/>
      <c r="B71" s="52"/>
      <c r="C71" s="52"/>
      <c r="D71" s="53"/>
      <c r="E71" s="53"/>
      <c r="F71" s="53"/>
      <c r="G71" s="53"/>
    </row>
    <row r="72" spans="1:17" x14ac:dyDescent="0.2">
      <c r="A72" s="54"/>
      <c r="B72" s="158" t="s">
        <v>852</v>
      </c>
      <c r="C72" s="158"/>
      <c r="D72" s="158"/>
      <c r="E72" s="158"/>
      <c r="F72" s="158"/>
      <c r="G72" s="158"/>
      <c r="H72" s="158"/>
      <c r="J72" s="56"/>
    </row>
    <row r="73" spans="1:17" x14ac:dyDescent="0.2">
      <c r="A73" s="54"/>
      <c r="B73" s="158" t="s">
        <v>853</v>
      </c>
      <c r="C73" s="158"/>
      <c r="D73" s="158"/>
      <c r="E73" s="158"/>
      <c r="F73" s="158"/>
      <c r="G73" s="158"/>
      <c r="H73" s="158"/>
      <c r="J73" s="56"/>
    </row>
    <row r="74" spans="1:17" x14ac:dyDescent="0.2">
      <c r="A74" s="54"/>
      <c r="B74" s="158" t="s">
        <v>854</v>
      </c>
      <c r="C74" s="158"/>
      <c r="D74" s="158"/>
      <c r="E74" s="158"/>
      <c r="F74" s="158"/>
      <c r="G74" s="158"/>
      <c r="H74" s="158"/>
      <c r="J74" s="56"/>
    </row>
    <row r="75" spans="1:17" s="58" customFormat="1" ht="53.25" customHeight="1" x14ac:dyDescent="0.25">
      <c r="A75" s="57"/>
      <c r="B75" s="159" t="s">
        <v>855</v>
      </c>
      <c r="C75" s="159"/>
      <c r="D75" s="159"/>
      <c r="E75" s="159"/>
      <c r="F75" s="159"/>
      <c r="G75" s="159"/>
      <c r="H75" s="159"/>
      <c r="I75"/>
      <c r="J75" s="56"/>
      <c r="K75"/>
      <c r="L75"/>
      <c r="M75"/>
      <c r="N75"/>
      <c r="O75"/>
      <c r="P75"/>
      <c r="Q75"/>
    </row>
    <row r="76" spans="1:17" x14ac:dyDescent="0.2">
      <c r="A76" s="54"/>
      <c r="B76" s="158" t="s">
        <v>856</v>
      </c>
      <c r="C76" s="158"/>
      <c r="D76" s="158"/>
      <c r="E76" s="158"/>
      <c r="F76" s="158"/>
      <c r="G76" s="158"/>
      <c r="H76" s="158"/>
      <c r="J76" s="56"/>
    </row>
    <row r="77" spans="1:17" x14ac:dyDescent="0.2">
      <c r="A77" s="54"/>
      <c r="B77" s="54"/>
      <c r="C77" s="54"/>
      <c r="D77" s="59"/>
      <c r="E77" s="59"/>
      <c r="F77" s="59"/>
      <c r="G77" s="59"/>
    </row>
    <row r="78" spans="1:17" x14ac:dyDescent="0.2">
      <c r="A78" s="54"/>
      <c r="B78" s="160" t="s">
        <v>170</v>
      </c>
      <c r="C78" s="161"/>
      <c r="D78" s="162"/>
      <c r="E78" s="60"/>
      <c r="F78" s="59"/>
      <c r="G78" s="59"/>
    </row>
    <row r="79" spans="1:17" ht="27.75" customHeight="1" x14ac:dyDescent="0.2">
      <c r="A79" s="54"/>
      <c r="B79" s="154" t="s">
        <v>171</v>
      </c>
      <c r="C79" s="155"/>
      <c r="D79" s="33" t="s">
        <v>172</v>
      </c>
      <c r="E79" s="60"/>
      <c r="F79" s="59"/>
      <c r="G79" s="59"/>
    </row>
    <row r="80" spans="1:17" ht="12.75" customHeight="1" x14ac:dyDescent="0.2">
      <c r="A80" s="54"/>
      <c r="B80" s="154" t="s">
        <v>857</v>
      </c>
      <c r="C80" s="155"/>
      <c r="D80" s="33" t="s">
        <v>172</v>
      </c>
      <c r="E80" s="60"/>
      <c r="F80" s="59"/>
      <c r="G80" s="59"/>
    </row>
    <row r="81" spans="1:10" x14ac:dyDescent="0.2">
      <c r="A81" s="54"/>
      <c r="B81" s="154" t="s">
        <v>173</v>
      </c>
      <c r="C81" s="155"/>
      <c r="D81" s="61" t="s">
        <v>143</v>
      </c>
      <c r="E81" s="60"/>
      <c r="F81" s="59"/>
      <c r="G81" s="59"/>
    </row>
    <row r="82" spans="1:10" x14ac:dyDescent="0.2">
      <c r="A82" s="62"/>
      <c r="B82" s="63" t="s">
        <v>143</v>
      </c>
      <c r="C82" s="63" t="s">
        <v>858</v>
      </c>
      <c r="D82" s="63" t="s">
        <v>174</v>
      </c>
      <c r="E82" s="62"/>
      <c r="F82" s="62"/>
      <c r="G82" s="62"/>
      <c r="H82" s="62"/>
      <c r="J82" s="56"/>
    </row>
    <row r="83" spans="1:10" x14ac:dyDescent="0.2">
      <c r="A83" s="62"/>
      <c r="B83" s="64" t="s">
        <v>175</v>
      </c>
      <c r="C83" s="65">
        <v>45808</v>
      </c>
      <c r="D83" s="65">
        <v>45838</v>
      </c>
      <c r="E83" s="62"/>
      <c r="F83" s="62"/>
      <c r="G83" s="62"/>
      <c r="J83" s="56"/>
    </row>
    <row r="84" spans="1:10" x14ac:dyDescent="0.2">
      <c r="A84" s="66"/>
      <c r="B84" s="36" t="s">
        <v>176</v>
      </c>
      <c r="C84" s="67">
        <v>36.368699999999997</v>
      </c>
      <c r="D84" s="67">
        <v>37.799599999999998</v>
      </c>
      <c r="E84" s="66"/>
      <c r="F84" s="68"/>
      <c r="G84" s="69"/>
    </row>
    <row r="85" spans="1:10" x14ac:dyDescent="0.2">
      <c r="A85" s="66"/>
      <c r="B85" s="36" t="s">
        <v>1086</v>
      </c>
      <c r="C85" s="67">
        <v>32.344099999999997</v>
      </c>
      <c r="D85" s="67">
        <v>33.616700000000002</v>
      </c>
      <c r="E85" s="66"/>
      <c r="F85" s="68"/>
      <c r="G85" s="69"/>
    </row>
    <row r="86" spans="1:10" x14ac:dyDescent="0.2">
      <c r="A86" s="66"/>
      <c r="B86" s="36" t="s">
        <v>177</v>
      </c>
      <c r="C86" s="67">
        <v>33.251199999999997</v>
      </c>
      <c r="D86" s="67">
        <v>34.534300000000002</v>
      </c>
      <c r="E86" s="66"/>
      <c r="F86" s="68"/>
      <c r="G86" s="69"/>
    </row>
    <row r="87" spans="1:10" x14ac:dyDescent="0.2">
      <c r="A87" s="66"/>
      <c r="B87" s="36" t="s">
        <v>1087</v>
      </c>
      <c r="C87" s="67">
        <v>28.493400000000001</v>
      </c>
      <c r="D87" s="67">
        <v>29.5928</v>
      </c>
      <c r="E87" s="66"/>
      <c r="F87" s="68"/>
      <c r="G87" s="69"/>
    </row>
    <row r="88" spans="1:10" x14ac:dyDescent="0.2">
      <c r="A88" s="66"/>
      <c r="B88" s="66"/>
      <c r="C88" s="66"/>
      <c r="D88" s="66"/>
      <c r="E88" s="66"/>
      <c r="F88" s="66"/>
      <c r="G88" s="66"/>
    </row>
    <row r="89" spans="1:10" x14ac:dyDescent="0.2">
      <c r="A89" s="66"/>
      <c r="B89" s="163" t="s">
        <v>860</v>
      </c>
      <c r="C89" s="164"/>
      <c r="D89" s="33" t="s">
        <v>172</v>
      </c>
      <c r="E89" s="66"/>
      <c r="F89" s="66"/>
      <c r="G89" s="66"/>
    </row>
    <row r="90" spans="1:10" x14ac:dyDescent="0.2">
      <c r="A90" s="66"/>
      <c r="B90" s="70"/>
      <c r="C90" s="70"/>
      <c r="D90" s="70"/>
      <c r="E90" s="66"/>
      <c r="F90" s="66"/>
      <c r="G90" s="66"/>
    </row>
    <row r="91" spans="1:10" x14ac:dyDescent="0.2">
      <c r="A91" s="62"/>
      <c r="B91" s="154" t="s">
        <v>178</v>
      </c>
      <c r="C91" s="155"/>
      <c r="D91" s="33" t="s">
        <v>172</v>
      </c>
      <c r="E91" s="71"/>
      <c r="F91" s="62"/>
      <c r="G91" s="62"/>
      <c r="I91" s="145"/>
    </row>
    <row r="92" spans="1:10" x14ac:dyDescent="0.2">
      <c r="A92" s="62"/>
      <c r="B92" s="154" t="s">
        <v>179</v>
      </c>
      <c r="C92" s="155"/>
      <c r="D92" s="33" t="str">
        <f>"Rs. "&amp;TEXT(F60,"0,000.00")&amp;" Lacs"</f>
        <v>Rs. 11,726.99 Lacs</v>
      </c>
      <c r="E92" s="71"/>
      <c r="F92" s="62"/>
      <c r="G92" s="62"/>
      <c r="I92" s="145"/>
    </row>
    <row r="93" spans="1:10" x14ac:dyDescent="0.2">
      <c r="A93" s="62"/>
      <c r="B93" s="154" t="s">
        <v>180</v>
      </c>
      <c r="C93" s="155"/>
      <c r="D93" s="33" t="s">
        <v>172</v>
      </c>
      <c r="E93" s="71"/>
      <c r="F93" s="62"/>
      <c r="G93" s="62"/>
      <c r="I93" s="145"/>
    </row>
    <row r="94" spans="1:10" x14ac:dyDescent="0.2">
      <c r="A94" s="62"/>
      <c r="B94" s="154" t="s">
        <v>181</v>
      </c>
      <c r="C94" s="155"/>
      <c r="D94" s="72">
        <v>0</v>
      </c>
      <c r="E94" s="62"/>
      <c r="F94" s="55"/>
      <c r="G94" s="73"/>
      <c r="I94" s="145"/>
    </row>
    <row r="95" spans="1:10" x14ac:dyDescent="0.2">
      <c r="I95" s="145"/>
    </row>
    <row r="96" spans="1:10" x14ac:dyDescent="0.2">
      <c r="B96" s="156" t="s">
        <v>861</v>
      </c>
      <c r="C96" s="156"/>
    </row>
    <row r="98" spans="2:4" ht="153.75" customHeight="1" x14ac:dyDescent="0.2"/>
    <row r="101" spans="2:4" x14ac:dyDescent="0.2">
      <c r="B101" s="79" t="s">
        <v>862</v>
      </c>
      <c r="C101" s="80"/>
      <c r="D101" s="79"/>
    </row>
    <row r="102" spans="2:4" x14ac:dyDescent="0.2">
      <c r="B102" s="79" t="s">
        <v>864</v>
      </c>
      <c r="D102" s="79"/>
    </row>
    <row r="103" spans="2:4" ht="165" customHeight="1" x14ac:dyDescent="0.2"/>
  </sheetData>
  <mergeCells count="18">
    <mergeCell ref="B78:D78"/>
    <mergeCell ref="B79:C79"/>
    <mergeCell ref="B80:C80"/>
    <mergeCell ref="B81:C81"/>
    <mergeCell ref="B96:C96"/>
    <mergeCell ref="B94:C94"/>
    <mergeCell ref="A1:H1"/>
    <mergeCell ref="A2:H2"/>
    <mergeCell ref="A3:H3"/>
    <mergeCell ref="B72:H72"/>
    <mergeCell ref="B73:H73"/>
    <mergeCell ref="B74:H74"/>
    <mergeCell ref="B75:H75"/>
    <mergeCell ref="B76:H76"/>
    <mergeCell ref="B89:C89"/>
    <mergeCell ref="B93:C93"/>
    <mergeCell ref="B91:C91"/>
    <mergeCell ref="B92:C92"/>
  </mergeCells>
  <hyperlinks>
    <hyperlink ref="I1" location="Index!B2" display="Index" xr:uid="{76D5BCA4-1614-49AD-89AF-95DD0D79FBA9}"/>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79F8-526F-4D96-B935-B0AD3F557BFA}">
  <sheetPr>
    <outlinePr summaryBelow="0" summaryRight="0"/>
  </sheetPr>
  <dimension ref="A1:Q177"/>
  <sheetViews>
    <sheetView showGridLines="0" workbookViewId="0">
      <selection sqref="A1:H1"/>
    </sheetView>
  </sheetViews>
  <sheetFormatPr defaultRowHeight="12.75" x14ac:dyDescent="0.2"/>
  <cols>
    <col min="1" max="1" width="6.85546875" customWidth="1"/>
    <col min="2" max="2" width="20.5703125" customWidth="1"/>
    <col min="3" max="3" width="40.570312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182</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97</v>
      </c>
      <c r="C7" s="36" t="s">
        <v>98</v>
      </c>
      <c r="D7" s="36" t="s">
        <v>73</v>
      </c>
      <c r="E7" s="37">
        <v>1290127</v>
      </c>
      <c r="F7" s="38">
        <v>43856.577237999998</v>
      </c>
      <c r="G7" s="39">
        <v>3.421457E-2</v>
      </c>
      <c r="H7" s="34" t="s">
        <v>143</v>
      </c>
    </row>
    <row r="8" spans="1:9" ht="25.5" x14ac:dyDescent="0.2">
      <c r="A8" s="35">
        <v>2</v>
      </c>
      <c r="B8" s="36" t="s">
        <v>183</v>
      </c>
      <c r="C8" s="36" t="s">
        <v>184</v>
      </c>
      <c r="D8" s="36" t="s">
        <v>185</v>
      </c>
      <c r="E8" s="37">
        <v>1712601</v>
      </c>
      <c r="F8" s="38">
        <v>42904.080252</v>
      </c>
      <c r="G8" s="39">
        <v>3.3471479999999998E-2</v>
      </c>
      <c r="H8" s="34" t="s">
        <v>143</v>
      </c>
    </row>
    <row r="9" spans="1:9" x14ac:dyDescent="0.2">
      <c r="A9" s="35">
        <v>3</v>
      </c>
      <c r="B9" s="36" t="s">
        <v>186</v>
      </c>
      <c r="C9" s="36" t="s">
        <v>187</v>
      </c>
      <c r="D9" s="36" t="s">
        <v>33</v>
      </c>
      <c r="E9" s="37">
        <v>19545126</v>
      </c>
      <c r="F9" s="38">
        <v>41654.5725312</v>
      </c>
      <c r="G9" s="39">
        <v>3.2496690000000002E-2</v>
      </c>
      <c r="H9" s="34" t="s">
        <v>143</v>
      </c>
    </row>
    <row r="10" spans="1:9" x14ac:dyDescent="0.2">
      <c r="A10" s="35">
        <v>4</v>
      </c>
      <c r="B10" s="36" t="s">
        <v>188</v>
      </c>
      <c r="C10" s="36" t="s">
        <v>189</v>
      </c>
      <c r="D10" s="36" t="s">
        <v>55</v>
      </c>
      <c r="E10" s="37">
        <v>6016821</v>
      </c>
      <c r="F10" s="38">
        <v>33444.499528499997</v>
      </c>
      <c r="G10" s="39">
        <v>2.6091619999999999E-2</v>
      </c>
      <c r="H10" s="34" t="s">
        <v>143</v>
      </c>
    </row>
    <row r="11" spans="1:9" x14ac:dyDescent="0.2">
      <c r="A11" s="35">
        <v>5</v>
      </c>
      <c r="B11" s="36" t="s">
        <v>190</v>
      </c>
      <c r="C11" s="36" t="s">
        <v>191</v>
      </c>
      <c r="D11" s="36" t="s">
        <v>192</v>
      </c>
      <c r="E11" s="37">
        <v>11560712</v>
      </c>
      <c r="F11" s="38">
        <v>31208.142044</v>
      </c>
      <c r="G11" s="39">
        <v>2.4346940000000001E-2</v>
      </c>
      <c r="H11" s="34" t="s">
        <v>143</v>
      </c>
    </row>
    <row r="12" spans="1:9" x14ac:dyDescent="0.2">
      <c r="A12" s="35">
        <v>6</v>
      </c>
      <c r="B12" s="36" t="s">
        <v>193</v>
      </c>
      <c r="C12" s="36" t="s">
        <v>194</v>
      </c>
      <c r="D12" s="36" t="s">
        <v>195</v>
      </c>
      <c r="E12" s="37">
        <v>3879249</v>
      </c>
      <c r="F12" s="38">
        <v>30820.633304999999</v>
      </c>
      <c r="G12" s="39">
        <v>2.4044619999999999E-2</v>
      </c>
      <c r="H12" s="34" t="s">
        <v>143</v>
      </c>
    </row>
    <row r="13" spans="1:9" x14ac:dyDescent="0.2">
      <c r="A13" s="35">
        <v>7</v>
      </c>
      <c r="B13" s="36" t="s">
        <v>196</v>
      </c>
      <c r="C13" s="36" t="s">
        <v>197</v>
      </c>
      <c r="D13" s="36" t="s">
        <v>198</v>
      </c>
      <c r="E13" s="37">
        <v>484892</v>
      </c>
      <c r="F13" s="38">
        <v>29294.750179999999</v>
      </c>
      <c r="G13" s="39">
        <v>2.285421E-2</v>
      </c>
      <c r="H13" s="34" t="s">
        <v>143</v>
      </c>
    </row>
    <row r="14" spans="1:9" ht="25.5" x14ac:dyDescent="0.2">
      <c r="A14" s="35">
        <v>8</v>
      </c>
      <c r="B14" s="36" t="s">
        <v>199</v>
      </c>
      <c r="C14" s="36" t="s">
        <v>200</v>
      </c>
      <c r="D14" s="36" t="s">
        <v>201</v>
      </c>
      <c r="E14" s="37">
        <v>1510951</v>
      </c>
      <c r="F14" s="38">
        <v>29282.230380000001</v>
      </c>
      <c r="G14" s="39">
        <v>2.2844440000000001E-2</v>
      </c>
      <c r="H14" s="34" t="s">
        <v>143</v>
      </c>
    </row>
    <row r="15" spans="1:9" x14ac:dyDescent="0.2">
      <c r="A15" s="35">
        <v>9</v>
      </c>
      <c r="B15" s="36" t="s">
        <v>34</v>
      </c>
      <c r="C15" s="36" t="s">
        <v>35</v>
      </c>
      <c r="D15" s="36" t="s">
        <v>36</v>
      </c>
      <c r="E15" s="37">
        <v>1179542</v>
      </c>
      <c r="F15" s="38">
        <v>27850.166162000001</v>
      </c>
      <c r="G15" s="39">
        <v>2.1727219999999998E-2</v>
      </c>
      <c r="H15" s="34" t="s">
        <v>143</v>
      </c>
    </row>
    <row r="16" spans="1:9" x14ac:dyDescent="0.2">
      <c r="A16" s="35">
        <v>10</v>
      </c>
      <c r="B16" s="36" t="s">
        <v>202</v>
      </c>
      <c r="C16" s="36" t="s">
        <v>203</v>
      </c>
      <c r="D16" s="36" t="s">
        <v>16</v>
      </c>
      <c r="E16" s="37">
        <v>6144382</v>
      </c>
      <c r="F16" s="38">
        <v>26915.465350999999</v>
      </c>
      <c r="G16" s="39">
        <v>2.0998019999999999E-2</v>
      </c>
      <c r="H16" s="34" t="s">
        <v>143</v>
      </c>
    </row>
    <row r="17" spans="1:8" x14ac:dyDescent="0.2">
      <c r="A17" s="35">
        <v>11</v>
      </c>
      <c r="B17" s="36" t="s">
        <v>204</v>
      </c>
      <c r="C17" s="36" t="s">
        <v>205</v>
      </c>
      <c r="D17" s="36" t="s">
        <v>206</v>
      </c>
      <c r="E17" s="37">
        <v>971634</v>
      </c>
      <c r="F17" s="38">
        <v>26915.233434000002</v>
      </c>
      <c r="G17" s="39">
        <v>2.099784E-2</v>
      </c>
      <c r="H17" s="34" t="s">
        <v>143</v>
      </c>
    </row>
    <row r="18" spans="1:8" ht="25.5" x14ac:dyDescent="0.2">
      <c r="A18" s="35">
        <v>12</v>
      </c>
      <c r="B18" s="36" t="s">
        <v>207</v>
      </c>
      <c r="C18" s="36" t="s">
        <v>208</v>
      </c>
      <c r="D18" s="36" t="s">
        <v>209</v>
      </c>
      <c r="E18" s="37">
        <v>3599583</v>
      </c>
      <c r="F18" s="38">
        <v>26001.587800500001</v>
      </c>
      <c r="G18" s="39">
        <v>2.0285060000000001E-2</v>
      </c>
      <c r="H18" s="34" t="s">
        <v>143</v>
      </c>
    </row>
    <row r="19" spans="1:8" x14ac:dyDescent="0.2">
      <c r="A19" s="35">
        <v>13</v>
      </c>
      <c r="B19" s="36" t="s">
        <v>210</v>
      </c>
      <c r="C19" s="36" t="s">
        <v>211</v>
      </c>
      <c r="D19" s="36" t="s">
        <v>33</v>
      </c>
      <c r="E19" s="37">
        <v>4021265</v>
      </c>
      <c r="F19" s="38">
        <v>25874.829642500001</v>
      </c>
      <c r="G19" s="39">
        <v>2.018617E-2</v>
      </c>
      <c r="H19" s="34" t="s">
        <v>143</v>
      </c>
    </row>
    <row r="20" spans="1:8" ht="25.5" x14ac:dyDescent="0.2">
      <c r="A20" s="35">
        <v>14</v>
      </c>
      <c r="B20" s="36" t="s">
        <v>48</v>
      </c>
      <c r="C20" s="36" t="s">
        <v>49</v>
      </c>
      <c r="D20" s="36" t="s">
        <v>25</v>
      </c>
      <c r="E20" s="37">
        <v>384785</v>
      </c>
      <c r="F20" s="38">
        <v>23664.2775</v>
      </c>
      <c r="G20" s="39">
        <v>1.846161E-2</v>
      </c>
      <c r="H20" s="34" t="s">
        <v>143</v>
      </c>
    </row>
    <row r="21" spans="1:8" x14ac:dyDescent="0.2">
      <c r="A21" s="35">
        <v>15</v>
      </c>
      <c r="B21" s="36" t="s">
        <v>212</v>
      </c>
      <c r="C21" s="36" t="s">
        <v>213</v>
      </c>
      <c r="D21" s="36" t="s">
        <v>198</v>
      </c>
      <c r="E21" s="37">
        <v>1224015</v>
      </c>
      <c r="F21" s="38">
        <v>23556.168675000001</v>
      </c>
      <c r="G21" s="39">
        <v>1.8377270000000001E-2</v>
      </c>
      <c r="H21" s="34" t="s">
        <v>143</v>
      </c>
    </row>
    <row r="22" spans="1:8" x14ac:dyDescent="0.2">
      <c r="A22" s="35">
        <v>16</v>
      </c>
      <c r="B22" s="36" t="s">
        <v>26</v>
      </c>
      <c r="C22" s="36" t="s">
        <v>27</v>
      </c>
      <c r="D22" s="36" t="s">
        <v>28</v>
      </c>
      <c r="E22" s="37">
        <v>5354694</v>
      </c>
      <c r="F22" s="38">
        <v>22570.035209999998</v>
      </c>
      <c r="G22" s="39">
        <v>1.7607939999999999E-2</v>
      </c>
      <c r="H22" s="34" t="s">
        <v>143</v>
      </c>
    </row>
    <row r="23" spans="1:8" x14ac:dyDescent="0.2">
      <c r="A23" s="35">
        <v>17</v>
      </c>
      <c r="B23" s="36" t="s">
        <v>134</v>
      </c>
      <c r="C23" s="36" t="s">
        <v>135</v>
      </c>
      <c r="D23" s="36" t="s">
        <v>136</v>
      </c>
      <c r="E23" s="37">
        <v>2380218</v>
      </c>
      <c r="F23" s="38">
        <v>22414.512906</v>
      </c>
      <c r="G23" s="39">
        <v>1.748661E-2</v>
      </c>
      <c r="H23" s="34" t="s">
        <v>143</v>
      </c>
    </row>
    <row r="24" spans="1:8" ht="25.5" x14ac:dyDescent="0.2">
      <c r="A24" s="35">
        <v>18</v>
      </c>
      <c r="B24" s="36" t="s">
        <v>214</v>
      </c>
      <c r="C24" s="36" t="s">
        <v>215</v>
      </c>
      <c r="D24" s="36" t="s">
        <v>216</v>
      </c>
      <c r="E24" s="37">
        <v>1204245</v>
      </c>
      <c r="F24" s="38">
        <v>21964.224555000001</v>
      </c>
      <c r="G24" s="39">
        <v>1.7135319999999999E-2</v>
      </c>
      <c r="H24" s="34" t="s">
        <v>143</v>
      </c>
    </row>
    <row r="25" spans="1:8" x14ac:dyDescent="0.2">
      <c r="A25" s="35">
        <v>19</v>
      </c>
      <c r="B25" s="36" t="s">
        <v>217</v>
      </c>
      <c r="C25" s="36" t="s">
        <v>218</v>
      </c>
      <c r="D25" s="36" t="s">
        <v>61</v>
      </c>
      <c r="E25" s="37">
        <v>1395264</v>
      </c>
      <c r="F25" s="38">
        <v>21789.837887999998</v>
      </c>
      <c r="G25" s="39">
        <v>1.699927E-2</v>
      </c>
      <c r="H25" s="34" t="s">
        <v>143</v>
      </c>
    </row>
    <row r="26" spans="1:8" x14ac:dyDescent="0.2">
      <c r="A26" s="35">
        <v>20</v>
      </c>
      <c r="B26" s="36" t="s">
        <v>62</v>
      </c>
      <c r="C26" s="36" t="s">
        <v>63</v>
      </c>
      <c r="D26" s="36" t="s">
        <v>13</v>
      </c>
      <c r="E26" s="37">
        <v>5069388</v>
      </c>
      <c r="F26" s="38">
        <v>21347.192867999998</v>
      </c>
      <c r="G26" s="39">
        <v>1.6653950000000001E-2</v>
      </c>
      <c r="H26" s="34" t="s">
        <v>143</v>
      </c>
    </row>
    <row r="27" spans="1:8" x14ac:dyDescent="0.2">
      <c r="A27" s="35">
        <v>21</v>
      </c>
      <c r="B27" s="36" t="s">
        <v>107</v>
      </c>
      <c r="C27" s="36" t="s">
        <v>108</v>
      </c>
      <c r="D27" s="36" t="s">
        <v>52</v>
      </c>
      <c r="E27" s="37">
        <v>5428168</v>
      </c>
      <c r="F27" s="38">
        <v>20779.027104000001</v>
      </c>
      <c r="G27" s="39">
        <v>1.621069E-2</v>
      </c>
      <c r="H27" s="34" t="s">
        <v>143</v>
      </c>
    </row>
    <row r="28" spans="1:8" x14ac:dyDescent="0.2">
      <c r="A28" s="35">
        <v>22</v>
      </c>
      <c r="B28" s="36" t="s">
        <v>219</v>
      </c>
      <c r="C28" s="36" t="s">
        <v>220</v>
      </c>
      <c r="D28" s="36" t="s">
        <v>221</v>
      </c>
      <c r="E28" s="37">
        <v>2929377</v>
      </c>
      <c r="F28" s="38">
        <v>20558.367785999999</v>
      </c>
      <c r="G28" s="39">
        <v>1.6038549999999999E-2</v>
      </c>
      <c r="H28" s="34" t="s">
        <v>143</v>
      </c>
    </row>
    <row r="29" spans="1:8" x14ac:dyDescent="0.2">
      <c r="A29" s="35">
        <v>23</v>
      </c>
      <c r="B29" s="36" t="s">
        <v>222</v>
      </c>
      <c r="C29" s="36" t="s">
        <v>223</v>
      </c>
      <c r="D29" s="36" t="s">
        <v>195</v>
      </c>
      <c r="E29" s="37">
        <v>1553545</v>
      </c>
      <c r="F29" s="38">
        <v>19823.234199999999</v>
      </c>
      <c r="G29" s="39">
        <v>1.5465029999999999E-2</v>
      </c>
      <c r="H29" s="34" t="s">
        <v>143</v>
      </c>
    </row>
    <row r="30" spans="1:8" x14ac:dyDescent="0.2">
      <c r="A30" s="35">
        <v>24</v>
      </c>
      <c r="B30" s="36" t="s">
        <v>224</v>
      </c>
      <c r="C30" s="36" t="s">
        <v>225</v>
      </c>
      <c r="D30" s="36" t="s">
        <v>226</v>
      </c>
      <c r="E30" s="37">
        <v>959285</v>
      </c>
      <c r="F30" s="38">
        <v>18716.609635000001</v>
      </c>
      <c r="G30" s="39">
        <v>1.460171E-2</v>
      </c>
      <c r="H30" s="34" t="s">
        <v>143</v>
      </c>
    </row>
    <row r="31" spans="1:8" x14ac:dyDescent="0.2">
      <c r="A31" s="35">
        <v>25</v>
      </c>
      <c r="B31" s="36" t="s">
        <v>227</v>
      </c>
      <c r="C31" s="36" t="s">
        <v>228</v>
      </c>
      <c r="D31" s="36" t="s">
        <v>43</v>
      </c>
      <c r="E31" s="37">
        <v>4156994</v>
      </c>
      <c r="F31" s="38">
        <v>18656.589071999999</v>
      </c>
      <c r="G31" s="39">
        <v>1.4554879999999999E-2</v>
      </c>
      <c r="H31" s="34" t="s">
        <v>143</v>
      </c>
    </row>
    <row r="32" spans="1:8" x14ac:dyDescent="0.2">
      <c r="A32" s="35">
        <v>26</v>
      </c>
      <c r="B32" s="36" t="s">
        <v>229</v>
      </c>
      <c r="C32" s="36" t="s">
        <v>230</v>
      </c>
      <c r="D32" s="36" t="s">
        <v>192</v>
      </c>
      <c r="E32" s="37">
        <v>157981</v>
      </c>
      <c r="F32" s="38">
        <v>17306.81855</v>
      </c>
      <c r="G32" s="39">
        <v>1.3501859999999999E-2</v>
      </c>
      <c r="H32" s="34" t="s">
        <v>143</v>
      </c>
    </row>
    <row r="33" spans="1:8" x14ac:dyDescent="0.2">
      <c r="A33" s="35">
        <v>27</v>
      </c>
      <c r="B33" s="36" t="s">
        <v>84</v>
      </c>
      <c r="C33" s="36" t="s">
        <v>85</v>
      </c>
      <c r="D33" s="36" t="s">
        <v>43</v>
      </c>
      <c r="E33" s="37">
        <v>129128</v>
      </c>
      <c r="F33" s="38">
        <v>17292.821759999999</v>
      </c>
      <c r="G33" s="39">
        <v>1.349094E-2</v>
      </c>
      <c r="H33" s="34" t="s">
        <v>143</v>
      </c>
    </row>
    <row r="34" spans="1:8" x14ac:dyDescent="0.2">
      <c r="A34" s="35">
        <v>28</v>
      </c>
      <c r="B34" s="36" t="s">
        <v>231</v>
      </c>
      <c r="C34" s="36" t="s">
        <v>232</v>
      </c>
      <c r="D34" s="36" t="s">
        <v>221</v>
      </c>
      <c r="E34" s="37">
        <v>1863350</v>
      </c>
      <c r="F34" s="38">
        <v>17171.701925000001</v>
      </c>
      <c r="G34" s="39">
        <v>1.3396450000000001E-2</v>
      </c>
      <c r="H34" s="34" t="s">
        <v>143</v>
      </c>
    </row>
    <row r="35" spans="1:8" x14ac:dyDescent="0.2">
      <c r="A35" s="35">
        <v>29</v>
      </c>
      <c r="B35" s="36" t="s">
        <v>233</v>
      </c>
      <c r="C35" s="36" t="s">
        <v>234</v>
      </c>
      <c r="D35" s="36" t="s">
        <v>73</v>
      </c>
      <c r="E35" s="37">
        <v>248612</v>
      </c>
      <c r="F35" s="38">
        <v>16286.572120000001</v>
      </c>
      <c r="G35" s="39">
        <v>1.2705920000000001E-2</v>
      </c>
      <c r="H35" s="34" t="s">
        <v>143</v>
      </c>
    </row>
    <row r="36" spans="1:8" x14ac:dyDescent="0.2">
      <c r="A36" s="35">
        <v>30</v>
      </c>
      <c r="B36" s="36" t="s">
        <v>235</v>
      </c>
      <c r="C36" s="36" t="s">
        <v>236</v>
      </c>
      <c r="D36" s="36" t="s">
        <v>33</v>
      </c>
      <c r="E36" s="37">
        <v>1989510</v>
      </c>
      <c r="F36" s="38">
        <v>16264.24425</v>
      </c>
      <c r="G36" s="39">
        <v>1.26885E-2</v>
      </c>
      <c r="H36" s="34" t="s">
        <v>143</v>
      </c>
    </row>
    <row r="37" spans="1:8" x14ac:dyDescent="0.2">
      <c r="A37" s="35">
        <v>31</v>
      </c>
      <c r="B37" s="36" t="s">
        <v>237</v>
      </c>
      <c r="C37" s="36" t="s">
        <v>238</v>
      </c>
      <c r="D37" s="36" t="s">
        <v>192</v>
      </c>
      <c r="E37" s="37">
        <v>2619149</v>
      </c>
      <c r="F37" s="38">
        <v>16208.603586499999</v>
      </c>
      <c r="G37" s="39">
        <v>1.2645089999999999E-2</v>
      </c>
      <c r="H37" s="34" t="s">
        <v>143</v>
      </c>
    </row>
    <row r="38" spans="1:8" x14ac:dyDescent="0.2">
      <c r="A38" s="35">
        <v>32</v>
      </c>
      <c r="B38" s="36" t="s">
        <v>239</v>
      </c>
      <c r="C38" s="36" t="s">
        <v>240</v>
      </c>
      <c r="D38" s="36" t="s">
        <v>73</v>
      </c>
      <c r="E38" s="37">
        <v>364418</v>
      </c>
      <c r="F38" s="38">
        <v>16003.052051999999</v>
      </c>
      <c r="G38" s="39">
        <v>1.2484729999999999E-2</v>
      </c>
      <c r="H38" s="34" t="s">
        <v>143</v>
      </c>
    </row>
    <row r="39" spans="1:8" x14ac:dyDescent="0.2">
      <c r="A39" s="35">
        <v>33</v>
      </c>
      <c r="B39" s="36" t="s">
        <v>86</v>
      </c>
      <c r="C39" s="36" t="s">
        <v>87</v>
      </c>
      <c r="D39" s="36" t="s">
        <v>22</v>
      </c>
      <c r="E39" s="37">
        <v>1010416</v>
      </c>
      <c r="F39" s="38">
        <v>14828.865216</v>
      </c>
      <c r="G39" s="39">
        <v>1.156869E-2</v>
      </c>
      <c r="H39" s="34" t="s">
        <v>143</v>
      </c>
    </row>
    <row r="40" spans="1:8" x14ac:dyDescent="0.2">
      <c r="A40" s="35">
        <v>34</v>
      </c>
      <c r="B40" s="36" t="s">
        <v>241</v>
      </c>
      <c r="C40" s="36" t="s">
        <v>242</v>
      </c>
      <c r="D40" s="36" t="s">
        <v>195</v>
      </c>
      <c r="E40" s="37">
        <v>515995</v>
      </c>
      <c r="F40" s="38">
        <v>14428.768185000001</v>
      </c>
      <c r="G40" s="39">
        <v>1.1256560000000001E-2</v>
      </c>
      <c r="H40" s="34" t="s">
        <v>143</v>
      </c>
    </row>
    <row r="41" spans="1:8" ht="25.5" x14ac:dyDescent="0.2">
      <c r="A41" s="35">
        <v>35</v>
      </c>
      <c r="B41" s="36" t="s">
        <v>243</v>
      </c>
      <c r="C41" s="36" t="s">
        <v>244</v>
      </c>
      <c r="D41" s="36" t="s">
        <v>25</v>
      </c>
      <c r="E41" s="37">
        <v>740536</v>
      </c>
      <c r="F41" s="38">
        <v>14197.556192</v>
      </c>
      <c r="G41" s="39">
        <v>1.107618E-2</v>
      </c>
      <c r="H41" s="34" t="s">
        <v>143</v>
      </c>
    </row>
    <row r="42" spans="1:8" x14ac:dyDescent="0.2">
      <c r="A42" s="35">
        <v>36</v>
      </c>
      <c r="B42" s="36" t="s">
        <v>245</v>
      </c>
      <c r="C42" s="36" t="s">
        <v>246</v>
      </c>
      <c r="D42" s="36" t="s">
        <v>61</v>
      </c>
      <c r="E42" s="37">
        <v>839322</v>
      </c>
      <c r="F42" s="38">
        <v>13910.922828000001</v>
      </c>
      <c r="G42" s="39">
        <v>1.0852560000000001E-2</v>
      </c>
      <c r="H42" s="34" t="s">
        <v>143</v>
      </c>
    </row>
    <row r="43" spans="1:8" ht="25.5" x14ac:dyDescent="0.2">
      <c r="A43" s="35">
        <v>37</v>
      </c>
      <c r="B43" s="36" t="s">
        <v>247</v>
      </c>
      <c r="C43" s="36" t="s">
        <v>248</v>
      </c>
      <c r="D43" s="36" t="s">
        <v>201</v>
      </c>
      <c r="E43" s="37">
        <v>275425</v>
      </c>
      <c r="F43" s="38">
        <v>13603.240750000001</v>
      </c>
      <c r="G43" s="39">
        <v>1.061253E-2</v>
      </c>
      <c r="H43" s="34" t="s">
        <v>143</v>
      </c>
    </row>
    <row r="44" spans="1:8" x14ac:dyDescent="0.2">
      <c r="A44" s="35">
        <v>38</v>
      </c>
      <c r="B44" s="36" t="s">
        <v>249</v>
      </c>
      <c r="C44" s="36" t="s">
        <v>250</v>
      </c>
      <c r="D44" s="36" t="s">
        <v>251</v>
      </c>
      <c r="E44" s="37">
        <v>465740</v>
      </c>
      <c r="F44" s="38">
        <v>13590.2932</v>
      </c>
      <c r="G44" s="39">
        <v>1.0602429999999999E-2</v>
      </c>
      <c r="H44" s="34" t="s">
        <v>143</v>
      </c>
    </row>
    <row r="45" spans="1:8" x14ac:dyDescent="0.2">
      <c r="A45" s="35">
        <v>39</v>
      </c>
      <c r="B45" s="36" t="s">
        <v>252</v>
      </c>
      <c r="C45" s="36" t="s">
        <v>253</v>
      </c>
      <c r="D45" s="36" t="s">
        <v>33</v>
      </c>
      <c r="E45" s="37">
        <v>18512421</v>
      </c>
      <c r="F45" s="38">
        <v>13484.447456399999</v>
      </c>
      <c r="G45" s="39">
        <v>1.0519850000000001E-2</v>
      </c>
      <c r="H45" s="34" t="s">
        <v>143</v>
      </c>
    </row>
    <row r="46" spans="1:8" x14ac:dyDescent="0.2">
      <c r="A46" s="35">
        <v>40</v>
      </c>
      <c r="B46" s="36" t="s">
        <v>254</v>
      </c>
      <c r="C46" s="36" t="s">
        <v>255</v>
      </c>
      <c r="D46" s="36" t="s">
        <v>256</v>
      </c>
      <c r="E46" s="37">
        <v>782298</v>
      </c>
      <c r="F46" s="38">
        <v>12885.230358000001</v>
      </c>
      <c r="G46" s="39">
        <v>1.005237E-2</v>
      </c>
      <c r="H46" s="34" t="s">
        <v>143</v>
      </c>
    </row>
    <row r="47" spans="1:8" x14ac:dyDescent="0.2">
      <c r="A47" s="35">
        <v>41</v>
      </c>
      <c r="B47" s="36" t="s">
        <v>257</v>
      </c>
      <c r="C47" s="36" t="s">
        <v>258</v>
      </c>
      <c r="D47" s="36" t="s">
        <v>61</v>
      </c>
      <c r="E47" s="37">
        <v>671315</v>
      </c>
      <c r="F47" s="38">
        <v>12792.57864</v>
      </c>
      <c r="G47" s="39">
        <v>9.9800900000000005E-3</v>
      </c>
      <c r="H47" s="34" t="s">
        <v>143</v>
      </c>
    </row>
    <row r="48" spans="1:8" x14ac:dyDescent="0.2">
      <c r="A48" s="35">
        <v>42</v>
      </c>
      <c r="B48" s="36" t="s">
        <v>259</v>
      </c>
      <c r="C48" s="36" t="s">
        <v>260</v>
      </c>
      <c r="D48" s="36" t="s">
        <v>73</v>
      </c>
      <c r="E48" s="37">
        <v>844706</v>
      </c>
      <c r="F48" s="38">
        <v>12728.030008</v>
      </c>
      <c r="G48" s="39">
        <v>9.9297299999999995E-3</v>
      </c>
      <c r="H48" s="34" t="s">
        <v>143</v>
      </c>
    </row>
    <row r="49" spans="1:8" ht="25.5" x14ac:dyDescent="0.2">
      <c r="A49" s="35">
        <v>43</v>
      </c>
      <c r="B49" s="36" t="s">
        <v>261</v>
      </c>
      <c r="C49" s="36" t="s">
        <v>262</v>
      </c>
      <c r="D49" s="36" t="s">
        <v>201</v>
      </c>
      <c r="E49" s="37">
        <v>545268</v>
      </c>
      <c r="F49" s="38">
        <v>12649.127064</v>
      </c>
      <c r="G49" s="39">
        <v>9.8681800000000007E-3</v>
      </c>
      <c r="H49" s="34" t="s">
        <v>143</v>
      </c>
    </row>
    <row r="50" spans="1:8" x14ac:dyDescent="0.2">
      <c r="A50" s="35">
        <v>44</v>
      </c>
      <c r="B50" s="36" t="s">
        <v>263</v>
      </c>
      <c r="C50" s="36" t="s">
        <v>264</v>
      </c>
      <c r="D50" s="36" t="s">
        <v>265</v>
      </c>
      <c r="E50" s="37">
        <v>287202</v>
      </c>
      <c r="F50" s="38">
        <v>12642.919242</v>
      </c>
      <c r="G50" s="39">
        <v>9.86333E-3</v>
      </c>
      <c r="H50" s="34" t="s">
        <v>143</v>
      </c>
    </row>
    <row r="51" spans="1:8" x14ac:dyDescent="0.2">
      <c r="A51" s="35">
        <v>45</v>
      </c>
      <c r="B51" s="36" t="s">
        <v>266</v>
      </c>
      <c r="C51" s="36" t="s">
        <v>267</v>
      </c>
      <c r="D51" s="36" t="s">
        <v>55</v>
      </c>
      <c r="E51" s="37">
        <v>3518063</v>
      </c>
      <c r="F51" s="38">
        <v>12494.400744500001</v>
      </c>
      <c r="G51" s="39">
        <v>9.7474699999999994E-3</v>
      </c>
      <c r="H51" s="34" t="s">
        <v>143</v>
      </c>
    </row>
    <row r="52" spans="1:8" x14ac:dyDescent="0.2">
      <c r="A52" s="35">
        <v>46</v>
      </c>
      <c r="B52" s="36" t="s">
        <v>64</v>
      </c>
      <c r="C52" s="36" t="s">
        <v>65</v>
      </c>
      <c r="D52" s="36" t="s">
        <v>36</v>
      </c>
      <c r="E52" s="37">
        <v>18400513</v>
      </c>
      <c r="F52" s="38">
        <v>12460.8274036</v>
      </c>
      <c r="G52" s="39">
        <v>9.7212800000000005E-3</v>
      </c>
      <c r="H52" s="34" t="s">
        <v>143</v>
      </c>
    </row>
    <row r="53" spans="1:8" ht="25.5" x14ac:dyDescent="0.2">
      <c r="A53" s="35">
        <v>47</v>
      </c>
      <c r="B53" s="36" t="s">
        <v>268</v>
      </c>
      <c r="C53" s="36" t="s">
        <v>269</v>
      </c>
      <c r="D53" s="36" t="s">
        <v>270</v>
      </c>
      <c r="E53" s="37">
        <v>621906</v>
      </c>
      <c r="F53" s="38">
        <v>12357.894125999999</v>
      </c>
      <c r="G53" s="39">
        <v>9.6409700000000004E-3</v>
      </c>
      <c r="H53" s="34" t="s">
        <v>143</v>
      </c>
    </row>
    <row r="54" spans="1:8" x14ac:dyDescent="0.2">
      <c r="A54" s="35">
        <v>48</v>
      </c>
      <c r="B54" s="36" t="s">
        <v>271</v>
      </c>
      <c r="C54" s="36" t="s">
        <v>272</v>
      </c>
      <c r="D54" s="36" t="s">
        <v>43</v>
      </c>
      <c r="E54" s="37">
        <v>1114401</v>
      </c>
      <c r="F54" s="38">
        <v>12306.330243</v>
      </c>
      <c r="G54" s="39">
        <v>9.6007499999999999E-3</v>
      </c>
      <c r="H54" s="34" t="s">
        <v>143</v>
      </c>
    </row>
    <row r="55" spans="1:8" x14ac:dyDescent="0.2">
      <c r="A55" s="35">
        <v>49</v>
      </c>
      <c r="B55" s="36" t="s">
        <v>273</v>
      </c>
      <c r="C55" s="36" t="s">
        <v>274</v>
      </c>
      <c r="D55" s="36" t="s">
        <v>221</v>
      </c>
      <c r="E55" s="37">
        <v>7322305</v>
      </c>
      <c r="F55" s="38">
        <v>12284.6310985</v>
      </c>
      <c r="G55" s="39">
        <v>9.5838199999999998E-3</v>
      </c>
      <c r="H55" s="34" t="s">
        <v>143</v>
      </c>
    </row>
    <row r="56" spans="1:8" x14ac:dyDescent="0.2">
      <c r="A56" s="35">
        <v>50</v>
      </c>
      <c r="B56" s="36" t="s">
        <v>275</v>
      </c>
      <c r="C56" s="36" t="s">
        <v>276</v>
      </c>
      <c r="D56" s="36" t="s">
        <v>256</v>
      </c>
      <c r="E56" s="37">
        <v>1850422</v>
      </c>
      <c r="F56" s="38">
        <v>12173.926337999999</v>
      </c>
      <c r="G56" s="39">
        <v>9.4974499999999993E-3</v>
      </c>
      <c r="H56" s="34" t="s">
        <v>143</v>
      </c>
    </row>
    <row r="57" spans="1:8" x14ac:dyDescent="0.2">
      <c r="A57" s="35">
        <v>51</v>
      </c>
      <c r="B57" s="36" t="s">
        <v>277</v>
      </c>
      <c r="C57" s="36" t="s">
        <v>278</v>
      </c>
      <c r="D57" s="36" t="s">
        <v>192</v>
      </c>
      <c r="E57" s="37">
        <v>1716703</v>
      </c>
      <c r="F57" s="38">
        <v>12134.515155499999</v>
      </c>
      <c r="G57" s="39">
        <v>9.4666999999999998E-3</v>
      </c>
      <c r="H57" s="34" t="s">
        <v>143</v>
      </c>
    </row>
    <row r="58" spans="1:8" x14ac:dyDescent="0.2">
      <c r="A58" s="35">
        <v>52</v>
      </c>
      <c r="B58" s="36" t="s">
        <v>279</v>
      </c>
      <c r="C58" s="36" t="s">
        <v>280</v>
      </c>
      <c r="D58" s="36" t="s">
        <v>206</v>
      </c>
      <c r="E58" s="37">
        <v>1340505</v>
      </c>
      <c r="F58" s="38">
        <v>11663.0637525</v>
      </c>
      <c r="G58" s="39">
        <v>9.0989E-3</v>
      </c>
      <c r="H58" s="34" t="s">
        <v>143</v>
      </c>
    </row>
    <row r="59" spans="1:8" x14ac:dyDescent="0.2">
      <c r="A59" s="35">
        <v>53</v>
      </c>
      <c r="B59" s="36" t="s">
        <v>76</v>
      </c>
      <c r="C59" s="36" t="s">
        <v>77</v>
      </c>
      <c r="D59" s="36" t="s">
        <v>13</v>
      </c>
      <c r="E59" s="37">
        <v>583736</v>
      </c>
      <c r="F59" s="38">
        <v>11398.612872</v>
      </c>
      <c r="G59" s="39">
        <v>8.8925900000000006E-3</v>
      </c>
      <c r="H59" s="34" t="s">
        <v>143</v>
      </c>
    </row>
    <row r="60" spans="1:8" ht="25.5" x14ac:dyDescent="0.2">
      <c r="A60" s="35">
        <v>54</v>
      </c>
      <c r="B60" s="36" t="s">
        <v>281</v>
      </c>
      <c r="C60" s="36" t="s">
        <v>282</v>
      </c>
      <c r="D60" s="36" t="s">
        <v>201</v>
      </c>
      <c r="E60" s="37">
        <v>1124810</v>
      </c>
      <c r="F60" s="38">
        <v>11135.056595</v>
      </c>
      <c r="G60" s="39">
        <v>8.6869800000000004E-3</v>
      </c>
      <c r="H60" s="34" t="s">
        <v>143</v>
      </c>
    </row>
    <row r="61" spans="1:8" x14ac:dyDescent="0.2">
      <c r="A61" s="35">
        <v>55</v>
      </c>
      <c r="B61" s="36" t="s">
        <v>111</v>
      </c>
      <c r="C61" s="36" t="s">
        <v>112</v>
      </c>
      <c r="D61" s="36" t="s">
        <v>73</v>
      </c>
      <c r="E61" s="37">
        <v>631409</v>
      </c>
      <c r="F61" s="38">
        <v>10980.833919000001</v>
      </c>
      <c r="G61" s="39">
        <v>8.5666600000000002E-3</v>
      </c>
      <c r="H61" s="34" t="s">
        <v>143</v>
      </c>
    </row>
    <row r="62" spans="1:8" ht="25.5" x14ac:dyDescent="0.2">
      <c r="A62" s="35">
        <v>56</v>
      </c>
      <c r="B62" s="36" t="s">
        <v>283</v>
      </c>
      <c r="C62" s="36" t="s">
        <v>284</v>
      </c>
      <c r="D62" s="36" t="s">
        <v>185</v>
      </c>
      <c r="E62" s="37">
        <v>255227</v>
      </c>
      <c r="F62" s="38">
        <v>10476.302669000001</v>
      </c>
      <c r="G62" s="39">
        <v>8.1730599999999994E-3</v>
      </c>
      <c r="H62" s="34" t="s">
        <v>143</v>
      </c>
    </row>
    <row r="63" spans="1:8" x14ac:dyDescent="0.2">
      <c r="A63" s="35">
        <v>57</v>
      </c>
      <c r="B63" s="36" t="s">
        <v>99</v>
      </c>
      <c r="C63" s="36" t="s">
        <v>100</v>
      </c>
      <c r="D63" s="36" t="s">
        <v>43</v>
      </c>
      <c r="E63" s="37">
        <v>258555</v>
      </c>
      <c r="F63" s="38">
        <v>10464.496515000001</v>
      </c>
      <c r="G63" s="39">
        <v>8.1638400000000003E-3</v>
      </c>
      <c r="H63" s="34" t="s">
        <v>143</v>
      </c>
    </row>
    <row r="64" spans="1:8" x14ac:dyDescent="0.2">
      <c r="A64" s="35">
        <v>58</v>
      </c>
      <c r="B64" s="36" t="s">
        <v>285</v>
      </c>
      <c r="C64" s="36" t="s">
        <v>286</v>
      </c>
      <c r="D64" s="36" t="s">
        <v>287</v>
      </c>
      <c r="E64" s="37">
        <v>4886424</v>
      </c>
      <c r="F64" s="38">
        <v>10182.8189736</v>
      </c>
      <c r="G64" s="39">
        <v>7.9440899999999991E-3</v>
      </c>
      <c r="H64" s="34" t="s">
        <v>143</v>
      </c>
    </row>
    <row r="65" spans="1:8" x14ac:dyDescent="0.2">
      <c r="A65" s="35">
        <v>59</v>
      </c>
      <c r="B65" s="36" t="s">
        <v>288</v>
      </c>
      <c r="C65" s="36" t="s">
        <v>289</v>
      </c>
      <c r="D65" s="36" t="s">
        <v>33</v>
      </c>
      <c r="E65" s="37">
        <v>6452384</v>
      </c>
      <c r="F65" s="38">
        <v>9910.8618239999996</v>
      </c>
      <c r="G65" s="39">
        <v>7.7319299999999997E-3</v>
      </c>
      <c r="H65" s="34" t="s">
        <v>143</v>
      </c>
    </row>
    <row r="66" spans="1:8" x14ac:dyDescent="0.2">
      <c r="A66" s="35">
        <v>60</v>
      </c>
      <c r="B66" s="36" t="s">
        <v>53</v>
      </c>
      <c r="C66" s="36" t="s">
        <v>54</v>
      </c>
      <c r="D66" s="36" t="s">
        <v>55</v>
      </c>
      <c r="E66" s="37">
        <v>143674</v>
      </c>
      <c r="F66" s="38">
        <v>9726.0114300000005</v>
      </c>
      <c r="G66" s="39">
        <v>7.5877200000000001E-3</v>
      </c>
      <c r="H66" s="34" t="s">
        <v>143</v>
      </c>
    </row>
    <row r="67" spans="1:8" x14ac:dyDescent="0.2">
      <c r="A67" s="35">
        <v>61</v>
      </c>
      <c r="B67" s="36" t="s">
        <v>290</v>
      </c>
      <c r="C67" s="36" t="s">
        <v>291</v>
      </c>
      <c r="D67" s="36" t="s">
        <v>55</v>
      </c>
      <c r="E67" s="37">
        <v>57621</v>
      </c>
      <c r="F67" s="38">
        <v>8633.3544299999994</v>
      </c>
      <c r="G67" s="39">
        <v>6.7352899999999997E-3</v>
      </c>
      <c r="H67" s="34" t="s">
        <v>143</v>
      </c>
    </row>
    <row r="68" spans="1:8" x14ac:dyDescent="0.2">
      <c r="A68" s="35">
        <v>62</v>
      </c>
      <c r="B68" s="36" t="s">
        <v>292</v>
      </c>
      <c r="C68" s="36" t="s">
        <v>293</v>
      </c>
      <c r="D68" s="36" t="s">
        <v>294</v>
      </c>
      <c r="E68" s="37">
        <v>1483348</v>
      </c>
      <c r="F68" s="38">
        <v>8478.8171679999996</v>
      </c>
      <c r="G68" s="39">
        <v>6.6147200000000001E-3</v>
      </c>
      <c r="H68" s="34" t="s">
        <v>143</v>
      </c>
    </row>
    <row r="69" spans="1:8" x14ac:dyDescent="0.2">
      <c r="A69" s="35">
        <v>63</v>
      </c>
      <c r="B69" s="36" t="s">
        <v>295</v>
      </c>
      <c r="C69" s="36" t="s">
        <v>296</v>
      </c>
      <c r="D69" s="36" t="s">
        <v>43</v>
      </c>
      <c r="E69" s="37">
        <v>1742160</v>
      </c>
      <c r="F69" s="38">
        <v>8385.8871600000002</v>
      </c>
      <c r="G69" s="39">
        <v>6.5422199999999996E-3</v>
      </c>
      <c r="H69" s="34" t="s">
        <v>143</v>
      </c>
    </row>
    <row r="70" spans="1:8" x14ac:dyDescent="0.2">
      <c r="A70" s="35">
        <v>64</v>
      </c>
      <c r="B70" s="36" t="s">
        <v>137</v>
      </c>
      <c r="C70" s="36" t="s">
        <v>138</v>
      </c>
      <c r="D70" s="36" t="s">
        <v>73</v>
      </c>
      <c r="E70" s="37">
        <v>469453</v>
      </c>
      <c r="F70" s="38">
        <v>8117.7812759999997</v>
      </c>
      <c r="G70" s="39">
        <v>6.3330599999999997E-3</v>
      </c>
      <c r="H70" s="34" t="s">
        <v>143</v>
      </c>
    </row>
    <row r="71" spans="1:8" x14ac:dyDescent="0.2">
      <c r="A71" s="35">
        <v>65</v>
      </c>
      <c r="B71" s="36" t="s">
        <v>297</v>
      </c>
      <c r="C71" s="36" t="s">
        <v>298</v>
      </c>
      <c r="D71" s="36" t="s">
        <v>94</v>
      </c>
      <c r="E71" s="37">
        <v>2397401</v>
      </c>
      <c r="F71" s="38">
        <v>7900.6349954999996</v>
      </c>
      <c r="G71" s="39">
        <v>6.1636599999999996E-3</v>
      </c>
      <c r="H71" s="34" t="s">
        <v>143</v>
      </c>
    </row>
    <row r="72" spans="1:8" ht="25.5" x14ac:dyDescent="0.2">
      <c r="A72" s="35">
        <v>66</v>
      </c>
      <c r="B72" s="36" t="s">
        <v>299</v>
      </c>
      <c r="C72" s="36" t="s">
        <v>300</v>
      </c>
      <c r="D72" s="36" t="s">
        <v>206</v>
      </c>
      <c r="E72" s="37">
        <v>607223</v>
      </c>
      <c r="F72" s="38">
        <v>7253.2787349999999</v>
      </c>
      <c r="G72" s="39">
        <v>5.6586199999999996E-3</v>
      </c>
      <c r="H72" s="34" t="s">
        <v>143</v>
      </c>
    </row>
    <row r="73" spans="1:8" x14ac:dyDescent="0.2">
      <c r="A73" s="35">
        <v>67</v>
      </c>
      <c r="B73" s="36" t="s">
        <v>301</v>
      </c>
      <c r="C73" s="36" t="s">
        <v>302</v>
      </c>
      <c r="D73" s="36" t="s">
        <v>287</v>
      </c>
      <c r="E73" s="37">
        <v>95442</v>
      </c>
      <c r="F73" s="38">
        <v>5934.10635</v>
      </c>
      <c r="G73" s="39">
        <v>4.6294800000000001E-3</v>
      </c>
      <c r="H73" s="34" t="s">
        <v>143</v>
      </c>
    </row>
    <row r="74" spans="1:8" x14ac:dyDescent="0.2">
      <c r="A74" s="35">
        <v>68</v>
      </c>
      <c r="B74" s="36" t="s">
        <v>303</v>
      </c>
      <c r="C74" s="36" t="s">
        <v>304</v>
      </c>
      <c r="D74" s="36" t="s">
        <v>192</v>
      </c>
      <c r="E74" s="37">
        <v>95024</v>
      </c>
      <c r="F74" s="38">
        <v>5747.05152</v>
      </c>
      <c r="G74" s="39">
        <v>4.4835400000000003E-3</v>
      </c>
      <c r="H74" s="34" t="s">
        <v>143</v>
      </c>
    </row>
    <row r="75" spans="1:8" x14ac:dyDescent="0.2">
      <c r="A75" s="35">
        <v>69</v>
      </c>
      <c r="B75" s="36" t="s">
        <v>305</v>
      </c>
      <c r="C75" s="36" t="s">
        <v>306</v>
      </c>
      <c r="D75" s="36" t="s">
        <v>195</v>
      </c>
      <c r="E75" s="37">
        <v>960130</v>
      </c>
      <c r="F75" s="38">
        <v>5517.3870450000004</v>
      </c>
      <c r="G75" s="39">
        <v>4.3043700000000001E-3</v>
      </c>
      <c r="H75" s="34" t="s">
        <v>143</v>
      </c>
    </row>
    <row r="76" spans="1:8" x14ac:dyDescent="0.2">
      <c r="A76" s="35">
        <v>70</v>
      </c>
      <c r="B76" s="36" t="s">
        <v>307</v>
      </c>
      <c r="C76" s="36" t="s">
        <v>308</v>
      </c>
      <c r="D76" s="36" t="s">
        <v>73</v>
      </c>
      <c r="E76" s="37">
        <v>105923</v>
      </c>
      <c r="F76" s="38">
        <v>5101.0398340000002</v>
      </c>
      <c r="G76" s="39">
        <v>3.97956E-3</v>
      </c>
      <c r="H76" s="34" t="s">
        <v>143</v>
      </c>
    </row>
    <row r="77" spans="1:8" x14ac:dyDescent="0.2">
      <c r="A77" s="35">
        <v>71</v>
      </c>
      <c r="B77" s="36" t="s">
        <v>309</v>
      </c>
      <c r="C77" s="36" t="s">
        <v>310</v>
      </c>
      <c r="D77" s="36" t="s">
        <v>206</v>
      </c>
      <c r="E77" s="37">
        <v>113312</v>
      </c>
      <c r="F77" s="38">
        <v>4861.3114240000004</v>
      </c>
      <c r="G77" s="39">
        <v>3.7925400000000001E-3</v>
      </c>
      <c r="H77" s="34" t="s">
        <v>143</v>
      </c>
    </row>
    <row r="78" spans="1:8" x14ac:dyDescent="0.2">
      <c r="A78" s="35">
        <v>72</v>
      </c>
      <c r="B78" s="36" t="s">
        <v>311</v>
      </c>
      <c r="C78" s="36" t="s">
        <v>312</v>
      </c>
      <c r="D78" s="36" t="s">
        <v>221</v>
      </c>
      <c r="E78" s="37">
        <v>604722</v>
      </c>
      <c r="F78" s="38">
        <v>4597.7013660000002</v>
      </c>
      <c r="G78" s="39">
        <v>3.5868800000000002E-3</v>
      </c>
      <c r="H78" s="34" t="s">
        <v>143</v>
      </c>
    </row>
    <row r="79" spans="1:8" x14ac:dyDescent="0.2">
      <c r="A79" s="35">
        <v>73</v>
      </c>
      <c r="B79" s="36" t="s">
        <v>115</v>
      </c>
      <c r="C79" s="36" t="s">
        <v>116</v>
      </c>
      <c r="D79" s="36" t="s">
        <v>36</v>
      </c>
      <c r="E79" s="37">
        <v>1690314</v>
      </c>
      <c r="F79" s="38">
        <v>4501.3061820000003</v>
      </c>
      <c r="G79" s="39">
        <v>3.5116800000000001E-3</v>
      </c>
      <c r="H79" s="34" t="s">
        <v>143</v>
      </c>
    </row>
    <row r="80" spans="1:8" x14ac:dyDescent="0.2">
      <c r="A80" s="35">
        <v>74</v>
      </c>
      <c r="B80" s="36" t="s">
        <v>313</v>
      </c>
      <c r="C80" s="36" t="s">
        <v>314</v>
      </c>
      <c r="D80" s="36" t="s">
        <v>251</v>
      </c>
      <c r="E80" s="37">
        <v>10199797</v>
      </c>
      <c r="F80" s="38">
        <v>4402.2323852</v>
      </c>
      <c r="G80" s="39">
        <v>3.4343899999999998E-3</v>
      </c>
      <c r="H80" s="34" t="s">
        <v>143</v>
      </c>
    </row>
    <row r="81" spans="1:8" x14ac:dyDescent="0.2">
      <c r="A81" s="35">
        <v>75</v>
      </c>
      <c r="B81" s="36" t="s">
        <v>315</v>
      </c>
      <c r="C81" s="36" t="s">
        <v>316</v>
      </c>
      <c r="D81" s="36" t="s">
        <v>55</v>
      </c>
      <c r="E81" s="37">
        <v>286210</v>
      </c>
      <c r="F81" s="38">
        <v>3761.0856100000001</v>
      </c>
      <c r="G81" s="39">
        <v>2.9342000000000001E-3</v>
      </c>
      <c r="H81" s="34" t="s">
        <v>143</v>
      </c>
    </row>
    <row r="82" spans="1:8" x14ac:dyDescent="0.2">
      <c r="A82" s="35">
        <v>76</v>
      </c>
      <c r="B82" s="36" t="s">
        <v>317</v>
      </c>
      <c r="C82" s="36" t="s">
        <v>318</v>
      </c>
      <c r="D82" s="36" t="s">
        <v>94</v>
      </c>
      <c r="E82" s="37">
        <v>321233</v>
      </c>
      <c r="F82" s="38">
        <v>1525.2142839999999</v>
      </c>
      <c r="G82" s="39">
        <v>1.1898900000000001E-3</v>
      </c>
      <c r="H82" s="34" t="s">
        <v>143</v>
      </c>
    </row>
    <row r="83" spans="1:8" x14ac:dyDescent="0.2">
      <c r="A83" s="41"/>
      <c r="B83" s="41"/>
      <c r="C83" s="42" t="s">
        <v>142</v>
      </c>
      <c r="D83" s="41"/>
      <c r="E83" s="41" t="s">
        <v>143</v>
      </c>
      <c r="F83" s="43">
        <v>1227007.4120545001</v>
      </c>
      <c r="G83" s="44">
        <v>0.95724600999999998</v>
      </c>
      <c r="H83" s="34" t="s">
        <v>143</v>
      </c>
    </row>
    <row r="84" spans="1:8" x14ac:dyDescent="0.2">
      <c r="A84" s="41"/>
      <c r="B84" s="41"/>
      <c r="C84" s="45"/>
      <c r="D84" s="41"/>
      <c r="E84" s="41"/>
      <c r="F84" s="46"/>
      <c r="G84" s="46"/>
      <c r="H84" s="34" t="s">
        <v>143</v>
      </c>
    </row>
    <row r="85" spans="1:8" x14ac:dyDescent="0.2">
      <c r="A85" s="41"/>
      <c r="B85" s="41"/>
      <c r="C85" s="42" t="s">
        <v>144</v>
      </c>
      <c r="D85" s="41"/>
      <c r="E85" s="41"/>
      <c r="F85" s="41"/>
      <c r="G85" s="41"/>
      <c r="H85" s="34" t="s">
        <v>143</v>
      </c>
    </row>
    <row r="86" spans="1:8" x14ac:dyDescent="0.2">
      <c r="A86" s="41"/>
      <c r="B86" s="41"/>
      <c r="C86" s="42" t="s">
        <v>142</v>
      </c>
      <c r="D86" s="41"/>
      <c r="E86" s="41" t="s">
        <v>143</v>
      </c>
      <c r="F86" s="47" t="s">
        <v>145</v>
      </c>
      <c r="G86" s="44">
        <v>0</v>
      </c>
      <c r="H86" s="34" t="s">
        <v>143</v>
      </c>
    </row>
    <row r="87" spans="1:8" x14ac:dyDescent="0.2">
      <c r="A87" s="41"/>
      <c r="B87" s="41"/>
      <c r="C87" s="45"/>
      <c r="D87" s="41"/>
      <c r="E87" s="41"/>
      <c r="F87" s="46"/>
      <c r="G87" s="46"/>
      <c r="H87" s="34" t="s">
        <v>143</v>
      </c>
    </row>
    <row r="88" spans="1:8" x14ac:dyDescent="0.2">
      <c r="A88" s="41"/>
      <c r="B88" s="41"/>
      <c r="C88" s="42" t="s">
        <v>146</v>
      </c>
      <c r="D88" s="41"/>
      <c r="E88" s="41"/>
      <c r="F88" s="41"/>
      <c r="G88" s="41"/>
      <c r="H88" s="34" t="s">
        <v>143</v>
      </c>
    </row>
    <row r="89" spans="1:8" x14ac:dyDescent="0.2">
      <c r="A89" s="41"/>
      <c r="B89" s="41"/>
      <c r="C89" s="42" t="s">
        <v>142</v>
      </c>
      <c r="D89" s="41"/>
      <c r="E89" s="41" t="s">
        <v>143</v>
      </c>
      <c r="F89" s="47" t="s">
        <v>145</v>
      </c>
      <c r="G89" s="44">
        <v>0</v>
      </c>
      <c r="H89" s="34" t="s">
        <v>143</v>
      </c>
    </row>
    <row r="90" spans="1:8" x14ac:dyDescent="0.2">
      <c r="A90" s="41"/>
      <c r="B90" s="41"/>
      <c r="C90" s="45"/>
      <c r="D90" s="41"/>
      <c r="E90" s="41"/>
      <c r="F90" s="46"/>
      <c r="G90" s="46"/>
      <c r="H90" s="34" t="s">
        <v>143</v>
      </c>
    </row>
    <row r="91" spans="1:8" x14ac:dyDescent="0.2">
      <c r="A91" s="41"/>
      <c r="B91" s="41"/>
      <c r="C91" s="42" t="s">
        <v>147</v>
      </c>
      <c r="D91" s="41"/>
      <c r="E91" s="41"/>
      <c r="F91" s="41"/>
      <c r="G91" s="41"/>
      <c r="H91" s="34" t="s">
        <v>143</v>
      </c>
    </row>
    <row r="92" spans="1:8" x14ac:dyDescent="0.2">
      <c r="A92" s="41"/>
      <c r="B92" s="41"/>
      <c r="C92" s="42" t="s">
        <v>142</v>
      </c>
      <c r="D92" s="41"/>
      <c r="E92" s="41" t="s">
        <v>143</v>
      </c>
      <c r="F92" s="47" t="s">
        <v>145</v>
      </c>
      <c r="G92" s="44">
        <v>0</v>
      </c>
      <c r="H92" s="34" t="s">
        <v>143</v>
      </c>
    </row>
    <row r="93" spans="1:8" x14ac:dyDescent="0.2">
      <c r="A93" s="41"/>
      <c r="B93" s="41"/>
      <c r="C93" s="45"/>
      <c r="D93" s="41"/>
      <c r="E93" s="41"/>
      <c r="F93" s="46"/>
      <c r="G93" s="46"/>
      <c r="H93" s="34" t="s">
        <v>143</v>
      </c>
    </row>
    <row r="94" spans="1:8" x14ac:dyDescent="0.2">
      <c r="A94" s="41"/>
      <c r="B94" s="41"/>
      <c r="C94" s="42" t="s">
        <v>148</v>
      </c>
      <c r="D94" s="41"/>
      <c r="E94" s="41"/>
      <c r="F94" s="46"/>
      <c r="G94" s="46"/>
      <c r="H94" s="34" t="s">
        <v>143</v>
      </c>
    </row>
    <row r="95" spans="1:8" x14ac:dyDescent="0.2">
      <c r="A95" s="41"/>
      <c r="B95" s="41"/>
      <c r="C95" s="42" t="s">
        <v>142</v>
      </c>
      <c r="D95" s="41"/>
      <c r="E95" s="41" t="s">
        <v>143</v>
      </c>
      <c r="F95" s="47" t="s">
        <v>145</v>
      </c>
      <c r="G95" s="44">
        <v>0</v>
      </c>
      <c r="H95" s="34" t="s">
        <v>143</v>
      </c>
    </row>
    <row r="96" spans="1:8" x14ac:dyDescent="0.2">
      <c r="A96" s="41"/>
      <c r="B96" s="41"/>
      <c r="C96" s="45"/>
      <c r="D96" s="41"/>
      <c r="E96" s="41"/>
      <c r="F96" s="46"/>
      <c r="G96" s="46"/>
      <c r="H96" s="34" t="s">
        <v>143</v>
      </c>
    </row>
    <row r="97" spans="1:8" x14ac:dyDescent="0.2">
      <c r="A97" s="41"/>
      <c r="B97" s="41"/>
      <c r="C97" s="42" t="s">
        <v>149</v>
      </c>
      <c r="D97" s="41"/>
      <c r="E97" s="41"/>
      <c r="F97" s="46"/>
      <c r="G97" s="46"/>
      <c r="H97" s="34" t="s">
        <v>143</v>
      </c>
    </row>
    <row r="98" spans="1:8" x14ac:dyDescent="0.2">
      <c r="A98" s="41"/>
      <c r="B98" s="41"/>
      <c r="C98" s="42" t="s">
        <v>142</v>
      </c>
      <c r="D98" s="41"/>
      <c r="E98" s="41" t="s">
        <v>143</v>
      </c>
      <c r="F98" s="47" t="s">
        <v>145</v>
      </c>
      <c r="G98" s="44">
        <v>0</v>
      </c>
      <c r="H98" s="34" t="s">
        <v>143</v>
      </c>
    </row>
    <row r="99" spans="1:8" x14ac:dyDescent="0.2">
      <c r="A99" s="41"/>
      <c r="B99" s="41"/>
      <c r="C99" s="45"/>
      <c r="D99" s="41"/>
      <c r="E99" s="41"/>
      <c r="F99" s="46"/>
      <c r="G99" s="46"/>
      <c r="H99" s="34" t="s">
        <v>143</v>
      </c>
    </row>
    <row r="100" spans="1:8" x14ac:dyDescent="0.2">
      <c r="A100" s="41"/>
      <c r="B100" s="41"/>
      <c r="C100" s="42" t="s">
        <v>150</v>
      </c>
      <c r="D100" s="41"/>
      <c r="E100" s="41"/>
      <c r="F100" s="43">
        <v>1227007.4120545001</v>
      </c>
      <c r="G100" s="44">
        <v>0.95724600999999998</v>
      </c>
      <c r="H100" s="34" t="s">
        <v>143</v>
      </c>
    </row>
    <row r="101" spans="1:8" x14ac:dyDescent="0.2">
      <c r="A101" s="41"/>
      <c r="B101" s="41"/>
      <c r="C101" s="45"/>
      <c r="D101" s="41"/>
      <c r="E101" s="41"/>
      <c r="F101" s="46"/>
      <c r="G101" s="46"/>
      <c r="H101" s="34" t="s">
        <v>143</v>
      </c>
    </row>
    <row r="102" spans="1:8" x14ac:dyDescent="0.2">
      <c r="A102" s="41"/>
      <c r="B102" s="41"/>
      <c r="C102" s="42" t="s">
        <v>151</v>
      </c>
      <c r="D102" s="41"/>
      <c r="E102" s="41"/>
      <c r="F102" s="46"/>
      <c r="G102" s="46"/>
      <c r="H102" s="34" t="s">
        <v>143</v>
      </c>
    </row>
    <row r="103" spans="1:8" x14ac:dyDescent="0.2">
      <c r="A103" s="41"/>
      <c r="B103" s="41"/>
      <c r="C103" s="42" t="s">
        <v>10</v>
      </c>
      <c r="D103" s="41"/>
      <c r="E103" s="41"/>
      <c r="F103" s="46"/>
      <c r="G103" s="46"/>
      <c r="H103" s="34" t="s">
        <v>143</v>
      </c>
    </row>
    <row r="104" spans="1:8" x14ac:dyDescent="0.2">
      <c r="A104" s="41"/>
      <c r="B104" s="41"/>
      <c r="C104" s="42" t="s">
        <v>142</v>
      </c>
      <c r="D104" s="41"/>
      <c r="E104" s="41" t="s">
        <v>143</v>
      </c>
      <c r="F104" s="47" t="s">
        <v>145</v>
      </c>
      <c r="G104" s="44">
        <v>0</v>
      </c>
      <c r="H104" s="34" t="s">
        <v>143</v>
      </c>
    </row>
    <row r="105" spans="1:8" x14ac:dyDescent="0.2">
      <c r="A105" s="41"/>
      <c r="B105" s="41"/>
      <c r="C105" s="45"/>
      <c r="D105" s="41"/>
      <c r="E105" s="41"/>
      <c r="F105" s="46"/>
      <c r="G105" s="46"/>
      <c r="H105" s="34" t="s">
        <v>143</v>
      </c>
    </row>
    <row r="106" spans="1:8" x14ac:dyDescent="0.2">
      <c r="A106" s="41"/>
      <c r="B106" s="41"/>
      <c r="C106" s="42" t="s">
        <v>152</v>
      </c>
      <c r="D106" s="41"/>
      <c r="E106" s="41"/>
      <c r="F106" s="41"/>
      <c r="G106" s="41"/>
      <c r="H106" s="34" t="s">
        <v>143</v>
      </c>
    </row>
    <row r="107" spans="1:8" x14ac:dyDescent="0.2">
      <c r="A107" s="41"/>
      <c r="B107" s="41"/>
      <c r="C107" s="42" t="s">
        <v>142</v>
      </c>
      <c r="D107" s="41"/>
      <c r="E107" s="41" t="s">
        <v>143</v>
      </c>
      <c r="F107" s="47" t="s">
        <v>145</v>
      </c>
      <c r="G107" s="44">
        <v>0</v>
      </c>
      <c r="H107" s="34" t="s">
        <v>143</v>
      </c>
    </row>
    <row r="108" spans="1:8" x14ac:dyDescent="0.2">
      <c r="A108" s="41"/>
      <c r="B108" s="41"/>
      <c r="C108" s="45"/>
      <c r="D108" s="41"/>
      <c r="E108" s="41"/>
      <c r="F108" s="46"/>
      <c r="G108" s="46"/>
      <c r="H108" s="34" t="s">
        <v>143</v>
      </c>
    </row>
    <row r="109" spans="1:8" x14ac:dyDescent="0.2">
      <c r="A109" s="41"/>
      <c r="B109" s="41"/>
      <c r="C109" s="42" t="s">
        <v>153</v>
      </c>
      <c r="D109" s="41"/>
      <c r="E109" s="41"/>
      <c r="F109" s="41"/>
      <c r="G109" s="41"/>
      <c r="H109" s="34" t="s">
        <v>143</v>
      </c>
    </row>
    <row r="110" spans="1:8" x14ac:dyDescent="0.2">
      <c r="A110" s="41"/>
      <c r="B110" s="41"/>
      <c r="C110" s="42" t="s">
        <v>142</v>
      </c>
      <c r="D110" s="41"/>
      <c r="E110" s="41" t="s">
        <v>143</v>
      </c>
      <c r="F110" s="47" t="s">
        <v>145</v>
      </c>
      <c r="G110" s="44">
        <v>0</v>
      </c>
      <c r="H110" s="34" t="s">
        <v>143</v>
      </c>
    </row>
    <row r="111" spans="1:8" x14ac:dyDescent="0.2">
      <c r="A111" s="41"/>
      <c r="B111" s="41"/>
      <c r="C111" s="45"/>
      <c r="D111" s="41"/>
      <c r="E111" s="41"/>
      <c r="F111" s="46"/>
      <c r="G111" s="46"/>
      <c r="H111" s="34" t="s">
        <v>143</v>
      </c>
    </row>
    <row r="112" spans="1:8" x14ac:dyDescent="0.2">
      <c r="A112" s="41"/>
      <c r="B112" s="41"/>
      <c r="C112" s="42" t="s">
        <v>154</v>
      </c>
      <c r="D112" s="41"/>
      <c r="E112" s="41"/>
      <c r="F112" s="46"/>
      <c r="G112" s="46"/>
      <c r="H112" s="34" t="s">
        <v>143</v>
      </c>
    </row>
    <row r="113" spans="1:8" x14ac:dyDescent="0.2">
      <c r="A113" s="41"/>
      <c r="B113" s="41"/>
      <c r="C113" s="42" t="s">
        <v>142</v>
      </c>
      <c r="D113" s="41"/>
      <c r="E113" s="41" t="s">
        <v>143</v>
      </c>
      <c r="F113" s="47" t="s">
        <v>145</v>
      </c>
      <c r="G113" s="44">
        <v>0</v>
      </c>
      <c r="H113" s="34" t="s">
        <v>143</v>
      </c>
    </row>
    <row r="114" spans="1:8" x14ac:dyDescent="0.2">
      <c r="A114" s="41"/>
      <c r="B114" s="41"/>
      <c r="C114" s="45"/>
      <c r="D114" s="41"/>
      <c r="E114" s="41"/>
      <c r="F114" s="46"/>
      <c r="G114" s="46"/>
      <c r="H114" s="34" t="s">
        <v>143</v>
      </c>
    </row>
    <row r="115" spans="1:8" x14ac:dyDescent="0.2">
      <c r="A115" s="41"/>
      <c r="B115" s="41"/>
      <c r="C115" s="42" t="s">
        <v>155</v>
      </c>
      <c r="D115" s="41"/>
      <c r="E115" s="41"/>
      <c r="F115" s="43">
        <v>0</v>
      </c>
      <c r="G115" s="44">
        <v>0</v>
      </c>
      <c r="H115" s="34" t="s">
        <v>143</v>
      </c>
    </row>
    <row r="116" spans="1:8" x14ac:dyDescent="0.2">
      <c r="A116" s="41"/>
      <c r="B116" s="41"/>
      <c r="C116" s="45"/>
      <c r="D116" s="41"/>
      <c r="E116" s="41"/>
      <c r="F116" s="46"/>
      <c r="G116" s="46"/>
      <c r="H116" s="34" t="s">
        <v>143</v>
      </c>
    </row>
    <row r="117" spans="1:8" x14ac:dyDescent="0.2">
      <c r="A117" s="41"/>
      <c r="B117" s="41"/>
      <c r="C117" s="42" t="s">
        <v>156</v>
      </c>
      <c r="D117" s="41"/>
      <c r="E117" s="41"/>
      <c r="F117" s="46"/>
      <c r="G117" s="46"/>
      <c r="H117" s="34" t="s">
        <v>143</v>
      </c>
    </row>
    <row r="118" spans="1:8" x14ac:dyDescent="0.2">
      <c r="A118" s="41"/>
      <c r="B118" s="41"/>
      <c r="C118" s="42" t="s">
        <v>157</v>
      </c>
      <c r="D118" s="41"/>
      <c r="E118" s="41"/>
      <c r="F118" s="46"/>
      <c r="G118" s="46"/>
      <c r="H118" s="34" t="s">
        <v>143</v>
      </c>
    </row>
    <row r="119" spans="1:8" x14ac:dyDescent="0.2">
      <c r="A119" s="41"/>
      <c r="B119" s="41"/>
      <c r="C119" s="42" t="s">
        <v>142</v>
      </c>
      <c r="D119" s="41"/>
      <c r="E119" s="41" t="s">
        <v>143</v>
      </c>
      <c r="F119" s="47" t="s">
        <v>145</v>
      </c>
      <c r="G119" s="44">
        <v>0</v>
      </c>
      <c r="H119" s="34" t="s">
        <v>143</v>
      </c>
    </row>
    <row r="120" spans="1:8" x14ac:dyDescent="0.2">
      <c r="A120" s="41"/>
      <c r="B120" s="41"/>
      <c r="C120" s="45"/>
      <c r="D120" s="41"/>
      <c r="E120" s="41"/>
      <c r="F120" s="46"/>
      <c r="G120" s="46"/>
      <c r="H120" s="34" t="s">
        <v>143</v>
      </c>
    </row>
    <row r="121" spans="1:8" x14ac:dyDescent="0.2">
      <c r="A121" s="41"/>
      <c r="B121" s="41"/>
      <c r="C121" s="42" t="s">
        <v>158</v>
      </c>
      <c r="D121" s="41"/>
      <c r="E121" s="41"/>
      <c r="F121" s="46"/>
      <c r="G121" s="46"/>
      <c r="H121" s="34" t="s">
        <v>143</v>
      </c>
    </row>
    <row r="122" spans="1:8" x14ac:dyDescent="0.2">
      <c r="A122" s="41"/>
      <c r="B122" s="41"/>
      <c r="C122" s="42" t="s">
        <v>142</v>
      </c>
      <c r="D122" s="41"/>
      <c r="E122" s="41" t="s">
        <v>143</v>
      </c>
      <c r="F122" s="47" t="s">
        <v>145</v>
      </c>
      <c r="G122" s="44">
        <v>0</v>
      </c>
      <c r="H122" s="34" t="s">
        <v>143</v>
      </c>
    </row>
    <row r="123" spans="1:8" x14ac:dyDescent="0.2">
      <c r="A123" s="41"/>
      <c r="B123" s="41"/>
      <c r="C123" s="45"/>
      <c r="D123" s="41"/>
      <c r="E123" s="41"/>
      <c r="F123" s="46"/>
      <c r="G123" s="46"/>
      <c r="H123" s="34" t="s">
        <v>143</v>
      </c>
    </row>
    <row r="124" spans="1:8" x14ac:dyDescent="0.2">
      <c r="A124" s="41"/>
      <c r="B124" s="41"/>
      <c r="C124" s="42" t="s">
        <v>159</v>
      </c>
      <c r="D124" s="41"/>
      <c r="E124" s="41"/>
      <c r="F124" s="46"/>
      <c r="G124" s="46"/>
      <c r="H124" s="34" t="s">
        <v>143</v>
      </c>
    </row>
    <row r="125" spans="1:8" x14ac:dyDescent="0.2">
      <c r="A125" s="41"/>
      <c r="B125" s="41"/>
      <c r="C125" s="42" t="s">
        <v>142</v>
      </c>
      <c r="D125" s="41"/>
      <c r="E125" s="41" t="s">
        <v>143</v>
      </c>
      <c r="F125" s="47" t="s">
        <v>145</v>
      </c>
      <c r="G125" s="44">
        <v>0</v>
      </c>
      <c r="H125" s="34" t="s">
        <v>143</v>
      </c>
    </row>
    <row r="126" spans="1:8" x14ac:dyDescent="0.2">
      <c r="A126" s="41"/>
      <c r="B126" s="41"/>
      <c r="C126" s="45"/>
      <c r="D126" s="41"/>
      <c r="E126" s="41"/>
      <c r="F126" s="46"/>
      <c r="G126" s="46"/>
      <c r="H126" s="34" t="s">
        <v>143</v>
      </c>
    </row>
    <row r="127" spans="1:8" x14ac:dyDescent="0.2">
      <c r="A127" s="41"/>
      <c r="B127" s="41"/>
      <c r="C127" s="42" t="s">
        <v>160</v>
      </c>
      <c r="D127" s="41"/>
      <c r="E127" s="41"/>
      <c r="F127" s="46"/>
      <c r="G127" s="46"/>
      <c r="H127" s="34" t="s">
        <v>143</v>
      </c>
    </row>
    <row r="128" spans="1:8" x14ac:dyDescent="0.2">
      <c r="A128" s="35">
        <v>1</v>
      </c>
      <c r="B128" s="36"/>
      <c r="C128" s="36" t="s">
        <v>161</v>
      </c>
      <c r="D128" s="36"/>
      <c r="E128" s="48"/>
      <c r="F128" s="38">
        <v>25464.470976062999</v>
      </c>
      <c r="G128" s="39">
        <v>1.986603E-2</v>
      </c>
      <c r="H128" s="34">
        <v>5.47</v>
      </c>
    </row>
    <row r="129" spans="1:8" x14ac:dyDescent="0.2">
      <c r="A129" s="41"/>
      <c r="B129" s="41"/>
      <c r="C129" s="42" t="s">
        <v>142</v>
      </c>
      <c r="D129" s="41"/>
      <c r="E129" s="41" t="s">
        <v>143</v>
      </c>
      <c r="F129" s="43">
        <v>25464.470976062999</v>
      </c>
      <c r="G129" s="44">
        <v>1.986603E-2</v>
      </c>
      <c r="H129" s="34" t="s">
        <v>143</v>
      </c>
    </row>
    <row r="130" spans="1:8" x14ac:dyDescent="0.2">
      <c r="A130" s="41"/>
      <c r="B130" s="41"/>
      <c r="C130" s="45"/>
      <c r="D130" s="41"/>
      <c r="E130" s="41"/>
      <c r="F130" s="46"/>
      <c r="G130" s="46"/>
      <c r="H130" s="34" t="s">
        <v>143</v>
      </c>
    </row>
    <row r="131" spans="1:8" x14ac:dyDescent="0.2">
      <c r="A131" s="41"/>
      <c r="B131" s="41"/>
      <c r="C131" s="42" t="s">
        <v>162</v>
      </c>
      <c r="D131" s="41"/>
      <c r="E131" s="41"/>
      <c r="F131" s="43">
        <v>25464.470976062999</v>
      </c>
      <c r="G131" s="44">
        <v>1.986603E-2</v>
      </c>
      <c r="H131" s="34" t="s">
        <v>143</v>
      </c>
    </row>
    <row r="132" spans="1:8" x14ac:dyDescent="0.2">
      <c r="A132" s="41"/>
      <c r="B132" s="41"/>
      <c r="C132" s="46"/>
      <c r="D132" s="41"/>
      <c r="E132" s="41"/>
      <c r="F132" s="41"/>
      <c r="G132" s="41"/>
      <c r="H132" s="34" t="s">
        <v>143</v>
      </c>
    </row>
    <row r="133" spans="1:8" x14ac:dyDescent="0.2">
      <c r="A133" s="41"/>
      <c r="B133" s="41"/>
      <c r="C133" s="42" t="s">
        <v>163</v>
      </c>
      <c r="D133" s="41"/>
      <c r="E133" s="41"/>
      <c r="F133" s="41"/>
      <c r="G133" s="41"/>
      <c r="H133" s="34" t="s">
        <v>143</v>
      </c>
    </row>
    <row r="134" spans="1:8" x14ac:dyDescent="0.2">
      <c r="A134" s="41"/>
      <c r="B134" s="41"/>
      <c r="C134" s="42" t="s">
        <v>164</v>
      </c>
      <c r="D134" s="41"/>
      <c r="E134" s="41"/>
      <c r="F134" s="41"/>
      <c r="G134" s="41"/>
      <c r="H134" s="34" t="s">
        <v>143</v>
      </c>
    </row>
    <row r="135" spans="1:8" x14ac:dyDescent="0.2">
      <c r="A135" s="102">
        <v>1</v>
      </c>
      <c r="B135" s="50" t="s">
        <v>319</v>
      </c>
      <c r="C135" s="50" t="s">
        <v>946</v>
      </c>
      <c r="D135" s="50"/>
      <c r="E135" s="144">
        <v>1090271.6484999999</v>
      </c>
      <c r="F135" s="104">
        <v>25404.476375824001</v>
      </c>
      <c r="G135" s="40">
        <v>1.9819219999999999E-2</v>
      </c>
      <c r="H135" s="34" t="s">
        <v>143</v>
      </c>
    </row>
    <row r="136" spans="1:8" x14ac:dyDescent="0.2">
      <c r="A136" s="41"/>
      <c r="B136" s="41"/>
      <c r="C136" s="42" t="s">
        <v>142</v>
      </c>
      <c r="D136" s="41"/>
      <c r="E136" s="41" t="s">
        <v>143</v>
      </c>
      <c r="F136" s="43">
        <v>25404.476375824001</v>
      </c>
      <c r="G136" s="44">
        <v>1.9819219999999999E-2</v>
      </c>
      <c r="H136" s="34" t="s">
        <v>143</v>
      </c>
    </row>
    <row r="137" spans="1:8" x14ac:dyDescent="0.2">
      <c r="A137" s="41"/>
      <c r="B137" s="41"/>
      <c r="C137" s="45"/>
      <c r="D137" s="41"/>
      <c r="E137" s="41"/>
      <c r="F137" s="46"/>
      <c r="G137" s="46"/>
      <c r="H137" s="34" t="s">
        <v>143</v>
      </c>
    </row>
    <row r="138" spans="1:8" x14ac:dyDescent="0.2">
      <c r="A138" s="41"/>
      <c r="B138" s="41"/>
      <c r="C138" s="42" t="s">
        <v>165</v>
      </c>
      <c r="D138" s="41"/>
      <c r="E138" s="41"/>
      <c r="F138" s="41"/>
      <c r="G138" s="41"/>
      <c r="H138" s="34" t="s">
        <v>143</v>
      </c>
    </row>
    <row r="139" spans="1:8" x14ac:dyDescent="0.2">
      <c r="A139" s="41"/>
      <c r="B139" s="41"/>
      <c r="C139" s="42" t="s">
        <v>166</v>
      </c>
      <c r="D139" s="41"/>
      <c r="E139" s="41"/>
      <c r="F139" s="41"/>
      <c r="G139" s="41"/>
      <c r="H139" s="34" t="s">
        <v>143</v>
      </c>
    </row>
    <row r="140" spans="1:8" x14ac:dyDescent="0.2">
      <c r="A140" s="41"/>
      <c r="B140" s="41"/>
      <c r="C140" s="42" t="s">
        <v>142</v>
      </c>
      <c r="D140" s="41"/>
      <c r="E140" s="41" t="s">
        <v>143</v>
      </c>
      <c r="F140" s="47" t="s">
        <v>145</v>
      </c>
      <c r="G140" s="44">
        <v>0</v>
      </c>
      <c r="H140" s="34" t="s">
        <v>143</v>
      </c>
    </row>
    <row r="141" spans="1:8" x14ac:dyDescent="0.2">
      <c r="A141" s="41"/>
      <c r="B141" s="41"/>
      <c r="C141" s="45"/>
      <c r="D141" s="41"/>
      <c r="E141" s="41"/>
      <c r="F141" s="46"/>
      <c r="G141" s="46"/>
      <c r="H141" s="34" t="s">
        <v>143</v>
      </c>
    </row>
    <row r="142" spans="1:8" x14ac:dyDescent="0.2">
      <c r="A142" s="41"/>
      <c r="B142" s="41"/>
      <c r="C142" s="42" t="s">
        <v>167</v>
      </c>
      <c r="D142" s="41"/>
      <c r="E142" s="41"/>
      <c r="F142" s="46"/>
      <c r="G142" s="46"/>
      <c r="H142" s="34" t="s">
        <v>143</v>
      </c>
    </row>
    <row r="143" spans="1:8" x14ac:dyDescent="0.2">
      <c r="A143" s="41"/>
      <c r="B143" s="41"/>
      <c r="C143" s="42" t="s">
        <v>142</v>
      </c>
      <c r="D143" s="41"/>
      <c r="E143" s="41" t="s">
        <v>143</v>
      </c>
      <c r="F143" s="47" t="s">
        <v>145</v>
      </c>
      <c r="G143" s="44">
        <v>0</v>
      </c>
      <c r="H143" s="34" t="s">
        <v>143</v>
      </c>
    </row>
    <row r="144" spans="1:8" x14ac:dyDescent="0.2">
      <c r="A144" s="41"/>
      <c r="B144" s="36"/>
      <c r="C144" s="36"/>
      <c r="D144" s="42"/>
      <c r="E144" s="41"/>
      <c r="F144" s="36"/>
      <c r="G144" s="48"/>
      <c r="H144" s="34" t="s">
        <v>143</v>
      </c>
    </row>
    <row r="145" spans="1:17" x14ac:dyDescent="0.2">
      <c r="A145" s="48"/>
      <c r="B145" s="36"/>
      <c r="C145" s="36" t="s">
        <v>168</v>
      </c>
      <c r="D145" s="36"/>
      <c r="E145" s="48"/>
      <c r="F145" s="38">
        <v>3933.55026494</v>
      </c>
      <c r="G145" s="39">
        <v>3.0687499999999999E-3</v>
      </c>
      <c r="H145" s="34" t="s">
        <v>143</v>
      </c>
    </row>
    <row r="146" spans="1:17" x14ac:dyDescent="0.2">
      <c r="A146" s="45"/>
      <c r="B146" s="45"/>
      <c r="C146" s="42" t="s">
        <v>169</v>
      </c>
      <c r="D146" s="46"/>
      <c r="E146" s="46"/>
      <c r="F146" s="43">
        <v>1281809.9096713271</v>
      </c>
      <c r="G146" s="51">
        <v>1.0000000099999999</v>
      </c>
      <c r="H146" s="34" t="s">
        <v>143</v>
      </c>
    </row>
    <row r="147" spans="1:17" x14ac:dyDescent="0.2">
      <c r="A147" s="52"/>
      <c r="B147" s="52"/>
      <c r="C147" s="52"/>
      <c r="D147" s="53"/>
      <c r="E147" s="53"/>
      <c r="F147" s="53"/>
      <c r="G147" s="53"/>
    </row>
    <row r="148" spans="1:17" x14ac:dyDescent="0.2">
      <c r="A148" s="54"/>
      <c r="B148" s="158" t="s">
        <v>852</v>
      </c>
      <c r="C148" s="158"/>
      <c r="D148" s="158"/>
      <c r="E148" s="158"/>
      <c r="F148" s="158"/>
      <c r="G148" s="158"/>
      <c r="H148" s="158"/>
      <c r="J148" s="56"/>
    </row>
    <row r="149" spans="1:17" x14ac:dyDescent="0.2">
      <c r="A149" s="54"/>
      <c r="B149" s="158" t="s">
        <v>853</v>
      </c>
      <c r="C149" s="158"/>
      <c r="D149" s="158"/>
      <c r="E149" s="158"/>
      <c r="F149" s="158"/>
      <c r="G149" s="158"/>
      <c r="H149" s="158"/>
      <c r="J149" s="56"/>
    </row>
    <row r="150" spans="1:17" x14ac:dyDescent="0.2">
      <c r="A150" s="54"/>
      <c r="B150" s="158" t="s">
        <v>854</v>
      </c>
      <c r="C150" s="158"/>
      <c r="D150" s="158"/>
      <c r="E150" s="158"/>
      <c r="F150" s="158"/>
      <c r="G150" s="158"/>
      <c r="H150" s="158"/>
      <c r="J150" s="56"/>
    </row>
    <row r="151" spans="1:17" s="58" customFormat="1" ht="66.75" customHeight="1" x14ac:dyDescent="0.25">
      <c r="A151" s="57"/>
      <c r="B151" s="159" t="s">
        <v>855</v>
      </c>
      <c r="C151" s="159"/>
      <c r="D151" s="159"/>
      <c r="E151" s="159"/>
      <c r="F151" s="159"/>
      <c r="G151" s="159"/>
      <c r="H151" s="159"/>
      <c r="I151"/>
      <c r="J151" s="56"/>
      <c r="K151"/>
      <c r="L151"/>
      <c r="M151"/>
      <c r="N151"/>
      <c r="O151"/>
      <c r="P151"/>
      <c r="Q151"/>
    </row>
    <row r="152" spans="1:17" x14ac:dyDescent="0.2">
      <c r="A152" s="54"/>
      <c r="B152" s="158" t="s">
        <v>856</v>
      </c>
      <c r="C152" s="158"/>
      <c r="D152" s="158"/>
      <c r="E152" s="158"/>
      <c r="F152" s="158"/>
      <c r="G152" s="158"/>
      <c r="H152" s="158"/>
      <c r="J152" s="56"/>
    </row>
    <row r="153" spans="1:17" x14ac:dyDescent="0.2">
      <c r="A153" s="54"/>
      <c r="B153" s="54"/>
      <c r="C153" s="54"/>
      <c r="D153" s="59"/>
      <c r="E153" s="59"/>
      <c r="F153" s="59"/>
      <c r="G153" s="59"/>
    </row>
    <row r="154" spans="1:17" x14ac:dyDescent="0.2">
      <c r="A154" s="54"/>
      <c r="B154" s="160" t="s">
        <v>170</v>
      </c>
      <c r="C154" s="161"/>
      <c r="D154" s="162"/>
      <c r="E154" s="60"/>
      <c r="F154" s="59"/>
      <c r="G154" s="59"/>
    </row>
    <row r="155" spans="1:17" ht="27.75" customHeight="1" x14ac:dyDescent="0.2">
      <c r="A155" s="54"/>
      <c r="B155" s="154" t="s">
        <v>171</v>
      </c>
      <c r="C155" s="155"/>
      <c r="D155" s="33" t="s">
        <v>172</v>
      </c>
      <c r="E155" s="60"/>
      <c r="F155" s="59"/>
      <c r="G155" s="59"/>
    </row>
    <row r="156" spans="1:17" ht="12.75" customHeight="1" x14ac:dyDescent="0.2">
      <c r="A156" s="54"/>
      <c r="B156" s="154" t="s">
        <v>857</v>
      </c>
      <c r="C156" s="155"/>
      <c r="D156" s="33" t="s">
        <v>172</v>
      </c>
      <c r="E156" s="60"/>
      <c r="F156" s="59"/>
      <c r="G156" s="59"/>
    </row>
    <row r="157" spans="1:17" x14ac:dyDescent="0.2">
      <c r="A157" s="54"/>
      <c r="B157" s="154" t="s">
        <v>173</v>
      </c>
      <c r="C157" s="155"/>
      <c r="D157" s="61" t="s">
        <v>143</v>
      </c>
      <c r="E157" s="60"/>
      <c r="F157" s="59"/>
      <c r="G157" s="59"/>
    </row>
    <row r="158" spans="1:17" x14ac:dyDescent="0.2">
      <c r="A158" s="62"/>
      <c r="B158" s="63" t="s">
        <v>143</v>
      </c>
      <c r="C158" s="63" t="s">
        <v>858</v>
      </c>
      <c r="D158" s="63" t="s">
        <v>174</v>
      </c>
      <c r="E158" s="62"/>
      <c r="F158" s="62"/>
      <c r="G158" s="62"/>
      <c r="H158" s="62"/>
      <c r="J158" s="56"/>
    </row>
    <row r="159" spans="1:17" x14ac:dyDescent="0.2">
      <c r="A159" s="62"/>
      <c r="B159" s="64" t="s">
        <v>175</v>
      </c>
      <c r="C159" s="65">
        <v>45808</v>
      </c>
      <c r="D159" s="65">
        <v>45838</v>
      </c>
      <c r="E159" s="62"/>
      <c r="F159" s="62"/>
      <c r="G159" s="62"/>
      <c r="J159" s="56"/>
    </row>
    <row r="160" spans="1:17" x14ac:dyDescent="0.2">
      <c r="A160" s="66"/>
      <c r="B160" s="36" t="s">
        <v>176</v>
      </c>
      <c r="C160" s="67">
        <v>1465.7248</v>
      </c>
      <c r="D160" s="67">
        <v>1520.9284</v>
      </c>
      <c r="E160" s="66"/>
      <c r="F160" s="68"/>
      <c r="G160" s="69"/>
    </row>
    <row r="161" spans="1:7" x14ac:dyDescent="0.2">
      <c r="A161" s="66"/>
      <c r="B161" s="36" t="s">
        <v>1086</v>
      </c>
      <c r="C161" s="67">
        <v>73.812299999999993</v>
      </c>
      <c r="D161" s="67">
        <v>76.592299999999994</v>
      </c>
      <c r="E161" s="66"/>
      <c r="F161" s="68"/>
      <c r="G161" s="69"/>
    </row>
    <row r="162" spans="1:7" x14ac:dyDescent="0.2">
      <c r="A162" s="66"/>
      <c r="B162" s="36" t="s">
        <v>177</v>
      </c>
      <c r="C162" s="67">
        <v>1343.8307</v>
      </c>
      <c r="D162" s="67">
        <v>1393.5038999999999</v>
      </c>
      <c r="E162" s="66"/>
      <c r="F162" s="68"/>
      <c r="G162" s="69"/>
    </row>
    <row r="163" spans="1:7" x14ac:dyDescent="0.2">
      <c r="A163" s="66"/>
      <c r="B163" s="36" t="s">
        <v>1087</v>
      </c>
      <c r="C163" s="67">
        <v>66.725300000000004</v>
      </c>
      <c r="D163" s="67">
        <v>69.191699999999997</v>
      </c>
      <c r="E163" s="66"/>
      <c r="F163" s="68"/>
      <c r="G163" s="69"/>
    </row>
    <row r="164" spans="1:7" x14ac:dyDescent="0.2">
      <c r="A164" s="66"/>
      <c r="B164" s="66"/>
      <c r="C164" s="66"/>
      <c r="D164" s="66"/>
      <c r="E164" s="66"/>
      <c r="F164" s="66"/>
      <c r="G164" s="66"/>
    </row>
    <row r="165" spans="1:7" x14ac:dyDescent="0.2">
      <c r="A165" s="62"/>
      <c r="B165" s="154" t="s">
        <v>860</v>
      </c>
      <c r="C165" s="155"/>
      <c r="D165" s="33" t="s">
        <v>172</v>
      </c>
      <c r="E165" s="62"/>
      <c r="F165" s="62"/>
      <c r="G165" s="62"/>
    </row>
    <row r="166" spans="1:7" x14ac:dyDescent="0.2">
      <c r="A166" s="62"/>
      <c r="B166" s="70"/>
      <c r="C166" s="70"/>
      <c r="D166" s="70"/>
      <c r="E166" s="62"/>
      <c r="F166" s="62"/>
      <c r="G166" s="62"/>
    </row>
    <row r="167" spans="1:7" x14ac:dyDescent="0.2">
      <c r="A167" s="62"/>
      <c r="B167" s="154" t="s">
        <v>178</v>
      </c>
      <c r="C167" s="155"/>
      <c r="D167" s="33" t="s">
        <v>172</v>
      </c>
      <c r="E167" s="70"/>
      <c r="F167" s="70"/>
      <c r="G167" s="70"/>
    </row>
    <row r="168" spans="1:7" x14ac:dyDescent="0.2">
      <c r="A168" s="62"/>
      <c r="B168" s="154" t="s">
        <v>179</v>
      </c>
      <c r="C168" s="155"/>
      <c r="D168" s="33" t="s">
        <v>172</v>
      </c>
      <c r="E168" s="62"/>
      <c r="F168" s="62"/>
      <c r="G168" s="62"/>
    </row>
    <row r="169" spans="1:7" x14ac:dyDescent="0.2">
      <c r="A169" s="62"/>
      <c r="B169" s="154" t="s">
        <v>180</v>
      </c>
      <c r="C169" s="155"/>
      <c r="D169" s="33" t="s">
        <v>172</v>
      </c>
      <c r="E169" s="71"/>
      <c r="F169" s="62"/>
      <c r="G169" s="62"/>
    </row>
    <row r="170" spans="1:7" x14ac:dyDescent="0.2">
      <c r="A170" s="62"/>
      <c r="B170" s="154" t="s">
        <v>181</v>
      </c>
      <c r="C170" s="155"/>
      <c r="D170" s="72">
        <v>0.55032329457119955</v>
      </c>
      <c r="E170" s="71"/>
      <c r="F170" s="62"/>
      <c r="G170" s="62"/>
    </row>
    <row r="172" spans="1:7" x14ac:dyDescent="0.2">
      <c r="B172" s="156" t="s">
        <v>861</v>
      </c>
      <c r="C172" s="156"/>
    </row>
    <row r="174" spans="1:7" ht="153.75" customHeight="1" x14ac:dyDescent="0.2">
      <c r="B174" s="79"/>
      <c r="C174" s="80"/>
      <c r="D174" s="79"/>
    </row>
    <row r="175" spans="1:7" x14ac:dyDescent="0.2">
      <c r="B175" s="79"/>
      <c r="D175" s="79"/>
    </row>
    <row r="176" spans="1:7" x14ac:dyDescent="0.2">
      <c r="B176" s="79" t="s">
        <v>862</v>
      </c>
      <c r="C176" s="80"/>
      <c r="D176" s="79" t="s">
        <v>865</v>
      </c>
    </row>
    <row r="177" spans="2:4" x14ac:dyDescent="0.2">
      <c r="B177" s="79" t="s">
        <v>866</v>
      </c>
      <c r="D177" s="79" t="s">
        <v>867</v>
      </c>
    </row>
  </sheetData>
  <mergeCells count="18">
    <mergeCell ref="A1:H1"/>
    <mergeCell ref="A2:H2"/>
    <mergeCell ref="A3:H3"/>
    <mergeCell ref="B148:H148"/>
    <mergeCell ref="B149:H149"/>
    <mergeCell ref="B150:H150"/>
    <mergeCell ref="B151:H151"/>
    <mergeCell ref="B152:H152"/>
    <mergeCell ref="B154:D154"/>
    <mergeCell ref="B155:C155"/>
    <mergeCell ref="B156:C156"/>
    <mergeCell ref="B157:C157"/>
    <mergeCell ref="B172:C172"/>
    <mergeCell ref="B165:C165"/>
    <mergeCell ref="B169:C169"/>
    <mergeCell ref="B170:C170"/>
    <mergeCell ref="B167:C167"/>
    <mergeCell ref="B168:C168"/>
  </mergeCells>
  <hyperlinks>
    <hyperlink ref="I1" location="Index!B2" display="Index" xr:uid="{1896AF15-2938-498F-95BA-AFDD9FC4ECAF}"/>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86A06-B0BA-4AA9-8311-8B82F05ADF2F}">
  <sheetPr>
    <outlinePr summaryBelow="0" summaryRight="0"/>
  </sheetPr>
  <dimension ref="A1:Q186"/>
  <sheetViews>
    <sheetView showGridLines="0" workbookViewId="0">
      <selection sqref="A1:H1"/>
    </sheetView>
  </sheetViews>
  <sheetFormatPr defaultRowHeight="12.75" x14ac:dyDescent="0.2"/>
  <cols>
    <col min="1" max="1" width="6.85546875" customWidth="1"/>
    <col min="2" max="2" width="20.5703125" customWidth="1"/>
    <col min="3" max="3" width="41.14062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321</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322</v>
      </c>
      <c r="C7" s="36" t="s">
        <v>323</v>
      </c>
      <c r="D7" s="36" t="s">
        <v>33</v>
      </c>
      <c r="E7" s="37">
        <v>1940000</v>
      </c>
      <c r="F7" s="38">
        <v>38829.1</v>
      </c>
      <c r="G7" s="39">
        <v>5.6334849999999999E-2</v>
      </c>
      <c r="H7" s="34" t="s">
        <v>143</v>
      </c>
    </row>
    <row r="8" spans="1:9" x14ac:dyDescent="0.2">
      <c r="A8" s="35">
        <v>2</v>
      </c>
      <c r="B8" s="36" t="s">
        <v>14</v>
      </c>
      <c r="C8" s="36" t="s">
        <v>15</v>
      </c>
      <c r="D8" s="36" t="s">
        <v>16</v>
      </c>
      <c r="E8" s="37">
        <v>2075000</v>
      </c>
      <c r="F8" s="38">
        <v>31137.45</v>
      </c>
      <c r="G8" s="39">
        <v>4.5175489999999999E-2</v>
      </c>
      <c r="H8" s="34" t="s">
        <v>143</v>
      </c>
    </row>
    <row r="9" spans="1:9" x14ac:dyDescent="0.2">
      <c r="A9" s="35">
        <v>3</v>
      </c>
      <c r="B9" s="36" t="s">
        <v>31</v>
      </c>
      <c r="C9" s="36" t="s">
        <v>32</v>
      </c>
      <c r="D9" s="36" t="s">
        <v>33</v>
      </c>
      <c r="E9" s="37">
        <v>1900000</v>
      </c>
      <c r="F9" s="38">
        <v>27470.2</v>
      </c>
      <c r="G9" s="39">
        <v>3.9854889999999997E-2</v>
      </c>
      <c r="H9" s="34" t="s">
        <v>143</v>
      </c>
    </row>
    <row r="10" spans="1:9" x14ac:dyDescent="0.2">
      <c r="A10" s="35">
        <v>4</v>
      </c>
      <c r="B10" s="36" t="s">
        <v>46</v>
      </c>
      <c r="C10" s="36" t="s">
        <v>47</v>
      </c>
      <c r="D10" s="36" t="s">
        <v>33</v>
      </c>
      <c r="E10" s="37">
        <v>2375000</v>
      </c>
      <c r="F10" s="38">
        <v>19483.3125</v>
      </c>
      <c r="G10" s="39">
        <v>2.8267190000000001E-2</v>
      </c>
      <c r="H10" s="34" t="s">
        <v>143</v>
      </c>
    </row>
    <row r="11" spans="1:9" x14ac:dyDescent="0.2">
      <c r="A11" s="35">
        <v>5</v>
      </c>
      <c r="B11" s="36" t="s">
        <v>11</v>
      </c>
      <c r="C11" s="36" t="s">
        <v>12</v>
      </c>
      <c r="D11" s="36" t="s">
        <v>13</v>
      </c>
      <c r="E11" s="37">
        <v>900000</v>
      </c>
      <c r="F11" s="38">
        <v>18086.400000000001</v>
      </c>
      <c r="G11" s="39">
        <v>2.6240490000000002E-2</v>
      </c>
      <c r="H11" s="34" t="s">
        <v>143</v>
      </c>
    </row>
    <row r="12" spans="1:9" x14ac:dyDescent="0.2">
      <c r="A12" s="35">
        <v>6</v>
      </c>
      <c r="B12" s="36" t="s">
        <v>324</v>
      </c>
      <c r="C12" s="36" t="s">
        <v>325</v>
      </c>
      <c r="D12" s="36" t="s">
        <v>33</v>
      </c>
      <c r="E12" s="37">
        <v>1400000</v>
      </c>
      <c r="F12" s="38">
        <v>16788.8</v>
      </c>
      <c r="G12" s="39">
        <v>2.4357879999999998E-2</v>
      </c>
      <c r="H12" s="34" t="s">
        <v>143</v>
      </c>
    </row>
    <row r="13" spans="1:9" x14ac:dyDescent="0.2">
      <c r="A13" s="35">
        <v>7</v>
      </c>
      <c r="B13" s="36" t="s">
        <v>326</v>
      </c>
      <c r="C13" s="36" t="s">
        <v>327</v>
      </c>
      <c r="D13" s="36" t="s">
        <v>33</v>
      </c>
      <c r="E13" s="37">
        <v>700000</v>
      </c>
      <c r="F13" s="38">
        <v>15144.5</v>
      </c>
      <c r="G13" s="39">
        <v>2.197226E-2</v>
      </c>
      <c r="H13" s="34" t="s">
        <v>143</v>
      </c>
    </row>
    <row r="14" spans="1:9" x14ac:dyDescent="0.2">
      <c r="A14" s="35">
        <v>8</v>
      </c>
      <c r="B14" s="36" t="s">
        <v>53</v>
      </c>
      <c r="C14" s="36" t="s">
        <v>54</v>
      </c>
      <c r="D14" s="36" t="s">
        <v>55</v>
      </c>
      <c r="E14" s="37">
        <v>210000</v>
      </c>
      <c r="F14" s="38">
        <v>14215.95</v>
      </c>
      <c r="G14" s="39">
        <v>2.062508E-2</v>
      </c>
      <c r="H14" s="34" t="s">
        <v>143</v>
      </c>
    </row>
    <row r="15" spans="1:9" x14ac:dyDescent="0.2">
      <c r="A15" s="35">
        <v>9</v>
      </c>
      <c r="B15" s="36" t="s">
        <v>271</v>
      </c>
      <c r="C15" s="36" t="s">
        <v>272</v>
      </c>
      <c r="D15" s="36" t="s">
        <v>43</v>
      </c>
      <c r="E15" s="37">
        <v>1191967</v>
      </c>
      <c r="F15" s="38">
        <v>13162.891581</v>
      </c>
      <c r="G15" s="39">
        <v>1.9097260000000001E-2</v>
      </c>
      <c r="H15" s="34" t="s">
        <v>143</v>
      </c>
    </row>
    <row r="16" spans="1:9" x14ac:dyDescent="0.2">
      <c r="A16" s="35">
        <v>10</v>
      </c>
      <c r="B16" s="36" t="s">
        <v>17</v>
      </c>
      <c r="C16" s="36" t="s">
        <v>18</v>
      </c>
      <c r="D16" s="36" t="s">
        <v>19</v>
      </c>
      <c r="E16" s="37">
        <v>350000</v>
      </c>
      <c r="F16" s="38">
        <v>12844.3</v>
      </c>
      <c r="G16" s="39">
        <v>1.8635039999999999E-2</v>
      </c>
      <c r="H16" s="34" t="s">
        <v>143</v>
      </c>
    </row>
    <row r="17" spans="1:8" x14ac:dyDescent="0.2">
      <c r="A17" s="35">
        <v>11</v>
      </c>
      <c r="B17" s="36" t="s">
        <v>328</v>
      </c>
      <c r="C17" s="36" t="s">
        <v>329</v>
      </c>
      <c r="D17" s="36" t="s">
        <v>198</v>
      </c>
      <c r="E17" s="37">
        <v>800000</v>
      </c>
      <c r="F17" s="38">
        <v>12814.4</v>
      </c>
      <c r="G17" s="39">
        <v>1.8591659999999999E-2</v>
      </c>
      <c r="H17" s="34" t="s">
        <v>143</v>
      </c>
    </row>
    <row r="18" spans="1:8" ht="25.5" x14ac:dyDescent="0.2">
      <c r="A18" s="35">
        <v>12</v>
      </c>
      <c r="B18" s="36" t="s">
        <v>207</v>
      </c>
      <c r="C18" s="36" t="s">
        <v>208</v>
      </c>
      <c r="D18" s="36" t="s">
        <v>209</v>
      </c>
      <c r="E18" s="37">
        <v>1700000</v>
      </c>
      <c r="F18" s="38">
        <v>12279.95</v>
      </c>
      <c r="G18" s="39">
        <v>1.7816249999999999E-2</v>
      </c>
      <c r="H18" s="34" t="s">
        <v>143</v>
      </c>
    </row>
    <row r="19" spans="1:8" x14ac:dyDescent="0.2">
      <c r="A19" s="35">
        <v>13</v>
      </c>
      <c r="B19" s="36" t="s">
        <v>219</v>
      </c>
      <c r="C19" s="36" t="s">
        <v>220</v>
      </c>
      <c r="D19" s="36" t="s">
        <v>221</v>
      </c>
      <c r="E19" s="37">
        <v>1715000</v>
      </c>
      <c r="F19" s="38">
        <v>12035.87</v>
      </c>
      <c r="G19" s="39">
        <v>1.7462129999999999E-2</v>
      </c>
      <c r="H19" s="34" t="s">
        <v>143</v>
      </c>
    </row>
    <row r="20" spans="1:8" ht="25.5" x14ac:dyDescent="0.2">
      <c r="A20" s="35">
        <v>14</v>
      </c>
      <c r="B20" s="36" t="s">
        <v>247</v>
      </c>
      <c r="C20" s="36" t="s">
        <v>248</v>
      </c>
      <c r="D20" s="36" t="s">
        <v>201</v>
      </c>
      <c r="E20" s="37">
        <v>232400</v>
      </c>
      <c r="F20" s="38">
        <v>11478.236000000001</v>
      </c>
      <c r="G20" s="39">
        <v>1.6653100000000001E-2</v>
      </c>
      <c r="H20" s="34" t="s">
        <v>143</v>
      </c>
    </row>
    <row r="21" spans="1:8" x14ac:dyDescent="0.2">
      <c r="A21" s="35">
        <v>15</v>
      </c>
      <c r="B21" s="36" t="s">
        <v>330</v>
      </c>
      <c r="C21" s="36" t="s">
        <v>331</v>
      </c>
      <c r="D21" s="36" t="s">
        <v>206</v>
      </c>
      <c r="E21" s="37">
        <v>127000</v>
      </c>
      <c r="F21" s="38">
        <v>11358.88</v>
      </c>
      <c r="G21" s="39">
        <v>1.647993E-2</v>
      </c>
      <c r="H21" s="34" t="s">
        <v>143</v>
      </c>
    </row>
    <row r="22" spans="1:8" ht="25.5" x14ac:dyDescent="0.2">
      <c r="A22" s="35">
        <v>16</v>
      </c>
      <c r="B22" s="36" t="s">
        <v>23</v>
      </c>
      <c r="C22" s="36" t="s">
        <v>24</v>
      </c>
      <c r="D22" s="36" t="s">
        <v>25</v>
      </c>
      <c r="E22" s="37">
        <v>90000</v>
      </c>
      <c r="F22" s="38">
        <v>10883.7</v>
      </c>
      <c r="G22" s="39">
        <v>1.5790519999999999E-2</v>
      </c>
      <c r="H22" s="34" t="s">
        <v>143</v>
      </c>
    </row>
    <row r="23" spans="1:8" ht="25.5" x14ac:dyDescent="0.2">
      <c r="A23" s="35">
        <v>17</v>
      </c>
      <c r="B23" s="36" t="s">
        <v>48</v>
      </c>
      <c r="C23" s="36" t="s">
        <v>49</v>
      </c>
      <c r="D23" s="36" t="s">
        <v>25</v>
      </c>
      <c r="E23" s="37">
        <v>170000</v>
      </c>
      <c r="F23" s="38">
        <v>10455</v>
      </c>
      <c r="G23" s="39">
        <v>1.5168539999999999E-2</v>
      </c>
      <c r="H23" s="34" t="s">
        <v>143</v>
      </c>
    </row>
    <row r="24" spans="1:8" x14ac:dyDescent="0.2">
      <c r="A24" s="35">
        <v>18</v>
      </c>
      <c r="B24" s="36" t="s">
        <v>245</v>
      </c>
      <c r="C24" s="36" t="s">
        <v>246</v>
      </c>
      <c r="D24" s="36" t="s">
        <v>61</v>
      </c>
      <c r="E24" s="37">
        <v>624375</v>
      </c>
      <c r="F24" s="38">
        <v>10348.391250000001</v>
      </c>
      <c r="G24" s="39">
        <v>1.501387E-2</v>
      </c>
      <c r="H24" s="34" t="s">
        <v>143</v>
      </c>
    </row>
    <row r="25" spans="1:8" x14ac:dyDescent="0.2">
      <c r="A25" s="35">
        <v>19</v>
      </c>
      <c r="B25" s="36" t="s">
        <v>193</v>
      </c>
      <c r="C25" s="36" t="s">
        <v>194</v>
      </c>
      <c r="D25" s="36" t="s">
        <v>195</v>
      </c>
      <c r="E25" s="37">
        <v>1300000</v>
      </c>
      <c r="F25" s="38">
        <v>10328.5</v>
      </c>
      <c r="G25" s="39">
        <v>1.498501E-2</v>
      </c>
      <c r="H25" s="34" t="s">
        <v>143</v>
      </c>
    </row>
    <row r="26" spans="1:8" x14ac:dyDescent="0.2">
      <c r="A26" s="35">
        <v>20</v>
      </c>
      <c r="B26" s="36" t="s">
        <v>332</v>
      </c>
      <c r="C26" s="36" t="s">
        <v>333</v>
      </c>
      <c r="D26" s="36" t="s">
        <v>192</v>
      </c>
      <c r="E26" s="37">
        <v>1100000</v>
      </c>
      <c r="F26" s="38">
        <v>10301.5</v>
      </c>
      <c r="G26" s="39">
        <v>1.494584E-2</v>
      </c>
      <c r="H26" s="34" t="s">
        <v>143</v>
      </c>
    </row>
    <row r="27" spans="1:8" x14ac:dyDescent="0.2">
      <c r="A27" s="35">
        <v>21</v>
      </c>
      <c r="B27" s="36" t="s">
        <v>334</v>
      </c>
      <c r="C27" s="36" t="s">
        <v>335</v>
      </c>
      <c r="D27" s="36" t="s">
        <v>33</v>
      </c>
      <c r="E27" s="37">
        <v>4100000</v>
      </c>
      <c r="F27" s="38">
        <v>10199.98</v>
      </c>
      <c r="G27" s="39">
        <v>1.4798550000000001E-2</v>
      </c>
      <c r="H27" s="34" t="s">
        <v>143</v>
      </c>
    </row>
    <row r="28" spans="1:8" x14ac:dyDescent="0.2">
      <c r="A28" s="35">
        <v>22</v>
      </c>
      <c r="B28" s="36" t="s">
        <v>202</v>
      </c>
      <c r="C28" s="36" t="s">
        <v>203</v>
      </c>
      <c r="D28" s="36" t="s">
        <v>16</v>
      </c>
      <c r="E28" s="37">
        <v>2302328</v>
      </c>
      <c r="F28" s="38">
        <v>10085.347804000001</v>
      </c>
      <c r="G28" s="39">
        <v>1.4632239999999999E-2</v>
      </c>
      <c r="H28" s="34" t="s">
        <v>143</v>
      </c>
    </row>
    <row r="29" spans="1:8" x14ac:dyDescent="0.2">
      <c r="A29" s="35">
        <v>23</v>
      </c>
      <c r="B29" s="36" t="s">
        <v>190</v>
      </c>
      <c r="C29" s="36" t="s">
        <v>191</v>
      </c>
      <c r="D29" s="36" t="s">
        <v>192</v>
      </c>
      <c r="E29" s="37">
        <v>3712500</v>
      </c>
      <c r="F29" s="38">
        <v>10021.893749999999</v>
      </c>
      <c r="G29" s="39">
        <v>1.454017E-2</v>
      </c>
      <c r="H29" s="34" t="s">
        <v>143</v>
      </c>
    </row>
    <row r="30" spans="1:8" x14ac:dyDescent="0.2">
      <c r="A30" s="35">
        <v>24</v>
      </c>
      <c r="B30" s="36" t="s">
        <v>76</v>
      </c>
      <c r="C30" s="36" t="s">
        <v>77</v>
      </c>
      <c r="D30" s="36" t="s">
        <v>13</v>
      </c>
      <c r="E30" s="37">
        <v>510243</v>
      </c>
      <c r="F30" s="38">
        <v>9963.5150610000001</v>
      </c>
      <c r="G30" s="39">
        <v>1.445548E-2</v>
      </c>
      <c r="H30" s="34" t="s">
        <v>143</v>
      </c>
    </row>
    <row r="31" spans="1:8" x14ac:dyDescent="0.2">
      <c r="A31" s="35">
        <v>25</v>
      </c>
      <c r="B31" s="36" t="s">
        <v>224</v>
      </c>
      <c r="C31" s="36" t="s">
        <v>225</v>
      </c>
      <c r="D31" s="36" t="s">
        <v>226</v>
      </c>
      <c r="E31" s="37">
        <v>500000</v>
      </c>
      <c r="F31" s="38">
        <v>9755.5</v>
      </c>
      <c r="G31" s="39">
        <v>1.415368E-2</v>
      </c>
      <c r="H31" s="34" t="s">
        <v>143</v>
      </c>
    </row>
    <row r="32" spans="1:8" x14ac:dyDescent="0.2">
      <c r="A32" s="35">
        <v>26</v>
      </c>
      <c r="B32" s="36" t="s">
        <v>336</v>
      </c>
      <c r="C32" s="36" t="s">
        <v>337</v>
      </c>
      <c r="D32" s="36" t="s">
        <v>28</v>
      </c>
      <c r="E32" s="37">
        <v>200000</v>
      </c>
      <c r="F32" s="38">
        <v>9739.6</v>
      </c>
      <c r="G32" s="39">
        <v>1.413061E-2</v>
      </c>
      <c r="H32" s="34" t="s">
        <v>143</v>
      </c>
    </row>
    <row r="33" spans="1:8" x14ac:dyDescent="0.2">
      <c r="A33" s="35">
        <v>27</v>
      </c>
      <c r="B33" s="36" t="s">
        <v>186</v>
      </c>
      <c r="C33" s="36" t="s">
        <v>187</v>
      </c>
      <c r="D33" s="36" t="s">
        <v>33</v>
      </c>
      <c r="E33" s="37">
        <v>4443625</v>
      </c>
      <c r="F33" s="38">
        <v>9470.2536</v>
      </c>
      <c r="G33" s="39">
        <v>1.373983E-2</v>
      </c>
      <c r="H33" s="34" t="s">
        <v>143</v>
      </c>
    </row>
    <row r="34" spans="1:8" ht="25.5" x14ac:dyDescent="0.2">
      <c r="A34" s="35">
        <v>28</v>
      </c>
      <c r="B34" s="36" t="s">
        <v>283</v>
      </c>
      <c r="C34" s="36" t="s">
        <v>284</v>
      </c>
      <c r="D34" s="36" t="s">
        <v>185</v>
      </c>
      <c r="E34" s="37">
        <v>225000</v>
      </c>
      <c r="F34" s="38">
        <v>9235.5750000000007</v>
      </c>
      <c r="G34" s="39">
        <v>1.3399350000000001E-2</v>
      </c>
      <c r="H34" s="34" t="s">
        <v>143</v>
      </c>
    </row>
    <row r="35" spans="1:8" x14ac:dyDescent="0.2">
      <c r="A35" s="35">
        <v>29</v>
      </c>
      <c r="B35" s="36" t="s">
        <v>196</v>
      </c>
      <c r="C35" s="36" t="s">
        <v>197</v>
      </c>
      <c r="D35" s="36" t="s">
        <v>198</v>
      </c>
      <c r="E35" s="37">
        <v>150000</v>
      </c>
      <c r="F35" s="38">
        <v>9062.25</v>
      </c>
      <c r="G35" s="39">
        <v>1.3147880000000001E-2</v>
      </c>
      <c r="H35" s="34" t="s">
        <v>143</v>
      </c>
    </row>
    <row r="36" spans="1:8" x14ac:dyDescent="0.2">
      <c r="A36" s="35">
        <v>30</v>
      </c>
      <c r="B36" s="36" t="s">
        <v>241</v>
      </c>
      <c r="C36" s="36" t="s">
        <v>242</v>
      </c>
      <c r="D36" s="36" t="s">
        <v>195</v>
      </c>
      <c r="E36" s="37">
        <v>320000</v>
      </c>
      <c r="F36" s="38">
        <v>8948.16</v>
      </c>
      <c r="G36" s="39">
        <v>1.298236E-2</v>
      </c>
      <c r="H36" s="34" t="s">
        <v>143</v>
      </c>
    </row>
    <row r="37" spans="1:8" ht="25.5" x14ac:dyDescent="0.2">
      <c r="A37" s="35">
        <v>31</v>
      </c>
      <c r="B37" s="36" t="s">
        <v>199</v>
      </c>
      <c r="C37" s="36" t="s">
        <v>200</v>
      </c>
      <c r="D37" s="36" t="s">
        <v>201</v>
      </c>
      <c r="E37" s="37">
        <v>450000</v>
      </c>
      <c r="F37" s="38">
        <v>8721</v>
      </c>
      <c r="G37" s="39">
        <v>1.2652780000000001E-2</v>
      </c>
      <c r="H37" s="34" t="s">
        <v>143</v>
      </c>
    </row>
    <row r="38" spans="1:8" x14ac:dyDescent="0.2">
      <c r="A38" s="35">
        <v>32</v>
      </c>
      <c r="B38" s="36" t="s">
        <v>338</v>
      </c>
      <c r="C38" s="36" t="s">
        <v>339</v>
      </c>
      <c r="D38" s="36" t="s">
        <v>251</v>
      </c>
      <c r="E38" s="37">
        <v>270000</v>
      </c>
      <c r="F38" s="38">
        <v>8594.64</v>
      </c>
      <c r="G38" s="39">
        <v>1.246946E-2</v>
      </c>
      <c r="H38" s="34" t="s">
        <v>143</v>
      </c>
    </row>
    <row r="39" spans="1:8" x14ac:dyDescent="0.2">
      <c r="A39" s="35">
        <v>33</v>
      </c>
      <c r="B39" s="36" t="s">
        <v>340</v>
      </c>
      <c r="C39" s="36" t="s">
        <v>341</v>
      </c>
      <c r="D39" s="36" t="s">
        <v>265</v>
      </c>
      <c r="E39" s="37">
        <v>430000</v>
      </c>
      <c r="F39" s="38">
        <v>8592.69</v>
      </c>
      <c r="G39" s="39">
        <v>1.2466629999999999E-2</v>
      </c>
      <c r="H39" s="34" t="s">
        <v>143</v>
      </c>
    </row>
    <row r="40" spans="1:8" x14ac:dyDescent="0.2">
      <c r="A40" s="35">
        <v>34</v>
      </c>
      <c r="B40" s="36" t="s">
        <v>254</v>
      </c>
      <c r="C40" s="36" t="s">
        <v>255</v>
      </c>
      <c r="D40" s="36" t="s">
        <v>256</v>
      </c>
      <c r="E40" s="37">
        <v>521344</v>
      </c>
      <c r="F40" s="38">
        <v>8587.0570239999997</v>
      </c>
      <c r="G40" s="39">
        <v>1.2458449999999999E-2</v>
      </c>
      <c r="H40" s="34" t="s">
        <v>143</v>
      </c>
    </row>
    <row r="41" spans="1:8" ht="25.5" x14ac:dyDescent="0.2">
      <c r="A41" s="35">
        <v>35</v>
      </c>
      <c r="B41" s="36" t="s">
        <v>261</v>
      </c>
      <c r="C41" s="36" t="s">
        <v>262</v>
      </c>
      <c r="D41" s="36" t="s">
        <v>201</v>
      </c>
      <c r="E41" s="37">
        <v>369994</v>
      </c>
      <c r="F41" s="38">
        <v>8583.1208119999992</v>
      </c>
      <c r="G41" s="39">
        <v>1.245274E-2</v>
      </c>
      <c r="H41" s="34" t="s">
        <v>143</v>
      </c>
    </row>
    <row r="42" spans="1:8" ht="25.5" x14ac:dyDescent="0.2">
      <c r="A42" s="35">
        <v>36</v>
      </c>
      <c r="B42" s="36" t="s">
        <v>342</v>
      </c>
      <c r="C42" s="36" t="s">
        <v>343</v>
      </c>
      <c r="D42" s="36" t="s">
        <v>25</v>
      </c>
      <c r="E42" s="37">
        <v>290000</v>
      </c>
      <c r="F42" s="38">
        <v>8249.0499999999993</v>
      </c>
      <c r="G42" s="39">
        <v>1.1968060000000001E-2</v>
      </c>
      <c r="H42" s="34" t="s">
        <v>143</v>
      </c>
    </row>
    <row r="43" spans="1:8" x14ac:dyDescent="0.2">
      <c r="A43" s="35">
        <v>37</v>
      </c>
      <c r="B43" s="36" t="s">
        <v>222</v>
      </c>
      <c r="C43" s="36" t="s">
        <v>223</v>
      </c>
      <c r="D43" s="36" t="s">
        <v>195</v>
      </c>
      <c r="E43" s="37">
        <v>640000</v>
      </c>
      <c r="F43" s="38">
        <v>8166.4</v>
      </c>
      <c r="G43" s="39">
        <v>1.184815E-2</v>
      </c>
      <c r="H43" s="34" t="s">
        <v>143</v>
      </c>
    </row>
    <row r="44" spans="1:8" x14ac:dyDescent="0.2">
      <c r="A44" s="35">
        <v>38</v>
      </c>
      <c r="B44" s="36" t="s">
        <v>344</v>
      </c>
      <c r="C44" s="36" t="s">
        <v>345</v>
      </c>
      <c r="D44" s="36" t="s">
        <v>287</v>
      </c>
      <c r="E44" s="37">
        <v>540000</v>
      </c>
      <c r="F44" s="38">
        <v>8036.82</v>
      </c>
      <c r="G44" s="39">
        <v>1.1660149999999999E-2</v>
      </c>
      <c r="H44" s="34" t="s">
        <v>143</v>
      </c>
    </row>
    <row r="45" spans="1:8" x14ac:dyDescent="0.2">
      <c r="A45" s="35">
        <v>39</v>
      </c>
      <c r="B45" s="36" t="s">
        <v>134</v>
      </c>
      <c r="C45" s="36" t="s">
        <v>135</v>
      </c>
      <c r="D45" s="36" t="s">
        <v>136</v>
      </c>
      <c r="E45" s="37">
        <v>850000</v>
      </c>
      <c r="F45" s="38">
        <v>8004.45</v>
      </c>
      <c r="G45" s="39">
        <v>1.1613180000000001E-2</v>
      </c>
      <c r="H45" s="34" t="s">
        <v>143</v>
      </c>
    </row>
    <row r="46" spans="1:8" x14ac:dyDescent="0.2">
      <c r="A46" s="35">
        <v>40</v>
      </c>
      <c r="B46" s="36" t="s">
        <v>311</v>
      </c>
      <c r="C46" s="36" t="s">
        <v>312</v>
      </c>
      <c r="D46" s="36" t="s">
        <v>221</v>
      </c>
      <c r="E46" s="37">
        <v>1000000</v>
      </c>
      <c r="F46" s="38">
        <v>7603</v>
      </c>
      <c r="G46" s="39">
        <v>1.1030740000000001E-2</v>
      </c>
      <c r="H46" s="34" t="s">
        <v>143</v>
      </c>
    </row>
    <row r="47" spans="1:8" x14ac:dyDescent="0.2">
      <c r="A47" s="35">
        <v>41</v>
      </c>
      <c r="B47" s="36" t="s">
        <v>233</v>
      </c>
      <c r="C47" s="36" t="s">
        <v>234</v>
      </c>
      <c r="D47" s="36" t="s">
        <v>73</v>
      </c>
      <c r="E47" s="37">
        <v>115000</v>
      </c>
      <c r="F47" s="38">
        <v>7533.65</v>
      </c>
      <c r="G47" s="39">
        <v>1.093013E-2</v>
      </c>
      <c r="H47" s="34" t="s">
        <v>143</v>
      </c>
    </row>
    <row r="48" spans="1:8" x14ac:dyDescent="0.2">
      <c r="A48" s="35">
        <v>42</v>
      </c>
      <c r="B48" s="36" t="s">
        <v>97</v>
      </c>
      <c r="C48" s="36" t="s">
        <v>98</v>
      </c>
      <c r="D48" s="36" t="s">
        <v>73</v>
      </c>
      <c r="E48" s="37">
        <v>215500</v>
      </c>
      <c r="F48" s="38">
        <v>7325.7070000000003</v>
      </c>
      <c r="G48" s="39">
        <v>1.0628439999999999E-2</v>
      </c>
      <c r="H48" s="34" t="s">
        <v>143</v>
      </c>
    </row>
    <row r="49" spans="1:8" x14ac:dyDescent="0.2">
      <c r="A49" s="35">
        <v>43</v>
      </c>
      <c r="B49" s="36" t="s">
        <v>37</v>
      </c>
      <c r="C49" s="36" t="s">
        <v>38</v>
      </c>
      <c r="D49" s="36" t="s">
        <v>16</v>
      </c>
      <c r="E49" s="37">
        <v>2200000</v>
      </c>
      <c r="F49" s="38">
        <v>7302.9</v>
      </c>
      <c r="G49" s="39">
        <v>1.059535E-2</v>
      </c>
      <c r="H49" s="34" t="s">
        <v>143</v>
      </c>
    </row>
    <row r="50" spans="1:8" x14ac:dyDescent="0.2">
      <c r="A50" s="35">
        <v>44</v>
      </c>
      <c r="B50" s="36" t="s">
        <v>217</v>
      </c>
      <c r="C50" s="36" t="s">
        <v>218</v>
      </c>
      <c r="D50" s="36" t="s">
        <v>61</v>
      </c>
      <c r="E50" s="37">
        <v>450000</v>
      </c>
      <c r="F50" s="38">
        <v>7027.65</v>
      </c>
      <c r="G50" s="39">
        <v>1.0196E-2</v>
      </c>
      <c r="H50" s="34" t="s">
        <v>143</v>
      </c>
    </row>
    <row r="51" spans="1:8" ht="25.5" x14ac:dyDescent="0.2">
      <c r="A51" s="35">
        <v>45</v>
      </c>
      <c r="B51" s="36" t="s">
        <v>346</v>
      </c>
      <c r="C51" s="36" t="s">
        <v>347</v>
      </c>
      <c r="D51" s="36" t="s">
        <v>192</v>
      </c>
      <c r="E51" s="37">
        <v>425000</v>
      </c>
      <c r="F51" s="38">
        <v>6919</v>
      </c>
      <c r="G51" s="39">
        <v>1.003837E-2</v>
      </c>
      <c r="H51" s="34" t="s">
        <v>143</v>
      </c>
    </row>
    <row r="52" spans="1:8" ht="25.5" x14ac:dyDescent="0.2">
      <c r="A52" s="35">
        <v>46</v>
      </c>
      <c r="B52" s="36" t="s">
        <v>348</v>
      </c>
      <c r="C52" s="36" t="s">
        <v>349</v>
      </c>
      <c r="D52" s="36" t="s">
        <v>201</v>
      </c>
      <c r="E52" s="37">
        <v>400000</v>
      </c>
      <c r="F52" s="38">
        <v>6702.8</v>
      </c>
      <c r="G52" s="39">
        <v>9.7246999999999993E-3</v>
      </c>
      <c r="H52" s="34" t="s">
        <v>143</v>
      </c>
    </row>
    <row r="53" spans="1:8" x14ac:dyDescent="0.2">
      <c r="A53" s="35">
        <v>47</v>
      </c>
      <c r="B53" s="36" t="s">
        <v>20</v>
      </c>
      <c r="C53" s="36" t="s">
        <v>21</v>
      </c>
      <c r="D53" s="36" t="s">
        <v>22</v>
      </c>
      <c r="E53" s="37">
        <v>2000000</v>
      </c>
      <c r="F53" s="38">
        <v>6698</v>
      </c>
      <c r="G53" s="39">
        <v>9.7177300000000008E-3</v>
      </c>
      <c r="H53" s="34" t="s">
        <v>143</v>
      </c>
    </row>
    <row r="54" spans="1:8" x14ac:dyDescent="0.2">
      <c r="A54" s="35">
        <v>48</v>
      </c>
      <c r="B54" s="36" t="s">
        <v>99</v>
      </c>
      <c r="C54" s="36" t="s">
        <v>100</v>
      </c>
      <c r="D54" s="36" t="s">
        <v>43</v>
      </c>
      <c r="E54" s="37">
        <v>165000</v>
      </c>
      <c r="F54" s="38">
        <v>6678.0450000000001</v>
      </c>
      <c r="G54" s="39">
        <v>9.6887799999999993E-3</v>
      </c>
      <c r="H54" s="34" t="s">
        <v>143</v>
      </c>
    </row>
    <row r="55" spans="1:8" x14ac:dyDescent="0.2">
      <c r="A55" s="35">
        <v>49</v>
      </c>
      <c r="B55" s="36" t="s">
        <v>285</v>
      </c>
      <c r="C55" s="36" t="s">
        <v>286</v>
      </c>
      <c r="D55" s="36" t="s">
        <v>287</v>
      </c>
      <c r="E55" s="37">
        <v>3200000</v>
      </c>
      <c r="F55" s="38">
        <v>6668.48</v>
      </c>
      <c r="G55" s="39">
        <v>9.6749000000000002E-3</v>
      </c>
      <c r="H55" s="34" t="s">
        <v>143</v>
      </c>
    </row>
    <row r="56" spans="1:8" x14ac:dyDescent="0.2">
      <c r="A56" s="35">
        <v>50</v>
      </c>
      <c r="B56" s="36" t="s">
        <v>350</v>
      </c>
      <c r="C56" s="36" t="s">
        <v>351</v>
      </c>
      <c r="D56" s="36" t="s">
        <v>287</v>
      </c>
      <c r="E56" s="37">
        <v>2500000</v>
      </c>
      <c r="F56" s="38">
        <v>6603.75</v>
      </c>
      <c r="G56" s="39">
        <v>9.5809899999999993E-3</v>
      </c>
      <c r="H56" s="34" t="s">
        <v>143</v>
      </c>
    </row>
    <row r="57" spans="1:8" x14ac:dyDescent="0.2">
      <c r="A57" s="35">
        <v>51</v>
      </c>
      <c r="B57" s="36" t="s">
        <v>39</v>
      </c>
      <c r="C57" s="36" t="s">
        <v>40</v>
      </c>
      <c r="D57" s="36" t="s">
        <v>22</v>
      </c>
      <c r="E57" s="37">
        <v>1600000</v>
      </c>
      <c r="F57" s="38">
        <v>6487.2</v>
      </c>
      <c r="G57" s="39">
        <v>9.4119000000000008E-3</v>
      </c>
      <c r="H57" s="34" t="s">
        <v>143</v>
      </c>
    </row>
    <row r="58" spans="1:8" x14ac:dyDescent="0.2">
      <c r="A58" s="35">
        <v>52</v>
      </c>
      <c r="B58" s="36" t="s">
        <v>352</v>
      </c>
      <c r="C58" s="36" t="s">
        <v>353</v>
      </c>
      <c r="D58" s="36" t="s">
        <v>354</v>
      </c>
      <c r="E58" s="37">
        <v>1545000</v>
      </c>
      <c r="F58" s="38">
        <v>6434.1525000000001</v>
      </c>
      <c r="G58" s="39">
        <v>9.33493E-3</v>
      </c>
      <c r="H58" s="34" t="s">
        <v>143</v>
      </c>
    </row>
    <row r="59" spans="1:8" x14ac:dyDescent="0.2">
      <c r="A59" s="35">
        <v>53</v>
      </c>
      <c r="B59" s="36" t="s">
        <v>227</v>
      </c>
      <c r="C59" s="36" t="s">
        <v>228</v>
      </c>
      <c r="D59" s="36" t="s">
        <v>43</v>
      </c>
      <c r="E59" s="37">
        <v>1340100</v>
      </c>
      <c r="F59" s="38">
        <v>6014.3688000000002</v>
      </c>
      <c r="G59" s="39">
        <v>8.72589E-3</v>
      </c>
      <c r="H59" s="34" t="s">
        <v>143</v>
      </c>
    </row>
    <row r="60" spans="1:8" x14ac:dyDescent="0.2">
      <c r="A60" s="35">
        <v>54</v>
      </c>
      <c r="B60" s="36" t="s">
        <v>86</v>
      </c>
      <c r="C60" s="36" t="s">
        <v>87</v>
      </c>
      <c r="D60" s="36" t="s">
        <v>22</v>
      </c>
      <c r="E60" s="37">
        <v>400000</v>
      </c>
      <c r="F60" s="38">
        <v>5870.4</v>
      </c>
      <c r="G60" s="39">
        <v>8.5170200000000001E-3</v>
      </c>
      <c r="H60" s="34" t="s">
        <v>143</v>
      </c>
    </row>
    <row r="61" spans="1:8" x14ac:dyDescent="0.2">
      <c r="A61" s="35">
        <v>55</v>
      </c>
      <c r="B61" s="36" t="s">
        <v>355</v>
      </c>
      <c r="C61" s="36" t="s">
        <v>356</v>
      </c>
      <c r="D61" s="36" t="s">
        <v>55</v>
      </c>
      <c r="E61" s="37">
        <v>500000</v>
      </c>
      <c r="F61" s="38">
        <v>5751</v>
      </c>
      <c r="G61" s="39">
        <v>8.3437900000000002E-3</v>
      </c>
      <c r="H61" s="34" t="s">
        <v>143</v>
      </c>
    </row>
    <row r="62" spans="1:8" x14ac:dyDescent="0.2">
      <c r="A62" s="35">
        <v>56</v>
      </c>
      <c r="B62" s="36" t="s">
        <v>357</v>
      </c>
      <c r="C62" s="36" t="s">
        <v>358</v>
      </c>
      <c r="D62" s="36" t="s">
        <v>226</v>
      </c>
      <c r="E62" s="37">
        <v>1250000</v>
      </c>
      <c r="F62" s="38">
        <v>5719.375</v>
      </c>
      <c r="G62" s="39">
        <v>8.2979000000000004E-3</v>
      </c>
      <c r="H62" s="34" t="s">
        <v>143</v>
      </c>
    </row>
    <row r="63" spans="1:8" x14ac:dyDescent="0.2">
      <c r="A63" s="35">
        <v>57</v>
      </c>
      <c r="B63" s="36" t="s">
        <v>62</v>
      </c>
      <c r="C63" s="36" t="s">
        <v>63</v>
      </c>
      <c r="D63" s="36" t="s">
        <v>13</v>
      </c>
      <c r="E63" s="37">
        <v>1300000</v>
      </c>
      <c r="F63" s="38">
        <v>5474.3</v>
      </c>
      <c r="G63" s="39">
        <v>7.9423400000000009E-3</v>
      </c>
      <c r="H63" s="34" t="s">
        <v>143</v>
      </c>
    </row>
    <row r="64" spans="1:8" x14ac:dyDescent="0.2">
      <c r="A64" s="35">
        <v>58</v>
      </c>
      <c r="B64" s="36" t="s">
        <v>103</v>
      </c>
      <c r="C64" s="36" t="s">
        <v>104</v>
      </c>
      <c r="D64" s="36" t="s">
        <v>36</v>
      </c>
      <c r="E64" s="37">
        <v>90000</v>
      </c>
      <c r="F64" s="38">
        <v>5472.45</v>
      </c>
      <c r="G64" s="39">
        <v>7.9396499999999995E-3</v>
      </c>
      <c r="H64" s="34" t="s">
        <v>143</v>
      </c>
    </row>
    <row r="65" spans="1:8" x14ac:dyDescent="0.2">
      <c r="A65" s="35">
        <v>59</v>
      </c>
      <c r="B65" s="36" t="s">
        <v>359</v>
      </c>
      <c r="C65" s="36" t="s">
        <v>360</v>
      </c>
      <c r="D65" s="36" t="s">
        <v>55</v>
      </c>
      <c r="E65" s="37">
        <v>146498</v>
      </c>
      <c r="F65" s="38">
        <v>5406.0691960000004</v>
      </c>
      <c r="G65" s="39">
        <v>7.8433500000000007E-3</v>
      </c>
      <c r="H65" s="34" t="s">
        <v>143</v>
      </c>
    </row>
    <row r="66" spans="1:8" ht="25.5" x14ac:dyDescent="0.2">
      <c r="A66" s="35">
        <v>60</v>
      </c>
      <c r="B66" s="36" t="s">
        <v>361</v>
      </c>
      <c r="C66" s="36" t="s">
        <v>362</v>
      </c>
      <c r="D66" s="36" t="s">
        <v>58</v>
      </c>
      <c r="E66" s="37">
        <v>1710000</v>
      </c>
      <c r="F66" s="38">
        <v>5354.01</v>
      </c>
      <c r="G66" s="39">
        <v>7.7678199999999999E-3</v>
      </c>
      <c r="H66" s="34" t="s">
        <v>143</v>
      </c>
    </row>
    <row r="67" spans="1:8" x14ac:dyDescent="0.2">
      <c r="A67" s="35">
        <v>61</v>
      </c>
      <c r="B67" s="36" t="s">
        <v>107</v>
      </c>
      <c r="C67" s="36" t="s">
        <v>108</v>
      </c>
      <c r="D67" s="36" t="s">
        <v>52</v>
      </c>
      <c r="E67" s="37">
        <v>1300000</v>
      </c>
      <c r="F67" s="38">
        <v>4976.3999999999996</v>
      </c>
      <c r="G67" s="39">
        <v>7.21997E-3</v>
      </c>
      <c r="H67" s="34" t="s">
        <v>143</v>
      </c>
    </row>
    <row r="68" spans="1:8" x14ac:dyDescent="0.2">
      <c r="A68" s="35">
        <v>62</v>
      </c>
      <c r="B68" s="36" t="s">
        <v>113</v>
      </c>
      <c r="C68" s="36" t="s">
        <v>114</v>
      </c>
      <c r="D68" s="36" t="s">
        <v>73</v>
      </c>
      <c r="E68" s="37">
        <v>574000</v>
      </c>
      <c r="F68" s="38">
        <v>4885.027</v>
      </c>
      <c r="G68" s="39">
        <v>7.0873999999999998E-3</v>
      </c>
      <c r="H68" s="34" t="s">
        <v>143</v>
      </c>
    </row>
    <row r="69" spans="1:8" x14ac:dyDescent="0.2">
      <c r="A69" s="35">
        <v>63</v>
      </c>
      <c r="B69" s="36" t="s">
        <v>84</v>
      </c>
      <c r="C69" s="36" t="s">
        <v>85</v>
      </c>
      <c r="D69" s="36" t="s">
        <v>43</v>
      </c>
      <c r="E69" s="37">
        <v>35685</v>
      </c>
      <c r="F69" s="38">
        <v>4778.9351999999999</v>
      </c>
      <c r="G69" s="39">
        <v>6.9334799999999997E-3</v>
      </c>
      <c r="H69" s="34" t="s">
        <v>143</v>
      </c>
    </row>
    <row r="70" spans="1:8" x14ac:dyDescent="0.2">
      <c r="A70" s="35">
        <v>64</v>
      </c>
      <c r="B70" s="36" t="s">
        <v>212</v>
      </c>
      <c r="C70" s="36" t="s">
        <v>213</v>
      </c>
      <c r="D70" s="36" t="s">
        <v>198</v>
      </c>
      <c r="E70" s="37">
        <v>246000</v>
      </c>
      <c r="F70" s="38">
        <v>4734.2700000000004</v>
      </c>
      <c r="G70" s="39">
        <v>6.8686700000000003E-3</v>
      </c>
      <c r="H70" s="34" t="s">
        <v>143</v>
      </c>
    </row>
    <row r="71" spans="1:8" x14ac:dyDescent="0.2">
      <c r="A71" s="35">
        <v>65</v>
      </c>
      <c r="B71" s="36" t="s">
        <v>273</v>
      </c>
      <c r="C71" s="36" t="s">
        <v>274</v>
      </c>
      <c r="D71" s="36" t="s">
        <v>221</v>
      </c>
      <c r="E71" s="37">
        <v>2800000</v>
      </c>
      <c r="F71" s="38">
        <v>4697.5600000000004</v>
      </c>
      <c r="G71" s="39">
        <v>6.81541E-3</v>
      </c>
      <c r="H71" s="34" t="s">
        <v>143</v>
      </c>
    </row>
    <row r="72" spans="1:8" x14ac:dyDescent="0.2">
      <c r="A72" s="35">
        <v>66</v>
      </c>
      <c r="B72" s="36" t="s">
        <v>188</v>
      </c>
      <c r="C72" s="36" t="s">
        <v>189</v>
      </c>
      <c r="D72" s="36" t="s">
        <v>55</v>
      </c>
      <c r="E72" s="37">
        <v>829572</v>
      </c>
      <c r="F72" s="38">
        <v>4611.1759620000003</v>
      </c>
      <c r="G72" s="39">
        <v>6.6900800000000002E-3</v>
      </c>
      <c r="H72" s="34" t="s">
        <v>143</v>
      </c>
    </row>
    <row r="73" spans="1:8" ht="25.5" x14ac:dyDescent="0.2">
      <c r="A73" s="35">
        <v>67</v>
      </c>
      <c r="B73" s="36" t="s">
        <v>243</v>
      </c>
      <c r="C73" s="36" t="s">
        <v>244</v>
      </c>
      <c r="D73" s="36" t="s">
        <v>25</v>
      </c>
      <c r="E73" s="37">
        <v>233000</v>
      </c>
      <c r="F73" s="38">
        <v>4467.076</v>
      </c>
      <c r="G73" s="39">
        <v>6.4810199999999997E-3</v>
      </c>
      <c r="H73" s="34" t="s">
        <v>143</v>
      </c>
    </row>
    <row r="74" spans="1:8" x14ac:dyDescent="0.2">
      <c r="A74" s="35">
        <v>68</v>
      </c>
      <c r="B74" s="36" t="s">
        <v>279</v>
      </c>
      <c r="C74" s="36" t="s">
        <v>280</v>
      </c>
      <c r="D74" s="36" t="s">
        <v>206</v>
      </c>
      <c r="E74" s="37">
        <v>400000</v>
      </c>
      <c r="F74" s="38">
        <v>3480.2</v>
      </c>
      <c r="G74" s="39">
        <v>5.0492200000000001E-3</v>
      </c>
      <c r="H74" s="34" t="s">
        <v>143</v>
      </c>
    </row>
    <row r="75" spans="1:8" x14ac:dyDescent="0.2">
      <c r="A75" s="35">
        <v>69</v>
      </c>
      <c r="B75" s="36" t="s">
        <v>292</v>
      </c>
      <c r="C75" s="36" t="s">
        <v>293</v>
      </c>
      <c r="D75" s="36" t="s">
        <v>294</v>
      </c>
      <c r="E75" s="37">
        <v>525687</v>
      </c>
      <c r="F75" s="38">
        <v>3004.826892</v>
      </c>
      <c r="G75" s="39">
        <v>4.3595300000000003E-3</v>
      </c>
      <c r="H75" s="34" t="s">
        <v>143</v>
      </c>
    </row>
    <row r="76" spans="1:8" x14ac:dyDescent="0.2">
      <c r="A76" s="35">
        <v>70</v>
      </c>
      <c r="B76" s="36" t="s">
        <v>307</v>
      </c>
      <c r="C76" s="36" t="s">
        <v>308</v>
      </c>
      <c r="D76" s="36" t="s">
        <v>73</v>
      </c>
      <c r="E76" s="37">
        <v>57035</v>
      </c>
      <c r="F76" s="38">
        <v>2746.6915300000001</v>
      </c>
      <c r="G76" s="39">
        <v>3.9850099999999998E-3</v>
      </c>
      <c r="H76" s="34" t="s">
        <v>143</v>
      </c>
    </row>
    <row r="77" spans="1:8" x14ac:dyDescent="0.2">
      <c r="A77" s="35">
        <v>71</v>
      </c>
      <c r="B77" s="36" t="s">
        <v>313</v>
      </c>
      <c r="C77" s="36" t="s">
        <v>314</v>
      </c>
      <c r="D77" s="36" t="s">
        <v>251</v>
      </c>
      <c r="E77" s="37">
        <v>5663245</v>
      </c>
      <c r="F77" s="38">
        <v>2444.2565420000001</v>
      </c>
      <c r="G77" s="39">
        <v>3.54623E-3</v>
      </c>
      <c r="H77" s="34" t="s">
        <v>143</v>
      </c>
    </row>
    <row r="78" spans="1:8" x14ac:dyDescent="0.2">
      <c r="A78" s="41"/>
      <c r="B78" s="41"/>
      <c r="C78" s="42" t="s">
        <v>142</v>
      </c>
      <c r="D78" s="41"/>
      <c r="E78" s="41" t="s">
        <v>143</v>
      </c>
      <c r="F78" s="43">
        <v>671337.36100399995</v>
      </c>
      <c r="G78" s="44">
        <v>0.97400377000000005</v>
      </c>
      <c r="H78" s="34" t="s">
        <v>143</v>
      </c>
    </row>
    <row r="79" spans="1:8" x14ac:dyDescent="0.2">
      <c r="A79" s="41"/>
      <c r="B79" s="41"/>
      <c r="C79" s="45"/>
      <c r="D79" s="41"/>
      <c r="E79" s="41"/>
      <c r="F79" s="46"/>
      <c r="G79" s="46"/>
      <c r="H79" s="34" t="s">
        <v>143</v>
      </c>
    </row>
    <row r="80" spans="1:8" x14ac:dyDescent="0.2">
      <c r="A80" s="41"/>
      <c r="B80" s="41"/>
      <c r="C80" s="42" t="s">
        <v>144</v>
      </c>
      <c r="D80" s="41"/>
      <c r="E80" s="41"/>
      <c r="F80" s="41"/>
      <c r="G80" s="41"/>
      <c r="H80" s="34" t="s">
        <v>143</v>
      </c>
    </row>
    <row r="81" spans="1:8" x14ac:dyDescent="0.2">
      <c r="A81" s="41"/>
      <c r="B81" s="41"/>
      <c r="C81" s="42" t="s">
        <v>142</v>
      </c>
      <c r="D81" s="41"/>
      <c r="E81" s="41" t="s">
        <v>143</v>
      </c>
      <c r="F81" s="47" t="s">
        <v>145</v>
      </c>
      <c r="G81" s="44">
        <v>0</v>
      </c>
      <c r="H81" s="34" t="s">
        <v>143</v>
      </c>
    </row>
    <row r="82" spans="1:8" x14ac:dyDescent="0.2">
      <c r="A82" s="41"/>
      <c r="B82" s="41"/>
      <c r="C82" s="45"/>
      <c r="D82" s="41"/>
      <c r="E82" s="41"/>
      <c r="F82" s="46"/>
      <c r="G82" s="46"/>
      <c r="H82" s="34" t="s">
        <v>143</v>
      </c>
    </row>
    <row r="83" spans="1:8" x14ac:dyDescent="0.2">
      <c r="A83" s="41"/>
      <c r="B83" s="41"/>
      <c r="C83" s="42" t="s">
        <v>146</v>
      </c>
      <c r="D83" s="41"/>
      <c r="E83" s="41"/>
      <c r="F83" s="41"/>
      <c r="G83" s="41"/>
      <c r="H83" s="34" t="s">
        <v>143</v>
      </c>
    </row>
    <row r="84" spans="1:8" x14ac:dyDescent="0.2">
      <c r="A84" s="41"/>
      <c r="B84" s="41"/>
      <c r="C84" s="42" t="s">
        <v>142</v>
      </c>
      <c r="D84" s="41"/>
      <c r="E84" s="41" t="s">
        <v>143</v>
      </c>
      <c r="F84" s="47" t="s">
        <v>145</v>
      </c>
      <c r="G84" s="44">
        <v>0</v>
      </c>
      <c r="H84" s="34" t="s">
        <v>143</v>
      </c>
    </row>
    <row r="85" spans="1:8" x14ac:dyDescent="0.2">
      <c r="A85" s="41"/>
      <c r="B85" s="41"/>
      <c r="C85" s="45"/>
      <c r="D85" s="41"/>
      <c r="E85" s="41"/>
      <c r="F85" s="46"/>
      <c r="G85" s="46"/>
      <c r="H85" s="34" t="s">
        <v>143</v>
      </c>
    </row>
    <row r="86" spans="1:8" x14ac:dyDescent="0.2">
      <c r="A86" s="41"/>
      <c r="B86" s="41"/>
      <c r="C86" s="42" t="s">
        <v>147</v>
      </c>
      <c r="D86" s="41"/>
      <c r="E86" s="41"/>
      <c r="F86" s="41"/>
      <c r="G86" s="41"/>
      <c r="H86" s="34" t="s">
        <v>143</v>
      </c>
    </row>
    <row r="87" spans="1:8" x14ac:dyDescent="0.2">
      <c r="A87" s="41"/>
      <c r="B87" s="41"/>
      <c r="C87" s="42" t="s">
        <v>142</v>
      </c>
      <c r="D87" s="41"/>
      <c r="E87" s="41" t="s">
        <v>143</v>
      </c>
      <c r="F87" s="47" t="s">
        <v>145</v>
      </c>
      <c r="G87" s="44">
        <v>0</v>
      </c>
      <c r="H87" s="34" t="s">
        <v>143</v>
      </c>
    </row>
    <row r="88" spans="1:8" x14ac:dyDescent="0.2">
      <c r="A88" s="41"/>
      <c r="B88" s="41"/>
      <c r="C88" s="45"/>
      <c r="D88" s="41"/>
      <c r="E88" s="41"/>
      <c r="F88" s="46"/>
      <c r="G88" s="46"/>
      <c r="H88" s="34" t="s">
        <v>143</v>
      </c>
    </row>
    <row r="89" spans="1:8" x14ac:dyDescent="0.2">
      <c r="A89" s="41"/>
      <c r="B89" s="41"/>
      <c r="C89" s="42" t="s">
        <v>148</v>
      </c>
      <c r="D89" s="41"/>
      <c r="E89" s="41"/>
      <c r="F89" s="46"/>
      <c r="G89" s="46"/>
      <c r="H89" s="34" t="s">
        <v>143</v>
      </c>
    </row>
    <row r="90" spans="1:8" x14ac:dyDescent="0.2">
      <c r="A90" s="41"/>
      <c r="B90" s="41"/>
      <c r="C90" s="42" t="s">
        <v>142</v>
      </c>
      <c r="D90" s="41"/>
      <c r="E90" s="41" t="s">
        <v>143</v>
      </c>
      <c r="F90" s="47" t="s">
        <v>145</v>
      </c>
      <c r="G90" s="44">
        <v>0</v>
      </c>
      <c r="H90" s="34" t="s">
        <v>143</v>
      </c>
    </row>
    <row r="91" spans="1:8" x14ac:dyDescent="0.2">
      <c r="A91" s="41"/>
      <c r="B91" s="41"/>
      <c r="C91" s="45"/>
      <c r="D91" s="41"/>
      <c r="E91" s="41"/>
      <c r="F91" s="46"/>
      <c r="G91" s="46"/>
      <c r="H91" s="34" t="s">
        <v>143</v>
      </c>
    </row>
    <row r="92" spans="1:8" x14ac:dyDescent="0.2">
      <c r="A92" s="41"/>
      <c r="B92" s="41"/>
      <c r="C92" s="42" t="s">
        <v>149</v>
      </c>
      <c r="D92" s="41"/>
      <c r="E92" s="41"/>
      <c r="F92" s="46"/>
      <c r="G92" s="46"/>
      <c r="H92" s="34" t="s">
        <v>143</v>
      </c>
    </row>
    <row r="93" spans="1:8" x14ac:dyDescent="0.2">
      <c r="A93" s="41"/>
      <c r="B93" s="41"/>
      <c r="C93" s="42" t="s">
        <v>142</v>
      </c>
      <c r="D93" s="41"/>
      <c r="E93" s="41" t="s">
        <v>143</v>
      </c>
      <c r="F93" s="47" t="s">
        <v>145</v>
      </c>
      <c r="G93" s="44">
        <v>0</v>
      </c>
      <c r="H93" s="34" t="s">
        <v>143</v>
      </c>
    </row>
    <row r="94" spans="1:8" x14ac:dyDescent="0.2">
      <c r="A94" s="41"/>
      <c r="B94" s="41"/>
      <c r="C94" s="45"/>
      <c r="D94" s="41"/>
      <c r="E94" s="41"/>
      <c r="F94" s="46"/>
      <c r="G94" s="46"/>
      <c r="H94" s="34" t="s">
        <v>143</v>
      </c>
    </row>
    <row r="95" spans="1:8" x14ac:dyDescent="0.2">
      <c r="A95" s="41"/>
      <c r="B95" s="41"/>
      <c r="C95" s="42" t="s">
        <v>150</v>
      </c>
      <c r="D95" s="41"/>
      <c r="E95" s="41"/>
      <c r="F95" s="43">
        <v>671337.36100399995</v>
      </c>
      <c r="G95" s="44">
        <v>0.97400377000000005</v>
      </c>
      <c r="H95" s="34" t="s">
        <v>143</v>
      </c>
    </row>
    <row r="96" spans="1:8" x14ac:dyDescent="0.2">
      <c r="A96" s="41"/>
      <c r="B96" s="41"/>
      <c r="C96" s="45"/>
      <c r="D96" s="41"/>
      <c r="E96" s="41"/>
      <c r="F96" s="46"/>
      <c r="G96" s="46"/>
      <c r="H96" s="34" t="s">
        <v>143</v>
      </c>
    </row>
    <row r="97" spans="1:8" x14ac:dyDescent="0.2">
      <c r="A97" s="41"/>
      <c r="B97" s="41"/>
      <c r="C97" s="42" t="s">
        <v>151</v>
      </c>
      <c r="D97" s="41"/>
      <c r="E97" s="41"/>
      <c r="F97" s="46"/>
      <c r="G97" s="46"/>
      <c r="H97" s="34" t="s">
        <v>143</v>
      </c>
    </row>
    <row r="98" spans="1:8" x14ac:dyDescent="0.2">
      <c r="A98" s="41"/>
      <c r="B98" s="41"/>
      <c r="C98" s="42" t="s">
        <v>10</v>
      </c>
      <c r="D98" s="41"/>
      <c r="E98" s="41"/>
      <c r="F98" s="46"/>
      <c r="G98" s="46"/>
      <c r="H98" s="34" t="s">
        <v>143</v>
      </c>
    </row>
    <row r="99" spans="1:8" x14ac:dyDescent="0.2">
      <c r="A99" s="41"/>
      <c r="B99" s="41"/>
      <c r="C99" s="42" t="s">
        <v>142</v>
      </c>
      <c r="D99" s="41"/>
      <c r="E99" s="41" t="s">
        <v>143</v>
      </c>
      <c r="F99" s="47" t="s">
        <v>145</v>
      </c>
      <c r="G99" s="44">
        <v>0</v>
      </c>
      <c r="H99" s="34" t="s">
        <v>143</v>
      </c>
    </row>
    <row r="100" spans="1:8" x14ac:dyDescent="0.2">
      <c r="A100" s="41"/>
      <c r="B100" s="41"/>
      <c r="C100" s="45"/>
      <c r="D100" s="41"/>
      <c r="E100" s="41"/>
      <c r="F100" s="46"/>
      <c r="G100" s="46"/>
      <c r="H100" s="34" t="s">
        <v>143</v>
      </c>
    </row>
    <row r="101" spans="1:8" x14ac:dyDescent="0.2">
      <c r="A101" s="41"/>
      <c r="B101" s="41"/>
      <c r="C101" s="42" t="s">
        <v>152</v>
      </c>
      <c r="D101" s="41"/>
      <c r="E101" s="41"/>
      <c r="F101" s="41"/>
      <c r="G101" s="41"/>
      <c r="H101" s="34" t="s">
        <v>143</v>
      </c>
    </row>
    <row r="102" spans="1:8" x14ac:dyDescent="0.2">
      <c r="A102" s="41"/>
      <c r="B102" s="41"/>
      <c r="C102" s="42" t="s">
        <v>142</v>
      </c>
      <c r="D102" s="41"/>
      <c r="E102" s="41" t="s">
        <v>143</v>
      </c>
      <c r="F102" s="47" t="s">
        <v>145</v>
      </c>
      <c r="G102" s="44">
        <v>0</v>
      </c>
      <c r="H102" s="34" t="s">
        <v>143</v>
      </c>
    </row>
    <row r="103" spans="1:8" x14ac:dyDescent="0.2">
      <c r="A103" s="41"/>
      <c r="B103" s="41"/>
      <c r="C103" s="45"/>
      <c r="D103" s="41"/>
      <c r="E103" s="41"/>
      <c r="F103" s="46"/>
      <c r="G103" s="46"/>
      <c r="H103" s="34" t="s">
        <v>143</v>
      </c>
    </row>
    <row r="104" spans="1:8" x14ac:dyDescent="0.2">
      <c r="A104" s="41"/>
      <c r="B104" s="41"/>
      <c r="C104" s="42" t="s">
        <v>153</v>
      </c>
      <c r="D104" s="41"/>
      <c r="E104" s="41"/>
      <c r="F104" s="41"/>
      <c r="G104" s="41"/>
      <c r="H104" s="34" t="s">
        <v>143</v>
      </c>
    </row>
    <row r="105" spans="1:8" x14ac:dyDescent="0.2">
      <c r="A105" s="41"/>
      <c r="B105" s="41"/>
      <c r="C105" s="42" t="s">
        <v>142</v>
      </c>
      <c r="D105" s="41"/>
      <c r="E105" s="41" t="s">
        <v>143</v>
      </c>
      <c r="F105" s="47" t="s">
        <v>145</v>
      </c>
      <c r="G105" s="44">
        <v>0</v>
      </c>
      <c r="H105" s="34" t="s">
        <v>143</v>
      </c>
    </row>
    <row r="106" spans="1:8" x14ac:dyDescent="0.2">
      <c r="A106" s="41"/>
      <c r="B106" s="41"/>
      <c r="C106" s="45"/>
      <c r="D106" s="41"/>
      <c r="E106" s="41"/>
      <c r="F106" s="46"/>
      <c r="G106" s="46"/>
      <c r="H106" s="34" t="s">
        <v>143</v>
      </c>
    </row>
    <row r="107" spans="1:8" x14ac:dyDescent="0.2">
      <c r="A107" s="41"/>
      <c r="B107" s="41"/>
      <c r="C107" s="42" t="s">
        <v>154</v>
      </c>
      <c r="D107" s="41"/>
      <c r="E107" s="41"/>
      <c r="F107" s="46"/>
      <c r="G107" s="46"/>
      <c r="H107" s="34" t="s">
        <v>143</v>
      </c>
    </row>
    <row r="108" spans="1:8" x14ac:dyDescent="0.2">
      <c r="A108" s="41"/>
      <c r="B108" s="41"/>
      <c r="C108" s="42" t="s">
        <v>142</v>
      </c>
      <c r="D108" s="41"/>
      <c r="E108" s="41" t="s">
        <v>143</v>
      </c>
      <c r="F108" s="47" t="s">
        <v>145</v>
      </c>
      <c r="G108" s="44">
        <v>0</v>
      </c>
      <c r="H108" s="34" t="s">
        <v>143</v>
      </c>
    </row>
    <row r="109" spans="1:8" x14ac:dyDescent="0.2">
      <c r="A109" s="41"/>
      <c r="B109" s="41"/>
      <c r="C109" s="45"/>
      <c r="D109" s="41"/>
      <c r="E109" s="41"/>
      <c r="F109" s="46"/>
      <c r="G109" s="46"/>
      <c r="H109" s="34" t="s">
        <v>143</v>
      </c>
    </row>
    <row r="110" spans="1:8" x14ac:dyDescent="0.2">
      <c r="A110" s="41"/>
      <c r="B110" s="41"/>
      <c r="C110" s="42" t="s">
        <v>155</v>
      </c>
      <c r="D110" s="41"/>
      <c r="E110" s="41"/>
      <c r="F110" s="43">
        <v>0</v>
      </c>
      <c r="G110" s="44">
        <v>0</v>
      </c>
      <c r="H110" s="34" t="s">
        <v>143</v>
      </c>
    </row>
    <row r="111" spans="1:8" x14ac:dyDescent="0.2">
      <c r="A111" s="41"/>
      <c r="B111" s="41"/>
      <c r="C111" s="45"/>
      <c r="D111" s="41"/>
      <c r="E111" s="41"/>
      <c r="F111" s="46"/>
      <c r="G111" s="46"/>
      <c r="H111" s="34" t="s">
        <v>143</v>
      </c>
    </row>
    <row r="112" spans="1:8" x14ac:dyDescent="0.2">
      <c r="A112" s="41"/>
      <c r="B112" s="41"/>
      <c r="C112" s="42" t="s">
        <v>156</v>
      </c>
      <c r="D112" s="41"/>
      <c r="E112" s="41"/>
      <c r="F112" s="46"/>
      <c r="G112" s="46"/>
      <c r="H112" s="34" t="s">
        <v>143</v>
      </c>
    </row>
    <row r="113" spans="1:8" x14ac:dyDescent="0.2">
      <c r="A113" s="41"/>
      <c r="B113" s="41"/>
      <c r="C113" s="42" t="s">
        <v>157</v>
      </c>
      <c r="D113" s="41"/>
      <c r="E113" s="41"/>
      <c r="F113" s="46"/>
      <c r="G113" s="46"/>
      <c r="H113" s="34" t="s">
        <v>143</v>
      </c>
    </row>
    <row r="114" spans="1:8" x14ac:dyDescent="0.2">
      <c r="A114" s="41"/>
      <c r="B114" s="41"/>
      <c r="C114" s="42" t="s">
        <v>142</v>
      </c>
      <c r="D114" s="41"/>
      <c r="E114" s="41" t="s">
        <v>143</v>
      </c>
      <c r="F114" s="47" t="s">
        <v>145</v>
      </c>
      <c r="G114" s="44">
        <v>0</v>
      </c>
      <c r="H114" s="34" t="s">
        <v>143</v>
      </c>
    </row>
    <row r="115" spans="1:8" x14ac:dyDescent="0.2">
      <c r="A115" s="41"/>
      <c r="B115" s="41"/>
      <c r="C115" s="45"/>
      <c r="D115" s="41"/>
      <c r="E115" s="41"/>
      <c r="F115" s="46"/>
      <c r="G115" s="46"/>
      <c r="H115" s="34" t="s">
        <v>143</v>
      </c>
    </row>
    <row r="116" spans="1:8" x14ac:dyDescent="0.2">
      <c r="A116" s="41"/>
      <c r="B116" s="41"/>
      <c r="C116" s="42" t="s">
        <v>158</v>
      </c>
      <c r="D116" s="41"/>
      <c r="E116" s="41"/>
      <c r="F116" s="46"/>
      <c r="G116" s="46"/>
      <c r="H116" s="34" t="s">
        <v>143</v>
      </c>
    </row>
    <row r="117" spans="1:8" x14ac:dyDescent="0.2">
      <c r="A117" s="41"/>
      <c r="B117" s="41"/>
      <c r="C117" s="42" t="s">
        <v>142</v>
      </c>
      <c r="D117" s="41"/>
      <c r="E117" s="41" t="s">
        <v>143</v>
      </c>
      <c r="F117" s="47" t="s">
        <v>145</v>
      </c>
      <c r="G117" s="44">
        <v>0</v>
      </c>
      <c r="H117" s="34" t="s">
        <v>143</v>
      </c>
    </row>
    <row r="118" spans="1:8" x14ac:dyDescent="0.2">
      <c r="A118" s="41"/>
      <c r="B118" s="41"/>
      <c r="C118" s="45"/>
      <c r="D118" s="41"/>
      <c r="E118" s="41"/>
      <c r="F118" s="46"/>
      <c r="G118" s="46"/>
      <c r="H118" s="34" t="s">
        <v>143</v>
      </c>
    </row>
    <row r="119" spans="1:8" x14ac:dyDescent="0.2">
      <c r="A119" s="41"/>
      <c r="B119" s="41"/>
      <c r="C119" s="42" t="s">
        <v>159</v>
      </c>
      <c r="D119" s="41"/>
      <c r="E119" s="41"/>
      <c r="F119" s="46"/>
      <c r="G119" s="46"/>
      <c r="H119" s="34" t="s">
        <v>143</v>
      </c>
    </row>
    <row r="120" spans="1:8" x14ac:dyDescent="0.2">
      <c r="A120" s="41"/>
      <c r="B120" s="41"/>
      <c r="C120" s="42" t="s">
        <v>142</v>
      </c>
      <c r="D120" s="41"/>
      <c r="E120" s="41" t="s">
        <v>143</v>
      </c>
      <c r="F120" s="47" t="s">
        <v>145</v>
      </c>
      <c r="G120" s="44">
        <v>0</v>
      </c>
      <c r="H120" s="34" t="s">
        <v>143</v>
      </c>
    </row>
    <row r="121" spans="1:8" x14ac:dyDescent="0.2">
      <c r="A121" s="41"/>
      <c r="B121" s="41"/>
      <c r="C121" s="45"/>
      <c r="D121" s="41"/>
      <c r="E121" s="41"/>
      <c r="F121" s="46"/>
      <c r="G121" s="46"/>
      <c r="H121" s="34" t="s">
        <v>143</v>
      </c>
    </row>
    <row r="122" spans="1:8" x14ac:dyDescent="0.2">
      <c r="A122" s="41"/>
      <c r="B122" s="41"/>
      <c r="C122" s="42" t="s">
        <v>160</v>
      </c>
      <c r="D122" s="41"/>
      <c r="E122" s="41"/>
      <c r="F122" s="46"/>
      <c r="G122" s="46"/>
      <c r="H122" s="34" t="s">
        <v>143</v>
      </c>
    </row>
    <row r="123" spans="1:8" x14ac:dyDescent="0.2">
      <c r="A123" s="35">
        <v>1</v>
      </c>
      <c r="B123" s="36"/>
      <c r="C123" s="36" t="s">
        <v>161</v>
      </c>
      <c r="D123" s="36"/>
      <c r="E123" s="48"/>
      <c r="F123" s="38">
        <v>8420.6668930110009</v>
      </c>
      <c r="G123" s="39">
        <v>1.221705E-2</v>
      </c>
      <c r="H123" s="34">
        <v>5.47</v>
      </c>
    </row>
    <row r="124" spans="1:8" x14ac:dyDescent="0.2">
      <c r="A124" s="41"/>
      <c r="B124" s="41"/>
      <c r="C124" s="42" t="s">
        <v>142</v>
      </c>
      <c r="D124" s="41"/>
      <c r="E124" s="41" t="s">
        <v>143</v>
      </c>
      <c r="F124" s="43">
        <v>8420.6668930110009</v>
      </c>
      <c r="G124" s="44">
        <v>1.221705E-2</v>
      </c>
      <c r="H124" s="34" t="s">
        <v>143</v>
      </c>
    </row>
    <row r="125" spans="1:8" x14ac:dyDescent="0.2">
      <c r="A125" s="41"/>
      <c r="B125" s="41"/>
      <c r="C125" s="45"/>
      <c r="D125" s="41"/>
      <c r="E125" s="41"/>
      <c r="F125" s="46"/>
      <c r="G125" s="46"/>
      <c r="H125" s="34" t="s">
        <v>143</v>
      </c>
    </row>
    <row r="126" spans="1:8" x14ac:dyDescent="0.2">
      <c r="A126" s="41"/>
      <c r="B126" s="41"/>
      <c r="C126" s="42" t="s">
        <v>162</v>
      </c>
      <c r="D126" s="41"/>
      <c r="E126" s="41"/>
      <c r="F126" s="43">
        <v>8420.6668930110009</v>
      </c>
      <c r="G126" s="44">
        <v>1.221705E-2</v>
      </c>
      <c r="H126" s="34" t="s">
        <v>143</v>
      </c>
    </row>
    <row r="127" spans="1:8" x14ac:dyDescent="0.2">
      <c r="A127" s="41"/>
      <c r="B127" s="41"/>
      <c r="C127" s="46"/>
      <c r="D127" s="41"/>
      <c r="E127" s="41"/>
      <c r="F127" s="41"/>
      <c r="G127" s="41"/>
      <c r="H127" s="34" t="s">
        <v>143</v>
      </c>
    </row>
    <row r="128" spans="1:8" x14ac:dyDescent="0.2">
      <c r="A128" s="41"/>
      <c r="B128" s="41"/>
      <c r="C128" s="42" t="s">
        <v>163</v>
      </c>
      <c r="D128" s="41"/>
      <c r="E128" s="41"/>
      <c r="F128" s="41"/>
      <c r="G128" s="41"/>
      <c r="H128" s="34" t="s">
        <v>143</v>
      </c>
    </row>
    <row r="129" spans="1:10" x14ac:dyDescent="0.2">
      <c r="A129" s="41"/>
      <c r="B129" s="41"/>
      <c r="C129" s="42" t="s">
        <v>164</v>
      </c>
      <c r="D129" s="41"/>
      <c r="E129" s="41"/>
      <c r="F129" s="41"/>
      <c r="G129" s="41"/>
      <c r="H129" s="34" t="s">
        <v>143</v>
      </c>
    </row>
    <row r="130" spans="1:10" x14ac:dyDescent="0.2">
      <c r="A130" s="35">
        <v>1</v>
      </c>
      <c r="B130" s="36" t="s">
        <v>319</v>
      </c>
      <c r="C130" s="36" t="s">
        <v>320</v>
      </c>
      <c r="D130" s="36"/>
      <c r="E130" s="49">
        <v>257705.07</v>
      </c>
      <c r="F130" s="38">
        <v>6004.7992367340003</v>
      </c>
      <c r="G130" s="39">
        <v>8.7120099999999992E-3</v>
      </c>
      <c r="H130" s="34" t="s">
        <v>143</v>
      </c>
    </row>
    <row r="131" spans="1:10" x14ac:dyDescent="0.2">
      <c r="A131" s="41"/>
      <c r="B131" s="41"/>
      <c r="C131" s="42" t="s">
        <v>142</v>
      </c>
      <c r="D131" s="41"/>
      <c r="E131" s="41" t="s">
        <v>143</v>
      </c>
      <c r="F131" s="43">
        <v>6004.7992367340003</v>
      </c>
      <c r="G131" s="44">
        <v>8.7120099999999992E-3</v>
      </c>
      <c r="H131" s="34" t="s">
        <v>143</v>
      </c>
    </row>
    <row r="132" spans="1:10" x14ac:dyDescent="0.2">
      <c r="A132" s="41"/>
      <c r="B132" s="41"/>
      <c r="C132" s="45"/>
      <c r="D132" s="41"/>
      <c r="E132" s="41"/>
      <c r="F132" s="46"/>
      <c r="G132" s="46"/>
      <c r="H132" s="34" t="s">
        <v>143</v>
      </c>
    </row>
    <row r="133" spans="1:10" x14ac:dyDescent="0.2">
      <c r="A133" s="41"/>
      <c r="B133" s="41"/>
      <c r="C133" s="42" t="s">
        <v>165</v>
      </c>
      <c r="D133" s="41"/>
      <c r="E133" s="41"/>
      <c r="F133" s="41"/>
      <c r="G133" s="41"/>
      <c r="H133" s="34" t="s">
        <v>143</v>
      </c>
    </row>
    <row r="134" spans="1:10" x14ac:dyDescent="0.2">
      <c r="A134" s="41"/>
      <c r="B134" s="41"/>
      <c r="C134" s="42" t="s">
        <v>166</v>
      </c>
      <c r="D134" s="41"/>
      <c r="E134" s="41"/>
      <c r="F134" s="41"/>
      <c r="G134" s="41"/>
      <c r="H134" s="34" t="s">
        <v>143</v>
      </c>
    </row>
    <row r="135" spans="1:10" x14ac:dyDescent="0.2">
      <c r="A135" s="41"/>
      <c r="B135" s="41"/>
      <c r="C135" s="42" t="s">
        <v>142</v>
      </c>
      <c r="D135" s="41"/>
      <c r="E135" s="41" t="s">
        <v>143</v>
      </c>
      <c r="F135" s="47" t="s">
        <v>145</v>
      </c>
      <c r="G135" s="44">
        <v>0</v>
      </c>
      <c r="H135" s="34" t="s">
        <v>143</v>
      </c>
    </row>
    <row r="136" spans="1:10" x14ac:dyDescent="0.2">
      <c r="A136" s="41"/>
      <c r="B136" s="41"/>
      <c r="C136" s="45"/>
      <c r="D136" s="41"/>
      <c r="E136" s="41"/>
      <c r="F136" s="46"/>
      <c r="G136" s="46"/>
      <c r="H136" s="34" t="s">
        <v>143</v>
      </c>
    </row>
    <row r="137" spans="1:10" x14ac:dyDescent="0.2">
      <c r="A137" s="41"/>
      <c r="B137" s="41"/>
      <c r="C137" s="42" t="s">
        <v>167</v>
      </c>
      <c r="D137" s="41"/>
      <c r="E137" s="41"/>
      <c r="F137" s="46"/>
      <c r="G137" s="46"/>
      <c r="H137" s="34" t="s">
        <v>143</v>
      </c>
    </row>
    <row r="138" spans="1:10" x14ac:dyDescent="0.2">
      <c r="A138" s="41"/>
      <c r="B138" s="41"/>
      <c r="C138" s="42" t="s">
        <v>142</v>
      </c>
      <c r="D138" s="41"/>
      <c r="E138" s="41" t="s">
        <v>143</v>
      </c>
      <c r="F138" s="47" t="s">
        <v>145</v>
      </c>
      <c r="G138" s="44">
        <v>0</v>
      </c>
      <c r="H138" s="34" t="s">
        <v>143</v>
      </c>
    </row>
    <row r="139" spans="1:10" x14ac:dyDescent="0.2">
      <c r="A139" s="41"/>
      <c r="B139" s="41"/>
      <c r="C139" s="45"/>
      <c r="D139" s="41"/>
      <c r="E139" s="41"/>
      <c r="F139" s="46"/>
      <c r="G139" s="46"/>
      <c r="H139" s="34" t="s">
        <v>143</v>
      </c>
    </row>
    <row r="140" spans="1:10" x14ac:dyDescent="0.2">
      <c r="A140" s="48"/>
      <c r="B140" s="36"/>
      <c r="C140" s="36" t="s">
        <v>168</v>
      </c>
      <c r="D140" s="36"/>
      <c r="E140" s="48"/>
      <c r="F140" s="38">
        <v>3492.60775173</v>
      </c>
      <c r="G140" s="39">
        <v>5.0672199999999999E-3</v>
      </c>
      <c r="H140" s="34" t="s">
        <v>143</v>
      </c>
    </row>
    <row r="141" spans="1:10" x14ac:dyDescent="0.2">
      <c r="A141" s="45"/>
      <c r="B141" s="45"/>
      <c r="C141" s="42" t="s">
        <v>169</v>
      </c>
      <c r="D141" s="46"/>
      <c r="E141" s="46"/>
      <c r="F141" s="43">
        <v>689255.43488547497</v>
      </c>
      <c r="G141" s="51">
        <v>1.0000000499999999</v>
      </c>
      <c r="H141" s="34" t="s">
        <v>143</v>
      </c>
    </row>
    <row r="142" spans="1:10" x14ac:dyDescent="0.2">
      <c r="A142" s="52"/>
      <c r="B142" s="52"/>
      <c r="C142" s="52"/>
      <c r="D142" s="53"/>
      <c r="E142" s="53"/>
      <c r="F142" s="53"/>
      <c r="G142" s="53"/>
    </row>
    <row r="143" spans="1:10" x14ac:dyDescent="0.2">
      <c r="A143" s="54"/>
      <c r="B143" s="158" t="s">
        <v>852</v>
      </c>
      <c r="C143" s="158"/>
      <c r="D143" s="158"/>
      <c r="E143" s="158"/>
      <c r="F143" s="158"/>
      <c r="G143" s="158"/>
      <c r="H143" s="158"/>
      <c r="J143" s="56"/>
    </row>
    <row r="144" spans="1:10" x14ac:dyDescent="0.2">
      <c r="A144" s="54"/>
      <c r="B144" s="158" t="s">
        <v>853</v>
      </c>
      <c r="C144" s="158"/>
      <c r="D144" s="158"/>
      <c r="E144" s="158"/>
      <c r="F144" s="158"/>
      <c r="G144" s="158"/>
      <c r="H144" s="158"/>
      <c r="J144" s="56"/>
    </row>
    <row r="145" spans="1:17" x14ac:dyDescent="0.2">
      <c r="A145" s="54"/>
      <c r="B145" s="158" t="s">
        <v>854</v>
      </c>
      <c r="C145" s="158"/>
      <c r="D145" s="158"/>
      <c r="E145" s="158"/>
      <c r="F145" s="158"/>
      <c r="G145" s="158"/>
      <c r="H145" s="158"/>
      <c r="J145" s="56"/>
    </row>
    <row r="146" spans="1:17" s="58" customFormat="1" ht="57" customHeight="1" x14ac:dyDescent="0.25">
      <c r="A146" s="57"/>
      <c r="B146" s="159" t="s">
        <v>855</v>
      </c>
      <c r="C146" s="159"/>
      <c r="D146" s="159"/>
      <c r="E146" s="159"/>
      <c r="F146" s="159"/>
      <c r="G146" s="159"/>
      <c r="H146" s="159"/>
      <c r="I146"/>
      <c r="J146" s="56"/>
      <c r="K146"/>
      <c r="L146"/>
      <c r="M146"/>
      <c r="N146"/>
      <c r="O146"/>
      <c r="P146"/>
      <c r="Q146"/>
    </row>
    <row r="147" spans="1:17" x14ac:dyDescent="0.2">
      <c r="A147" s="54"/>
      <c r="B147" s="158" t="s">
        <v>856</v>
      </c>
      <c r="C147" s="158"/>
      <c r="D147" s="158"/>
      <c r="E147" s="158"/>
      <c r="F147" s="158"/>
      <c r="G147" s="158"/>
      <c r="H147" s="158"/>
      <c r="J147" s="56"/>
    </row>
    <row r="148" spans="1:17" x14ac:dyDescent="0.2">
      <c r="A148" s="54"/>
      <c r="B148" s="54"/>
      <c r="C148" s="54"/>
      <c r="D148" s="59"/>
      <c r="E148" s="59"/>
      <c r="F148" s="59"/>
      <c r="G148" s="59"/>
    </row>
    <row r="149" spans="1:17" x14ac:dyDescent="0.2">
      <c r="A149" s="54"/>
      <c r="B149" s="160" t="s">
        <v>170</v>
      </c>
      <c r="C149" s="161"/>
      <c r="D149" s="162"/>
      <c r="E149" s="60"/>
      <c r="F149" s="59"/>
      <c r="G149" s="59"/>
    </row>
    <row r="150" spans="1:17" ht="27.75" customHeight="1" x14ac:dyDescent="0.2">
      <c r="A150" s="54"/>
      <c r="B150" s="154" t="s">
        <v>171</v>
      </c>
      <c r="C150" s="155"/>
      <c r="D150" s="33" t="s">
        <v>172</v>
      </c>
      <c r="E150" s="60"/>
      <c r="F150" s="59"/>
      <c r="G150" s="59"/>
    </row>
    <row r="151" spans="1:17" ht="12.75" customHeight="1" x14ac:dyDescent="0.2">
      <c r="A151" s="54"/>
      <c r="B151" s="154" t="s">
        <v>857</v>
      </c>
      <c r="C151" s="155"/>
      <c r="D151" s="33" t="s">
        <v>172</v>
      </c>
      <c r="E151" s="60"/>
      <c r="F151" s="59"/>
      <c r="G151" s="59"/>
    </row>
    <row r="152" spans="1:17" x14ac:dyDescent="0.2">
      <c r="A152" s="54"/>
      <c r="B152" s="154" t="s">
        <v>173</v>
      </c>
      <c r="C152" s="155"/>
      <c r="D152" s="61" t="s">
        <v>143</v>
      </c>
      <c r="E152" s="60"/>
      <c r="F152" s="59"/>
      <c r="G152" s="59"/>
    </row>
    <row r="153" spans="1:17" x14ac:dyDescent="0.2">
      <c r="A153" s="62"/>
      <c r="B153" s="63" t="s">
        <v>143</v>
      </c>
      <c r="C153" s="63" t="s">
        <v>858</v>
      </c>
      <c r="D153" s="63" t="s">
        <v>174</v>
      </c>
      <c r="E153" s="62"/>
      <c r="F153" s="62"/>
      <c r="G153" s="62"/>
      <c r="H153" s="62"/>
      <c r="J153" s="56"/>
    </row>
    <row r="154" spans="1:17" x14ac:dyDescent="0.2">
      <c r="A154" s="62"/>
      <c r="B154" s="64" t="s">
        <v>175</v>
      </c>
      <c r="C154" s="65">
        <v>45808</v>
      </c>
      <c r="D154" s="65">
        <v>45838</v>
      </c>
      <c r="E154" s="62"/>
      <c r="F154" s="62"/>
      <c r="G154" s="62"/>
      <c r="J154" s="56"/>
    </row>
    <row r="155" spans="1:17" x14ac:dyDescent="0.2">
      <c r="A155" s="66"/>
      <c r="B155" s="36" t="s">
        <v>176</v>
      </c>
      <c r="C155" s="67">
        <v>92.856899999999996</v>
      </c>
      <c r="D155" s="67">
        <v>96.251400000000004</v>
      </c>
      <c r="E155" s="66"/>
      <c r="F155" s="68"/>
      <c r="G155" s="69"/>
    </row>
    <row r="156" spans="1:17" x14ac:dyDescent="0.2">
      <c r="A156" s="66"/>
      <c r="B156" s="36" t="s">
        <v>1086</v>
      </c>
      <c r="C156" s="67">
        <v>34.324399999999997</v>
      </c>
      <c r="D156" s="67">
        <v>35.579099999999997</v>
      </c>
      <c r="E156" s="66"/>
      <c r="F156" s="68"/>
      <c r="G156" s="69"/>
    </row>
    <row r="157" spans="1:17" x14ac:dyDescent="0.2">
      <c r="A157" s="66"/>
      <c r="B157" s="36" t="s">
        <v>177</v>
      </c>
      <c r="C157" s="67">
        <v>82.674000000000007</v>
      </c>
      <c r="D157" s="67">
        <v>85.623000000000005</v>
      </c>
      <c r="E157" s="66"/>
      <c r="F157" s="68"/>
      <c r="G157" s="69"/>
    </row>
    <row r="158" spans="1:17" x14ac:dyDescent="0.2">
      <c r="A158" s="66"/>
      <c r="B158" s="36" t="s">
        <v>1087</v>
      </c>
      <c r="C158" s="67">
        <v>29.913599999999999</v>
      </c>
      <c r="D158" s="67">
        <v>30.980599999999999</v>
      </c>
      <c r="E158" s="66"/>
      <c r="F158" s="68"/>
      <c r="G158" s="69"/>
    </row>
    <row r="159" spans="1:17" x14ac:dyDescent="0.2">
      <c r="A159" s="66"/>
      <c r="B159" s="66"/>
      <c r="C159" s="66"/>
      <c r="D159" s="66"/>
      <c r="E159" s="66"/>
      <c r="F159" s="66"/>
      <c r="G159" s="66"/>
    </row>
    <row r="160" spans="1:17" x14ac:dyDescent="0.2">
      <c r="A160" s="62"/>
      <c r="B160" s="154" t="s">
        <v>860</v>
      </c>
      <c r="C160" s="155"/>
      <c r="D160" s="33" t="s">
        <v>172</v>
      </c>
      <c r="E160" s="62"/>
      <c r="F160" s="62"/>
      <c r="G160" s="62"/>
    </row>
    <row r="161" spans="1:7" x14ac:dyDescent="0.2">
      <c r="A161" s="62"/>
      <c r="B161" s="55"/>
      <c r="C161" s="55"/>
      <c r="D161" s="62"/>
      <c r="E161" s="62"/>
      <c r="F161" s="62"/>
      <c r="G161" s="62"/>
    </row>
    <row r="162" spans="1:7" x14ac:dyDescent="0.2">
      <c r="A162" s="62"/>
      <c r="B162" s="154" t="s">
        <v>178</v>
      </c>
      <c r="C162" s="155"/>
      <c r="D162" s="33" t="s">
        <v>172</v>
      </c>
      <c r="E162" s="71"/>
      <c r="F162" s="62"/>
      <c r="G162" s="62"/>
    </row>
    <row r="163" spans="1:7" x14ac:dyDescent="0.2">
      <c r="A163" s="62"/>
      <c r="B163" s="154" t="s">
        <v>179</v>
      </c>
      <c r="C163" s="155"/>
      <c r="D163" s="33" t="s">
        <v>172</v>
      </c>
      <c r="E163" s="71"/>
      <c r="F163" s="62"/>
      <c r="G163" s="62"/>
    </row>
    <row r="164" spans="1:7" x14ac:dyDescent="0.2">
      <c r="A164" s="62"/>
      <c r="B164" s="154" t="s">
        <v>180</v>
      </c>
      <c r="C164" s="155"/>
      <c r="D164" s="33" t="s">
        <v>172</v>
      </c>
      <c r="E164" s="71"/>
      <c r="F164" s="62"/>
      <c r="G164" s="62"/>
    </row>
    <row r="165" spans="1:7" x14ac:dyDescent="0.2">
      <c r="A165" s="62"/>
      <c r="B165" s="154" t="s">
        <v>181</v>
      </c>
      <c r="C165" s="155"/>
      <c r="D165" s="72">
        <v>0.60673746114994431</v>
      </c>
      <c r="E165" s="62"/>
      <c r="F165" s="55"/>
      <c r="G165" s="73"/>
    </row>
    <row r="167" spans="1:7" x14ac:dyDescent="0.2">
      <c r="B167" s="156" t="s">
        <v>861</v>
      </c>
      <c r="C167" s="156"/>
    </row>
    <row r="182" spans="2:10" x14ac:dyDescent="0.2">
      <c r="B182" s="79" t="s">
        <v>862</v>
      </c>
      <c r="C182" s="80"/>
      <c r="D182" s="79"/>
    </row>
    <row r="183" spans="2:10" x14ac:dyDescent="0.2">
      <c r="B183" s="79" t="s">
        <v>868</v>
      </c>
      <c r="D183" s="79"/>
    </row>
    <row r="186" spans="2:10" x14ac:dyDescent="0.2">
      <c r="J186" s="31"/>
    </row>
  </sheetData>
  <mergeCells count="18">
    <mergeCell ref="A1:H1"/>
    <mergeCell ref="A2:H2"/>
    <mergeCell ref="A3:H3"/>
    <mergeCell ref="B143:H143"/>
    <mergeCell ref="B144:H144"/>
    <mergeCell ref="B145:H145"/>
    <mergeCell ref="B146:H146"/>
    <mergeCell ref="B147:H147"/>
    <mergeCell ref="B149:D149"/>
    <mergeCell ref="B150:C150"/>
    <mergeCell ref="B151:C151"/>
    <mergeCell ref="B152:C152"/>
    <mergeCell ref="B167:C167"/>
    <mergeCell ref="B160:C160"/>
    <mergeCell ref="B164:C164"/>
    <mergeCell ref="B165:C165"/>
    <mergeCell ref="B162:C162"/>
    <mergeCell ref="B163:C163"/>
  </mergeCells>
  <hyperlinks>
    <hyperlink ref="I1" location="Index!B2" display="Index" xr:uid="{55A2282A-980C-487D-8FE7-295A5727F8CA}"/>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FA914-8BC6-4766-AE10-AFEE7675867E}">
  <sheetPr>
    <outlinePr summaryBelow="0" summaryRight="0"/>
  </sheetPr>
  <dimension ref="A1:Q142"/>
  <sheetViews>
    <sheetView showGridLines="0" workbookViewId="0">
      <selection sqref="A1:H1"/>
    </sheetView>
  </sheetViews>
  <sheetFormatPr defaultRowHeight="12.75" x14ac:dyDescent="0.2"/>
  <cols>
    <col min="1" max="1" width="6.85546875" customWidth="1"/>
    <col min="2" max="2" width="20.5703125" customWidth="1"/>
    <col min="3" max="3" width="45.570312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363</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330</v>
      </c>
      <c r="C7" s="36" t="s">
        <v>331</v>
      </c>
      <c r="D7" s="36" t="s">
        <v>206</v>
      </c>
      <c r="E7" s="37">
        <v>2150</v>
      </c>
      <c r="F7" s="38">
        <v>192.29599999999999</v>
      </c>
      <c r="G7" s="39">
        <v>5.493601E-2</v>
      </c>
      <c r="H7" s="34" t="s">
        <v>143</v>
      </c>
    </row>
    <row r="8" spans="1:9" x14ac:dyDescent="0.2">
      <c r="A8" s="35">
        <v>2</v>
      </c>
      <c r="B8" s="36" t="s">
        <v>340</v>
      </c>
      <c r="C8" s="36" t="s">
        <v>341</v>
      </c>
      <c r="D8" s="36" t="s">
        <v>265</v>
      </c>
      <c r="E8" s="37">
        <v>9566</v>
      </c>
      <c r="F8" s="38">
        <v>191.15737799999999</v>
      </c>
      <c r="G8" s="39">
        <v>5.4610720000000001E-2</v>
      </c>
      <c r="H8" s="34" t="s">
        <v>143</v>
      </c>
    </row>
    <row r="9" spans="1:9" x14ac:dyDescent="0.2">
      <c r="A9" s="35">
        <v>3</v>
      </c>
      <c r="B9" s="36" t="s">
        <v>364</v>
      </c>
      <c r="C9" s="36" t="s">
        <v>365</v>
      </c>
      <c r="D9" s="36" t="s">
        <v>195</v>
      </c>
      <c r="E9" s="37">
        <v>31964</v>
      </c>
      <c r="F9" s="38">
        <v>190.521422</v>
      </c>
      <c r="G9" s="39">
        <v>5.4429039999999998E-2</v>
      </c>
      <c r="H9" s="34" t="s">
        <v>143</v>
      </c>
    </row>
    <row r="10" spans="1:9" x14ac:dyDescent="0.2">
      <c r="A10" s="35">
        <v>4</v>
      </c>
      <c r="B10" s="36" t="s">
        <v>78</v>
      </c>
      <c r="C10" s="36" t="s">
        <v>79</v>
      </c>
      <c r="D10" s="36" t="s">
        <v>73</v>
      </c>
      <c r="E10" s="37">
        <v>18540</v>
      </c>
      <c r="F10" s="38">
        <v>151.66647</v>
      </c>
      <c r="G10" s="39">
        <v>4.3328779999999997E-2</v>
      </c>
      <c r="H10" s="34" t="s">
        <v>143</v>
      </c>
    </row>
    <row r="11" spans="1:9" x14ac:dyDescent="0.2">
      <c r="A11" s="35">
        <v>5</v>
      </c>
      <c r="B11" s="36" t="s">
        <v>366</v>
      </c>
      <c r="C11" s="36" t="s">
        <v>367</v>
      </c>
      <c r="D11" s="36" t="s">
        <v>221</v>
      </c>
      <c r="E11" s="37">
        <v>44850</v>
      </c>
      <c r="F11" s="38">
        <v>147.46680000000001</v>
      </c>
      <c r="G11" s="39">
        <v>4.2128989999999998E-2</v>
      </c>
      <c r="H11" s="34" t="s">
        <v>143</v>
      </c>
    </row>
    <row r="12" spans="1:9" x14ac:dyDescent="0.2">
      <c r="A12" s="35">
        <v>6</v>
      </c>
      <c r="B12" s="36" t="s">
        <v>368</v>
      </c>
      <c r="C12" s="36" t="s">
        <v>369</v>
      </c>
      <c r="D12" s="36" t="s">
        <v>55</v>
      </c>
      <c r="E12" s="37">
        <v>6144</v>
      </c>
      <c r="F12" s="38">
        <v>132.58752000000001</v>
      </c>
      <c r="G12" s="39">
        <v>3.7878210000000002E-2</v>
      </c>
      <c r="H12" s="34" t="s">
        <v>143</v>
      </c>
    </row>
    <row r="13" spans="1:9" x14ac:dyDescent="0.2">
      <c r="A13" s="35">
        <v>7</v>
      </c>
      <c r="B13" s="36" t="s">
        <v>370</v>
      </c>
      <c r="C13" s="36" t="s">
        <v>371</v>
      </c>
      <c r="D13" s="36" t="s">
        <v>33</v>
      </c>
      <c r="E13" s="37">
        <v>268914</v>
      </c>
      <c r="F13" s="38">
        <v>131.84853419999999</v>
      </c>
      <c r="G13" s="39">
        <v>3.7667100000000002E-2</v>
      </c>
      <c r="H13" s="34" t="s">
        <v>143</v>
      </c>
    </row>
    <row r="14" spans="1:9" x14ac:dyDescent="0.2">
      <c r="A14" s="35">
        <v>8</v>
      </c>
      <c r="B14" s="36" t="s">
        <v>372</v>
      </c>
      <c r="C14" s="36" t="s">
        <v>373</v>
      </c>
      <c r="D14" s="36" t="s">
        <v>33</v>
      </c>
      <c r="E14" s="37">
        <v>33313</v>
      </c>
      <c r="F14" s="38">
        <v>131.35315900000001</v>
      </c>
      <c r="G14" s="39">
        <v>3.7525580000000003E-2</v>
      </c>
      <c r="H14" s="34" t="s">
        <v>143</v>
      </c>
    </row>
    <row r="15" spans="1:9" x14ac:dyDescent="0.2">
      <c r="A15" s="35">
        <v>9</v>
      </c>
      <c r="B15" s="36" t="s">
        <v>229</v>
      </c>
      <c r="C15" s="36" t="s">
        <v>230</v>
      </c>
      <c r="D15" s="36" t="s">
        <v>192</v>
      </c>
      <c r="E15" s="37">
        <v>1151</v>
      </c>
      <c r="F15" s="38">
        <v>126.09205</v>
      </c>
      <c r="G15" s="39">
        <v>3.6022560000000002E-2</v>
      </c>
      <c r="H15" s="34" t="s">
        <v>143</v>
      </c>
    </row>
    <row r="16" spans="1:9" x14ac:dyDescent="0.2">
      <c r="A16" s="35">
        <v>10</v>
      </c>
      <c r="B16" s="36" t="s">
        <v>374</v>
      </c>
      <c r="C16" s="36" t="s">
        <v>375</v>
      </c>
      <c r="D16" s="36" t="s">
        <v>55</v>
      </c>
      <c r="E16" s="37">
        <v>43192</v>
      </c>
      <c r="F16" s="38">
        <v>116.10009599999999</v>
      </c>
      <c r="G16" s="39">
        <v>3.3168009999999998E-2</v>
      </c>
      <c r="H16" s="34" t="s">
        <v>143</v>
      </c>
    </row>
    <row r="17" spans="1:8" x14ac:dyDescent="0.2">
      <c r="A17" s="35">
        <v>11</v>
      </c>
      <c r="B17" s="36" t="s">
        <v>105</v>
      </c>
      <c r="C17" s="36" t="s">
        <v>106</v>
      </c>
      <c r="D17" s="36" t="s">
        <v>73</v>
      </c>
      <c r="E17" s="37">
        <v>3019</v>
      </c>
      <c r="F17" s="38">
        <v>114.498594</v>
      </c>
      <c r="G17" s="39">
        <v>3.2710490000000002E-2</v>
      </c>
      <c r="H17" s="34" t="s">
        <v>143</v>
      </c>
    </row>
    <row r="18" spans="1:8" x14ac:dyDescent="0.2">
      <c r="A18" s="35">
        <v>12</v>
      </c>
      <c r="B18" s="36" t="s">
        <v>376</v>
      </c>
      <c r="C18" s="36" t="s">
        <v>377</v>
      </c>
      <c r="D18" s="36" t="s">
        <v>206</v>
      </c>
      <c r="E18" s="37">
        <v>3672</v>
      </c>
      <c r="F18" s="38">
        <v>107.325216</v>
      </c>
      <c r="G18" s="39">
        <v>3.066116E-2</v>
      </c>
      <c r="H18" s="34" t="s">
        <v>143</v>
      </c>
    </row>
    <row r="19" spans="1:8" ht="25.5" x14ac:dyDescent="0.2">
      <c r="A19" s="35">
        <v>13</v>
      </c>
      <c r="B19" s="36" t="s">
        <v>48</v>
      </c>
      <c r="C19" s="36" t="s">
        <v>49</v>
      </c>
      <c r="D19" s="36" t="s">
        <v>25</v>
      </c>
      <c r="E19" s="37">
        <v>1736</v>
      </c>
      <c r="F19" s="38">
        <v>106.764</v>
      </c>
      <c r="G19" s="39">
        <v>3.050083E-2</v>
      </c>
      <c r="H19" s="34" t="s">
        <v>143</v>
      </c>
    </row>
    <row r="20" spans="1:8" ht="25.5" x14ac:dyDescent="0.2">
      <c r="A20" s="35">
        <v>14</v>
      </c>
      <c r="B20" s="36" t="s">
        <v>378</v>
      </c>
      <c r="C20" s="36" t="s">
        <v>379</v>
      </c>
      <c r="D20" s="36" t="s">
        <v>201</v>
      </c>
      <c r="E20" s="37">
        <v>1748</v>
      </c>
      <c r="F20" s="38">
        <v>102.79114</v>
      </c>
      <c r="G20" s="39">
        <v>2.9365849999999999E-2</v>
      </c>
      <c r="H20" s="34" t="s">
        <v>143</v>
      </c>
    </row>
    <row r="21" spans="1:8" x14ac:dyDescent="0.2">
      <c r="A21" s="35">
        <v>15</v>
      </c>
      <c r="B21" s="36" t="s">
        <v>380</v>
      </c>
      <c r="C21" s="36" t="s">
        <v>381</v>
      </c>
      <c r="D21" s="36" t="s">
        <v>33</v>
      </c>
      <c r="E21" s="37">
        <v>149355</v>
      </c>
      <c r="F21" s="38">
        <v>100.2321405</v>
      </c>
      <c r="G21" s="39">
        <v>2.8634779999999999E-2</v>
      </c>
      <c r="H21" s="34" t="s">
        <v>143</v>
      </c>
    </row>
    <row r="22" spans="1:8" ht="25.5" x14ac:dyDescent="0.2">
      <c r="A22" s="35">
        <v>16</v>
      </c>
      <c r="B22" s="36" t="s">
        <v>382</v>
      </c>
      <c r="C22" s="36" t="s">
        <v>383</v>
      </c>
      <c r="D22" s="36" t="s">
        <v>270</v>
      </c>
      <c r="E22" s="37">
        <v>1908</v>
      </c>
      <c r="F22" s="38">
        <v>91.967507999999995</v>
      </c>
      <c r="G22" s="39">
        <v>2.6273700000000001E-2</v>
      </c>
      <c r="H22" s="34" t="s">
        <v>143</v>
      </c>
    </row>
    <row r="23" spans="1:8" ht="25.5" x14ac:dyDescent="0.2">
      <c r="A23" s="35">
        <v>17</v>
      </c>
      <c r="B23" s="36" t="s">
        <v>384</v>
      </c>
      <c r="C23" s="36" t="s">
        <v>385</v>
      </c>
      <c r="D23" s="36" t="s">
        <v>201</v>
      </c>
      <c r="E23" s="37">
        <v>5362</v>
      </c>
      <c r="F23" s="38">
        <v>90.044066000000001</v>
      </c>
      <c r="G23" s="39">
        <v>2.5724199999999999E-2</v>
      </c>
      <c r="H23" s="34" t="s">
        <v>143</v>
      </c>
    </row>
    <row r="24" spans="1:8" x14ac:dyDescent="0.2">
      <c r="A24" s="35">
        <v>18</v>
      </c>
      <c r="B24" s="36" t="s">
        <v>386</v>
      </c>
      <c r="C24" s="36" t="s">
        <v>387</v>
      </c>
      <c r="D24" s="36" t="s">
        <v>192</v>
      </c>
      <c r="E24" s="37">
        <v>3675</v>
      </c>
      <c r="F24" s="38">
        <v>79.600499999999997</v>
      </c>
      <c r="G24" s="39">
        <v>2.2740639999999999E-2</v>
      </c>
      <c r="H24" s="34" t="s">
        <v>143</v>
      </c>
    </row>
    <row r="25" spans="1:8" x14ac:dyDescent="0.2">
      <c r="A25" s="35">
        <v>19</v>
      </c>
      <c r="B25" s="36" t="s">
        <v>388</v>
      </c>
      <c r="C25" s="36" t="s">
        <v>389</v>
      </c>
      <c r="D25" s="36" t="s">
        <v>192</v>
      </c>
      <c r="E25" s="37">
        <v>9319</v>
      </c>
      <c r="F25" s="38">
        <v>73.890350999999995</v>
      </c>
      <c r="G25" s="39">
        <v>2.1109340000000001E-2</v>
      </c>
      <c r="H25" s="34" t="s">
        <v>143</v>
      </c>
    </row>
    <row r="26" spans="1:8" ht="25.5" x14ac:dyDescent="0.2">
      <c r="A26" s="35">
        <v>20</v>
      </c>
      <c r="B26" s="36" t="s">
        <v>390</v>
      </c>
      <c r="C26" s="36" t="s">
        <v>391</v>
      </c>
      <c r="D26" s="36" t="s">
        <v>392</v>
      </c>
      <c r="E26" s="37">
        <v>19755</v>
      </c>
      <c r="F26" s="38">
        <v>73.152765000000002</v>
      </c>
      <c r="G26" s="39">
        <v>2.089862E-2</v>
      </c>
      <c r="H26" s="34" t="s">
        <v>143</v>
      </c>
    </row>
    <row r="27" spans="1:8" ht="25.5" x14ac:dyDescent="0.2">
      <c r="A27" s="35">
        <v>21</v>
      </c>
      <c r="B27" s="36" t="s">
        <v>393</v>
      </c>
      <c r="C27" s="36" t="s">
        <v>394</v>
      </c>
      <c r="D27" s="36" t="s">
        <v>201</v>
      </c>
      <c r="E27" s="37">
        <v>9463</v>
      </c>
      <c r="F27" s="38">
        <v>68.592555500000003</v>
      </c>
      <c r="G27" s="39">
        <v>1.959584E-2</v>
      </c>
      <c r="H27" s="34" t="s">
        <v>143</v>
      </c>
    </row>
    <row r="28" spans="1:8" x14ac:dyDescent="0.2">
      <c r="A28" s="35">
        <v>22</v>
      </c>
      <c r="B28" s="36" t="s">
        <v>395</v>
      </c>
      <c r="C28" s="36" t="s">
        <v>396</v>
      </c>
      <c r="D28" s="36" t="s">
        <v>198</v>
      </c>
      <c r="E28" s="37">
        <v>14636</v>
      </c>
      <c r="F28" s="38">
        <v>66.959699999999998</v>
      </c>
      <c r="G28" s="39">
        <v>1.9129360000000002E-2</v>
      </c>
      <c r="H28" s="34" t="s">
        <v>143</v>
      </c>
    </row>
    <row r="29" spans="1:8" x14ac:dyDescent="0.2">
      <c r="A29" s="35">
        <v>23</v>
      </c>
      <c r="B29" s="36" t="s">
        <v>397</v>
      </c>
      <c r="C29" s="36" t="s">
        <v>398</v>
      </c>
      <c r="D29" s="36" t="s">
        <v>399</v>
      </c>
      <c r="E29" s="37">
        <v>6861</v>
      </c>
      <c r="F29" s="38">
        <v>66.558560999999997</v>
      </c>
      <c r="G29" s="39">
        <v>1.9014759999999999E-2</v>
      </c>
      <c r="H29" s="34" t="s">
        <v>143</v>
      </c>
    </row>
    <row r="30" spans="1:8" x14ac:dyDescent="0.2">
      <c r="A30" s="35">
        <v>24</v>
      </c>
      <c r="B30" s="36" t="s">
        <v>400</v>
      </c>
      <c r="C30" s="36" t="s">
        <v>401</v>
      </c>
      <c r="D30" s="36" t="s">
        <v>192</v>
      </c>
      <c r="E30" s="37">
        <v>5806</v>
      </c>
      <c r="F30" s="38">
        <v>64.411764000000005</v>
      </c>
      <c r="G30" s="39">
        <v>1.840145E-2</v>
      </c>
      <c r="H30" s="34" t="s">
        <v>143</v>
      </c>
    </row>
    <row r="31" spans="1:8" x14ac:dyDescent="0.2">
      <c r="A31" s="35">
        <v>25</v>
      </c>
      <c r="B31" s="36" t="s">
        <v>402</v>
      </c>
      <c r="C31" s="36" t="s">
        <v>403</v>
      </c>
      <c r="D31" s="36" t="s">
        <v>221</v>
      </c>
      <c r="E31" s="37">
        <v>8151</v>
      </c>
      <c r="F31" s="38">
        <v>60.733100999999998</v>
      </c>
      <c r="G31" s="39">
        <v>1.735051E-2</v>
      </c>
      <c r="H31" s="34" t="s">
        <v>143</v>
      </c>
    </row>
    <row r="32" spans="1:8" x14ac:dyDescent="0.2">
      <c r="A32" s="35">
        <v>26</v>
      </c>
      <c r="B32" s="36" t="s">
        <v>404</v>
      </c>
      <c r="C32" s="36" t="s">
        <v>405</v>
      </c>
      <c r="D32" s="36" t="s">
        <v>73</v>
      </c>
      <c r="E32" s="37">
        <v>12724</v>
      </c>
      <c r="F32" s="38">
        <v>60.566240000000001</v>
      </c>
      <c r="G32" s="39">
        <v>1.730284E-2</v>
      </c>
      <c r="H32" s="34" t="s">
        <v>143</v>
      </c>
    </row>
    <row r="33" spans="1:8" x14ac:dyDescent="0.2">
      <c r="A33" s="35">
        <v>27</v>
      </c>
      <c r="B33" s="36" t="s">
        <v>406</v>
      </c>
      <c r="C33" s="36" t="s">
        <v>407</v>
      </c>
      <c r="D33" s="36" t="s">
        <v>192</v>
      </c>
      <c r="E33" s="37">
        <v>4638</v>
      </c>
      <c r="F33" s="38">
        <v>56.105885999999998</v>
      </c>
      <c r="G33" s="39">
        <v>1.6028589999999999E-2</v>
      </c>
      <c r="H33" s="34" t="s">
        <v>143</v>
      </c>
    </row>
    <row r="34" spans="1:8" x14ac:dyDescent="0.2">
      <c r="A34" s="35">
        <v>28</v>
      </c>
      <c r="B34" s="36" t="s">
        <v>408</v>
      </c>
      <c r="C34" s="36" t="s">
        <v>409</v>
      </c>
      <c r="D34" s="36" t="s">
        <v>265</v>
      </c>
      <c r="E34" s="37">
        <v>11897</v>
      </c>
      <c r="F34" s="38">
        <v>54.696457500000001</v>
      </c>
      <c r="G34" s="39">
        <v>1.5625940000000001E-2</v>
      </c>
      <c r="H34" s="34" t="s">
        <v>143</v>
      </c>
    </row>
    <row r="35" spans="1:8" x14ac:dyDescent="0.2">
      <c r="A35" s="35">
        <v>29</v>
      </c>
      <c r="B35" s="36" t="s">
        <v>410</v>
      </c>
      <c r="C35" s="36" t="s">
        <v>411</v>
      </c>
      <c r="D35" s="36" t="s">
        <v>412</v>
      </c>
      <c r="E35" s="37">
        <v>3620</v>
      </c>
      <c r="F35" s="38">
        <v>54.115380000000002</v>
      </c>
      <c r="G35" s="39">
        <v>1.545993E-2</v>
      </c>
      <c r="H35" s="34" t="s">
        <v>143</v>
      </c>
    </row>
    <row r="36" spans="1:8" x14ac:dyDescent="0.2">
      <c r="A36" s="35">
        <v>30</v>
      </c>
      <c r="B36" s="36" t="s">
        <v>413</v>
      </c>
      <c r="C36" s="36" t="s">
        <v>414</v>
      </c>
      <c r="D36" s="36" t="s">
        <v>198</v>
      </c>
      <c r="E36" s="37">
        <v>11397</v>
      </c>
      <c r="F36" s="38">
        <v>49.405994999999997</v>
      </c>
      <c r="G36" s="39">
        <v>1.411453E-2</v>
      </c>
      <c r="H36" s="34" t="s">
        <v>143</v>
      </c>
    </row>
    <row r="37" spans="1:8" x14ac:dyDescent="0.2">
      <c r="A37" s="35">
        <v>31</v>
      </c>
      <c r="B37" s="36" t="s">
        <v>59</v>
      </c>
      <c r="C37" s="36" t="s">
        <v>60</v>
      </c>
      <c r="D37" s="36" t="s">
        <v>61</v>
      </c>
      <c r="E37" s="37">
        <v>4383</v>
      </c>
      <c r="F37" s="38">
        <v>48.642533999999998</v>
      </c>
      <c r="G37" s="39">
        <v>1.389642E-2</v>
      </c>
      <c r="H37" s="34" t="s">
        <v>143</v>
      </c>
    </row>
    <row r="38" spans="1:8" x14ac:dyDescent="0.2">
      <c r="A38" s="35">
        <v>32</v>
      </c>
      <c r="B38" s="36" t="s">
        <v>415</v>
      </c>
      <c r="C38" s="36" t="s">
        <v>416</v>
      </c>
      <c r="D38" s="36" t="s">
        <v>136</v>
      </c>
      <c r="E38" s="37">
        <v>27808</v>
      </c>
      <c r="F38" s="38">
        <v>44.426060800000002</v>
      </c>
      <c r="G38" s="39">
        <v>1.2691839999999999E-2</v>
      </c>
      <c r="H38" s="34" t="s">
        <v>143</v>
      </c>
    </row>
    <row r="39" spans="1:8" x14ac:dyDescent="0.2">
      <c r="A39" s="35">
        <v>33</v>
      </c>
      <c r="B39" s="36" t="s">
        <v>417</v>
      </c>
      <c r="C39" s="36" t="s">
        <v>418</v>
      </c>
      <c r="D39" s="36" t="s">
        <v>55</v>
      </c>
      <c r="E39" s="37">
        <v>5239</v>
      </c>
      <c r="F39" s="38">
        <v>39.816400000000002</v>
      </c>
      <c r="G39" s="39">
        <v>1.137493E-2</v>
      </c>
      <c r="H39" s="34" t="s">
        <v>143</v>
      </c>
    </row>
    <row r="40" spans="1:8" x14ac:dyDescent="0.2">
      <c r="A40" s="35">
        <v>34</v>
      </c>
      <c r="B40" s="36" t="s">
        <v>137</v>
      </c>
      <c r="C40" s="36" t="s">
        <v>138</v>
      </c>
      <c r="D40" s="36" t="s">
        <v>73</v>
      </c>
      <c r="E40" s="37">
        <v>2184</v>
      </c>
      <c r="F40" s="38">
        <v>37.765728000000003</v>
      </c>
      <c r="G40" s="39">
        <v>1.0789089999999999E-2</v>
      </c>
      <c r="H40" s="34" t="s">
        <v>143</v>
      </c>
    </row>
    <row r="41" spans="1:8" x14ac:dyDescent="0.2">
      <c r="A41" s="35">
        <v>35</v>
      </c>
      <c r="B41" s="36" t="s">
        <v>217</v>
      </c>
      <c r="C41" s="36" t="s">
        <v>218</v>
      </c>
      <c r="D41" s="36" t="s">
        <v>61</v>
      </c>
      <c r="E41" s="37">
        <v>2178</v>
      </c>
      <c r="F41" s="38">
        <v>34.013826000000002</v>
      </c>
      <c r="G41" s="39">
        <v>9.7172300000000003E-3</v>
      </c>
      <c r="H41" s="34" t="s">
        <v>143</v>
      </c>
    </row>
    <row r="42" spans="1:8" x14ac:dyDescent="0.2">
      <c r="A42" s="35">
        <v>36</v>
      </c>
      <c r="B42" s="36" t="s">
        <v>419</v>
      </c>
      <c r="C42" s="36" t="s">
        <v>420</v>
      </c>
      <c r="D42" s="36" t="s">
        <v>55</v>
      </c>
      <c r="E42" s="37">
        <v>4246</v>
      </c>
      <c r="F42" s="38">
        <v>30.985185000000001</v>
      </c>
      <c r="G42" s="39">
        <v>8.8519900000000006E-3</v>
      </c>
      <c r="H42" s="34" t="s">
        <v>143</v>
      </c>
    </row>
    <row r="43" spans="1:8" x14ac:dyDescent="0.2">
      <c r="A43" s="35">
        <v>37</v>
      </c>
      <c r="B43" s="36" t="s">
        <v>421</v>
      </c>
      <c r="C43" s="36" t="s">
        <v>422</v>
      </c>
      <c r="D43" s="36" t="s">
        <v>73</v>
      </c>
      <c r="E43" s="37">
        <v>2283</v>
      </c>
      <c r="F43" s="38">
        <v>22.041223500000001</v>
      </c>
      <c r="G43" s="39">
        <v>6.2968399999999997E-3</v>
      </c>
      <c r="H43" s="34" t="s">
        <v>143</v>
      </c>
    </row>
    <row r="44" spans="1:8" x14ac:dyDescent="0.2">
      <c r="A44" s="35">
        <v>38</v>
      </c>
      <c r="B44" s="36" t="s">
        <v>423</v>
      </c>
      <c r="C44" s="36" t="s">
        <v>424</v>
      </c>
      <c r="D44" s="36" t="s">
        <v>43</v>
      </c>
      <c r="E44" s="37">
        <v>4214</v>
      </c>
      <c r="F44" s="38">
        <v>16.183866999999999</v>
      </c>
      <c r="G44" s="39">
        <v>4.6234800000000001E-3</v>
      </c>
      <c r="H44" s="34" t="s">
        <v>143</v>
      </c>
    </row>
    <row r="45" spans="1:8" x14ac:dyDescent="0.2">
      <c r="A45" s="41"/>
      <c r="B45" s="41"/>
      <c r="C45" s="42" t="s">
        <v>142</v>
      </c>
      <c r="D45" s="41"/>
      <c r="E45" s="41" t="s">
        <v>143</v>
      </c>
      <c r="F45" s="43">
        <v>3327.376174</v>
      </c>
      <c r="G45" s="44">
        <v>0.95058018</v>
      </c>
      <c r="H45" s="34" t="s">
        <v>143</v>
      </c>
    </row>
    <row r="46" spans="1:8" x14ac:dyDescent="0.2">
      <c r="A46" s="41"/>
      <c r="B46" s="41"/>
      <c r="C46" s="45"/>
      <c r="D46" s="41"/>
      <c r="E46" s="41"/>
      <c r="F46" s="46"/>
      <c r="G46" s="46"/>
      <c r="H46" s="34" t="s">
        <v>143</v>
      </c>
    </row>
    <row r="47" spans="1:8" x14ac:dyDescent="0.2">
      <c r="A47" s="41"/>
      <c r="B47" s="41"/>
      <c r="C47" s="42" t="s">
        <v>144</v>
      </c>
      <c r="D47" s="41"/>
      <c r="E47" s="41"/>
      <c r="F47" s="41"/>
      <c r="G47" s="41"/>
      <c r="H47" s="34" t="s">
        <v>143</v>
      </c>
    </row>
    <row r="48" spans="1:8" x14ac:dyDescent="0.2">
      <c r="A48" s="41"/>
      <c r="B48" s="41"/>
      <c r="C48" s="42" t="s">
        <v>142</v>
      </c>
      <c r="D48" s="41"/>
      <c r="E48" s="41" t="s">
        <v>143</v>
      </c>
      <c r="F48" s="47" t="s">
        <v>145</v>
      </c>
      <c r="G48" s="44">
        <v>0</v>
      </c>
      <c r="H48" s="34" t="s">
        <v>143</v>
      </c>
    </row>
    <row r="49" spans="1:8" x14ac:dyDescent="0.2">
      <c r="A49" s="41"/>
      <c r="B49" s="41"/>
      <c r="C49" s="45"/>
      <c r="D49" s="41"/>
      <c r="E49" s="41"/>
      <c r="F49" s="46"/>
      <c r="G49" s="46"/>
      <c r="H49" s="34" t="s">
        <v>143</v>
      </c>
    </row>
    <row r="50" spans="1:8" x14ac:dyDescent="0.2">
      <c r="A50" s="41"/>
      <c r="B50" s="41"/>
      <c r="C50" s="42" t="s">
        <v>146</v>
      </c>
      <c r="D50" s="41"/>
      <c r="E50" s="41"/>
      <c r="F50" s="41"/>
      <c r="G50" s="41"/>
      <c r="H50" s="34" t="s">
        <v>143</v>
      </c>
    </row>
    <row r="51" spans="1:8" x14ac:dyDescent="0.2">
      <c r="A51" s="41"/>
      <c r="B51" s="41"/>
      <c r="C51" s="42" t="s">
        <v>142</v>
      </c>
      <c r="D51" s="41"/>
      <c r="E51" s="41" t="s">
        <v>143</v>
      </c>
      <c r="F51" s="47" t="s">
        <v>145</v>
      </c>
      <c r="G51" s="44">
        <v>0</v>
      </c>
      <c r="H51" s="34" t="s">
        <v>143</v>
      </c>
    </row>
    <row r="52" spans="1:8" x14ac:dyDescent="0.2">
      <c r="A52" s="41"/>
      <c r="B52" s="41"/>
      <c r="C52" s="45"/>
      <c r="D52" s="41"/>
      <c r="E52" s="41"/>
      <c r="F52" s="46"/>
      <c r="G52" s="46"/>
      <c r="H52" s="34" t="s">
        <v>143</v>
      </c>
    </row>
    <row r="53" spans="1:8" x14ac:dyDescent="0.2">
      <c r="A53" s="41"/>
      <c r="B53" s="41"/>
      <c r="C53" s="42" t="s">
        <v>147</v>
      </c>
      <c r="D53" s="41"/>
      <c r="E53" s="41"/>
      <c r="F53" s="41"/>
      <c r="G53" s="41"/>
      <c r="H53" s="34" t="s">
        <v>143</v>
      </c>
    </row>
    <row r="54" spans="1:8" x14ac:dyDescent="0.2">
      <c r="A54" s="41"/>
      <c r="B54" s="41"/>
      <c r="C54" s="42" t="s">
        <v>142</v>
      </c>
      <c r="D54" s="41"/>
      <c r="E54" s="41" t="s">
        <v>143</v>
      </c>
      <c r="F54" s="47" t="s">
        <v>145</v>
      </c>
      <c r="G54" s="44">
        <v>0</v>
      </c>
      <c r="H54" s="34" t="s">
        <v>143</v>
      </c>
    </row>
    <row r="55" spans="1:8" x14ac:dyDescent="0.2">
      <c r="A55" s="41"/>
      <c r="B55" s="41"/>
      <c r="C55" s="45"/>
      <c r="D55" s="41"/>
      <c r="E55" s="41"/>
      <c r="F55" s="46"/>
      <c r="G55" s="46"/>
      <c r="H55" s="34" t="s">
        <v>143</v>
      </c>
    </row>
    <row r="56" spans="1:8" x14ac:dyDescent="0.2">
      <c r="A56" s="41"/>
      <c r="B56" s="41"/>
      <c r="C56" s="42" t="s">
        <v>148</v>
      </c>
      <c r="D56" s="41"/>
      <c r="E56" s="41"/>
      <c r="F56" s="46"/>
      <c r="G56" s="46"/>
      <c r="H56" s="34" t="s">
        <v>143</v>
      </c>
    </row>
    <row r="57" spans="1:8" x14ac:dyDescent="0.2">
      <c r="A57" s="41"/>
      <c r="B57" s="41"/>
      <c r="C57" s="42" t="s">
        <v>142</v>
      </c>
      <c r="D57" s="41"/>
      <c r="E57" s="41" t="s">
        <v>143</v>
      </c>
      <c r="F57" s="47" t="s">
        <v>145</v>
      </c>
      <c r="G57" s="44">
        <v>0</v>
      </c>
      <c r="H57" s="34" t="s">
        <v>143</v>
      </c>
    </row>
    <row r="58" spans="1:8" x14ac:dyDescent="0.2">
      <c r="A58" s="41"/>
      <c r="B58" s="41"/>
      <c r="C58" s="45"/>
      <c r="D58" s="41"/>
      <c r="E58" s="41"/>
      <c r="F58" s="46"/>
      <c r="G58" s="46"/>
      <c r="H58" s="34" t="s">
        <v>143</v>
      </c>
    </row>
    <row r="59" spans="1:8" x14ac:dyDescent="0.2">
      <c r="A59" s="41"/>
      <c r="B59" s="41"/>
      <c r="C59" s="42" t="s">
        <v>149</v>
      </c>
      <c r="D59" s="41"/>
      <c r="E59" s="41"/>
      <c r="F59" s="46"/>
      <c r="G59" s="46"/>
      <c r="H59" s="34" t="s">
        <v>143</v>
      </c>
    </row>
    <row r="60" spans="1:8" x14ac:dyDescent="0.2">
      <c r="A60" s="41"/>
      <c r="B60" s="41"/>
      <c r="C60" s="42" t="s">
        <v>142</v>
      </c>
      <c r="D60" s="41"/>
      <c r="E60" s="41" t="s">
        <v>143</v>
      </c>
      <c r="F60" s="47" t="s">
        <v>145</v>
      </c>
      <c r="G60" s="44">
        <v>0</v>
      </c>
      <c r="H60" s="34" t="s">
        <v>143</v>
      </c>
    </row>
    <row r="61" spans="1:8" x14ac:dyDescent="0.2">
      <c r="A61" s="41"/>
      <c r="B61" s="41"/>
      <c r="C61" s="45"/>
      <c r="D61" s="41"/>
      <c r="E61" s="41"/>
      <c r="F61" s="46"/>
      <c r="G61" s="46"/>
      <c r="H61" s="34" t="s">
        <v>143</v>
      </c>
    </row>
    <row r="62" spans="1:8" x14ac:dyDescent="0.2">
      <c r="A62" s="41"/>
      <c r="B62" s="41"/>
      <c r="C62" s="42" t="s">
        <v>150</v>
      </c>
      <c r="D62" s="41"/>
      <c r="E62" s="41"/>
      <c r="F62" s="43">
        <v>3327.376174</v>
      </c>
      <c r="G62" s="44">
        <v>0.95058018</v>
      </c>
      <c r="H62" s="34" t="s">
        <v>143</v>
      </c>
    </row>
    <row r="63" spans="1:8" x14ac:dyDescent="0.2">
      <c r="A63" s="41"/>
      <c r="B63" s="41"/>
      <c r="C63" s="45"/>
      <c r="D63" s="41"/>
      <c r="E63" s="41"/>
      <c r="F63" s="46"/>
      <c r="G63" s="46"/>
      <c r="H63" s="34" t="s">
        <v>143</v>
      </c>
    </row>
    <row r="64" spans="1:8" x14ac:dyDescent="0.2">
      <c r="A64" s="41"/>
      <c r="B64" s="41"/>
      <c r="C64" s="42" t="s">
        <v>151</v>
      </c>
      <c r="D64" s="41"/>
      <c r="E64" s="41"/>
      <c r="F64" s="46"/>
      <c r="G64" s="46"/>
      <c r="H64" s="34" t="s">
        <v>143</v>
      </c>
    </row>
    <row r="65" spans="1:8" x14ac:dyDescent="0.2">
      <c r="A65" s="41"/>
      <c r="B65" s="41"/>
      <c r="C65" s="42" t="s">
        <v>10</v>
      </c>
      <c r="D65" s="41"/>
      <c r="E65" s="41"/>
      <c r="F65" s="46"/>
      <c r="G65" s="46"/>
      <c r="H65" s="34" t="s">
        <v>143</v>
      </c>
    </row>
    <row r="66" spans="1:8" x14ac:dyDescent="0.2">
      <c r="A66" s="41"/>
      <c r="B66" s="41"/>
      <c r="C66" s="42" t="s">
        <v>142</v>
      </c>
      <c r="D66" s="41"/>
      <c r="E66" s="41" t="s">
        <v>143</v>
      </c>
      <c r="F66" s="47" t="s">
        <v>145</v>
      </c>
      <c r="G66" s="44">
        <v>0</v>
      </c>
      <c r="H66" s="34" t="s">
        <v>143</v>
      </c>
    </row>
    <row r="67" spans="1:8" x14ac:dyDescent="0.2">
      <c r="A67" s="41"/>
      <c r="B67" s="41"/>
      <c r="C67" s="45"/>
      <c r="D67" s="41"/>
      <c r="E67" s="41"/>
      <c r="F67" s="46"/>
      <c r="G67" s="46"/>
      <c r="H67" s="34" t="s">
        <v>143</v>
      </c>
    </row>
    <row r="68" spans="1:8" x14ac:dyDescent="0.2">
      <c r="A68" s="41"/>
      <c r="B68" s="41"/>
      <c r="C68" s="42" t="s">
        <v>152</v>
      </c>
      <c r="D68" s="41"/>
      <c r="E68" s="41"/>
      <c r="F68" s="41"/>
      <c r="G68" s="41"/>
      <c r="H68" s="34" t="s">
        <v>143</v>
      </c>
    </row>
    <row r="69" spans="1:8" x14ac:dyDescent="0.2">
      <c r="A69" s="41"/>
      <c r="B69" s="41"/>
      <c r="C69" s="42" t="s">
        <v>142</v>
      </c>
      <c r="D69" s="41"/>
      <c r="E69" s="41" t="s">
        <v>143</v>
      </c>
      <c r="F69" s="47" t="s">
        <v>145</v>
      </c>
      <c r="G69" s="44">
        <v>0</v>
      </c>
      <c r="H69" s="34" t="s">
        <v>143</v>
      </c>
    </row>
    <row r="70" spans="1:8" x14ac:dyDescent="0.2">
      <c r="A70" s="41"/>
      <c r="B70" s="41"/>
      <c r="C70" s="45"/>
      <c r="D70" s="41"/>
      <c r="E70" s="41"/>
      <c r="F70" s="46"/>
      <c r="G70" s="46"/>
      <c r="H70" s="34" t="s">
        <v>143</v>
      </c>
    </row>
    <row r="71" spans="1:8" x14ac:dyDescent="0.2">
      <c r="A71" s="41"/>
      <c r="B71" s="41"/>
      <c r="C71" s="42" t="s">
        <v>153</v>
      </c>
      <c r="D71" s="41"/>
      <c r="E71" s="41"/>
      <c r="F71" s="41"/>
      <c r="G71" s="41"/>
      <c r="H71" s="34" t="s">
        <v>143</v>
      </c>
    </row>
    <row r="72" spans="1:8" x14ac:dyDescent="0.2">
      <c r="A72" s="41"/>
      <c r="B72" s="41"/>
      <c r="C72" s="42" t="s">
        <v>142</v>
      </c>
      <c r="D72" s="41"/>
      <c r="E72" s="41" t="s">
        <v>143</v>
      </c>
      <c r="F72" s="47" t="s">
        <v>145</v>
      </c>
      <c r="G72" s="44">
        <v>0</v>
      </c>
      <c r="H72" s="34" t="s">
        <v>143</v>
      </c>
    </row>
    <row r="73" spans="1:8" x14ac:dyDescent="0.2">
      <c r="A73" s="41"/>
      <c r="B73" s="41"/>
      <c r="C73" s="45"/>
      <c r="D73" s="41"/>
      <c r="E73" s="41"/>
      <c r="F73" s="46"/>
      <c r="G73" s="46"/>
      <c r="H73" s="34" t="s">
        <v>143</v>
      </c>
    </row>
    <row r="74" spans="1:8" x14ac:dyDescent="0.2">
      <c r="A74" s="41"/>
      <c r="B74" s="41"/>
      <c r="C74" s="42" t="s">
        <v>154</v>
      </c>
      <c r="D74" s="41"/>
      <c r="E74" s="41"/>
      <c r="F74" s="46"/>
      <c r="G74" s="46"/>
      <c r="H74" s="34" t="s">
        <v>143</v>
      </c>
    </row>
    <row r="75" spans="1:8" x14ac:dyDescent="0.2">
      <c r="A75" s="41"/>
      <c r="B75" s="41"/>
      <c r="C75" s="42" t="s">
        <v>142</v>
      </c>
      <c r="D75" s="41"/>
      <c r="E75" s="41" t="s">
        <v>143</v>
      </c>
      <c r="F75" s="47" t="s">
        <v>145</v>
      </c>
      <c r="G75" s="44">
        <v>0</v>
      </c>
      <c r="H75" s="34" t="s">
        <v>143</v>
      </c>
    </row>
    <row r="76" spans="1:8" x14ac:dyDescent="0.2">
      <c r="A76" s="41"/>
      <c r="B76" s="41"/>
      <c r="C76" s="45"/>
      <c r="D76" s="41"/>
      <c r="E76" s="41"/>
      <c r="F76" s="46"/>
      <c r="G76" s="46"/>
      <c r="H76" s="34" t="s">
        <v>143</v>
      </c>
    </row>
    <row r="77" spans="1:8" x14ac:dyDescent="0.2">
      <c r="A77" s="41"/>
      <c r="B77" s="41"/>
      <c r="C77" s="42" t="s">
        <v>155</v>
      </c>
      <c r="D77" s="41"/>
      <c r="E77" s="41"/>
      <c r="F77" s="43">
        <v>0</v>
      </c>
      <c r="G77" s="44">
        <v>0</v>
      </c>
      <c r="H77" s="34" t="s">
        <v>143</v>
      </c>
    </row>
    <row r="78" spans="1:8" x14ac:dyDescent="0.2">
      <c r="A78" s="41"/>
      <c r="B78" s="41"/>
      <c r="C78" s="45"/>
      <c r="D78" s="41"/>
      <c r="E78" s="41"/>
      <c r="F78" s="46"/>
      <c r="G78" s="46"/>
      <c r="H78" s="34" t="s">
        <v>143</v>
      </c>
    </row>
    <row r="79" spans="1:8" x14ac:dyDescent="0.2">
      <c r="A79" s="41"/>
      <c r="B79" s="41"/>
      <c r="C79" s="42" t="s">
        <v>156</v>
      </c>
      <c r="D79" s="41"/>
      <c r="E79" s="41"/>
      <c r="F79" s="46"/>
      <c r="G79" s="46"/>
      <c r="H79" s="34" t="s">
        <v>143</v>
      </c>
    </row>
    <row r="80" spans="1:8" x14ac:dyDescent="0.2">
      <c r="A80" s="41"/>
      <c r="B80" s="41"/>
      <c r="C80" s="42" t="s">
        <v>157</v>
      </c>
      <c r="D80" s="41"/>
      <c r="E80" s="41"/>
      <c r="F80" s="46"/>
      <c r="G80" s="46"/>
      <c r="H80" s="34" t="s">
        <v>143</v>
      </c>
    </row>
    <row r="81" spans="1:8" x14ac:dyDescent="0.2">
      <c r="A81" s="41"/>
      <c r="B81" s="41"/>
      <c r="C81" s="42" t="s">
        <v>142</v>
      </c>
      <c r="D81" s="41"/>
      <c r="E81" s="41" t="s">
        <v>143</v>
      </c>
      <c r="F81" s="47" t="s">
        <v>145</v>
      </c>
      <c r="G81" s="44">
        <v>0</v>
      </c>
      <c r="H81" s="34" t="s">
        <v>143</v>
      </c>
    </row>
    <row r="82" spans="1:8" x14ac:dyDescent="0.2">
      <c r="A82" s="41"/>
      <c r="B82" s="41"/>
      <c r="C82" s="45"/>
      <c r="D82" s="41"/>
      <c r="E82" s="41"/>
      <c r="F82" s="46"/>
      <c r="G82" s="46"/>
      <c r="H82" s="34" t="s">
        <v>143</v>
      </c>
    </row>
    <row r="83" spans="1:8" x14ac:dyDescent="0.2">
      <c r="A83" s="41"/>
      <c r="B83" s="41"/>
      <c r="C83" s="42" t="s">
        <v>158</v>
      </c>
      <c r="D83" s="41"/>
      <c r="E83" s="41"/>
      <c r="F83" s="46"/>
      <c r="G83" s="46"/>
      <c r="H83" s="34" t="s">
        <v>143</v>
      </c>
    </row>
    <row r="84" spans="1:8" x14ac:dyDescent="0.2">
      <c r="A84" s="41"/>
      <c r="B84" s="41"/>
      <c r="C84" s="42" t="s">
        <v>142</v>
      </c>
      <c r="D84" s="41"/>
      <c r="E84" s="41" t="s">
        <v>143</v>
      </c>
      <c r="F84" s="47" t="s">
        <v>145</v>
      </c>
      <c r="G84" s="44">
        <v>0</v>
      </c>
      <c r="H84" s="34" t="s">
        <v>143</v>
      </c>
    </row>
    <row r="85" spans="1:8" x14ac:dyDescent="0.2">
      <c r="A85" s="41"/>
      <c r="B85" s="41"/>
      <c r="C85" s="45"/>
      <c r="D85" s="41"/>
      <c r="E85" s="41"/>
      <c r="F85" s="46"/>
      <c r="G85" s="46"/>
      <c r="H85" s="34" t="s">
        <v>143</v>
      </c>
    </row>
    <row r="86" spans="1:8" x14ac:dyDescent="0.2">
      <c r="A86" s="41"/>
      <c r="B86" s="41"/>
      <c r="C86" s="42" t="s">
        <v>159</v>
      </c>
      <c r="D86" s="41"/>
      <c r="E86" s="41"/>
      <c r="F86" s="46"/>
      <c r="G86" s="46"/>
      <c r="H86" s="34" t="s">
        <v>143</v>
      </c>
    </row>
    <row r="87" spans="1:8" x14ac:dyDescent="0.2">
      <c r="A87" s="41"/>
      <c r="B87" s="41"/>
      <c r="C87" s="42" t="s">
        <v>142</v>
      </c>
      <c r="D87" s="41"/>
      <c r="E87" s="41" t="s">
        <v>143</v>
      </c>
      <c r="F87" s="47" t="s">
        <v>145</v>
      </c>
      <c r="G87" s="44">
        <v>0</v>
      </c>
      <c r="H87" s="34" t="s">
        <v>143</v>
      </c>
    </row>
    <row r="88" spans="1:8" x14ac:dyDescent="0.2">
      <c r="A88" s="41"/>
      <c r="B88" s="41"/>
      <c r="C88" s="45"/>
      <c r="D88" s="41"/>
      <c r="E88" s="41"/>
      <c r="F88" s="46"/>
      <c r="G88" s="46"/>
      <c r="H88" s="34" t="s">
        <v>143</v>
      </c>
    </row>
    <row r="89" spans="1:8" x14ac:dyDescent="0.2">
      <c r="A89" s="41"/>
      <c r="B89" s="41"/>
      <c r="C89" s="42" t="s">
        <v>160</v>
      </c>
      <c r="D89" s="41"/>
      <c r="E89" s="41"/>
      <c r="F89" s="46"/>
      <c r="G89" s="46"/>
      <c r="H89" s="34" t="s">
        <v>143</v>
      </c>
    </row>
    <row r="90" spans="1:8" x14ac:dyDescent="0.2">
      <c r="A90" s="35">
        <v>1</v>
      </c>
      <c r="B90" s="36"/>
      <c r="C90" s="36" t="s">
        <v>161</v>
      </c>
      <c r="D90" s="36"/>
      <c r="E90" s="48"/>
      <c r="F90" s="38">
        <v>174.63990699999999</v>
      </c>
      <c r="G90" s="39">
        <v>4.9891930000000001E-2</v>
      </c>
      <c r="H90" s="34">
        <v>5.47</v>
      </c>
    </row>
    <row r="91" spans="1:8" x14ac:dyDescent="0.2">
      <c r="A91" s="41"/>
      <c r="B91" s="41"/>
      <c r="C91" s="42" t="s">
        <v>142</v>
      </c>
      <c r="D91" s="41"/>
      <c r="E91" s="41" t="s">
        <v>143</v>
      </c>
      <c r="F91" s="43">
        <v>174.63990699999999</v>
      </c>
      <c r="G91" s="44">
        <v>4.9891930000000001E-2</v>
      </c>
      <c r="H91" s="34" t="s">
        <v>143</v>
      </c>
    </row>
    <row r="92" spans="1:8" x14ac:dyDescent="0.2">
      <c r="A92" s="41"/>
      <c r="B92" s="41"/>
      <c r="C92" s="45"/>
      <c r="D92" s="41"/>
      <c r="E92" s="41"/>
      <c r="F92" s="46"/>
      <c r="G92" s="46"/>
      <c r="H92" s="34" t="s">
        <v>143</v>
      </c>
    </row>
    <row r="93" spans="1:8" x14ac:dyDescent="0.2">
      <c r="A93" s="41"/>
      <c r="B93" s="41"/>
      <c r="C93" s="42" t="s">
        <v>162</v>
      </c>
      <c r="D93" s="41"/>
      <c r="E93" s="41"/>
      <c r="F93" s="43">
        <v>174.63990699999999</v>
      </c>
      <c r="G93" s="44">
        <v>4.9891930000000001E-2</v>
      </c>
      <c r="H93" s="34" t="s">
        <v>143</v>
      </c>
    </row>
    <row r="94" spans="1:8" x14ac:dyDescent="0.2">
      <c r="A94" s="41"/>
      <c r="B94" s="41"/>
      <c r="C94" s="46"/>
      <c r="D94" s="41"/>
      <c r="E94" s="41"/>
      <c r="F94" s="41"/>
      <c r="G94" s="41"/>
      <c r="H94" s="34" t="s">
        <v>143</v>
      </c>
    </row>
    <row r="95" spans="1:8" x14ac:dyDescent="0.2">
      <c r="A95" s="41"/>
      <c r="B95" s="41"/>
      <c r="C95" s="42" t="s">
        <v>163</v>
      </c>
      <c r="D95" s="41"/>
      <c r="E95" s="41"/>
      <c r="F95" s="41"/>
      <c r="G95" s="41"/>
      <c r="H95" s="34" t="s">
        <v>143</v>
      </c>
    </row>
    <row r="96" spans="1:8" x14ac:dyDescent="0.2">
      <c r="A96" s="41"/>
      <c r="B96" s="41"/>
      <c r="C96" s="42" t="s">
        <v>164</v>
      </c>
      <c r="D96" s="41"/>
      <c r="E96" s="41"/>
      <c r="F96" s="41"/>
      <c r="G96" s="41"/>
      <c r="H96" s="34" t="s">
        <v>143</v>
      </c>
    </row>
    <row r="97" spans="1:17" x14ac:dyDescent="0.2">
      <c r="A97" s="41"/>
      <c r="B97" s="41"/>
      <c r="C97" s="42" t="s">
        <v>142</v>
      </c>
      <c r="D97" s="41"/>
      <c r="E97" s="41" t="s">
        <v>143</v>
      </c>
      <c r="F97" s="47" t="s">
        <v>145</v>
      </c>
      <c r="G97" s="44">
        <v>0</v>
      </c>
      <c r="H97" s="34" t="s">
        <v>143</v>
      </c>
    </row>
    <row r="98" spans="1:17" x14ac:dyDescent="0.2">
      <c r="A98" s="41"/>
      <c r="B98" s="41"/>
      <c r="C98" s="45"/>
      <c r="D98" s="41"/>
      <c r="E98" s="41"/>
      <c r="F98" s="46"/>
      <c r="G98" s="46"/>
      <c r="H98" s="34" t="s">
        <v>143</v>
      </c>
    </row>
    <row r="99" spans="1:17" x14ac:dyDescent="0.2">
      <c r="A99" s="41"/>
      <c r="B99" s="41"/>
      <c r="C99" s="42" t="s">
        <v>165</v>
      </c>
      <c r="D99" s="41"/>
      <c r="E99" s="41"/>
      <c r="F99" s="41"/>
      <c r="G99" s="41"/>
      <c r="H99" s="34" t="s">
        <v>143</v>
      </c>
    </row>
    <row r="100" spans="1:17" x14ac:dyDescent="0.2">
      <c r="A100" s="41"/>
      <c r="B100" s="41"/>
      <c r="C100" s="42" t="s">
        <v>166</v>
      </c>
      <c r="D100" s="41"/>
      <c r="E100" s="41"/>
      <c r="F100" s="41"/>
      <c r="G100" s="41"/>
      <c r="H100" s="34" t="s">
        <v>143</v>
      </c>
    </row>
    <row r="101" spans="1:17" x14ac:dyDescent="0.2">
      <c r="A101" s="41"/>
      <c r="B101" s="41"/>
      <c r="C101" s="42" t="s">
        <v>142</v>
      </c>
      <c r="D101" s="41"/>
      <c r="E101" s="41" t="s">
        <v>143</v>
      </c>
      <c r="F101" s="47" t="s">
        <v>145</v>
      </c>
      <c r="G101" s="44">
        <v>0</v>
      </c>
      <c r="H101" s="34" t="s">
        <v>143</v>
      </c>
    </row>
    <row r="102" spans="1:17" x14ac:dyDescent="0.2">
      <c r="A102" s="41"/>
      <c r="B102" s="41"/>
      <c r="C102" s="45"/>
      <c r="D102" s="41"/>
      <c r="E102" s="41"/>
      <c r="F102" s="46"/>
      <c r="G102" s="46"/>
      <c r="H102" s="34" t="s">
        <v>143</v>
      </c>
    </row>
    <row r="103" spans="1:17" x14ac:dyDescent="0.2">
      <c r="A103" s="41"/>
      <c r="B103" s="41"/>
      <c r="C103" s="42" t="s">
        <v>167</v>
      </c>
      <c r="D103" s="41"/>
      <c r="E103" s="41"/>
      <c r="F103" s="46"/>
      <c r="G103" s="46"/>
      <c r="H103" s="34" t="s">
        <v>143</v>
      </c>
    </row>
    <row r="104" spans="1:17" x14ac:dyDescent="0.2">
      <c r="A104" s="41"/>
      <c r="B104" s="41"/>
      <c r="C104" s="42" t="s">
        <v>142</v>
      </c>
      <c r="D104" s="41"/>
      <c r="E104" s="41" t="s">
        <v>143</v>
      </c>
      <c r="F104" s="47" t="s">
        <v>145</v>
      </c>
      <c r="G104" s="44">
        <v>0</v>
      </c>
      <c r="H104" s="34" t="s">
        <v>143</v>
      </c>
    </row>
    <row r="105" spans="1:17" x14ac:dyDescent="0.2">
      <c r="A105" s="41"/>
      <c r="B105" s="41"/>
      <c r="C105" s="45"/>
      <c r="D105" s="41"/>
      <c r="E105" s="41"/>
      <c r="F105" s="46"/>
      <c r="G105" s="46"/>
      <c r="H105" s="34" t="s">
        <v>143</v>
      </c>
    </row>
    <row r="106" spans="1:17" x14ac:dyDescent="0.2">
      <c r="A106" s="48"/>
      <c r="B106" s="36"/>
      <c r="C106" s="36" t="s">
        <v>168</v>
      </c>
      <c r="D106" s="36"/>
      <c r="E106" s="48"/>
      <c r="F106" s="38">
        <v>-1.65238007</v>
      </c>
      <c r="G106" s="39">
        <v>-4.7206E-4</v>
      </c>
      <c r="H106" s="34" t="s">
        <v>143</v>
      </c>
    </row>
    <row r="107" spans="1:17" x14ac:dyDescent="0.2">
      <c r="A107" s="45"/>
      <c r="B107" s="45"/>
      <c r="C107" s="42" t="s">
        <v>169</v>
      </c>
      <c r="D107" s="46"/>
      <c r="E107" s="46"/>
      <c r="F107" s="43">
        <v>3500.36370093</v>
      </c>
      <c r="G107" s="51">
        <v>1.0000000499999999</v>
      </c>
      <c r="H107" s="34" t="s">
        <v>143</v>
      </c>
    </row>
    <row r="108" spans="1:17" x14ac:dyDescent="0.2">
      <c r="A108" s="52"/>
      <c r="B108" s="52"/>
      <c r="C108" s="52"/>
      <c r="D108" s="53"/>
      <c r="E108" s="53"/>
      <c r="F108" s="53"/>
      <c r="G108" s="53"/>
    </row>
    <row r="109" spans="1:17" x14ac:dyDescent="0.2">
      <c r="A109" s="54"/>
      <c r="B109" s="158" t="s">
        <v>852</v>
      </c>
      <c r="C109" s="158"/>
      <c r="D109" s="158"/>
      <c r="E109" s="158"/>
      <c r="F109" s="158"/>
      <c r="G109" s="158"/>
      <c r="H109" s="158"/>
      <c r="J109" s="56"/>
    </row>
    <row r="110" spans="1:17" x14ac:dyDescent="0.2">
      <c r="A110" s="54"/>
      <c r="B110" s="158" t="s">
        <v>853</v>
      </c>
      <c r="C110" s="158"/>
      <c r="D110" s="158"/>
      <c r="E110" s="158"/>
      <c r="F110" s="158"/>
      <c r="G110" s="158"/>
      <c r="H110" s="158"/>
      <c r="J110" s="56"/>
    </row>
    <row r="111" spans="1:17" x14ac:dyDescent="0.2">
      <c r="A111" s="54"/>
      <c r="B111" s="158" t="s">
        <v>854</v>
      </c>
      <c r="C111" s="158"/>
      <c r="D111" s="158"/>
      <c r="E111" s="158"/>
      <c r="F111" s="158"/>
      <c r="G111" s="158"/>
      <c r="H111" s="158"/>
      <c r="J111" s="56"/>
    </row>
    <row r="112" spans="1:17" s="58" customFormat="1" ht="54.75" customHeight="1" x14ac:dyDescent="0.25">
      <c r="A112" s="57"/>
      <c r="B112" s="159" t="s">
        <v>855</v>
      </c>
      <c r="C112" s="159"/>
      <c r="D112" s="159"/>
      <c r="E112" s="159"/>
      <c r="F112" s="159"/>
      <c r="G112" s="159"/>
      <c r="H112" s="159"/>
      <c r="I112"/>
      <c r="J112" s="56"/>
      <c r="K112"/>
      <c r="L112"/>
      <c r="M112"/>
      <c r="N112"/>
      <c r="O112"/>
      <c r="P112"/>
      <c r="Q112"/>
    </row>
    <row r="113" spans="1:10" x14ac:dyDescent="0.2">
      <c r="A113" s="54"/>
      <c r="B113" s="158" t="s">
        <v>856</v>
      </c>
      <c r="C113" s="158"/>
      <c r="D113" s="158"/>
      <c r="E113" s="158"/>
      <c r="F113" s="158"/>
      <c r="G113" s="158"/>
      <c r="H113" s="158"/>
      <c r="J113" s="56"/>
    </row>
    <row r="114" spans="1:10" x14ac:dyDescent="0.2">
      <c r="A114" s="54"/>
      <c r="B114" s="54"/>
      <c r="C114" s="54"/>
      <c r="D114" s="59"/>
      <c r="E114" s="59"/>
      <c r="F114" s="59"/>
      <c r="G114" s="59"/>
    </row>
    <row r="115" spans="1:10" x14ac:dyDescent="0.2">
      <c r="A115" s="54"/>
      <c r="B115" s="160" t="s">
        <v>170</v>
      </c>
      <c r="C115" s="161"/>
      <c r="D115" s="162"/>
      <c r="E115" s="60"/>
      <c r="F115" s="59"/>
      <c r="G115" s="59"/>
    </row>
    <row r="116" spans="1:10" ht="27.75" customHeight="1" x14ac:dyDescent="0.2">
      <c r="A116" s="54"/>
      <c r="B116" s="154" t="s">
        <v>171</v>
      </c>
      <c r="C116" s="155"/>
      <c r="D116" s="33" t="s">
        <v>172</v>
      </c>
      <c r="E116" s="60"/>
      <c r="F116" s="59"/>
      <c r="G116" s="59"/>
    </row>
    <row r="117" spans="1:10" ht="12.75" customHeight="1" x14ac:dyDescent="0.2">
      <c r="A117" s="54"/>
      <c r="B117" s="154" t="s">
        <v>857</v>
      </c>
      <c r="C117" s="155"/>
      <c r="D117" s="33" t="s">
        <v>172</v>
      </c>
      <c r="E117" s="60"/>
      <c r="F117" s="59"/>
      <c r="G117" s="59"/>
    </row>
    <row r="118" spans="1:10" x14ac:dyDescent="0.2">
      <c r="A118" s="54"/>
      <c r="B118" s="154" t="s">
        <v>173</v>
      </c>
      <c r="C118" s="155"/>
      <c r="D118" s="61" t="s">
        <v>143</v>
      </c>
      <c r="E118" s="60"/>
      <c r="F118" s="59"/>
      <c r="G118" s="59"/>
    </row>
    <row r="119" spans="1:10" x14ac:dyDescent="0.2">
      <c r="A119" s="62"/>
      <c r="B119" s="63" t="s">
        <v>143</v>
      </c>
      <c r="C119" s="63" t="s">
        <v>858</v>
      </c>
      <c r="D119" s="63" t="s">
        <v>174</v>
      </c>
      <c r="E119" s="62"/>
      <c r="F119" s="62"/>
      <c r="G119" s="62"/>
      <c r="H119" s="62"/>
      <c r="J119" s="56"/>
    </row>
    <row r="120" spans="1:10" x14ac:dyDescent="0.2">
      <c r="A120" s="62"/>
      <c r="B120" s="64" t="s">
        <v>175</v>
      </c>
      <c r="C120" s="65">
        <v>45808</v>
      </c>
      <c r="D120" s="65">
        <v>45838</v>
      </c>
      <c r="E120" s="62"/>
      <c r="F120" s="62"/>
      <c r="G120" s="62"/>
      <c r="J120" s="56"/>
    </row>
    <row r="121" spans="1:10" x14ac:dyDescent="0.2">
      <c r="A121" s="66"/>
      <c r="B121" s="36" t="s">
        <v>176</v>
      </c>
      <c r="C121" s="67">
        <v>27.9834</v>
      </c>
      <c r="D121" s="67">
        <v>29.584900000000001</v>
      </c>
      <c r="E121" s="66"/>
      <c r="F121" s="68"/>
      <c r="G121" s="69"/>
    </row>
    <row r="122" spans="1:10" x14ac:dyDescent="0.2">
      <c r="A122" s="66"/>
      <c r="B122" s="36" t="s">
        <v>1086</v>
      </c>
      <c r="C122" s="67">
        <v>26.6401</v>
      </c>
      <c r="D122" s="67">
        <v>28.1648</v>
      </c>
      <c r="E122" s="66"/>
      <c r="F122" s="68"/>
      <c r="G122" s="69"/>
    </row>
    <row r="123" spans="1:10" x14ac:dyDescent="0.2">
      <c r="A123" s="66"/>
      <c r="B123" s="36" t="s">
        <v>177</v>
      </c>
      <c r="C123" s="67">
        <v>27.119299999999999</v>
      </c>
      <c r="D123" s="67">
        <v>28.666</v>
      </c>
      <c r="E123" s="66"/>
      <c r="F123" s="68"/>
      <c r="G123" s="69"/>
    </row>
    <row r="124" spans="1:10" x14ac:dyDescent="0.2">
      <c r="A124" s="66"/>
      <c r="B124" s="36" t="s">
        <v>1087</v>
      </c>
      <c r="C124" s="67">
        <v>25.7806</v>
      </c>
      <c r="D124" s="67">
        <v>27.251000000000001</v>
      </c>
      <c r="E124" s="66"/>
      <c r="F124" s="68"/>
      <c r="G124" s="69"/>
    </row>
    <row r="125" spans="1:10" x14ac:dyDescent="0.2">
      <c r="A125" s="66"/>
      <c r="B125" s="66"/>
      <c r="C125" s="66"/>
      <c r="D125" s="66"/>
      <c r="E125" s="66"/>
      <c r="F125" s="66"/>
      <c r="G125" s="66"/>
    </row>
    <row r="126" spans="1:10" x14ac:dyDescent="0.2">
      <c r="A126" s="62"/>
      <c r="B126" s="154" t="s">
        <v>860</v>
      </c>
      <c r="C126" s="155"/>
      <c r="D126" s="33" t="s">
        <v>172</v>
      </c>
      <c r="E126" s="62"/>
      <c r="F126" s="62"/>
      <c r="G126" s="62"/>
    </row>
    <row r="127" spans="1:10" x14ac:dyDescent="0.2">
      <c r="A127" s="62"/>
      <c r="B127" s="70"/>
      <c r="C127" s="70"/>
      <c r="D127" s="70"/>
      <c r="E127" s="62"/>
      <c r="F127" s="62"/>
      <c r="G127" s="62"/>
    </row>
    <row r="128" spans="1:10" x14ac:dyDescent="0.2">
      <c r="A128" s="62"/>
      <c r="B128" s="154" t="s">
        <v>178</v>
      </c>
      <c r="C128" s="155"/>
      <c r="D128" s="33" t="s">
        <v>172</v>
      </c>
      <c r="E128" s="71"/>
      <c r="F128" s="62"/>
      <c r="G128" s="62"/>
    </row>
    <row r="129" spans="1:10" x14ac:dyDescent="0.2">
      <c r="A129" s="62"/>
      <c r="B129" s="154" t="s">
        <v>179</v>
      </c>
      <c r="C129" s="155"/>
      <c r="D129" s="33" t="s">
        <v>172</v>
      </c>
      <c r="E129" s="71"/>
      <c r="F129" s="62"/>
      <c r="G129" s="62"/>
    </row>
    <row r="130" spans="1:10" x14ac:dyDescent="0.2">
      <c r="A130" s="62"/>
      <c r="B130" s="154" t="s">
        <v>180</v>
      </c>
      <c r="C130" s="155"/>
      <c r="D130" s="33" t="s">
        <v>172</v>
      </c>
      <c r="E130" s="71"/>
      <c r="F130" s="62"/>
      <c r="G130" s="62"/>
    </row>
    <row r="131" spans="1:10" x14ac:dyDescent="0.2">
      <c r="A131" s="62"/>
      <c r="B131" s="154" t="s">
        <v>181</v>
      </c>
      <c r="C131" s="155"/>
      <c r="D131" s="72">
        <v>4.8001838209370776E-2</v>
      </c>
      <c r="E131" s="62"/>
      <c r="F131" s="55"/>
      <c r="G131" s="73"/>
    </row>
    <row r="133" spans="1:10" x14ac:dyDescent="0.2">
      <c r="B133" s="156" t="s">
        <v>861</v>
      </c>
      <c r="C133" s="156"/>
    </row>
    <row r="135" spans="1:10" ht="153.75" customHeight="1" x14ac:dyDescent="0.2"/>
    <row r="138" spans="1:10" x14ac:dyDescent="0.2">
      <c r="B138" s="79" t="s">
        <v>862</v>
      </c>
      <c r="C138" s="80"/>
      <c r="D138" s="79"/>
    </row>
    <row r="139" spans="1:10" x14ac:dyDescent="0.2">
      <c r="B139" s="79" t="s">
        <v>869</v>
      </c>
      <c r="D139" s="79"/>
    </row>
    <row r="140" spans="1:10" ht="165" customHeight="1" x14ac:dyDescent="0.2"/>
    <row r="142" spans="1:10" x14ac:dyDescent="0.2">
      <c r="J142" s="31"/>
    </row>
  </sheetData>
  <mergeCells count="18">
    <mergeCell ref="A1:H1"/>
    <mergeCell ref="A2:H2"/>
    <mergeCell ref="A3:H3"/>
    <mergeCell ref="B109:H109"/>
    <mergeCell ref="B110:H110"/>
    <mergeCell ref="B111:H111"/>
    <mergeCell ref="B112:H112"/>
    <mergeCell ref="B113:H113"/>
    <mergeCell ref="B115:D115"/>
    <mergeCell ref="B116:C116"/>
    <mergeCell ref="B117:C117"/>
    <mergeCell ref="B118:C118"/>
    <mergeCell ref="B133:C133"/>
    <mergeCell ref="B126:C126"/>
    <mergeCell ref="B130:C130"/>
    <mergeCell ref="B131:C131"/>
    <mergeCell ref="B128:C128"/>
    <mergeCell ref="B129:C129"/>
  </mergeCells>
  <hyperlinks>
    <hyperlink ref="I1" location="Index!B2" display="Index" xr:uid="{B72A4924-6159-4509-A71D-9ECED5B7D7E0}"/>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5382E-CA2D-453D-A55B-6531BE41D113}">
  <sheetPr>
    <outlinePr summaryBelow="0" summaryRight="0"/>
  </sheetPr>
  <dimension ref="A1:Q143"/>
  <sheetViews>
    <sheetView showGridLines="0" workbookViewId="0">
      <selection sqref="A1:H1"/>
    </sheetView>
  </sheetViews>
  <sheetFormatPr defaultRowHeight="12.75" x14ac:dyDescent="0.2"/>
  <cols>
    <col min="1" max="1" width="6.85546875" customWidth="1"/>
    <col min="2" max="2" width="20.5703125" customWidth="1"/>
    <col min="3" max="3" width="39.2851562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425</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330</v>
      </c>
      <c r="C7" s="36" t="s">
        <v>331</v>
      </c>
      <c r="D7" s="36" t="s">
        <v>206</v>
      </c>
      <c r="E7" s="37">
        <v>1470</v>
      </c>
      <c r="F7" s="38">
        <v>131.4768</v>
      </c>
      <c r="G7" s="39">
        <v>5.6934409999999998E-2</v>
      </c>
      <c r="H7" s="34" t="s">
        <v>143</v>
      </c>
    </row>
    <row r="8" spans="1:9" x14ac:dyDescent="0.2">
      <c r="A8" s="35">
        <v>2</v>
      </c>
      <c r="B8" s="36" t="s">
        <v>340</v>
      </c>
      <c r="C8" s="36" t="s">
        <v>341</v>
      </c>
      <c r="D8" s="36" t="s">
        <v>265</v>
      </c>
      <c r="E8" s="37">
        <v>6568</v>
      </c>
      <c r="F8" s="38">
        <v>131.248344</v>
      </c>
      <c r="G8" s="39">
        <v>5.6835480000000001E-2</v>
      </c>
      <c r="H8" s="34" t="s">
        <v>143</v>
      </c>
    </row>
    <row r="9" spans="1:9" x14ac:dyDescent="0.2">
      <c r="A9" s="35">
        <v>3</v>
      </c>
      <c r="B9" s="36" t="s">
        <v>364</v>
      </c>
      <c r="C9" s="36" t="s">
        <v>365</v>
      </c>
      <c r="D9" s="36" t="s">
        <v>195</v>
      </c>
      <c r="E9" s="37">
        <v>21323</v>
      </c>
      <c r="F9" s="38">
        <v>127.0957415</v>
      </c>
      <c r="G9" s="39">
        <v>5.5037250000000003E-2</v>
      </c>
      <c r="H9" s="34" t="s">
        <v>143</v>
      </c>
    </row>
    <row r="10" spans="1:9" x14ac:dyDescent="0.2">
      <c r="A10" s="35">
        <v>4</v>
      </c>
      <c r="B10" s="36" t="s">
        <v>368</v>
      </c>
      <c r="C10" s="36" t="s">
        <v>369</v>
      </c>
      <c r="D10" s="36" t="s">
        <v>55</v>
      </c>
      <c r="E10" s="37">
        <v>5638</v>
      </c>
      <c r="F10" s="38">
        <v>121.66804</v>
      </c>
      <c r="G10" s="39">
        <v>5.268685E-2</v>
      </c>
      <c r="H10" s="34" t="s">
        <v>143</v>
      </c>
    </row>
    <row r="11" spans="1:9" x14ac:dyDescent="0.2">
      <c r="A11" s="35">
        <v>5</v>
      </c>
      <c r="B11" s="36" t="s">
        <v>366</v>
      </c>
      <c r="C11" s="36" t="s">
        <v>367</v>
      </c>
      <c r="D11" s="36" t="s">
        <v>221</v>
      </c>
      <c r="E11" s="37">
        <v>30085</v>
      </c>
      <c r="F11" s="38">
        <v>98.919479999999993</v>
      </c>
      <c r="G11" s="39">
        <v>4.2835869999999998E-2</v>
      </c>
      <c r="H11" s="34" t="s">
        <v>143</v>
      </c>
    </row>
    <row r="12" spans="1:9" x14ac:dyDescent="0.2">
      <c r="A12" s="35">
        <v>6</v>
      </c>
      <c r="B12" s="36" t="s">
        <v>78</v>
      </c>
      <c r="C12" s="36" t="s">
        <v>79</v>
      </c>
      <c r="D12" s="36" t="s">
        <v>73</v>
      </c>
      <c r="E12" s="37">
        <v>10955</v>
      </c>
      <c r="F12" s="38">
        <v>89.617377500000003</v>
      </c>
      <c r="G12" s="39">
        <v>3.8807700000000001E-2</v>
      </c>
      <c r="H12" s="34" t="s">
        <v>143</v>
      </c>
    </row>
    <row r="13" spans="1:9" x14ac:dyDescent="0.2">
      <c r="A13" s="35">
        <v>7</v>
      </c>
      <c r="B13" s="36" t="s">
        <v>372</v>
      </c>
      <c r="C13" s="36" t="s">
        <v>373</v>
      </c>
      <c r="D13" s="36" t="s">
        <v>33</v>
      </c>
      <c r="E13" s="37">
        <v>22305</v>
      </c>
      <c r="F13" s="38">
        <v>87.948615000000004</v>
      </c>
      <c r="G13" s="39">
        <v>3.8085069999999999E-2</v>
      </c>
      <c r="H13" s="34" t="s">
        <v>143</v>
      </c>
    </row>
    <row r="14" spans="1:9" x14ac:dyDescent="0.2">
      <c r="A14" s="35">
        <v>8</v>
      </c>
      <c r="B14" s="36" t="s">
        <v>370</v>
      </c>
      <c r="C14" s="36" t="s">
        <v>371</v>
      </c>
      <c r="D14" s="36" t="s">
        <v>33</v>
      </c>
      <c r="E14" s="37">
        <v>178820</v>
      </c>
      <c r="F14" s="38">
        <v>87.675445999999994</v>
      </c>
      <c r="G14" s="39">
        <v>3.7966769999999997E-2</v>
      </c>
      <c r="H14" s="34" t="s">
        <v>143</v>
      </c>
    </row>
    <row r="15" spans="1:9" ht="25.5" x14ac:dyDescent="0.2">
      <c r="A15" s="35">
        <v>9</v>
      </c>
      <c r="B15" s="36" t="s">
        <v>382</v>
      </c>
      <c r="C15" s="36" t="s">
        <v>383</v>
      </c>
      <c r="D15" s="36" t="s">
        <v>270</v>
      </c>
      <c r="E15" s="37">
        <v>1756</v>
      </c>
      <c r="F15" s="38">
        <v>84.640956000000003</v>
      </c>
      <c r="G15" s="39">
        <v>3.6652730000000001E-2</v>
      </c>
      <c r="H15" s="34" t="s">
        <v>143</v>
      </c>
    </row>
    <row r="16" spans="1:9" x14ac:dyDescent="0.2">
      <c r="A16" s="35">
        <v>10</v>
      </c>
      <c r="B16" s="36" t="s">
        <v>229</v>
      </c>
      <c r="C16" s="36" t="s">
        <v>230</v>
      </c>
      <c r="D16" s="36" t="s">
        <v>192</v>
      </c>
      <c r="E16" s="37">
        <v>700</v>
      </c>
      <c r="F16" s="38">
        <v>76.685000000000002</v>
      </c>
      <c r="G16" s="39">
        <v>3.3207500000000001E-2</v>
      </c>
      <c r="H16" s="34" t="s">
        <v>143</v>
      </c>
    </row>
    <row r="17" spans="1:8" x14ac:dyDescent="0.2">
      <c r="A17" s="35">
        <v>11</v>
      </c>
      <c r="B17" s="36" t="s">
        <v>105</v>
      </c>
      <c r="C17" s="36" t="s">
        <v>106</v>
      </c>
      <c r="D17" s="36" t="s">
        <v>73</v>
      </c>
      <c r="E17" s="37">
        <v>1987</v>
      </c>
      <c r="F17" s="38">
        <v>75.358962000000005</v>
      </c>
      <c r="G17" s="39">
        <v>3.2633269999999999E-2</v>
      </c>
      <c r="H17" s="34" t="s">
        <v>143</v>
      </c>
    </row>
    <row r="18" spans="1:8" x14ac:dyDescent="0.2">
      <c r="A18" s="35">
        <v>12</v>
      </c>
      <c r="B18" s="36" t="s">
        <v>374</v>
      </c>
      <c r="C18" s="36" t="s">
        <v>375</v>
      </c>
      <c r="D18" s="36" t="s">
        <v>55</v>
      </c>
      <c r="E18" s="37">
        <v>27896</v>
      </c>
      <c r="F18" s="38">
        <v>74.984448</v>
      </c>
      <c r="G18" s="39">
        <v>3.2471090000000001E-2</v>
      </c>
      <c r="H18" s="34" t="s">
        <v>143</v>
      </c>
    </row>
    <row r="19" spans="1:8" ht="25.5" x14ac:dyDescent="0.2">
      <c r="A19" s="35">
        <v>13</v>
      </c>
      <c r="B19" s="36" t="s">
        <v>378</v>
      </c>
      <c r="C19" s="36" t="s">
        <v>379</v>
      </c>
      <c r="D19" s="36" t="s">
        <v>201</v>
      </c>
      <c r="E19" s="37">
        <v>1238</v>
      </c>
      <c r="F19" s="38">
        <v>72.80059</v>
      </c>
      <c r="G19" s="39">
        <v>3.1525400000000002E-2</v>
      </c>
      <c r="H19" s="34" t="s">
        <v>143</v>
      </c>
    </row>
    <row r="20" spans="1:8" ht="25.5" x14ac:dyDescent="0.2">
      <c r="A20" s="35">
        <v>14</v>
      </c>
      <c r="B20" s="36" t="s">
        <v>393</v>
      </c>
      <c r="C20" s="36" t="s">
        <v>394</v>
      </c>
      <c r="D20" s="36" t="s">
        <v>201</v>
      </c>
      <c r="E20" s="37">
        <v>9440</v>
      </c>
      <c r="F20" s="38">
        <v>68.425839999999994</v>
      </c>
      <c r="G20" s="39">
        <v>2.963097E-2</v>
      </c>
      <c r="H20" s="34" t="s">
        <v>143</v>
      </c>
    </row>
    <row r="21" spans="1:8" x14ac:dyDescent="0.2">
      <c r="A21" s="35">
        <v>15</v>
      </c>
      <c r="B21" s="36" t="s">
        <v>380</v>
      </c>
      <c r="C21" s="36" t="s">
        <v>381</v>
      </c>
      <c r="D21" s="36" t="s">
        <v>33</v>
      </c>
      <c r="E21" s="37">
        <v>101192</v>
      </c>
      <c r="F21" s="38">
        <v>67.909951199999995</v>
      </c>
      <c r="G21" s="39">
        <v>2.9407570000000001E-2</v>
      </c>
      <c r="H21" s="34" t="s">
        <v>143</v>
      </c>
    </row>
    <row r="22" spans="1:8" x14ac:dyDescent="0.2">
      <c r="A22" s="35">
        <v>16</v>
      </c>
      <c r="B22" s="36" t="s">
        <v>376</v>
      </c>
      <c r="C22" s="36" t="s">
        <v>377</v>
      </c>
      <c r="D22" s="36" t="s">
        <v>206</v>
      </c>
      <c r="E22" s="37">
        <v>1988</v>
      </c>
      <c r="F22" s="38">
        <v>58.105263999999998</v>
      </c>
      <c r="G22" s="39">
        <v>2.516177E-2</v>
      </c>
      <c r="H22" s="34" t="s">
        <v>143</v>
      </c>
    </row>
    <row r="23" spans="1:8" ht="25.5" x14ac:dyDescent="0.2">
      <c r="A23" s="35">
        <v>17</v>
      </c>
      <c r="B23" s="36" t="s">
        <v>48</v>
      </c>
      <c r="C23" s="36" t="s">
        <v>49</v>
      </c>
      <c r="D23" s="36" t="s">
        <v>25</v>
      </c>
      <c r="E23" s="37">
        <v>936</v>
      </c>
      <c r="F23" s="38">
        <v>57.564</v>
      </c>
      <c r="G23" s="39">
        <v>2.4927379999999999E-2</v>
      </c>
      <c r="H23" s="34" t="s">
        <v>143</v>
      </c>
    </row>
    <row r="24" spans="1:8" x14ac:dyDescent="0.2">
      <c r="A24" s="35">
        <v>18</v>
      </c>
      <c r="B24" s="36" t="s">
        <v>386</v>
      </c>
      <c r="C24" s="36" t="s">
        <v>387</v>
      </c>
      <c r="D24" s="36" t="s">
        <v>192</v>
      </c>
      <c r="E24" s="37">
        <v>2453</v>
      </c>
      <c r="F24" s="38">
        <v>53.131979999999999</v>
      </c>
      <c r="G24" s="39">
        <v>2.3008150000000002E-2</v>
      </c>
      <c r="H24" s="34" t="s">
        <v>143</v>
      </c>
    </row>
    <row r="25" spans="1:8" ht="25.5" x14ac:dyDescent="0.2">
      <c r="A25" s="35">
        <v>19</v>
      </c>
      <c r="B25" s="36" t="s">
        <v>390</v>
      </c>
      <c r="C25" s="36" t="s">
        <v>391</v>
      </c>
      <c r="D25" s="36" t="s">
        <v>392</v>
      </c>
      <c r="E25" s="37">
        <v>13188</v>
      </c>
      <c r="F25" s="38">
        <v>48.835163999999999</v>
      </c>
      <c r="G25" s="39">
        <v>2.1147470000000002E-2</v>
      </c>
      <c r="H25" s="34" t="s">
        <v>143</v>
      </c>
    </row>
    <row r="26" spans="1:8" x14ac:dyDescent="0.2">
      <c r="A26" s="35">
        <v>20</v>
      </c>
      <c r="B26" s="36" t="s">
        <v>395</v>
      </c>
      <c r="C26" s="36" t="s">
        <v>396</v>
      </c>
      <c r="D26" s="36" t="s">
        <v>198</v>
      </c>
      <c r="E26" s="37">
        <v>9732</v>
      </c>
      <c r="F26" s="38">
        <v>44.523899999999998</v>
      </c>
      <c r="G26" s="39">
        <v>1.9280530000000001E-2</v>
      </c>
      <c r="H26" s="34" t="s">
        <v>143</v>
      </c>
    </row>
    <row r="27" spans="1:8" x14ac:dyDescent="0.2">
      <c r="A27" s="35">
        <v>21</v>
      </c>
      <c r="B27" s="36" t="s">
        <v>397</v>
      </c>
      <c r="C27" s="36" t="s">
        <v>398</v>
      </c>
      <c r="D27" s="36" t="s">
        <v>399</v>
      </c>
      <c r="E27" s="37">
        <v>4462</v>
      </c>
      <c r="F27" s="38">
        <v>43.285862000000002</v>
      </c>
      <c r="G27" s="39">
        <v>1.874441E-2</v>
      </c>
      <c r="H27" s="34" t="s">
        <v>143</v>
      </c>
    </row>
    <row r="28" spans="1:8" x14ac:dyDescent="0.2">
      <c r="A28" s="35">
        <v>22</v>
      </c>
      <c r="B28" s="36" t="s">
        <v>400</v>
      </c>
      <c r="C28" s="36" t="s">
        <v>401</v>
      </c>
      <c r="D28" s="36" t="s">
        <v>192</v>
      </c>
      <c r="E28" s="37">
        <v>3800</v>
      </c>
      <c r="F28" s="38">
        <v>42.157200000000003</v>
      </c>
      <c r="G28" s="39">
        <v>1.825566E-2</v>
      </c>
      <c r="H28" s="34" t="s">
        <v>143</v>
      </c>
    </row>
    <row r="29" spans="1:8" x14ac:dyDescent="0.2">
      <c r="A29" s="35">
        <v>23</v>
      </c>
      <c r="B29" s="36" t="s">
        <v>406</v>
      </c>
      <c r="C29" s="36" t="s">
        <v>407</v>
      </c>
      <c r="D29" s="36" t="s">
        <v>192</v>
      </c>
      <c r="E29" s="37">
        <v>3328</v>
      </c>
      <c r="F29" s="38">
        <v>40.258816000000003</v>
      </c>
      <c r="G29" s="39">
        <v>1.7433589999999999E-2</v>
      </c>
      <c r="H29" s="34" t="s">
        <v>143</v>
      </c>
    </row>
    <row r="30" spans="1:8" x14ac:dyDescent="0.2">
      <c r="A30" s="35">
        <v>24</v>
      </c>
      <c r="B30" s="36" t="s">
        <v>404</v>
      </c>
      <c r="C30" s="36" t="s">
        <v>405</v>
      </c>
      <c r="D30" s="36" t="s">
        <v>73</v>
      </c>
      <c r="E30" s="37">
        <v>8416</v>
      </c>
      <c r="F30" s="38">
        <v>40.060160000000003</v>
      </c>
      <c r="G30" s="39">
        <v>1.7347560000000001E-2</v>
      </c>
      <c r="H30" s="34" t="s">
        <v>143</v>
      </c>
    </row>
    <row r="31" spans="1:8" ht="25.5" x14ac:dyDescent="0.2">
      <c r="A31" s="35">
        <v>25</v>
      </c>
      <c r="B31" s="36" t="s">
        <v>384</v>
      </c>
      <c r="C31" s="36" t="s">
        <v>385</v>
      </c>
      <c r="D31" s="36" t="s">
        <v>201</v>
      </c>
      <c r="E31" s="37">
        <v>2376</v>
      </c>
      <c r="F31" s="38">
        <v>39.900168000000001</v>
      </c>
      <c r="G31" s="39">
        <v>1.727828E-2</v>
      </c>
      <c r="H31" s="34" t="s">
        <v>143</v>
      </c>
    </row>
    <row r="32" spans="1:8" x14ac:dyDescent="0.2">
      <c r="A32" s="35">
        <v>26</v>
      </c>
      <c r="B32" s="36" t="s">
        <v>402</v>
      </c>
      <c r="C32" s="36" t="s">
        <v>403</v>
      </c>
      <c r="D32" s="36" t="s">
        <v>221</v>
      </c>
      <c r="E32" s="37">
        <v>5099</v>
      </c>
      <c r="F32" s="38">
        <v>37.992649</v>
      </c>
      <c r="G32" s="39">
        <v>1.6452250000000002E-2</v>
      </c>
      <c r="H32" s="34" t="s">
        <v>143</v>
      </c>
    </row>
    <row r="33" spans="1:8" x14ac:dyDescent="0.2">
      <c r="A33" s="35">
        <v>27</v>
      </c>
      <c r="B33" s="36" t="s">
        <v>410</v>
      </c>
      <c r="C33" s="36" t="s">
        <v>411</v>
      </c>
      <c r="D33" s="36" t="s">
        <v>412</v>
      </c>
      <c r="E33" s="37">
        <v>2376</v>
      </c>
      <c r="F33" s="38">
        <v>35.518824000000002</v>
      </c>
      <c r="G33" s="39">
        <v>1.5380990000000001E-2</v>
      </c>
      <c r="H33" s="34" t="s">
        <v>143</v>
      </c>
    </row>
    <row r="34" spans="1:8" x14ac:dyDescent="0.2">
      <c r="A34" s="35">
        <v>28</v>
      </c>
      <c r="B34" s="36" t="s">
        <v>408</v>
      </c>
      <c r="C34" s="36" t="s">
        <v>409</v>
      </c>
      <c r="D34" s="36" t="s">
        <v>265</v>
      </c>
      <c r="E34" s="37">
        <v>7431</v>
      </c>
      <c r="F34" s="38">
        <v>34.164022500000002</v>
      </c>
      <c r="G34" s="39">
        <v>1.479431E-2</v>
      </c>
      <c r="H34" s="34" t="s">
        <v>143</v>
      </c>
    </row>
    <row r="35" spans="1:8" x14ac:dyDescent="0.2">
      <c r="A35" s="35">
        <v>29</v>
      </c>
      <c r="B35" s="36" t="s">
        <v>413</v>
      </c>
      <c r="C35" s="36" t="s">
        <v>414</v>
      </c>
      <c r="D35" s="36" t="s">
        <v>198</v>
      </c>
      <c r="E35" s="37">
        <v>7579</v>
      </c>
      <c r="F35" s="38">
        <v>32.854965</v>
      </c>
      <c r="G35" s="39">
        <v>1.4227439999999999E-2</v>
      </c>
      <c r="H35" s="34" t="s">
        <v>143</v>
      </c>
    </row>
    <row r="36" spans="1:8" x14ac:dyDescent="0.2">
      <c r="A36" s="35">
        <v>30</v>
      </c>
      <c r="B36" s="36" t="s">
        <v>415</v>
      </c>
      <c r="C36" s="36" t="s">
        <v>416</v>
      </c>
      <c r="D36" s="36" t="s">
        <v>136</v>
      </c>
      <c r="E36" s="37">
        <v>18454</v>
      </c>
      <c r="F36" s="38">
        <v>29.4821104</v>
      </c>
      <c r="G36" s="39">
        <v>1.276687E-2</v>
      </c>
      <c r="H36" s="34" t="s">
        <v>143</v>
      </c>
    </row>
    <row r="37" spans="1:8" x14ac:dyDescent="0.2">
      <c r="A37" s="35">
        <v>31</v>
      </c>
      <c r="B37" s="36" t="s">
        <v>137</v>
      </c>
      <c r="C37" s="36" t="s">
        <v>138</v>
      </c>
      <c r="D37" s="36" t="s">
        <v>73</v>
      </c>
      <c r="E37" s="37">
        <v>1691</v>
      </c>
      <c r="F37" s="38">
        <v>29.240772</v>
      </c>
      <c r="G37" s="39">
        <v>1.2662359999999999E-2</v>
      </c>
      <c r="H37" s="34" t="s">
        <v>143</v>
      </c>
    </row>
    <row r="38" spans="1:8" x14ac:dyDescent="0.2">
      <c r="A38" s="35">
        <v>32</v>
      </c>
      <c r="B38" s="36" t="s">
        <v>217</v>
      </c>
      <c r="C38" s="36" t="s">
        <v>218</v>
      </c>
      <c r="D38" s="36" t="s">
        <v>61</v>
      </c>
      <c r="E38" s="37">
        <v>1390</v>
      </c>
      <c r="F38" s="38">
        <v>21.707630000000002</v>
      </c>
      <c r="G38" s="39">
        <v>9.4002200000000008E-3</v>
      </c>
      <c r="H38" s="34" t="s">
        <v>143</v>
      </c>
    </row>
    <row r="39" spans="1:8" x14ac:dyDescent="0.2">
      <c r="A39" s="35">
        <v>33</v>
      </c>
      <c r="B39" s="36" t="s">
        <v>417</v>
      </c>
      <c r="C39" s="36" t="s">
        <v>418</v>
      </c>
      <c r="D39" s="36" t="s">
        <v>55</v>
      </c>
      <c r="E39" s="37">
        <v>2745</v>
      </c>
      <c r="F39" s="38">
        <v>20.861999999999998</v>
      </c>
      <c r="G39" s="39">
        <v>9.0340300000000002E-3</v>
      </c>
      <c r="H39" s="34" t="s">
        <v>143</v>
      </c>
    </row>
    <row r="40" spans="1:8" x14ac:dyDescent="0.2">
      <c r="A40" s="35">
        <v>34</v>
      </c>
      <c r="B40" s="36" t="s">
        <v>419</v>
      </c>
      <c r="C40" s="36" t="s">
        <v>420</v>
      </c>
      <c r="D40" s="36" t="s">
        <v>55</v>
      </c>
      <c r="E40" s="37">
        <v>2810</v>
      </c>
      <c r="F40" s="38">
        <v>20.505974999999999</v>
      </c>
      <c r="G40" s="39">
        <v>8.8798599999999998E-3</v>
      </c>
      <c r="H40" s="34" t="s">
        <v>143</v>
      </c>
    </row>
    <row r="41" spans="1:8" x14ac:dyDescent="0.2">
      <c r="A41" s="35">
        <v>35</v>
      </c>
      <c r="B41" s="36" t="s">
        <v>388</v>
      </c>
      <c r="C41" s="36" t="s">
        <v>389</v>
      </c>
      <c r="D41" s="36" t="s">
        <v>192</v>
      </c>
      <c r="E41" s="37">
        <v>2512</v>
      </c>
      <c r="F41" s="38">
        <v>19.917648</v>
      </c>
      <c r="G41" s="39">
        <v>8.6250900000000002E-3</v>
      </c>
      <c r="H41" s="34" t="s">
        <v>143</v>
      </c>
    </row>
    <row r="42" spans="1:8" x14ac:dyDescent="0.2">
      <c r="A42" s="35">
        <v>36</v>
      </c>
      <c r="B42" s="36" t="s">
        <v>59</v>
      </c>
      <c r="C42" s="36" t="s">
        <v>60</v>
      </c>
      <c r="D42" s="36" t="s">
        <v>61</v>
      </c>
      <c r="E42" s="37">
        <v>1521</v>
      </c>
      <c r="F42" s="38">
        <v>16.880057999999998</v>
      </c>
      <c r="G42" s="39">
        <v>7.3096999999999997E-3</v>
      </c>
      <c r="H42" s="34" t="s">
        <v>143</v>
      </c>
    </row>
    <row r="43" spans="1:8" x14ac:dyDescent="0.2">
      <c r="A43" s="35">
        <v>37</v>
      </c>
      <c r="B43" s="36" t="s">
        <v>421</v>
      </c>
      <c r="C43" s="36" t="s">
        <v>422</v>
      </c>
      <c r="D43" s="36" t="s">
        <v>73</v>
      </c>
      <c r="E43" s="37">
        <v>1475</v>
      </c>
      <c r="F43" s="38">
        <v>14.240387500000001</v>
      </c>
      <c r="G43" s="39">
        <v>6.1666300000000002E-3</v>
      </c>
      <c r="H43" s="34" t="s">
        <v>143</v>
      </c>
    </row>
    <row r="44" spans="1:8" x14ac:dyDescent="0.2">
      <c r="A44" s="35">
        <v>38</v>
      </c>
      <c r="B44" s="36" t="s">
        <v>423</v>
      </c>
      <c r="C44" s="36" t="s">
        <v>424</v>
      </c>
      <c r="D44" s="36" t="s">
        <v>43</v>
      </c>
      <c r="E44" s="37">
        <v>2606</v>
      </c>
      <c r="F44" s="38">
        <v>10.008343</v>
      </c>
      <c r="G44" s="39">
        <v>4.3339900000000002E-3</v>
      </c>
      <c r="H44" s="34" t="s">
        <v>143</v>
      </c>
    </row>
    <row r="45" spans="1:8" x14ac:dyDescent="0.2">
      <c r="A45" s="41"/>
      <c r="B45" s="41"/>
      <c r="C45" s="42" t="s">
        <v>142</v>
      </c>
      <c r="D45" s="41"/>
      <c r="E45" s="41" t="s">
        <v>143</v>
      </c>
      <c r="F45" s="43">
        <v>2187.6534895999998</v>
      </c>
      <c r="G45" s="44">
        <v>0.94733646999999999</v>
      </c>
      <c r="H45" s="34" t="s">
        <v>143</v>
      </c>
    </row>
    <row r="46" spans="1:8" x14ac:dyDescent="0.2">
      <c r="A46" s="41"/>
      <c r="B46" s="41"/>
      <c r="C46" s="45"/>
      <c r="D46" s="41"/>
      <c r="E46" s="41"/>
      <c r="F46" s="46"/>
      <c r="G46" s="46"/>
      <c r="H46" s="34" t="s">
        <v>143</v>
      </c>
    </row>
    <row r="47" spans="1:8" x14ac:dyDescent="0.2">
      <c r="A47" s="41"/>
      <c r="B47" s="41"/>
      <c r="C47" s="42" t="s">
        <v>144</v>
      </c>
      <c r="D47" s="41"/>
      <c r="E47" s="41"/>
      <c r="F47" s="41"/>
      <c r="G47" s="41"/>
      <c r="H47" s="34" t="s">
        <v>143</v>
      </c>
    </row>
    <row r="48" spans="1:8" x14ac:dyDescent="0.2">
      <c r="A48" s="41"/>
      <c r="B48" s="41"/>
      <c r="C48" s="42" t="s">
        <v>142</v>
      </c>
      <c r="D48" s="41"/>
      <c r="E48" s="41" t="s">
        <v>143</v>
      </c>
      <c r="F48" s="47" t="s">
        <v>145</v>
      </c>
      <c r="G48" s="44">
        <v>0</v>
      </c>
      <c r="H48" s="34" t="s">
        <v>143</v>
      </c>
    </row>
    <row r="49" spans="1:8" x14ac:dyDescent="0.2">
      <c r="A49" s="41"/>
      <c r="B49" s="41"/>
      <c r="C49" s="45"/>
      <c r="D49" s="41"/>
      <c r="E49" s="41"/>
      <c r="F49" s="46"/>
      <c r="G49" s="46"/>
      <c r="H49" s="34" t="s">
        <v>143</v>
      </c>
    </row>
    <row r="50" spans="1:8" x14ac:dyDescent="0.2">
      <c r="A50" s="41"/>
      <c r="B50" s="41"/>
      <c r="C50" s="42" t="s">
        <v>146</v>
      </c>
      <c r="D50" s="41"/>
      <c r="E50" s="41"/>
      <c r="F50" s="41"/>
      <c r="G50" s="41"/>
      <c r="H50" s="34" t="s">
        <v>143</v>
      </c>
    </row>
    <row r="51" spans="1:8" x14ac:dyDescent="0.2">
      <c r="A51" s="41"/>
      <c r="B51" s="41"/>
      <c r="C51" s="42" t="s">
        <v>142</v>
      </c>
      <c r="D51" s="41"/>
      <c r="E51" s="41" t="s">
        <v>143</v>
      </c>
      <c r="F51" s="47" t="s">
        <v>145</v>
      </c>
      <c r="G51" s="44">
        <v>0</v>
      </c>
      <c r="H51" s="34" t="s">
        <v>143</v>
      </c>
    </row>
    <row r="52" spans="1:8" x14ac:dyDescent="0.2">
      <c r="A52" s="41"/>
      <c r="B52" s="41"/>
      <c r="C52" s="45"/>
      <c r="D52" s="41"/>
      <c r="E52" s="41"/>
      <c r="F52" s="46"/>
      <c r="G52" s="46"/>
      <c r="H52" s="34" t="s">
        <v>143</v>
      </c>
    </row>
    <row r="53" spans="1:8" x14ac:dyDescent="0.2">
      <c r="A53" s="41"/>
      <c r="B53" s="41"/>
      <c r="C53" s="42" t="s">
        <v>147</v>
      </c>
      <c r="D53" s="41"/>
      <c r="E53" s="41"/>
      <c r="F53" s="41"/>
      <c r="G53" s="41"/>
      <c r="H53" s="34" t="s">
        <v>143</v>
      </c>
    </row>
    <row r="54" spans="1:8" x14ac:dyDescent="0.2">
      <c r="A54" s="41"/>
      <c r="B54" s="41"/>
      <c r="C54" s="42" t="s">
        <v>142</v>
      </c>
      <c r="D54" s="41"/>
      <c r="E54" s="41" t="s">
        <v>143</v>
      </c>
      <c r="F54" s="47" t="s">
        <v>145</v>
      </c>
      <c r="G54" s="44">
        <v>0</v>
      </c>
      <c r="H54" s="34" t="s">
        <v>143</v>
      </c>
    </row>
    <row r="55" spans="1:8" x14ac:dyDescent="0.2">
      <c r="A55" s="41"/>
      <c r="B55" s="41"/>
      <c r="C55" s="45"/>
      <c r="D55" s="41"/>
      <c r="E55" s="41"/>
      <c r="F55" s="46"/>
      <c r="G55" s="46"/>
      <c r="H55" s="34" t="s">
        <v>143</v>
      </c>
    </row>
    <row r="56" spans="1:8" x14ac:dyDescent="0.2">
      <c r="A56" s="41"/>
      <c r="B56" s="41"/>
      <c r="C56" s="42" t="s">
        <v>148</v>
      </c>
      <c r="D56" s="41"/>
      <c r="E56" s="41"/>
      <c r="F56" s="46"/>
      <c r="G56" s="46"/>
      <c r="H56" s="34" t="s">
        <v>143</v>
      </c>
    </row>
    <row r="57" spans="1:8" x14ac:dyDescent="0.2">
      <c r="A57" s="41"/>
      <c r="B57" s="41"/>
      <c r="C57" s="42" t="s">
        <v>142</v>
      </c>
      <c r="D57" s="41"/>
      <c r="E57" s="41" t="s">
        <v>143</v>
      </c>
      <c r="F57" s="47" t="s">
        <v>145</v>
      </c>
      <c r="G57" s="44">
        <v>0</v>
      </c>
      <c r="H57" s="34" t="s">
        <v>143</v>
      </c>
    </row>
    <row r="58" spans="1:8" x14ac:dyDescent="0.2">
      <c r="A58" s="41"/>
      <c r="B58" s="41"/>
      <c r="C58" s="45"/>
      <c r="D58" s="41"/>
      <c r="E58" s="41"/>
      <c r="F58" s="46"/>
      <c r="G58" s="46"/>
      <c r="H58" s="34" t="s">
        <v>143</v>
      </c>
    </row>
    <row r="59" spans="1:8" x14ac:dyDescent="0.2">
      <c r="A59" s="41"/>
      <c r="B59" s="41"/>
      <c r="C59" s="42" t="s">
        <v>149</v>
      </c>
      <c r="D59" s="41"/>
      <c r="E59" s="41"/>
      <c r="F59" s="46"/>
      <c r="G59" s="46"/>
      <c r="H59" s="34" t="s">
        <v>143</v>
      </c>
    </row>
    <row r="60" spans="1:8" x14ac:dyDescent="0.2">
      <c r="A60" s="41"/>
      <c r="B60" s="41"/>
      <c r="C60" s="42" t="s">
        <v>142</v>
      </c>
      <c r="D60" s="41"/>
      <c r="E60" s="41" t="s">
        <v>143</v>
      </c>
      <c r="F60" s="47" t="s">
        <v>145</v>
      </c>
      <c r="G60" s="44">
        <v>0</v>
      </c>
      <c r="H60" s="34" t="s">
        <v>143</v>
      </c>
    </row>
    <row r="61" spans="1:8" x14ac:dyDescent="0.2">
      <c r="A61" s="41"/>
      <c r="B61" s="41"/>
      <c r="C61" s="45"/>
      <c r="D61" s="41"/>
      <c r="E61" s="41"/>
      <c r="F61" s="46"/>
      <c r="G61" s="46"/>
      <c r="H61" s="34" t="s">
        <v>143</v>
      </c>
    </row>
    <row r="62" spans="1:8" x14ac:dyDescent="0.2">
      <c r="A62" s="41"/>
      <c r="B62" s="41"/>
      <c r="C62" s="42" t="s">
        <v>150</v>
      </c>
      <c r="D62" s="41"/>
      <c r="E62" s="41"/>
      <c r="F62" s="43">
        <v>2187.6534895999998</v>
      </c>
      <c r="G62" s="44">
        <v>0.94733646999999999</v>
      </c>
      <c r="H62" s="34" t="s">
        <v>143</v>
      </c>
    </row>
    <row r="63" spans="1:8" x14ac:dyDescent="0.2">
      <c r="A63" s="41"/>
      <c r="B63" s="41"/>
      <c r="C63" s="45"/>
      <c r="D63" s="41"/>
      <c r="E63" s="41"/>
      <c r="F63" s="46"/>
      <c r="G63" s="46"/>
      <c r="H63" s="34" t="s">
        <v>143</v>
      </c>
    </row>
    <row r="64" spans="1:8" x14ac:dyDescent="0.2">
      <c r="A64" s="41"/>
      <c r="B64" s="41"/>
      <c r="C64" s="42" t="s">
        <v>151</v>
      </c>
      <c r="D64" s="41"/>
      <c r="E64" s="41"/>
      <c r="F64" s="46"/>
      <c r="G64" s="46"/>
      <c r="H64" s="34" t="s">
        <v>143</v>
      </c>
    </row>
    <row r="65" spans="1:8" x14ac:dyDescent="0.2">
      <c r="A65" s="41"/>
      <c r="B65" s="41"/>
      <c r="C65" s="42" t="s">
        <v>10</v>
      </c>
      <c r="D65" s="41"/>
      <c r="E65" s="41"/>
      <c r="F65" s="46"/>
      <c r="G65" s="46"/>
      <c r="H65" s="34" t="s">
        <v>143</v>
      </c>
    </row>
    <row r="66" spans="1:8" x14ac:dyDescent="0.2">
      <c r="A66" s="41"/>
      <c r="B66" s="41"/>
      <c r="C66" s="42" t="s">
        <v>142</v>
      </c>
      <c r="D66" s="41"/>
      <c r="E66" s="41" t="s">
        <v>143</v>
      </c>
      <c r="F66" s="47" t="s">
        <v>145</v>
      </c>
      <c r="G66" s="44">
        <v>0</v>
      </c>
      <c r="H66" s="34" t="s">
        <v>143</v>
      </c>
    </row>
    <row r="67" spans="1:8" x14ac:dyDescent="0.2">
      <c r="A67" s="41"/>
      <c r="B67" s="41"/>
      <c r="C67" s="45"/>
      <c r="D67" s="41"/>
      <c r="E67" s="41"/>
      <c r="F67" s="46"/>
      <c r="G67" s="46"/>
      <c r="H67" s="34" t="s">
        <v>143</v>
      </c>
    </row>
    <row r="68" spans="1:8" x14ac:dyDescent="0.2">
      <c r="A68" s="41"/>
      <c r="B68" s="41"/>
      <c r="C68" s="42" t="s">
        <v>152</v>
      </c>
      <c r="D68" s="41"/>
      <c r="E68" s="41"/>
      <c r="F68" s="41"/>
      <c r="G68" s="41"/>
      <c r="H68" s="34" t="s">
        <v>143</v>
      </c>
    </row>
    <row r="69" spans="1:8" x14ac:dyDescent="0.2">
      <c r="A69" s="41"/>
      <c r="B69" s="41"/>
      <c r="C69" s="42" t="s">
        <v>142</v>
      </c>
      <c r="D69" s="41"/>
      <c r="E69" s="41" t="s">
        <v>143</v>
      </c>
      <c r="F69" s="47" t="s">
        <v>145</v>
      </c>
      <c r="G69" s="44">
        <v>0</v>
      </c>
      <c r="H69" s="34" t="s">
        <v>143</v>
      </c>
    </row>
    <row r="70" spans="1:8" x14ac:dyDescent="0.2">
      <c r="A70" s="41"/>
      <c r="B70" s="41"/>
      <c r="C70" s="45"/>
      <c r="D70" s="41"/>
      <c r="E70" s="41"/>
      <c r="F70" s="46"/>
      <c r="G70" s="46"/>
      <c r="H70" s="34" t="s">
        <v>143</v>
      </c>
    </row>
    <row r="71" spans="1:8" x14ac:dyDescent="0.2">
      <c r="A71" s="41"/>
      <c r="B71" s="41"/>
      <c r="C71" s="42" t="s">
        <v>153</v>
      </c>
      <c r="D71" s="41"/>
      <c r="E71" s="41"/>
      <c r="F71" s="41"/>
      <c r="G71" s="41"/>
      <c r="H71" s="34" t="s">
        <v>143</v>
      </c>
    </row>
    <row r="72" spans="1:8" x14ac:dyDescent="0.2">
      <c r="A72" s="41"/>
      <c r="B72" s="41"/>
      <c r="C72" s="42" t="s">
        <v>142</v>
      </c>
      <c r="D72" s="41"/>
      <c r="E72" s="41" t="s">
        <v>143</v>
      </c>
      <c r="F72" s="47" t="s">
        <v>145</v>
      </c>
      <c r="G72" s="44">
        <v>0</v>
      </c>
      <c r="H72" s="34" t="s">
        <v>143</v>
      </c>
    </row>
    <row r="73" spans="1:8" x14ac:dyDescent="0.2">
      <c r="A73" s="41"/>
      <c r="B73" s="41"/>
      <c r="C73" s="45"/>
      <c r="D73" s="41"/>
      <c r="E73" s="41"/>
      <c r="F73" s="46"/>
      <c r="G73" s="46"/>
      <c r="H73" s="34" t="s">
        <v>143</v>
      </c>
    </row>
    <row r="74" spans="1:8" x14ac:dyDescent="0.2">
      <c r="A74" s="41"/>
      <c r="B74" s="41"/>
      <c r="C74" s="42" t="s">
        <v>154</v>
      </c>
      <c r="D74" s="41"/>
      <c r="E74" s="41"/>
      <c r="F74" s="46"/>
      <c r="G74" s="46"/>
      <c r="H74" s="34" t="s">
        <v>143</v>
      </c>
    </row>
    <row r="75" spans="1:8" x14ac:dyDescent="0.2">
      <c r="A75" s="41"/>
      <c r="B75" s="41"/>
      <c r="C75" s="42" t="s">
        <v>142</v>
      </c>
      <c r="D75" s="41"/>
      <c r="E75" s="41" t="s">
        <v>143</v>
      </c>
      <c r="F75" s="47" t="s">
        <v>145</v>
      </c>
      <c r="G75" s="44">
        <v>0</v>
      </c>
      <c r="H75" s="34" t="s">
        <v>143</v>
      </c>
    </row>
    <row r="76" spans="1:8" x14ac:dyDescent="0.2">
      <c r="A76" s="41"/>
      <c r="B76" s="41"/>
      <c r="C76" s="45"/>
      <c r="D76" s="41"/>
      <c r="E76" s="41"/>
      <c r="F76" s="46"/>
      <c r="G76" s="46"/>
      <c r="H76" s="34" t="s">
        <v>143</v>
      </c>
    </row>
    <row r="77" spans="1:8" x14ac:dyDescent="0.2">
      <c r="A77" s="41"/>
      <c r="B77" s="41"/>
      <c r="C77" s="42" t="s">
        <v>155</v>
      </c>
      <c r="D77" s="41"/>
      <c r="E77" s="41"/>
      <c r="F77" s="43">
        <v>0</v>
      </c>
      <c r="G77" s="44">
        <v>0</v>
      </c>
      <c r="H77" s="34" t="s">
        <v>143</v>
      </c>
    </row>
    <row r="78" spans="1:8" x14ac:dyDescent="0.2">
      <c r="A78" s="41"/>
      <c r="B78" s="41"/>
      <c r="C78" s="45"/>
      <c r="D78" s="41"/>
      <c r="E78" s="41"/>
      <c r="F78" s="46"/>
      <c r="G78" s="46"/>
      <c r="H78" s="34" t="s">
        <v>143</v>
      </c>
    </row>
    <row r="79" spans="1:8" x14ac:dyDescent="0.2">
      <c r="A79" s="41"/>
      <c r="B79" s="41"/>
      <c r="C79" s="42" t="s">
        <v>156</v>
      </c>
      <c r="D79" s="41"/>
      <c r="E79" s="41"/>
      <c r="F79" s="46"/>
      <c r="G79" s="46"/>
      <c r="H79" s="34" t="s">
        <v>143</v>
      </c>
    </row>
    <row r="80" spans="1:8" x14ac:dyDescent="0.2">
      <c r="A80" s="41"/>
      <c r="B80" s="41"/>
      <c r="C80" s="42" t="s">
        <v>157</v>
      </c>
      <c r="D80" s="41"/>
      <c r="E80" s="41"/>
      <c r="F80" s="46"/>
      <c r="G80" s="46"/>
      <c r="H80" s="34" t="s">
        <v>143</v>
      </c>
    </row>
    <row r="81" spans="1:8" x14ac:dyDescent="0.2">
      <c r="A81" s="41"/>
      <c r="B81" s="41"/>
      <c r="C81" s="42" t="s">
        <v>142</v>
      </c>
      <c r="D81" s="41"/>
      <c r="E81" s="41" t="s">
        <v>143</v>
      </c>
      <c r="F81" s="47" t="s">
        <v>145</v>
      </c>
      <c r="G81" s="44">
        <v>0</v>
      </c>
      <c r="H81" s="34" t="s">
        <v>143</v>
      </c>
    </row>
    <row r="82" spans="1:8" x14ac:dyDescent="0.2">
      <c r="A82" s="41"/>
      <c r="B82" s="41"/>
      <c r="C82" s="45"/>
      <c r="D82" s="41"/>
      <c r="E82" s="41"/>
      <c r="F82" s="46"/>
      <c r="G82" s="46"/>
      <c r="H82" s="34" t="s">
        <v>143</v>
      </c>
    </row>
    <row r="83" spans="1:8" x14ac:dyDescent="0.2">
      <c r="A83" s="41"/>
      <c r="B83" s="41"/>
      <c r="C83" s="42" t="s">
        <v>158</v>
      </c>
      <c r="D83" s="41"/>
      <c r="E83" s="41"/>
      <c r="F83" s="46"/>
      <c r="G83" s="46"/>
      <c r="H83" s="34" t="s">
        <v>143</v>
      </c>
    </row>
    <row r="84" spans="1:8" x14ac:dyDescent="0.2">
      <c r="A84" s="41"/>
      <c r="B84" s="41"/>
      <c r="C84" s="42" t="s">
        <v>142</v>
      </c>
      <c r="D84" s="41"/>
      <c r="E84" s="41" t="s">
        <v>143</v>
      </c>
      <c r="F84" s="47" t="s">
        <v>145</v>
      </c>
      <c r="G84" s="44">
        <v>0</v>
      </c>
      <c r="H84" s="34" t="s">
        <v>143</v>
      </c>
    </row>
    <row r="85" spans="1:8" x14ac:dyDescent="0.2">
      <c r="A85" s="41"/>
      <c r="B85" s="41"/>
      <c r="C85" s="45"/>
      <c r="D85" s="41"/>
      <c r="E85" s="41"/>
      <c r="F85" s="46"/>
      <c r="G85" s="46"/>
      <c r="H85" s="34" t="s">
        <v>143</v>
      </c>
    </row>
    <row r="86" spans="1:8" x14ac:dyDescent="0.2">
      <c r="A86" s="41"/>
      <c r="B86" s="41"/>
      <c r="C86" s="42" t="s">
        <v>159</v>
      </c>
      <c r="D86" s="41"/>
      <c r="E86" s="41"/>
      <c r="F86" s="46"/>
      <c r="G86" s="46"/>
      <c r="H86" s="34" t="s">
        <v>143</v>
      </c>
    </row>
    <row r="87" spans="1:8" x14ac:dyDescent="0.2">
      <c r="A87" s="41"/>
      <c r="B87" s="41"/>
      <c r="C87" s="42" t="s">
        <v>142</v>
      </c>
      <c r="D87" s="41"/>
      <c r="E87" s="41" t="s">
        <v>143</v>
      </c>
      <c r="F87" s="47" t="s">
        <v>145</v>
      </c>
      <c r="G87" s="44">
        <v>0</v>
      </c>
      <c r="H87" s="34" t="s">
        <v>143</v>
      </c>
    </row>
    <row r="88" spans="1:8" x14ac:dyDescent="0.2">
      <c r="A88" s="41"/>
      <c r="B88" s="41"/>
      <c r="C88" s="45"/>
      <c r="D88" s="41"/>
      <c r="E88" s="41"/>
      <c r="F88" s="46"/>
      <c r="G88" s="46"/>
      <c r="H88" s="34" t="s">
        <v>143</v>
      </c>
    </row>
    <row r="89" spans="1:8" x14ac:dyDescent="0.2">
      <c r="A89" s="41"/>
      <c r="B89" s="41"/>
      <c r="C89" s="42" t="s">
        <v>160</v>
      </c>
      <c r="D89" s="41"/>
      <c r="E89" s="41"/>
      <c r="F89" s="46"/>
      <c r="G89" s="46"/>
      <c r="H89" s="34" t="s">
        <v>143</v>
      </c>
    </row>
    <row r="90" spans="1:8" x14ac:dyDescent="0.2">
      <c r="A90" s="35">
        <v>1</v>
      </c>
      <c r="B90" s="36"/>
      <c r="C90" s="36" t="s">
        <v>161</v>
      </c>
      <c r="D90" s="36"/>
      <c r="E90" s="48"/>
      <c r="F90" s="38">
        <v>121.223354001</v>
      </c>
      <c r="G90" s="39">
        <v>5.2494279999999997E-2</v>
      </c>
      <c r="H90" s="34">
        <v>5.47</v>
      </c>
    </row>
    <row r="91" spans="1:8" x14ac:dyDescent="0.2">
      <c r="A91" s="41"/>
      <c r="B91" s="41"/>
      <c r="C91" s="42" t="s">
        <v>142</v>
      </c>
      <c r="D91" s="41"/>
      <c r="E91" s="41" t="s">
        <v>143</v>
      </c>
      <c r="F91" s="43">
        <v>121.223354001</v>
      </c>
      <c r="G91" s="44">
        <v>5.2494279999999997E-2</v>
      </c>
      <c r="H91" s="34" t="s">
        <v>143</v>
      </c>
    </row>
    <row r="92" spans="1:8" x14ac:dyDescent="0.2">
      <c r="A92" s="41"/>
      <c r="B92" s="41"/>
      <c r="C92" s="45"/>
      <c r="D92" s="41"/>
      <c r="E92" s="41"/>
      <c r="F92" s="46"/>
      <c r="G92" s="46"/>
      <c r="H92" s="34" t="s">
        <v>143</v>
      </c>
    </row>
    <row r="93" spans="1:8" x14ac:dyDescent="0.2">
      <c r="A93" s="41"/>
      <c r="B93" s="41"/>
      <c r="C93" s="42" t="s">
        <v>162</v>
      </c>
      <c r="D93" s="41"/>
      <c r="E93" s="41"/>
      <c r="F93" s="43">
        <v>121.223354001</v>
      </c>
      <c r="G93" s="44">
        <v>5.2494279999999997E-2</v>
      </c>
      <c r="H93" s="34" t="s">
        <v>143</v>
      </c>
    </row>
    <row r="94" spans="1:8" x14ac:dyDescent="0.2">
      <c r="A94" s="41"/>
      <c r="B94" s="41"/>
      <c r="C94" s="46"/>
      <c r="D94" s="41"/>
      <c r="E94" s="41"/>
      <c r="F94" s="41"/>
      <c r="G94" s="41"/>
      <c r="H94" s="34" t="s">
        <v>143</v>
      </c>
    </row>
    <row r="95" spans="1:8" x14ac:dyDescent="0.2">
      <c r="A95" s="41"/>
      <c r="B95" s="41"/>
      <c r="C95" s="42" t="s">
        <v>163</v>
      </c>
      <c r="D95" s="41"/>
      <c r="E95" s="41"/>
      <c r="F95" s="41"/>
      <c r="G95" s="41"/>
      <c r="H95" s="34" t="s">
        <v>143</v>
      </c>
    </row>
    <row r="96" spans="1:8" x14ac:dyDescent="0.2">
      <c r="A96" s="41"/>
      <c r="B96" s="41"/>
      <c r="C96" s="42" t="s">
        <v>164</v>
      </c>
      <c r="D96" s="41"/>
      <c r="E96" s="41"/>
      <c r="F96" s="41"/>
      <c r="G96" s="41"/>
      <c r="H96" s="34" t="s">
        <v>143</v>
      </c>
    </row>
    <row r="97" spans="1:17" x14ac:dyDescent="0.2">
      <c r="A97" s="41"/>
      <c r="B97" s="41"/>
      <c r="C97" s="42" t="s">
        <v>142</v>
      </c>
      <c r="D97" s="41"/>
      <c r="E97" s="41" t="s">
        <v>143</v>
      </c>
      <c r="F97" s="47" t="s">
        <v>145</v>
      </c>
      <c r="G97" s="44">
        <v>0</v>
      </c>
      <c r="H97" s="34" t="s">
        <v>143</v>
      </c>
    </row>
    <row r="98" spans="1:17" x14ac:dyDescent="0.2">
      <c r="A98" s="41"/>
      <c r="B98" s="41"/>
      <c r="C98" s="45"/>
      <c r="D98" s="41"/>
      <c r="E98" s="41"/>
      <c r="F98" s="46"/>
      <c r="G98" s="46"/>
      <c r="H98" s="34" t="s">
        <v>143</v>
      </c>
    </row>
    <row r="99" spans="1:17" x14ac:dyDescent="0.2">
      <c r="A99" s="41"/>
      <c r="B99" s="41"/>
      <c r="C99" s="42" t="s">
        <v>165</v>
      </c>
      <c r="D99" s="41"/>
      <c r="E99" s="41"/>
      <c r="F99" s="41"/>
      <c r="G99" s="41"/>
      <c r="H99" s="34" t="s">
        <v>143</v>
      </c>
    </row>
    <row r="100" spans="1:17" x14ac:dyDescent="0.2">
      <c r="A100" s="41"/>
      <c r="B100" s="41"/>
      <c r="C100" s="42" t="s">
        <v>166</v>
      </c>
      <c r="D100" s="41"/>
      <c r="E100" s="41"/>
      <c r="F100" s="41"/>
      <c r="G100" s="41"/>
      <c r="H100" s="34" t="s">
        <v>143</v>
      </c>
    </row>
    <row r="101" spans="1:17" x14ac:dyDescent="0.2">
      <c r="A101" s="41"/>
      <c r="B101" s="41"/>
      <c r="C101" s="42" t="s">
        <v>142</v>
      </c>
      <c r="D101" s="41"/>
      <c r="E101" s="41" t="s">
        <v>143</v>
      </c>
      <c r="F101" s="47" t="s">
        <v>145</v>
      </c>
      <c r="G101" s="44">
        <v>0</v>
      </c>
      <c r="H101" s="34" t="s">
        <v>143</v>
      </c>
    </row>
    <row r="102" spans="1:17" x14ac:dyDescent="0.2">
      <c r="A102" s="41"/>
      <c r="B102" s="41"/>
      <c r="C102" s="45"/>
      <c r="D102" s="41"/>
      <c r="E102" s="41"/>
      <c r="F102" s="46"/>
      <c r="G102" s="46"/>
      <c r="H102" s="34" t="s">
        <v>143</v>
      </c>
    </row>
    <row r="103" spans="1:17" x14ac:dyDescent="0.2">
      <c r="A103" s="41"/>
      <c r="B103" s="41"/>
      <c r="C103" s="42" t="s">
        <v>167</v>
      </c>
      <c r="D103" s="41"/>
      <c r="E103" s="41"/>
      <c r="F103" s="46"/>
      <c r="G103" s="46"/>
      <c r="H103" s="34" t="s">
        <v>143</v>
      </c>
    </row>
    <row r="104" spans="1:17" x14ac:dyDescent="0.2">
      <c r="A104" s="41"/>
      <c r="B104" s="41"/>
      <c r="C104" s="42" t="s">
        <v>142</v>
      </c>
      <c r="D104" s="41"/>
      <c r="E104" s="41" t="s">
        <v>143</v>
      </c>
      <c r="F104" s="47" t="s">
        <v>145</v>
      </c>
      <c r="G104" s="44">
        <v>0</v>
      </c>
      <c r="H104" s="34" t="s">
        <v>143</v>
      </c>
    </row>
    <row r="105" spans="1:17" x14ac:dyDescent="0.2">
      <c r="A105" s="41"/>
      <c r="B105" s="41"/>
      <c r="C105" s="45"/>
      <c r="D105" s="41"/>
      <c r="E105" s="41"/>
      <c r="F105" s="46"/>
      <c r="G105" s="46"/>
      <c r="H105" s="34" t="s">
        <v>143</v>
      </c>
    </row>
    <row r="106" spans="1:17" x14ac:dyDescent="0.2">
      <c r="A106" s="48"/>
      <c r="B106" s="36"/>
      <c r="C106" s="36" t="s">
        <v>168</v>
      </c>
      <c r="D106" s="36"/>
      <c r="E106" s="48"/>
      <c r="F106" s="38">
        <v>0.39089024</v>
      </c>
      <c r="G106" s="39">
        <v>1.6927000000000001E-4</v>
      </c>
      <c r="H106" s="34" t="s">
        <v>143</v>
      </c>
    </row>
    <row r="107" spans="1:17" x14ac:dyDescent="0.2">
      <c r="A107" s="45"/>
      <c r="B107" s="45"/>
      <c r="C107" s="42" t="s">
        <v>169</v>
      </c>
      <c r="D107" s="46"/>
      <c r="E107" s="46"/>
      <c r="F107" s="43">
        <v>2309.2677338409999</v>
      </c>
      <c r="G107" s="51">
        <v>1.0000000200000001</v>
      </c>
      <c r="H107" s="34" t="s">
        <v>143</v>
      </c>
    </row>
    <row r="108" spans="1:17" x14ac:dyDescent="0.2">
      <c r="A108" s="52"/>
      <c r="B108" s="52"/>
      <c r="C108" s="52"/>
      <c r="D108" s="53"/>
      <c r="E108" s="53"/>
      <c r="F108" s="53"/>
      <c r="G108" s="53"/>
    </row>
    <row r="109" spans="1:17" x14ac:dyDescent="0.2">
      <c r="A109" s="54"/>
      <c r="B109" s="158" t="s">
        <v>852</v>
      </c>
      <c r="C109" s="158"/>
      <c r="D109" s="158"/>
      <c r="E109" s="158"/>
      <c r="F109" s="158"/>
      <c r="G109" s="158"/>
      <c r="H109" s="158"/>
      <c r="J109" s="56"/>
    </row>
    <row r="110" spans="1:17" x14ac:dyDescent="0.2">
      <c r="A110" s="54"/>
      <c r="B110" s="158" t="s">
        <v>853</v>
      </c>
      <c r="C110" s="158"/>
      <c r="D110" s="158"/>
      <c r="E110" s="158"/>
      <c r="F110" s="158"/>
      <c r="G110" s="158"/>
      <c r="H110" s="158"/>
      <c r="J110" s="56"/>
    </row>
    <row r="111" spans="1:17" x14ac:dyDescent="0.2">
      <c r="A111" s="54"/>
      <c r="B111" s="158" t="s">
        <v>854</v>
      </c>
      <c r="C111" s="158"/>
      <c r="D111" s="158"/>
      <c r="E111" s="158"/>
      <c r="F111" s="158"/>
      <c r="G111" s="158"/>
      <c r="H111" s="158"/>
      <c r="J111" s="56"/>
    </row>
    <row r="112" spans="1:17" s="58" customFormat="1" ht="55.5" customHeight="1" x14ac:dyDescent="0.25">
      <c r="A112" s="57"/>
      <c r="B112" s="159" t="s">
        <v>855</v>
      </c>
      <c r="C112" s="159"/>
      <c r="D112" s="159"/>
      <c r="E112" s="159"/>
      <c r="F112" s="159"/>
      <c r="G112" s="159"/>
      <c r="H112" s="159"/>
      <c r="I112"/>
      <c r="J112" s="56"/>
      <c r="K112"/>
      <c r="L112"/>
      <c r="M112"/>
      <c r="N112"/>
      <c r="O112"/>
      <c r="P112"/>
      <c r="Q112"/>
    </row>
    <row r="113" spans="1:10" x14ac:dyDescent="0.2">
      <c r="A113" s="54"/>
      <c r="B113" s="158" t="s">
        <v>856</v>
      </c>
      <c r="C113" s="158"/>
      <c r="D113" s="158"/>
      <c r="E113" s="158"/>
      <c r="F113" s="158"/>
      <c r="G113" s="158"/>
      <c r="H113" s="158"/>
      <c r="J113" s="56"/>
    </row>
    <row r="114" spans="1:10" x14ac:dyDescent="0.2">
      <c r="A114" s="54"/>
      <c r="B114" s="54"/>
      <c r="C114" s="54"/>
      <c r="D114" s="59"/>
      <c r="E114" s="59"/>
      <c r="F114" s="59"/>
      <c r="G114" s="59"/>
    </row>
    <row r="115" spans="1:10" x14ac:dyDescent="0.2">
      <c r="A115" s="54"/>
      <c r="B115" s="160" t="s">
        <v>170</v>
      </c>
      <c r="C115" s="161"/>
      <c r="D115" s="162"/>
      <c r="E115" s="60"/>
      <c r="F115" s="59"/>
      <c r="G115" s="59"/>
    </row>
    <row r="116" spans="1:10" ht="27.75" customHeight="1" x14ac:dyDescent="0.2">
      <c r="A116" s="54"/>
      <c r="B116" s="154" t="s">
        <v>171</v>
      </c>
      <c r="C116" s="155"/>
      <c r="D116" s="33" t="s">
        <v>172</v>
      </c>
      <c r="E116" s="60"/>
      <c r="F116" s="59"/>
      <c r="G116" s="59"/>
    </row>
    <row r="117" spans="1:10" ht="12.75" customHeight="1" x14ac:dyDescent="0.2">
      <c r="A117" s="54"/>
      <c r="B117" s="154" t="s">
        <v>857</v>
      </c>
      <c r="C117" s="155"/>
      <c r="D117" s="33" t="s">
        <v>172</v>
      </c>
      <c r="E117" s="60"/>
      <c r="F117" s="59"/>
      <c r="G117" s="59"/>
    </row>
    <row r="118" spans="1:10" x14ac:dyDescent="0.2">
      <c r="A118" s="54"/>
      <c r="B118" s="154" t="s">
        <v>173</v>
      </c>
      <c r="C118" s="155"/>
      <c r="D118" s="61" t="s">
        <v>143</v>
      </c>
      <c r="E118" s="60"/>
      <c r="F118" s="59"/>
      <c r="G118" s="59"/>
    </row>
    <row r="119" spans="1:10" x14ac:dyDescent="0.2">
      <c r="A119" s="62"/>
      <c r="B119" s="63" t="s">
        <v>143</v>
      </c>
      <c r="C119" s="63" t="s">
        <v>858</v>
      </c>
      <c r="D119" s="63" t="s">
        <v>174</v>
      </c>
      <c r="E119" s="62"/>
      <c r="F119" s="62"/>
      <c r="G119" s="62"/>
      <c r="H119" s="62"/>
      <c r="J119" s="56"/>
    </row>
    <row r="120" spans="1:10" x14ac:dyDescent="0.2">
      <c r="A120" s="62"/>
      <c r="B120" s="64" t="s">
        <v>175</v>
      </c>
      <c r="C120" s="65">
        <v>45808</v>
      </c>
      <c r="D120" s="65">
        <v>45838</v>
      </c>
      <c r="E120" s="62"/>
      <c r="F120" s="62"/>
      <c r="G120" s="62"/>
      <c r="J120" s="56"/>
    </row>
    <row r="121" spans="1:10" x14ac:dyDescent="0.2">
      <c r="A121" s="66"/>
      <c r="B121" s="36" t="s">
        <v>176</v>
      </c>
      <c r="C121" s="67">
        <v>32.069600000000001</v>
      </c>
      <c r="D121" s="67">
        <v>34.001100000000001</v>
      </c>
      <c r="E121" s="66"/>
      <c r="F121" s="68"/>
      <c r="G121" s="69"/>
    </row>
    <row r="122" spans="1:10" x14ac:dyDescent="0.2">
      <c r="A122" s="66"/>
      <c r="B122" s="36" t="s">
        <v>1086</v>
      </c>
      <c r="C122" s="67">
        <v>29.4649</v>
      </c>
      <c r="D122" s="67">
        <v>31.2395</v>
      </c>
      <c r="E122" s="66"/>
      <c r="F122" s="68"/>
      <c r="G122" s="69"/>
    </row>
    <row r="123" spans="1:10" x14ac:dyDescent="0.2">
      <c r="A123" s="66"/>
      <c r="B123" s="36" t="s">
        <v>177</v>
      </c>
      <c r="C123" s="67">
        <v>31.456</v>
      </c>
      <c r="D123" s="67">
        <v>33.344499999999996</v>
      </c>
      <c r="E123" s="66"/>
      <c r="F123" s="68"/>
      <c r="G123" s="69"/>
    </row>
    <row r="124" spans="1:10" x14ac:dyDescent="0.2">
      <c r="A124" s="66"/>
      <c r="B124" s="36" t="s">
        <v>1087</v>
      </c>
      <c r="C124" s="67">
        <v>28.8659</v>
      </c>
      <c r="D124" s="67">
        <v>30.5989</v>
      </c>
      <c r="E124" s="66"/>
      <c r="F124" s="68"/>
      <c r="G124" s="69"/>
    </row>
    <row r="125" spans="1:10" x14ac:dyDescent="0.2">
      <c r="A125" s="66"/>
      <c r="B125" s="66"/>
      <c r="C125" s="66"/>
      <c r="D125" s="66"/>
      <c r="E125" s="66"/>
      <c r="F125" s="66"/>
      <c r="G125" s="66"/>
    </row>
    <row r="126" spans="1:10" x14ac:dyDescent="0.2">
      <c r="A126" s="62"/>
      <c r="B126" s="154" t="s">
        <v>860</v>
      </c>
      <c r="C126" s="155"/>
      <c r="D126" s="33" t="s">
        <v>172</v>
      </c>
      <c r="E126" s="62"/>
      <c r="F126" s="62"/>
      <c r="G126" s="62"/>
    </row>
    <row r="127" spans="1:10" x14ac:dyDescent="0.2">
      <c r="A127" s="62"/>
      <c r="B127" s="70"/>
      <c r="C127" s="70"/>
      <c r="D127" s="70"/>
      <c r="E127" s="62"/>
      <c r="F127" s="62"/>
      <c r="G127" s="62"/>
    </row>
    <row r="128" spans="1:10" x14ac:dyDescent="0.2">
      <c r="A128" s="62"/>
      <c r="B128" s="154" t="s">
        <v>178</v>
      </c>
      <c r="C128" s="155"/>
      <c r="D128" s="33" t="s">
        <v>172</v>
      </c>
      <c r="E128" s="70"/>
      <c r="F128" s="70"/>
      <c r="G128" s="70"/>
    </row>
    <row r="129" spans="1:10" x14ac:dyDescent="0.2">
      <c r="A129" s="62"/>
      <c r="B129" s="154" t="s">
        <v>179</v>
      </c>
      <c r="C129" s="155"/>
      <c r="D129" s="33" t="s">
        <v>172</v>
      </c>
      <c r="E129" s="62"/>
      <c r="F129" s="62"/>
      <c r="G129" s="62"/>
    </row>
    <row r="130" spans="1:10" ht="12.75" customHeight="1" x14ac:dyDescent="0.2">
      <c r="A130" s="62"/>
      <c r="B130" s="154" t="s">
        <v>180</v>
      </c>
      <c r="C130" s="155"/>
      <c r="D130" s="33" t="s">
        <v>172</v>
      </c>
      <c r="E130" s="71"/>
      <c r="F130" s="62"/>
      <c r="G130" s="62"/>
    </row>
    <row r="131" spans="1:10" ht="12.75" customHeight="1" x14ac:dyDescent="0.2">
      <c r="A131" s="62"/>
      <c r="B131" s="154" t="s">
        <v>181</v>
      </c>
      <c r="C131" s="155"/>
      <c r="D131" s="72">
        <v>4.8001838209370776E-2</v>
      </c>
      <c r="E131" s="71"/>
      <c r="F131" s="62"/>
      <c r="G131" s="62"/>
    </row>
    <row r="134" spans="1:10" x14ac:dyDescent="0.2">
      <c r="B134" s="156" t="s">
        <v>861</v>
      </c>
      <c r="C134" s="156"/>
    </row>
    <row r="136" spans="1:10" ht="153.75" customHeight="1" x14ac:dyDescent="0.2"/>
    <row r="139" spans="1:10" x14ac:dyDescent="0.2">
      <c r="B139" s="79" t="s">
        <v>862</v>
      </c>
      <c r="C139" s="80"/>
      <c r="D139" s="79"/>
    </row>
    <row r="140" spans="1:10" x14ac:dyDescent="0.2">
      <c r="B140" s="79" t="s">
        <v>870</v>
      </c>
      <c r="D140" s="79"/>
    </row>
    <row r="141" spans="1:10" ht="165" customHeight="1" x14ac:dyDescent="0.2"/>
    <row r="143" spans="1:10" x14ac:dyDescent="0.2">
      <c r="J143" s="31"/>
    </row>
  </sheetData>
  <mergeCells count="18">
    <mergeCell ref="A1:H1"/>
    <mergeCell ref="A2:H2"/>
    <mergeCell ref="A3:H3"/>
    <mergeCell ref="B109:H109"/>
    <mergeCell ref="B110:H110"/>
    <mergeCell ref="B111:H111"/>
    <mergeCell ref="B112:H112"/>
    <mergeCell ref="B113:H113"/>
    <mergeCell ref="B115:D115"/>
    <mergeCell ref="B116:C116"/>
    <mergeCell ref="B117:C117"/>
    <mergeCell ref="B118:C118"/>
    <mergeCell ref="B134:C134"/>
    <mergeCell ref="B126:C126"/>
    <mergeCell ref="B130:C130"/>
    <mergeCell ref="B131:C131"/>
    <mergeCell ref="B128:C128"/>
    <mergeCell ref="B129:C129"/>
  </mergeCells>
  <hyperlinks>
    <hyperlink ref="I1" location="Index!B2" display="Index" xr:uid="{0E68E08B-041A-454B-BC6B-01016CD3F115}"/>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289C3-CC65-4F4B-9737-2AB1AF152CCE}">
  <sheetPr>
    <outlinePr summaryBelow="0" summaryRight="0"/>
  </sheetPr>
  <dimension ref="A1:Q134"/>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426</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322</v>
      </c>
      <c r="C7" s="36" t="s">
        <v>323</v>
      </c>
      <c r="D7" s="36" t="s">
        <v>33</v>
      </c>
      <c r="E7" s="37">
        <v>6465</v>
      </c>
      <c r="F7" s="38">
        <v>129.396975</v>
      </c>
      <c r="G7" s="39">
        <v>9.6309640000000002E-2</v>
      </c>
      <c r="H7" s="34" t="s">
        <v>143</v>
      </c>
    </row>
    <row r="8" spans="1:9" x14ac:dyDescent="0.2">
      <c r="A8" s="35">
        <v>2</v>
      </c>
      <c r="B8" s="36" t="s">
        <v>31</v>
      </c>
      <c r="C8" s="36" t="s">
        <v>32</v>
      </c>
      <c r="D8" s="36" t="s">
        <v>33</v>
      </c>
      <c r="E8" s="37">
        <v>8911</v>
      </c>
      <c r="F8" s="38">
        <v>128.835238</v>
      </c>
      <c r="G8" s="39">
        <v>9.5891550000000006E-2</v>
      </c>
      <c r="H8" s="34" t="s">
        <v>143</v>
      </c>
    </row>
    <row r="9" spans="1:9" x14ac:dyDescent="0.2">
      <c r="A9" s="35">
        <v>3</v>
      </c>
      <c r="B9" s="36" t="s">
        <v>14</v>
      </c>
      <c r="C9" s="36" t="s">
        <v>15</v>
      </c>
      <c r="D9" s="36" t="s">
        <v>16</v>
      </c>
      <c r="E9" s="37">
        <v>6978</v>
      </c>
      <c r="F9" s="38">
        <v>104.711868</v>
      </c>
      <c r="G9" s="39">
        <v>7.7936619999999998E-2</v>
      </c>
      <c r="H9" s="34" t="s">
        <v>143</v>
      </c>
    </row>
    <row r="10" spans="1:9" x14ac:dyDescent="0.2">
      <c r="A10" s="35">
        <v>4</v>
      </c>
      <c r="B10" s="36" t="s">
        <v>46</v>
      </c>
      <c r="C10" s="36" t="s">
        <v>47</v>
      </c>
      <c r="D10" s="36" t="s">
        <v>33</v>
      </c>
      <c r="E10" s="37">
        <v>11730</v>
      </c>
      <c r="F10" s="38">
        <v>96.227054999999993</v>
      </c>
      <c r="G10" s="39">
        <v>7.1621409999999996E-2</v>
      </c>
      <c r="H10" s="34" t="s">
        <v>143</v>
      </c>
    </row>
    <row r="11" spans="1:9" x14ac:dyDescent="0.2">
      <c r="A11" s="35">
        <v>5</v>
      </c>
      <c r="B11" s="36" t="s">
        <v>328</v>
      </c>
      <c r="C11" s="36" t="s">
        <v>329</v>
      </c>
      <c r="D11" s="36" t="s">
        <v>198</v>
      </c>
      <c r="E11" s="37">
        <v>5430</v>
      </c>
      <c r="F11" s="38">
        <v>86.977739999999997</v>
      </c>
      <c r="G11" s="39">
        <v>6.4737180000000005E-2</v>
      </c>
      <c r="H11" s="34" t="s">
        <v>143</v>
      </c>
    </row>
    <row r="12" spans="1:9" x14ac:dyDescent="0.2">
      <c r="A12" s="35">
        <v>6</v>
      </c>
      <c r="B12" s="36" t="s">
        <v>11</v>
      </c>
      <c r="C12" s="36" t="s">
        <v>12</v>
      </c>
      <c r="D12" s="36" t="s">
        <v>13</v>
      </c>
      <c r="E12" s="37">
        <v>4294</v>
      </c>
      <c r="F12" s="38">
        <v>86.292224000000004</v>
      </c>
      <c r="G12" s="39">
        <v>6.4226950000000005E-2</v>
      </c>
      <c r="H12" s="34" t="s">
        <v>143</v>
      </c>
    </row>
    <row r="13" spans="1:9" x14ac:dyDescent="0.2">
      <c r="A13" s="35">
        <v>7</v>
      </c>
      <c r="B13" s="36" t="s">
        <v>17</v>
      </c>
      <c r="C13" s="36" t="s">
        <v>18</v>
      </c>
      <c r="D13" s="36" t="s">
        <v>19</v>
      </c>
      <c r="E13" s="37">
        <v>1772</v>
      </c>
      <c r="F13" s="38">
        <v>65.028856000000005</v>
      </c>
      <c r="G13" s="39">
        <v>4.840071E-2</v>
      </c>
      <c r="H13" s="34" t="s">
        <v>143</v>
      </c>
    </row>
    <row r="14" spans="1:9" ht="25.5" x14ac:dyDescent="0.2">
      <c r="A14" s="35">
        <v>8</v>
      </c>
      <c r="B14" s="36" t="s">
        <v>23</v>
      </c>
      <c r="C14" s="36" t="s">
        <v>24</v>
      </c>
      <c r="D14" s="36" t="s">
        <v>25</v>
      </c>
      <c r="E14" s="37">
        <v>424</v>
      </c>
      <c r="F14" s="38">
        <v>51.274320000000003</v>
      </c>
      <c r="G14" s="39">
        <v>3.8163269999999999E-2</v>
      </c>
      <c r="H14" s="34" t="s">
        <v>143</v>
      </c>
    </row>
    <row r="15" spans="1:9" x14ac:dyDescent="0.2">
      <c r="A15" s="35">
        <v>9</v>
      </c>
      <c r="B15" s="36" t="s">
        <v>324</v>
      </c>
      <c r="C15" s="36" t="s">
        <v>325</v>
      </c>
      <c r="D15" s="36" t="s">
        <v>33</v>
      </c>
      <c r="E15" s="37">
        <v>3621</v>
      </c>
      <c r="F15" s="38">
        <v>43.423031999999999</v>
      </c>
      <c r="G15" s="39">
        <v>3.2319590000000002E-2</v>
      </c>
      <c r="H15" s="34" t="s">
        <v>143</v>
      </c>
    </row>
    <row r="16" spans="1:9" ht="25.5" x14ac:dyDescent="0.2">
      <c r="A16" s="35">
        <v>10</v>
      </c>
      <c r="B16" s="36" t="s">
        <v>183</v>
      </c>
      <c r="C16" s="36" t="s">
        <v>184</v>
      </c>
      <c r="D16" s="36" t="s">
        <v>185</v>
      </c>
      <c r="E16" s="37">
        <v>1637</v>
      </c>
      <c r="F16" s="38">
        <v>41.010123999999998</v>
      </c>
      <c r="G16" s="39">
        <v>3.0523669999999999E-2</v>
      </c>
      <c r="H16" s="34" t="s">
        <v>143</v>
      </c>
    </row>
    <row r="17" spans="1:8" x14ac:dyDescent="0.2">
      <c r="A17" s="35">
        <v>11</v>
      </c>
      <c r="B17" s="36" t="s">
        <v>202</v>
      </c>
      <c r="C17" s="36" t="s">
        <v>203</v>
      </c>
      <c r="D17" s="36" t="s">
        <v>16</v>
      </c>
      <c r="E17" s="37">
        <v>9124</v>
      </c>
      <c r="F17" s="38">
        <v>39.967682000000003</v>
      </c>
      <c r="G17" s="39">
        <v>2.9747780000000001E-2</v>
      </c>
      <c r="H17" s="34" t="s">
        <v>143</v>
      </c>
    </row>
    <row r="18" spans="1:8" x14ac:dyDescent="0.2">
      <c r="A18" s="35">
        <v>12</v>
      </c>
      <c r="B18" s="36" t="s">
        <v>134</v>
      </c>
      <c r="C18" s="36" t="s">
        <v>135</v>
      </c>
      <c r="D18" s="36" t="s">
        <v>136</v>
      </c>
      <c r="E18" s="37">
        <v>3580</v>
      </c>
      <c r="F18" s="38">
        <v>33.712859999999999</v>
      </c>
      <c r="G18" s="39">
        <v>2.5092349999999999E-2</v>
      </c>
      <c r="H18" s="34" t="s">
        <v>143</v>
      </c>
    </row>
    <row r="19" spans="1:8" x14ac:dyDescent="0.2">
      <c r="A19" s="35">
        <v>13</v>
      </c>
      <c r="B19" s="36" t="s">
        <v>427</v>
      </c>
      <c r="C19" s="36" t="s">
        <v>428</v>
      </c>
      <c r="D19" s="36" t="s">
        <v>251</v>
      </c>
      <c r="E19" s="37">
        <v>4883</v>
      </c>
      <c r="F19" s="38">
        <v>33.595039999999997</v>
      </c>
      <c r="G19" s="39">
        <v>2.500465E-2</v>
      </c>
      <c r="H19" s="34" t="s">
        <v>143</v>
      </c>
    </row>
    <row r="20" spans="1:8" x14ac:dyDescent="0.2">
      <c r="A20" s="35">
        <v>14</v>
      </c>
      <c r="B20" s="36" t="s">
        <v>359</v>
      </c>
      <c r="C20" s="36" t="s">
        <v>360</v>
      </c>
      <c r="D20" s="36" t="s">
        <v>55</v>
      </c>
      <c r="E20" s="37">
        <v>901</v>
      </c>
      <c r="F20" s="38">
        <v>33.248702000000002</v>
      </c>
      <c r="G20" s="39">
        <v>2.4746870000000001E-2</v>
      </c>
      <c r="H20" s="34" t="s">
        <v>143</v>
      </c>
    </row>
    <row r="21" spans="1:8" x14ac:dyDescent="0.2">
      <c r="A21" s="35">
        <v>15</v>
      </c>
      <c r="B21" s="36" t="s">
        <v>352</v>
      </c>
      <c r="C21" s="36" t="s">
        <v>353</v>
      </c>
      <c r="D21" s="36" t="s">
        <v>354</v>
      </c>
      <c r="E21" s="37">
        <v>7286</v>
      </c>
      <c r="F21" s="38">
        <v>30.342547</v>
      </c>
      <c r="G21" s="39">
        <v>2.2583840000000001E-2</v>
      </c>
      <c r="H21" s="34" t="s">
        <v>143</v>
      </c>
    </row>
    <row r="22" spans="1:8" x14ac:dyDescent="0.2">
      <c r="A22" s="35">
        <v>16</v>
      </c>
      <c r="B22" s="36" t="s">
        <v>429</v>
      </c>
      <c r="C22" s="36" t="s">
        <v>430</v>
      </c>
      <c r="D22" s="36" t="s">
        <v>198</v>
      </c>
      <c r="E22" s="37">
        <v>1555</v>
      </c>
      <c r="F22" s="38">
        <v>26.879729999999999</v>
      </c>
      <c r="G22" s="39">
        <v>2.0006469999999998E-2</v>
      </c>
      <c r="H22" s="34" t="s">
        <v>143</v>
      </c>
    </row>
    <row r="23" spans="1:8" ht="25.5" x14ac:dyDescent="0.2">
      <c r="A23" s="35">
        <v>17</v>
      </c>
      <c r="B23" s="36" t="s">
        <v>382</v>
      </c>
      <c r="C23" s="36" t="s">
        <v>383</v>
      </c>
      <c r="D23" s="36" t="s">
        <v>270</v>
      </c>
      <c r="E23" s="37">
        <v>526</v>
      </c>
      <c r="F23" s="38">
        <v>25.353726000000002</v>
      </c>
      <c r="G23" s="39">
        <v>1.8870680000000001E-2</v>
      </c>
      <c r="H23" s="34" t="s">
        <v>143</v>
      </c>
    </row>
    <row r="24" spans="1:8" x14ac:dyDescent="0.2">
      <c r="A24" s="35">
        <v>18</v>
      </c>
      <c r="B24" s="36" t="s">
        <v>37</v>
      </c>
      <c r="C24" s="36" t="s">
        <v>38</v>
      </c>
      <c r="D24" s="36" t="s">
        <v>16</v>
      </c>
      <c r="E24" s="37">
        <v>7496</v>
      </c>
      <c r="F24" s="38">
        <v>24.882971999999999</v>
      </c>
      <c r="G24" s="39">
        <v>1.85203E-2</v>
      </c>
      <c r="H24" s="34" t="s">
        <v>143</v>
      </c>
    </row>
    <row r="25" spans="1:8" x14ac:dyDescent="0.2">
      <c r="A25" s="35">
        <v>19</v>
      </c>
      <c r="B25" s="36" t="s">
        <v>99</v>
      </c>
      <c r="C25" s="36" t="s">
        <v>100</v>
      </c>
      <c r="D25" s="36" t="s">
        <v>43</v>
      </c>
      <c r="E25" s="37">
        <v>587</v>
      </c>
      <c r="F25" s="38">
        <v>23.757650999999999</v>
      </c>
      <c r="G25" s="39">
        <v>1.7682719999999999E-2</v>
      </c>
      <c r="H25" s="34" t="s">
        <v>143</v>
      </c>
    </row>
    <row r="26" spans="1:8" x14ac:dyDescent="0.2">
      <c r="A26" s="35">
        <v>20</v>
      </c>
      <c r="B26" s="36" t="s">
        <v>334</v>
      </c>
      <c r="C26" s="36" t="s">
        <v>335</v>
      </c>
      <c r="D26" s="36" t="s">
        <v>33</v>
      </c>
      <c r="E26" s="37">
        <v>9495</v>
      </c>
      <c r="F26" s="38">
        <v>23.621661</v>
      </c>
      <c r="G26" s="39">
        <v>1.7581510000000002E-2</v>
      </c>
      <c r="H26" s="34" t="s">
        <v>143</v>
      </c>
    </row>
    <row r="27" spans="1:8" x14ac:dyDescent="0.2">
      <c r="A27" s="35">
        <v>21</v>
      </c>
      <c r="B27" s="36" t="s">
        <v>431</v>
      </c>
      <c r="C27" s="36" t="s">
        <v>432</v>
      </c>
      <c r="D27" s="36" t="s">
        <v>256</v>
      </c>
      <c r="E27" s="37">
        <v>1169</v>
      </c>
      <c r="F27" s="38">
        <v>21.489726999999998</v>
      </c>
      <c r="G27" s="39">
        <v>1.599472E-2</v>
      </c>
      <c r="H27" s="34" t="s">
        <v>143</v>
      </c>
    </row>
    <row r="28" spans="1:8" x14ac:dyDescent="0.2">
      <c r="A28" s="35">
        <v>22</v>
      </c>
      <c r="B28" s="36" t="s">
        <v>433</v>
      </c>
      <c r="C28" s="36" t="s">
        <v>434</v>
      </c>
      <c r="D28" s="36" t="s">
        <v>198</v>
      </c>
      <c r="E28" s="37">
        <v>617</v>
      </c>
      <c r="F28" s="38">
        <v>21.36054</v>
      </c>
      <c r="G28" s="39">
        <v>1.5898559999999999E-2</v>
      </c>
      <c r="H28" s="34" t="s">
        <v>143</v>
      </c>
    </row>
    <row r="29" spans="1:8" x14ac:dyDescent="0.2">
      <c r="A29" s="35">
        <v>23</v>
      </c>
      <c r="B29" s="36" t="s">
        <v>435</v>
      </c>
      <c r="C29" s="36" t="s">
        <v>436</v>
      </c>
      <c r="D29" s="36" t="s">
        <v>437</v>
      </c>
      <c r="E29" s="37">
        <v>2810</v>
      </c>
      <c r="F29" s="38">
        <v>19.469085</v>
      </c>
      <c r="G29" s="39">
        <v>1.449076E-2</v>
      </c>
      <c r="H29" s="34" t="s">
        <v>143</v>
      </c>
    </row>
    <row r="30" spans="1:8" ht="25.5" x14ac:dyDescent="0.2">
      <c r="A30" s="35">
        <v>24</v>
      </c>
      <c r="B30" s="36" t="s">
        <v>438</v>
      </c>
      <c r="C30" s="36" t="s">
        <v>439</v>
      </c>
      <c r="D30" s="36" t="s">
        <v>209</v>
      </c>
      <c r="E30" s="37">
        <v>1612</v>
      </c>
      <c r="F30" s="38">
        <v>17.714268000000001</v>
      </c>
      <c r="G30" s="39">
        <v>1.3184660000000001E-2</v>
      </c>
      <c r="H30" s="34" t="s">
        <v>143</v>
      </c>
    </row>
    <row r="31" spans="1:8" ht="25.5" x14ac:dyDescent="0.2">
      <c r="A31" s="35">
        <v>25</v>
      </c>
      <c r="B31" s="36" t="s">
        <v>440</v>
      </c>
      <c r="C31" s="36" t="s">
        <v>441</v>
      </c>
      <c r="D31" s="36" t="s">
        <v>201</v>
      </c>
      <c r="E31" s="37">
        <v>1140</v>
      </c>
      <c r="F31" s="38">
        <v>17.167259999999999</v>
      </c>
      <c r="G31" s="39">
        <v>1.2777520000000001E-2</v>
      </c>
      <c r="H31" s="34" t="s">
        <v>143</v>
      </c>
    </row>
    <row r="32" spans="1:8" ht="25.5" x14ac:dyDescent="0.2">
      <c r="A32" s="35">
        <v>26</v>
      </c>
      <c r="B32" s="36" t="s">
        <v>442</v>
      </c>
      <c r="C32" s="36" t="s">
        <v>443</v>
      </c>
      <c r="D32" s="36" t="s">
        <v>25</v>
      </c>
      <c r="E32" s="37">
        <v>1190</v>
      </c>
      <c r="F32" s="38">
        <v>15.97456</v>
      </c>
      <c r="G32" s="39">
        <v>1.1889800000000001E-2</v>
      </c>
      <c r="H32" s="34" t="s">
        <v>143</v>
      </c>
    </row>
    <row r="33" spans="1:8" x14ac:dyDescent="0.2">
      <c r="A33" s="35">
        <v>27</v>
      </c>
      <c r="B33" s="36" t="s">
        <v>326</v>
      </c>
      <c r="C33" s="36" t="s">
        <v>327</v>
      </c>
      <c r="D33" s="36" t="s">
        <v>33</v>
      </c>
      <c r="E33" s="37">
        <v>731</v>
      </c>
      <c r="F33" s="38">
        <v>15.815185</v>
      </c>
      <c r="G33" s="39">
        <v>1.1771179999999999E-2</v>
      </c>
      <c r="H33" s="34" t="s">
        <v>143</v>
      </c>
    </row>
    <row r="34" spans="1:8" x14ac:dyDescent="0.2">
      <c r="A34" s="35">
        <v>28</v>
      </c>
      <c r="B34" s="36" t="s">
        <v>444</v>
      </c>
      <c r="C34" s="36" t="s">
        <v>445</v>
      </c>
      <c r="D34" s="36" t="s">
        <v>354</v>
      </c>
      <c r="E34" s="37">
        <v>517</v>
      </c>
      <c r="F34" s="38">
        <v>11.863082</v>
      </c>
      <c r="G34" s="39">
        <v>8.8296399999999997E-3</v>
      </c>
      <c r="H34" s="34" t="s">
        <v>143</v>
      </c>
    </row>
    <row r="35" spans="1:8" x14ac:dyDescent="0.2">
      <c r="A35" s="35">
        <v>29</v>
      </c>
      <c r="B35" s="36" t="s">
        <v>128</v>
      </c>
      <c r="C35" s="36" t="s">
        <v>129</v>
      </c>
      <c r="D35" s="36" t="s">
        <v>52</v>
      </c>
      <c r="E35" s="37">
        <v>1497</v>
      </c>
      <c r="F35" s="38">
        <v>11.374205999999999</v>
      </c>
      <c r="G35" s="39">
        <v>8.4657799999999991E-3</v>
      </c>
      <c r="H35" s="34" t="s">
        <v>143</v>
      </c>
    </row>
    <row r="36" spans="1:8" x14ac:dyDescent="0.2">
      <c r="A36" s="35">
        <v>30</v>
      </c>
      <c r="B36" s="36" t="s">
        <v>446</v>
      </c>
      <c r="C36" s="36" t="s">
        <v>447</v>
      </c>
      <c r="D36" s="36" t="s">
        <v>33</v>
      </c>
      <c r="E36" s="37">
        <v>989</v>
      </c>
      <c r="F36" s="38">
        <v>8.6250689999999999</v>
      </c>
      <c r="G36" s="39">
        <v>6.4196000000000001E-3</v>
      </c>
      <c r="H36" s="34" t="s">
        <v>143</v>
      </c>
    </row>
    <row r="37" spans="1:8" x14ac:dyDescent="0.2">
      <c r="A37" s="35">
        <v>31</v>
      </c>
      <c r="B37" s="36" t="s">
        <v>448</v>
      </c>
      <c r="C37" s="36" t="s">
        <v>449</v>
      </c>
      <c r="D37" s="36" t="s">
        <v>198</v>
      </c>
      <c r="E37" s="37">
        <v>3116</v>
      </c>
      <c r="F37" s="38">
        <v>8.2879368000000007</v>
      </c>
      <c r="G37" s="39">
        <v>6.1686800000000002E-3</v>
      </c>
      <c r="H37" s="34" t="s">
        <v>143</v>
      </c>
    </row>
    <row r="38" spans="1:8" x14ac:dyDescent="0.2">
      <c r="A38" s="41"/>
      <c r="B38" s="41"/>
      <c r="C38" s="42" t="s">
        <v>142</v>
      </c>
      <c r="D38" s="41"/>
      <c r="E38" s="41" t="s">
        <v>143</v>
      </c>
      <c r="F38" s="43">
        <v>1297.6809218000001</v>
      </c>
      <c r="G38" s="44">
        <v>0.96585865999999998</v>
      </c>
      <c r="H38" s="34" t="s">
        <v>143</v>
      </c>
    </row>
    <row r="39" spans="1:8" x14ac:dyDescent="0.2">
      <c r="A39" s="41"/>
      <c r="B39" s="41"/>
      <c r="C39" s="45"/>
      <c r="D39" s="41"/>
      <c r="E39" s="41"/>
      <c r="F39" s="46"/>
      <c r="G39" s="46"/>
      <c r="H39" s="34" t="s">
        <v>143</v>
      </c>
    </row>
    <row r="40" spans="1:8" x14ac:dyDescent="0.2">
      <c r="A40" s="41"/>
      <c r="B40" s="41"/>
      <c r="C40" s="42" t="s">
        <v>144</v>
      </c>
      <c r="D40" s="41"/>
      <c r="E40" s="41"/>
      <c r="F40" s="41"/>
      <c r="G40" s="41"/>
      <c r="H40" s="34" t="s">
        <v>143</v>
      </c>
    </row>
    <row r="41" spans="1:8" x14ac:dyDescent="0.2">
      <c r="A41" s="41"/>
      <c r="B41" s="41"/>
      <c r="C41" s="42" t="s">
        <v>142</v>
      </c>
      <c r="D41" s="41"/>
      <c r="E41" s="41" t="s">
        <v>143</v>
      </c>
      <c r="F41" s="47" t="s">
        <v>145</v>
      </c>
      <c r="G41" s="44">
        <v>0</v>
      </c>
      <c r="H41" s="34" t="s">
        <v>143</v>
      </c>
    </row>
    <row r="42" spans="1:8" x14ac:dyDescent="0.2">
      <c r="A42" s="41"/>
      <c r="B42" s="41"/>
      <c r="C42" s="45"/>
      <c r="D42" s="41"/>
      <c r="E42" s="41"/>
      <c r="F42" s="46"/>
      <c r="G42" s="46"/>
      <c r="H42" s="34" t="s">
        <v>143</v>
      </c>
    </row>
    <row r="43" spans="1:8" x14ac:dyDescent="0.2">
      <c r="A43" s="41"/>
      <c r="B43" s="41"/>
      <c r="C43" s="42" t="s">
        <v>146</v>
      </c>
      <c r="D43" s="41"/>
      <c r="E43" s="41"/>
      <c r="F43" s="41"/>
      <c r="G43" s="41"/>
      <c r="H43" s="34" t="s">
        <v>143</v>
      </c>
    </row>
    <row r="44" spans="1:8" x14ac:dyDescent="0.2">
      <c r="A44" s="41"/>
      <c r="B44" s="41"/>
      <c r="C44" s="42" t="s">
        <v>142</v>
      </c>
      <c r="D44" s="41"/>
      <c r="E44" s="41" t="s">
        <v>143</v>
      </c>
      <c r="F44" s="47" t="s">
        <v>145</v>
      </c>
      <c r="G44" s="44">
        <v>0</v>
      </c>
      <c r="H44" s="34" t="s">
        <v>143</v>
      </c>
    </row>
    <row r="45" spans="1:8" x14ac:dyDescent="0.2">
      <c r="A45" s="41"/>
      <c r="B45" s="41"/>
      <c r="C45" s="45"/>
      <c r="D45" s="41"/>
      <c r="E45" s="41"/>
      <c r="F45" s="46"/>
      <c r="G45" s="46"/>
      <c r="H45" s="34" t="s">
        <v>143</v>
      </c>
    </row>
    <row r="46" spans="1:8" x14ac:dyDescent="0.2">
      <c r="A46" s="41"/>
      <c r="B46" s="41"/>
      <c r="C46" s="42" t="s">
        <v>147</v>
      </c>
      <c r="D46" s="41"/>
      <c r="E46" s="41"/>
      <c r="F46" s="41"/>
      <c r="G46" s="41"/>
      <c r="H46" s="34" t="s">
        <v>143</v>
      </c>
    </row>
    <row r="47" spans="1:8" x14ac:dyDescent="0.2">
      <c r="A47" s="41"/>
      <c r="B47" s="41"/>
      <c r="C47" s="42" t="s">
        <v>142</v>
      </c>
      <c r="D47" s="41"/>
      <c r="E47" s="41" t="s">
        <v>143</v>
      </c>
      <c r="F47" s="47" t="s">
        <v>145</v>
      </c>
      <c r="G47" s="44">
        <v>0</v>
      </c>
      <c r="H47" s="34" t="s">
        <v>143</v>
      </c>
    </row>
    <row r="48" spans="1:8" x14ac:dyDescent="0.2">
      <c r="A48" s="41"/>
      <c r="B48" s="41"/>
      <c r="C48" s="45"/>
      <c r="D48" s="41"/>
      <c r="E48" s="41"/>
      <c r="F48" s="46"/>
      <c r="G48" s="46"/>
      <c r="H48" s="34" t="s">
        <v>143</v>
      </c>
    </row>
    <row r="49" spans="1:8" x14ac:dyDescent="0.2">
      <c r="A49" s="41"/>
      <c r="B49" s="41"/>
      <c r="C49" s="42" t="s">
        <v>148</v>
      </c>
      <c r="D49" s="41"/>
      <c r="E49" s="41"/>
      <c r="F49" s="46"/>
      <c r="G49" s="46"/>
      <c r="H49" s="34" t="s">
        <v>143</v>
      </c>
    </row>
    <row r="50" spans="1:8" x14ac:dyDescent="0.2">
      <c r="A50" s="41"/>
      <c r="B50" s="41"/>
      <c r="C50" s="42" t="s">
        <v>142</v>
      </c>
      <c r="D50" s="41"/>
      <c r="E50" s="41" t="s">
        <v>143</v>
      </c>
      <c r="F50" s="47" t="s">
        <v>145</v>
      </c>
      <c r="G50" s="44">
        <v>0</v>
      </c>
      <c r="H50" s="34" t="s">
        <v>143</v>
      </c>
    </row>
    <row r="51" spans="1:8" x14ac:dyDescent="0.2">
      <c r="A51" s="41"/>
      <c r="B51" s="41"/>
      <c r="C51" s="45"/>
      <c r="D51" s="41"/>
      <c r="E51" s="41"/>
      <c r="F51" s="46"/>
      <c r="G51" s="46"/>
      <c r="H51" s="34" t="s">
        <v>143</v>
      </c>
    </row>
    <row r="52" spans="1:8" x14ac:dyDescent="0.2">
      <c r="A52" s="41"/>
      <c r="B52" s="41"/>
      <c r="C52" s="42" t="s">
        <v>149</v>
      </c>
      <c r="D52" s="41"/>
      <c r="E52" s="41"/>
      <c r="F52" s="46"/>
      <c r="G52" s="46"/>
      <c r="H52" s="34" t="s">
        <v>143</v>
      </c>
    </row>
    <row r="53" spans="1:8" x14ac:dyDescent="0.2">
      <c r="A53" s="41"/>
      <c r="B53" s="41"/>
      <c r="C53" s="42" t="s">
        <v>142</v>
      </c>
      <c r="D53" s="41"/>
      <c r="E53" s="41" t="s">
        <v>143</v>
      </c>
      <c r="F53" s="47" t="s">
        <v>145</v>
      </c>
      <c r="G53" s="44">
        <v>0</v>
      </c>
      <c r="H53" s="34" t="s">
        <v>143</v>
      </c>
    </row>
    <row r="54" spans="1:8" x14ac:dyDescent="0.2">
      <c r="A54" s="41"/>
      <c r="B54" s="41"/>
      <c r="C54" s="45"/>
      <c r="D54" s="41"/>
      <c r="E54" s="41"/>
      <c r="F54" s="46"/>
      <c r="G54" s="46"/>
      <c r="H54" s="34" t="s">
        <v>143</v>
      </c>
    </row>
    <row r="55" spans="1:8" x14ac:dyDescent="0.2">
      <c r="A55" s="41"/>
      <c r="B55" s="41"/>
      <c r="C55" s="42" t="s">
        <v>150</v>
      </c>
      <c r="D55" s="41"/>
      <c r="E55" s="41"/>
      <c r="F55" s="43">
        <v>1297.6809218000001</v>
      </c>
      <c r="G55" s="44">
        <v>0.96585865999999998</v>
      </c>
      <c r="H55" s="34" t="s">
        <v>143</v>
      </c>
    </row>
    <row r="56" spans="1:8" x14ac:dyDescent="0.2">
      <c r="A56" s="41"/>
      <c r="B56" s="41"/>
      <c r="C56" s="45"/>
      <c r="D56" s="41"/>
      <c r="E56" s="41"/>
      <c r="F56" s="46"/>
      <c r="G56" s="46"/>
      <c r="H56" s="34" t="s">
        <v>143</v>
      </c>
    </row>
    <row r="57" spans="1:8" x14ac:dyDescent="0.2">
      <c r="A57" s="41"/>
      <c r="B57" s="41"/>
      <c r="C57" s="42" t="s">
        <v>151</v>
      </c>
      <c r="D57" s="41"/>
      <c r="E57" s="41"/>
      <c r="F57" s="46"/>
      <c r="G57" s="46"/>
      <c r="H57" s="34" t="s">
        <v>143</v>
      </c>
    </row>
    <row r="58" spans="1:8" x14ac:dyDescent="0.2">
      <c r="A58" s="41"/>
      <c r="B58" s="41"/>
      <c r="C58" s="42" t="s">
        <v>10</v>
      </c>
      <c r="D58" s="41"/>
      <c r="E58" s="41"/>
      <c r="F58" s="46"/>
      <c r="G58" s="46"/>
      <c r="H58" s="34" t="s">
        <v>143</v>
      </c>
    </row>
    <row r="59" spans="1:8" x14ac:dyDescent="0.2">
      <c r="A59" s="41"/>
      <c r="B59" s="41"/>
      <c r="C59" s="42" t="s">
        <v>142</v>
      </c>
      <c r="D59" s="41"/>
      <c r="E59" s="41" t="s">
        <v>143</v>
      </c>
      <c r="F59" s="47" t="s">
        <v>145</v>
      </c>
      <c r="G59" s="44">
        <v>0</v>
      </c>
      <c r="H59" s="34" t="s">
        <v>143</v>
      </c>
    </row>
    <row r="60" spans="1:8" x14ac:dyDescent="0.2">
      <c r="A60" s="41"/>
      <c r="B60" s="41"/>
      <c r="C60" s="45"/>
      <c r="D60" s="41"/>
      <c r="E60" s="41"/>
      <c r="F60" s="46"/>
      <c r="G60" s="46"/>
      <c r="H60" s="34" t="s">
        <v>143</v>
      </c>
    </row>
    <row r="61" spans="1:8" x14ac:dyDescent="0.2">
      <c r="A61" s="41"/>
      <c r="B61" s="41"/>
      <c r="C61" s="42" t="s">
        <v>152</v>
      </c>
      <c r="D61" s="41"/>
      <c r="E61" s="41"/>
      <c r="F61" s="41"/>
      <c r="G61" s="41"/>
      <c r="H61" s="34" t="s">
        <v>143</v>
      </c>
    </row>
    <row r="62" spans="1:8" x14ac:dyDescent="0.2">
      <c r="A62" s="41"/>
      <c r="B62" s="41"/>
      <c r="C62" s="42" t="s">
        <v>142</v>
      </c>
      <c r="D62" s="41"/>
      <c r="E62" s="41" t="s">
        <v>143</v>
      </c>
      <c r="F62" s="47" t="s">
        <v>145</v>
      </c>
      <c r="G62" s="44">
        <v>0</v>
      </c>
      <c r="H62" s="34" t="s">
        <v>143</v>
      </c>
    </row>
    <row r="63" spans="1:8" x14ac:dyDescent="0.2">
      <c r="A63" s="41"/>
      <c r="B63" s="41"/>
      <c r="C63" s="45"/>
      <c r="D63" s="41"/>
      <c r="E63" s="41"/>
      <c r="F63" s="46"/>
      <c r="G63" s="46"/>
      <c r="H63" s="34" t="s">
        <v>143</v>
      </c>
    </row>
    <row r="64" spans="1:8" x14ac:dyDescent="0.2">
      <c r="A64" s="41"/>
      <c r="B64" s="41"/>
      <c r="C64" s="42" t="s">
        <v>153</v>
      </c>
      <c r="D64" s="41"/>
      <c r="E64" s="41"/>
      <c r="F64" s="41"/>
      <c r="G64" s="41"/>
      <c r="H64" s="34" t="s">
        <v>143</v>
      </c>
    </row>
    <row r="65" spans="1:8" x14ac:dyDescent="0.2">
      <c r="A65" s="41"/>
      <c r="B65" s="41"/>
      <c r="C65" s="42" t="s">
        <v>142</v>
      </c>
      <c r="D65" s="41"/>
      <c r="E65" s="41" t="s">
        <v>143</v>
      </c>
      <c r="F65" s="47" t="s">
        <v>145</v>
      </c>
      <c r="G65" s="44">
        <v>0</v>
      </c>
      <c r="H65" s="34" t="s">
        <v>143</v>
      </c>
    </row>
    <row r="66" spans="1:8" x14ac:dyDescent="0.2">
      <c r="A66" s="41"/>
      <c r="B66" s="41"/>
      <c r="C66" s="45"/>
      <c r="D66" s="41"/>
      <c r="E66" s="41"/>
      <c r="F66" s="46"/>
      <c r="G66" s="46"/>
      <c r="H66" s="34" t="s">
        <v>143</v>
      </c>
    </row>
    <row r="67" spans="1:8" x14ac:dyDescent="0.2">
      <c r="A67" s="41"/>
      <c r="B67" s="41"/>
      <c r="C67" s="42" t="s">
        <v>154</v>
      </c>
      <c r="D67" s="41"/>
      <c r="E67" s="41"/>
      <c r="F67" s="46"/>
      <c r="G67" s="46"/>
      <c r="H67" s="34" t="s">
        <v>143</v>
      </c>
    </row>
    <row r="68" spans="1:8" x14ac:dyDescent="0.2">
      <c r="A68" s="41"/>
      <c r="B68" s="41"/>
      <c r="C68" s="42" t="s">
        <v>142</v>
      </c>
      <c r="D68" s="41"/>
      <c r="E68" s="41" t="s">
        <v>143</v>
      </c>
      <c r="F68" s="47" t="s">
        <v>145</v>
      </c>
      <c r="G68" s="44">
        <v>0</v>
      </c>
      <c r="H68" s="34" t="s">
        <v>143</v>
      </c>
    </row>
    <row r="69" spans="1:8" x14ac:dyDescent="0.2">
      <c r="A69" s="41"/>
      <c r="B69" s="41"/>
      <c r="C69" s="45"/>
      <c r="D69" s="41"/>
      <c r="E69" s="41"/>
      <c r="F69" s="46"/>
      <c r="G69" s="46"/>
      <c r="H69" s="34" t="s">
        <v>143</v>
      </c>
    </row>
    <row r="70" spans="1:8" x14ac:dyDescent="0.2">
      <c r="A70" s="41"/>
      <c r="B70" s="41"/>
      <c r="C70" s="42" t="s">
        <v>155</v>
      </c>
      <c r="D70" s="41"/>
      <c r="E70" s="41"/>
      <c r="F70" s="43">
        <v>0</v>
      </c>
      <c r="G70" s="44">
        <v>0</v>
      </c>
      <c r="H70" s="34" t="s">
        <v>143</v>
      </c>
    </row>
    <row r="71" spans="1:8" x14ac:dyDescent="0.2">
      <c r="A71" s="41"/>
      <c r="B71" s="41"/>
      <c r="C71" s="45"/>
      <c r="D71" s="41"/>
      <c r="E71" s="41"/>
      <c r="F71" s="46"/>
      <c r="G71" s="46"/>
      <c r="H71" s="34" t="s">
        <v>143</v>
      </c>
    </row>
    <row r="72" spans="1:8" x14ac:dyDescent="0.2">
      <c r="A72" s="41"/>
      <c r="B72" s="41"/>
      <c r="C72" s="42" t="s">
        <v>156</v>
      </c>
      <c r="D72" s="41"/>
      <c r="E72" s="41"/>
      <c r="F72" s="46"/>
      <c r="G72" s="46"/>
      <c r="H72" s="34" t="s">
        <v>143</v>
      </c>
    </row>
    <row r="73" spans="1:8" x14ac:dyDescent="0.2">
      <c r="A73" s="41"/>
      <c r="B73" s="41"/>
      <c r="C73" s="42" t="s">
        <v>157</v>
      </c>
      <c r="D73" s="41"/>
      <c r="E73" s="41"/>
      <c r="F73" s="46"/>
      <c r="G73" s="46"/>
      <c r="H73" s="34" t="s">
        <v>143</v>
      </c>
    </row>
    <row r="74" spans="1:8" x14ac:dyDescent="0.2">
      <c r="A74" s="41"/>
      <c r="B74" s="41"/>
      <c r="C74" s="42" t="s">
        <v>142</v>
      </c>
      <c r="D74" s="41"/>
      <c r="E74" s="41" t="s">
        <v>143</v>
      </c>
      <c r="F74" s="47" t="s">
        <v>145</v>
      </c>
      <c r="G74" s="44">
        <v>0</v>
      </c>
      <c r="H74" s="34" t="s">
        <v>143</v>
      </c>
    </row>
    <row r="75" spans="1:8" x14ac:dyDescent="0.2">
      <c r="A75" s="41"/>
      <c r="B75" s="41"/>
      <c r="C75" s="45"/>
      <c r="D75" s="41"/>
      <c r="E75" s="41"/>
      <c r="F75" s="46"/>
      <c r="G75" s="46"/>
      <c r="H75" s="34" t="s">
        <v>143</v>
      </c>
    </row>
    <row r="76" spans="1:8" x14ac:dyDescent="0.2">
      <c r="A76" s="41"/>
      <c r="B76" s="41"/>
      <c r="C76" s="42" t="s">
        <v>158</v>
      </c>
      <c r="D76" s="41"/>
      <c r="E76" s="41"/>
      <c r="F76" s="46"/>
      <c r="G76" s="46"/>
      <c r="H76" s="34" t="s">
        <v>143</v>
      </c>
    </row>
    <row r="77" spans="1:8" x14ac:dyDescent="0.2">
      <c r="A77" s="41"/>
      <c r="B77" s="41"/>
      <c r="C77" s="42" t="s">
        <v>142</v>
      </c>
      <c r="D77" s="41"/>
      <c r="E77" s="41" t="s">
        <v>143</v>
      </c>
      <c r="F77" s="47" t="s">
        <v>145</v>
      </c>
      <c r="G77" s="44">
        <v>0</v>
      </c>
      <c r="H77" s="34" t="s">
        <v>143</v>
      </c>
    </row>
    <row r="78" spans="1:8" x14ac:dyDescent="0.2">
      <c r="A78" s="41"/>
      <c r="B78" s="41"/>
      <c r="C78" s="45"/>
      <c r="D78" s="41"/>
      <c r="E78" s="41"/>
      <c r="F78" s="46"/>
      <c r="G78" s="46"/>
      <c r="H78" s="34" t="s">
        <v>143</v>
      </c>
    </row>
    <row r="79" spans="1:8" x14ac:dyDescent="0.2">
      <c r="A79" s="41"/>
      <c r="B79" s="41"/>
      <c r="C79" s="42" t="s">
        <v>159</v>
      </c>
      <c r="D79" s="41"/>
      <c r="E79" s="41"/>
      <c r="F79" s="46"/>
      <c r="G79" s="46"/>
      <c r="H79" s="34" t="s">
        <v>143</v>
      </c>
    </row>
    <row r="80" spans="1:8" x14ac:dyDescent="0.2">
      <c r="A80" s="41"/>
      <c r="B80" s="41"/>
      <c r="C80" s="42" t="s">
        <v>142</v>
      </c>
      <c r="D80" s="41"/>
      <c r="E80" s="41" t="s">
        <v>143</v>
      </c>
      <c r="F80" s="47" t="s">
        <v>145</v>
      </c>
      <c r="G80" s="44">
        <v>0</v>
      </c>
      <c r="H80" s="34" t="s">
        <v>143</v>
      </c>
    </row>
    <row r="81" spans="1:8" x14ac:dyDescent="0.2">
      <c r="A81" s="41"/>
      <c r="B81" s="41"/>
      <c r="C81" s="45"/>
      <c r="D81" s="41"/>
      <c r="E81" s="41"/>
      <c r="F81" s="46"/>
      <c r="G81" s="46"/>
      <c r="H81" s="34" t="s">
        <v>143</v>
      </c>
    </row>
    <row r="82" spans="1:8" x14ac:dyDescent="0.2">
      <c r="A82" s="41"/>
      <c r="B82" s="41"/>
      <c r="C82" s="42" t="s">
        <v>160</v>
      </c>
      <c r="D82" s="41"/>
      <c r="E82" s="41"/>
      <c r="F82" s="46"/>
      <c r="G82" s="46"/>
      <c r="H82" s="34" t="s">
        <v>143</v>
      </c>
    </row>
    <row r="83" spans="1:8" x14ac:dyDescent="0.2">
      <c r="A83" s="35">
        <v>1</v>
      </c>
      <c r="B83" s="36"/>
      <c r="C83" s="36" t="s">
        <v>161</v>
      </c>
      <c r="D83" s="36"/>
      <c r="E83" s="48"/>
      <c r="F83" s="38">
        <v>40.956245000000003</v>
      </c>
      <c r="G83" s="39">
        <v>3.0483570000000001E-2</v>
      </c>
      <c r="H83" s="34">
        <v>5.47</v>
      </c>
    </row>
    <row r="84" spans="1:8" x14ac:dyDescent="0.2">
      <c r="A84" s="41"/>
      <c r="B84" s="41"/>
      <c r="C84" s="42" t="s">
        <v>142</v>
      </c>
      <c r="D84" s="41"/>
      <c r="E84" s="41" t="s">
        <v>143</v>
      </c>
      <c r="F84" s="43">
        <v>40.956245000000003</v>
      </c>
      <c r="G84" s="44">
        <v>3.0483570000000001E-2</v>
      </c>
      <c r="H84" s="34" t="s">
        <v>143</v>
      </c>
    </row>
    <row r="85" spans="1:8" x14ac:dyDescent="0.2">
      <c r="A85" s="41"/>
      <c r="B85" s="41"/>
      <c r="C85" s="45"/>
      <c r="D85" s="41"/>
      <c r="E85" s="41"/>
      <c r="F85" s="46"/>
      <c r="G85" s="46"/>
      <c r="H85" s="34" t="s">
        <v>143</v>
      </c>
    </row>
    <row r="86" spans="1:8" x14ac:dyDescent="0.2">
      <c r="A86" s="41"/>
      <c r="B86" s="41"/>
      <c r="C86" s="42" t="s">
        <v>162</v>
      </c>
      <c r="D86" s="41"/>
      <c r="E86" s="41"/>
      <c r="F86" s="43">
        <v>40.956245000000003</v>
      </c>
      <c r="G86" s="44">
        <v>3.0483570000000001E-2</v>
      </c>
      <c r="H86" s="34" t="s">
        <v>143</v>
      </c>
    </row>
    <row r="87" spans="1:8" x14ac:dyDescent="0.2">
      <c r="A87" s="41"/>
      <c r="B87" s="41"/>
      <c r="C87" s="46"/>
      <c r="D87" s="41"/>
      <c r="E87" s="41"/>
      <c r="F87" s="41"/>
      <c r="G87" s="41"/>
      <c r="H87" s="34" t="s">
        <v>143</v>
      </c>
    </row>
    <row r="88" spans="1:8" x14ac:dyDescent="0.2">
      <c r="A88" s="41"/>
      <c r="B88" s="41"/>
      <c r="C88" s="42" t="s">
        <v>163</v>
      </c>
      <c r="D88" s="41"/>
      <c r="E88" s="41"/>
      <c r="F88" s="41"/>
      <c r="G88" s="41"/>
      <c r="H88" s="34" t="s">
        <v>143</v>
      </c>
    </row>
    <row r="89" spans="1:8" x14ac:dyDescent="0.2">
      <c r="A89" s="41"/>
      <c r="B89" s="41"/>
      <c r="C89" s="42" t="s">
        <v>164</v>
      </c>
      <c r="D89" s="41"/>
      <c r="E89" s="41"/>
      <c r="F89" s="41"/>
      <c r="G89" s="41"/>
      <c r="H89" s="34" t="s">
        <v>143</v>
      </c>
    </row>
    <row r="90" spans="1:8" x14ac:dyDescent="0.2">
      <c r="A90" s="41"/>
      <c r="B90" s="41"/>
      <c r="C90" s="42" t="s">
        <v>142</v>
      </c>
      <c r="D90" s="41"/>
      <c r="E90" s="41" t="s">
        <v>143</v>
      </c>
      <c r="F90" s="47" t="s">
        <v>145</v>
      </c>
      <c r="G90" s="44">
        <v>0</v>
      </c>
      <c r="H90" s="34" t="s">
        <v>143</v>
      </c>
    </row>
    <row r="91" spans="1:8" x14ac:dyDescent="0.2">
      <c r="A91" s="41"/>
      <c r="B91" s="41"/>
      <c r="C91" s="45"/>
      <c r="D91" s="41"/>
      <c r="E91" s="41"/>
      <c r="F91" s="46"/>
      <c r="G91" s="46"/>
      <c r="H91" s="34" t="s">
        <v>143</v>
      </c>
    </row>
    <row r="92" spans="1:8" x14ac:dyDescent="0.2">
      <c r="A92" s="41"/>
      <c r="B92" s="41"/>
      <c r="C92" s="42" t="s">
        <v>165</v>
      </c>
      <c r="D92" s="41"/>
      <c r="E92" s="41"/>
      <c r="F92" s="41"/>
      <c r="G92" s="41"/>
      <c r="H92" s="34" t="s">
        <v>143</v>
      </c>
    </row>
    <row r="93" spans="1:8" x14ac:dyDescent="0.2">
      <c r="A93" s="41"/>
      <c r="B93" s="41"/>
      <c r="C93" s="42" t="s">
        <v>166</v>
      </c>
      <c r="D93" s="41"/>
      <c r="E93" s="41"/>
      <c r="F93" s="41"/>
      <c r="G93" s="41"/>
      <c r="H93" s="34" t="s">
        <v>143</v>
      </c>
    </row>
    <row r="94" spans="1:8" x14ac:dyDescent="0.2">
      <c r="A94" s="41"/>
      <c r="B94" s="41"/>
      <c r="C94" s="42" t="s">
        <v>142</v>
      </c>
      <c r="D94" s="41"/>
      <c r="E94" s="41" t="s">
        <v>143</v>
      </c>
      <c r="F94" s="47" t="s">
        <v>145</v>
      </c>
      <c r="G94" s="44">
        <v>0</v>
      </c>
      <c r="H94" s="34" t="s">
        <v>143</v>
      </c>
    </row>
    <row r="95" spans="1:8" x14ac:dyDescent="0.2">
      <c r="A95" s="41"/>
      <c r="B95" s="41"/>
      <c r="C95" s="45"/>
      <c r="D95" s="41"/>
      <c r="E95" s="41"/>
      <c r="F95" s="46"/>
      <c r="G95" s="46"/>
      <c r="H95" s="34" t="s">
        <v>143</v>
      </c>
    </row>
    <row r="96" spans="1:8" x14ac:dyDescent="0.2">
      <c r="A96" s="41"/>
      <c r="B96" s="41"/>
      <c r="C96" s="42" t="s">
        <v>167</v>
      </c>
      <c r="D96" s="41"/>
      <c r="E96" s="41"/>
      <c r="F96" s="46"/>
      <c r="G96" s="46"/>
      <c r="H96" s="34" t="s">
        <v>143</v>
      </c>
    </row>
    <row r="97" spans="1:17" x14ac:dyDescent="0.2">
      <c r="A97" s="41"/>
      <c r="B97" s="41"/>
      <c r="C97" s="42" t="s">
        <v>142</v>
      </c>
      <c r="D97" s="41"/>
      <c r="E97" s="41" t="s">
        <v>143</v>
      </c>
      <c r="F97" s="47" t="s">
        <v>145</v>
      </c>
      <c r="G97" s="44">
        <v>0</v>
      </c>
      <c r="H97" s="34" t="s">
        <v>143</v>
      </c>
    </row>
    <row r="98" spans="1:17" x14ac:dyDescent="0.2">
      <c r="A98" s="41"/>
      <c r="B98" s="41"/>
      <c r="C98" s="45"/>
      <c r="D98" s="41"/>
      <c r="E98" s="41"/>
      <c r="F98" s="46"/>
      <c r="G98" s="46"/>
      <c r="H98" s="34" t="s">
        <v>143</v>
      </c>
    </row>
    <row r="99" spans="1:17" x14ac:dyDescent="0.2">
      <c r="A99" s="48"/>
      <c r="B99" s="36"/>
      <c r="C99" s="36" t="s">
        <v>168</v>
      </c>
      <c r="D99" s="36"/>
      <c r="E99" s="48"/>
      <c r="F99" s="38">
        <v>4.9144251700000003</v>
      </c>
      <c r="G99" s="39">
        <v>3.6577900000000002E-3</v>
      </c>
      <c r="H99" s="34" t="s">
        <v>143</v>
      </c>
    </row>
    <row r="100" spans="1:17" x14ac:dyDescent="0.2">
      <c r="A100" s="45"/>
      <c r="B100" s="45"/>
      <c r="C100" s="42" t="s">
        <v>169</v>
      </c>
      <c r="D100" s="46"/>
      <c r="E100" s="46"/>
      <c r="F100" s="43">
        <v>1343.5515919699999</v>
      </c>
      <c r="G100" s="51">
        <v>1.0000000200000001</v>
      </c>
      <c r="H100" s="34" t="s">
        <v>143</v>
      </c>
    </row>
    <row r="101" spans="1:17" x14ac:dyDescent="0.2">
      <c r="A101" s="52"/>
      <c r="B101" s="52"/>
      <c r="C101" s="52"/>
      <c r="D101" s="53"/>
      <c r="E101" s="53"/>
      <c r="F101" s="53"/>
      <c r="G101" s="53"/>
    </row>
    <row r="102" spans="1:17" x14ac:dyDescent="0.2">
      <c r="A102" s="54"/>
      <c r="B102" s="158" t="s">
        <v>852</v>
      </c>
      <c r="C102" s="158"/>
      <c r="D102" s="158"/>
      <c r="E102" s="158"/>
      <c r="F102" s="158"/>
      <c r="G102" s="158"/>
      <c r="H102" s="158"/>
      <c r="J102" s="56"/>
    </row>
    <row r="103" spans="1:17" x14ac:dyDescent="0.2">
      <c r="A103" s="54"/>
      <c r="B103" s="158" t="s">
        <v>853</v>
      </c>
      <c r="C103" s="158"/>
      <c r="D103" s="158"/>
      <c r="E103" s="158"/>
      <c r="F103" s="158"/>
      <c r="G103" s="158"/>
      <c r="H103" s="158"/>
      <c r="J103" s="56"/>
    </row>
    <row r="104" spans="1:17" x14ac:dyDescent="0.2">
      <c r="A104" s="54"/>
      <c r="B104" s="158" t="s">
        <v>854</v>
      </c>
      <c r="C104" s="158"/>
      <c r="D104" s="158"/>
      <c r="E104" s="158"/>
      <c r="F104" s="158"/>
      <c r="G104" s="158"/>
      <c r="H104" s="158"/>
      <c r="J104" s="56"/>
    </row>
    <row r="105" spans="1:17" s="58" customFormat="1" ht="52.5" customHeight="1" x14ac:dyDescent="0.25">
      <c r="A105" s="57"/>
      <c r="B105" s="159" t="s">
        <v>855</v>
      </c>
      <c r="C105" s="159"/>
      <c r="D105" s="159"/>
      <c r="E105" s="159"/>
      <c r="F105" s="159"/>
      <c r="G105" s="159"/>
      <c r="H105" s="159"/>
      <c r="I105"/>
      <c r="J105" s="56"/>
      <c r="K105"/>
      <c r="L105"/>
      <c r="M105"/>
      <c r="N105"/>
      <c r="O105"/>
      <c r="P105"/>
      <c r="Q105"/>
    </row>
    <row r="106" spans="1:17" x14ac:dyDescent="0.2">
      <c r="A106" s="54"/>
      <c r="B106" s="158" t="s">
        <v>856</v>
      </c>
      <c r="C106" s="158"/>
      <c r="D106" s="158"/>
      <c r="E106" s="158"/>
      <c r="F106" s="158"/>
      <c r="G106" s="158"/>
      <c r="H106" s="158"/>
      <c r="J106" s="56"/>
    </row>
    <row r="107" spans="1:17" x14ac:dyDescent="0.2">
      <c r="A107" s="54"/>
      <c r="B107" s="54"/>
      <c r="C107" s="54"/>
      <c r="D107" s="59"/>
      <c r="E107" s="59"/>
      <c r="F107" s="59"/>
      <c r="G107" s="59"/>
    </row>
    <row r="108" spans="1:17" x14ac:dyDescent="0.2">
      <c r="A108" s="54"/>
      <c r="B108" s="160" t="s">
        <v>170</v>
      </c>
      <c r="C108" s="161"/>
      <c r="D108" s="162"/>
      <c r="E108" s="60"/>
      <c r="F108" s="59"/>
      <c r="G108" s="59"/>
    </row>
    <row r="109" spans="1:17" ht="27.75" customHeight="1" x14ac:dyDescent="0.2">
      <c r="A109" s="54"/>
      <c r="B109" s="154" t="s">
        <v>171</v>
      </c>
      <c r="C109" s="155"/>
      <c r="D109" s="33" t="s">
        <v>172</v>
      </c>
      <c r="E109" s="60"/>
      <c r="F109" s="59"/>
      <c r="G109" s="59"/>
    </row>
    <row r="110" spans="1:17" ht="12.75" customHeight="1" x14ac:dyDescent="0.2">
      <c r="A110" s="54"/>
      <c r="B110" s="154" t="s">
        <v>857</v>
      </c>
      <c r="C110" s="155"/>
      <c r="D110" s="33" t="s">
        <v>172</v>
      </c>
      <c r="E110" s="60"/>
      <c r="F110" s="59"/>
      <c r="G110" s="59"/>
    </row>
    <row r="111" spans="1:17" x14ac:dyDescent="0.2">
      <c r="A111" s="54"/>
      <c r="B111" s="154" t="s">
        <v>173</v>
      </c>
      <c r="C111" s="155"/>
      <c r="D111" s="61" t="s">
        <v>143</v>
      </c>
      <c r="E111" s="60"/>
      <c r="F111" s="59"/>
      <c r="G111" s="59"/>
    </row>
    <row r="112" spans="1:17" x14ac:dyDescent="0.2">
      <c r="A112" s="62"/>
      <c r="B112" s="63" t="s">
        <v>143</v>
      </c>
      <c r="C112" s="63" t="s">
        <v>858</v>
      </c>
      <c r="D112" s="63" t="s">
        <v>174</v>
      </c>
      <c r="E112" s="62"/>
      <c r="F112" s="62"/>
      <c r="G112" s="62"/>
      <c r="H112" s="62"/>
      <c r="J112" s="56"/>
    </row>
    <row r="113" spans="1:10" x14ac:dyDescent="0.2">
      <c r="A113" s="62"/>
      <c r="B113" s="64" t="s">
        <v>175</v>
      </c>
      <c r="C113" s="65">
        <v>45808</v>
      </c>
      <c r="D113" s="65">
        <v>45838</v>
      </c>
      <c r="E113" s="62"/>
      <c r="F113" s="62"/>
      <c r="G113" s="62"/>
      <c r="J113" s="56"/>
    </row>
    <row r="114" spans="1:10" x14ac:dyDescent="0.2">
      <c r="A114" s="66"/>
      <c r="B114" s="36" t="s">
        <v>176</v>
      </c>
      <c r="C114" s="67">
        <v>36.828499999999998</v>
      </c>
      <c r="D114" s="67">
        <v>37.902299999999997</v>
      </c>
      <c r="E114" s="66"/>
      <c r="F114" s="68"/>
      <c r="G114" s="69"/>
    </row>
    <row r="115" spans="1:10" x14ac:dyDescent="0.2">
      <c r="A115" s="66"/>
      <c r="B115" s="36" t="s">
        <v>1086</v>
      </c>
      <c r="C115" s="67">
        <v>28.453199999999999</v>
      </c>
      <c r="D115" s="67">
        <v>29.282800000000002</v>
      </c>
      <c r="E115" s="66"/>
      <c r="F115" s="68"/>
      <c r="G115" s="69"/>
    </row>
    <row r="116" spans="1:10" x14ac:dyDescent="0.2">
      <c r="A116" s="66"/>
      <c r="B116" s="36" t="s">
        <v>177</v>
      </c>
      <c r="C116" s="67">
        <v>35.729399999999998</v>
      </c>
      <c r="D116" s="67">
        <v>36.764699999999998</v>
      </c>
      <c r="E116" s="66"/>
      <c r="F116" s="68"/>
      <c r="G116" s="69"/>
    </row>
    <row r="117" spans="1:10" x14ac:dyDescent="0.2">
      <c r="A117" s="66"/>
      <c r="B117" s="36" t="s">
        <v>1087</v>
      </c>
      <c r="C117" s="67">
        <v>27.456</v>
      </c>
      <c r="D117" s="67">
        <v>28.2517</v>
      </c>
      <c r="E117" s="66"/>
      <c r="F117" s="68"/>
      <c r="G117" s="69"/>
    </row>
    <row r="118" spans="1:10" x14ac:dyDescent="0.2">
      <c r="A118" s="66"/>
      <c r="B118" s="66"/>
      <c r="C118" s="66"/>
      <c r="D118" s="66"/>
      <c r="E118" s="66"/>
      <c r="F118" s="66"/>
      <c r="G118" s="66"/>
    </row>
    <row r="119" spans="1:10" x14ac:dyDescent="0.2">
      <c r="A119" s="62"/>
      <c r="B119" s="154" t="s">
        <v>860</v>
      </c>
      <c r="C119" s="155"/>
      <c r="D119" s="33" t="s">
        <v>172</v>
      </c>
      <c r="E119" s="62"/>
      <c r="F119" s="62"/>
      <c r="G119" s="62"/>
    </row>
    <row r="120" spans="1:10" x14ac:dyDescent="0.2">
      <c r="A120" s="62"/>
      <c r="B120" s="70"/>
      <c r="C120" s="70"/>
      <c r="D120" s="70"/>
      <c r="E120" s="62"/>
      <c r="F120" s="62"/>
      <c r="G120" s="62"/>
    </row>
    <row r="121" spans="1:10" x14ac:dyDescent="0.2">
      <c r="A121" s="62"/>
      <c r="B121" s="154" t="s">
        <v>178</v>
      </c>
      <c r="C121" s="155"/>
      <c r="D121" s="33" t="s">
        <v>172</v>
      </c>
      <c r="E121" s="71"/>
      <c r="F121" s="62"/>
      <c r="G121" s="62"/>
    </row>
    <row r="122" spans="1:10" x14ac:dyDescent="0.2">
      <c r="A122" s="62"/>
      <c r="B122" s="154" t="s">
        <v>179</v>
      </c>
      <c r="C122" s="155"/>
      <c r="D122" s="33" t="s">
        <v>172</v>
      </c>
      <c r="E122" s="71"/>
      <c r="F122" s="62"/>
      <c r="G122" s="62"/>
    </row>
    <row r="123" spans="1:10" x14ac:dyDescent="0.2">
      <c r="A123" s="62"/>
      <c r="B123" s="154" t="s">
        <v>180</v>
      </c>
      <c r="C123" s="155"/>
      <c r="D123" s="33" t="s">
        <v>172</v>
      </c>
      <c r="E123" s="71"/>
      <c r="F123" s="62"/>
      <c r="G123" s="62"/>
    </row>
    <row r="124" spans="1:10" x14ac:dyDescent="0.2">
      <c r="A124" s="62"/>
      <c r="B124" s="154" t="s">
        <v>181</v>
      </c>
      <c r="C124" s="155"/>
      <c r="D124" s="72">
        <v>1.4386584889220714E-4</v>
      </c>
      <c r="E124" s="62"/>
      <c r="F124" s="55"/>
      <c r="G124" s="73"/>
    </row>
    <row r="126" spans="1:10" x14ac:dyDescent="0.2">
      <c r="B126" s="156" t="s">
        <v>861</v>
      </c>
      <c r="C126" s="156"/>
    </row>
    <row r="128" spans="1:10" ht="153.75" customHeight="1" x14ac:dyDescent="0.2"/>
    <row r="131" spans="2:10" x14ac:dyDescent="0.2">
      <c r="B131" s="79" t="s">
        <v>862</v>
      </c>
      <c r="C131" s="80"/>
      <c r="D131" s="79"/>
    </row>
    <row r="132" spans="2:10" x14ac:dyDescent="0.2">
      <c r="B132" s="79" t="s">
        <v>871</v>
      </c>
      <c r="D132" s="79"/>
    </row>
    <row r="133" spans="2:10" ht="165" customHeight="1" x14ac:dyDescent="0.2"/>
    <row r="134" spans="2:10" x14ac:dyDescent="0.2">
      <c r="J134" s="31"/>
    </row>
  </sheetData>
  <mergeCells count="18">
    <mergeCell ref="A1:H1"/>
    <mergeCell ref="A2:H2"/>
    <mergeCell ref="A3:H3"/>
    <mergeCell ref="B102:H102"/>
    <mergeCell ref="B103:H103"/>
    <mergeCell ref="B104:H104"/>
    <mergeCell ref="B105:H105"/>
    <mergeCell ref="B106:H106"/>
    <mergeCell ref="B108:D108"/>
    <mergeCell ref="B109:C109"/>
    <mergeCell ref="B110:C110"/>
    <mergeCell ref="B111:C111"/>
    <mergeCell ref="B126:C126"/>
    <mergeCell ref="B119:C119"/>
    <mergeCell ref="B123:C123"/>
    <mergeCell ref="B124:C124"/>
    <mergeCell ref="B121:C121"/>
    <mergeCell ref="B122:C122"/>
  </mergeCells>
  <hyperlinks>
    <hyperlink ref="I1" location="Index!B2" display="Index" xr:uid="{13684C9A-B15C-4482-AF17-C586A9AD8E38}"/>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12E8B-0885-46F3-8F4C-2BDBDC2FD7B6}">
  <sheetPr>
    <outlinePr summaryBelow="0" summaryRight="0"/>
  </sheetPr>
  <dimension ref="A1:Q139"/>
  <sheetViews>
    <sheetView showGridLines="0" workbookViewId="0">
      <selection sqref="A1:H1"/>
    </sheetView>
  </sheetViews>
  <sheetFormatPr defaultRowHeight="12.75" x14ac:dyDescent="0.2"/>
  <cols>
    <col min="1" max="1" width="6.85546875" customWidth="1"/>
    <col min="2" max="2" width="20.5703125" customWidth="1"/>
    <col min="3" max="3" width="40.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450</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330</v>
      </c>
      <c r="C7" s="36" t="s">
        <v>331</v>
      </c>
      <c r="D7" s="36" t="s">
        <v>206</v>
      </c>
      <c r="E7" s="37">
        <v>5836</v>
      </c>
      <c r="F7" s="38">
        <v>521.97184000000004</v>
      </c>
      <c r="G7" s="39">
        <v>6.5064010000000005E-2</v>
      </c>
      <c r="H7" s="34" t="s">
        <v>143</v>
      </c>
    </row>
    <row r="8" spans="1:9" x14ac:dyDescent="0.2">
      <c r="A8" s="35">
        <v>2</v>
      </c>
      <c r="B8" s="36" t="s">
        <v>364</v>
      </c>
      <c r="C8" s="36" t="s">
        <v>365</v>
      </c>
      <c r="D8" s="36" t="s">
        <v>195</v>
      </c>
      <c r="E8" s="37">
        <v>71973</v>
      </c>
      <c r="F8" s="38">
        <v>428.99506650000001</v>
      </c>
      <c r="G8" s="39">
        <v>5.3474420000000002E-2</v>
      </c>
      <c r="H8" s="34" t="s">
        <v>143</v>
      </c>
    </row>
    <row r="9" spans="1:9" x14ac:dyDescent="0.2">
      <c r="A9" s="35">
        <v>3</v>
      </c>
      <c r="B9" s="36" t="s">
        <v>368</v>
      </c>
      <c r="C9" s="36" t="s">
        <v>369</v>
      </c>
      <c r="D9" s="36" t="s">
        <v>55</v>
      </c>
      <c r="E9" s="37">
        <v>19836</v>
      </c>
      <c r="F9" s="38">
        <v>428.06088</v>
      </c>
      <c r="G9" s="39">
        <v>5.3357969999999998E-2</v>
      </c>
      <c r="H9" s="34" t="s">
        <v>143</v>
      </c>
    </row>
    <row r="10" spans="1:9" x14ac:dyDescent="0.2">
      <c r="A10" s="35">
        <v>4</v>
      </c>
      <c r="B10" s="36" t="s">
        <v>340</v>
      </c>
      <c r="C10" s="36" t="s">
        <v>341</v>
      </c>
      <c r="D10" s="36" t="s">
        <v>265</v>
      </c>
      <c r="E10" s="37">
        <v>21388</v>
      </c>
      <c r="F10" s="38">
        <v>427.39640400000002</v>
      </c>
      <c r="G10" s="39">
        <v>5.3275139999999999E-2</v>
      </c>
      <c r="H10" s="34" t="s">
        <v>143</v>
      </c>
    </row>
    <row r="11" spans="1:9" x14ac:dyDescent="0.2">
      <c r="A11" s="35">
        <v>5</v>
      </c>
      <c r="B11" s="36" t="s">
        <v>376</v>
      </c>
      <c r="C11" s="36" t="s">
        <v>377</v>
      </c>
      <c r="D11" s="36" t="s">
        <v>206</v>
      </c>
      <c r="E11" s="37">
        <v>13073</v>
      </c>
      <c r="F11" s="38">
        <v>382.097644</v>
      </c>
      <c r="G11" s="39">
        <v>4.7628629999999998E-2</v>
      </c>
      <c r="H11" s="34" t="s">
        <v>143</v>
      </c>
    </row>
    <row r="12" spans="1:9" x14ac:dyDescent="0.2">
      <c r="A12" s="35">
        <v>6</v>
      </c>
      <c r="B12" s="36" t="s">
        <v>366</v>
      </c>
      <c r="C12" s="36" t="s">
        <v>367</v>
      </c>
      <c r="D12" s="36" t="s">
        <v>221</v>
      </c>
      <c r="E12" s="37">
        <v>106345</v>
      </c>
      <c r="F12" s="38">
        <v>349.66235999999998</v>
      </c>
      <c r="G12" s="39">
        <v>4.3585560000000002E-2</v>
      </c>
      <c r="H12" s="34" t="s">
        <v>143</v>
      </c>
    </row>
    <row r="13" spans="1:9" x14ac:dyDescent="0.2">
      <c r="A13" s="35">
        <v>7</v>
      </c>
      <c r="B13" s="36" t="s">
        <v>78</v>
      </c>
      <c r="C13" s="36" t="s">
        <v>79</v>
      </c>
      <c r="D13" s="36" t="s">
        <v>73</v>
      </c>
      <c r="E13" s="37">
        <v>38992</v>
      </c>
      <c r="F13" s="38">
        <v>318.97405600000002</v>
      </c>
      <c r="G13" s="39">
        <v>3.9760249999999997E-2</v>
      </c>
      <c r="H13" s="34" t="s">
        <v>143</v>
      </c>
    </row>
    <row r="14" spans="1:9" x14ac:dyDescent="0.2">
      <c r="A14" s="35">
        <v>8</v>
      </c>
      <c r="B14" s="36" t="s">
        <v>105</v>
      </c>
      <c r="C14" s="36" t="s">
        <v>106</v>
      </c>
      <c r="D14" s="36" t="s">
        <v>73</v>
      </c>
      <c r="E14" s="37">
        <v>8402</v>
      </c>
      <c r="F14" s="38">
        <v>318.65425199999999</v>
      </c>
      <c r="G14" s="39">
        <v>3.9720390000000001E-2</v>
      </c>
      <c r="H14" s="34" t="s">
        <v>143</v>
      </c>
    </row>
    <row r="15" spans="1:9" x14ac:dyDescent="0.2">
      <c r="A15" s="35">
        <v>9</v>
      </c>
      <c r="B15" s="36" t="s">
        <v>372</v>
      </c>
      <c r="C15" s="36" t="s">
        <v>373</v>
      </c>
      <c r="D15" s="36" t="s">
        <v>33</v>
      </c>
      <c r="E15" s="37">
        <v>76163</v>
      </c>
      <c r="F15" s="38">
        <v>300.31070899999997</v>
      </c>
      <c r="G15" s="39">
        <v>3.7433859999999999E-2</v>
      </c>
      <c r="H15" s="34" t="s">
        <v>143</v>
      </c>
    </row>
    <row r="16" spans="1:9" x14ac:dyDescent="0.2">
      <c r="A16" s="35">
        <v>10</v>
      </c>
      <c r="B16" s="36" t="s">
        <v>370</v>
      </c>
      <c r="C16" s="36" t="s">
        <v>371</v>
      </c>
      <c r="D16" s="36" t="s">
        <v>33</v>
      </c>
      <c r="E16" s="37">
        <v>604881</v>
      </c>
      <c r="F16" s="38">
        <v>296.5731543</v>
      </c>
      <c r="G16" s="39">
        <v>3.6967970000000003E-2</v>
      </c>
      <c r="H16" s="34" t="s">
        <v>143</v>
      </c>
    </row>
    <row r="17" spans="1:8" x14ac:dyDescent="0.2">
      <c r="A17" s="35">
        <v>11</v>
      </c>
      <c r="B17" s="36" t="s">
        <v>374</v>
      </c>
      <c r="C17" s="36" t="s">
        <v>375</v>
      </c>
      <c r="D17" s="36" t="s">
        <v>55</v>
      </c>
      <c r="E17" s="37">
        <v>96717</v>
      </c>
      <c r="F17" s="38">
        <v>259.97529600000001</v>
      </c>
      <c r="G17" s="39">
        <v>3.2406030000000002E-2</v>
      </c>
      <c r="H17" s="34" t="s">
        <v>143</v>
      </c>
    </row>
    <row r="18" spans="1:8" x14ac:dyDescent="0.2">
      <c r="A18" s="35">
        <v>12</v>
      </c>
      <c r="B18" s="36" t="s">
        <v>380</v>
      </c>
      <c r="C18" s="36" t="s">
        <v>381</v>
      </c>
      <c r="D18" s="36" t="s">
        <v>33</v>
      </c>
      <c r="E18" s="37">
        <v>382570</v>
      </c>
      <c r="F18" s="38">
        <v>256.742727</v>
      </c>
      <c r="G18" s="39">
        <v>3.2003089999999998E-2</v>
      </c>
      <c r="H18" s="34" t="s">
        <v>143</v>
      </c>
    </row>
    <row r="19" spans="1:8" ht="25.5" x14ac:dyDescent="0.2">
      <c r="A19" s="35">
        <v>13</v>
      </c>
      <c r="B19" s="36" t="s">
        <v>48</v>
      </c>
      <c r="C19" s="36" t="s">
        <v>49</v>
      </c>
      <c r="D19" s="36" t="s">
        <v>25</v>
      </c>
      <c r="E19" s="37">
        <v>3683</v>
      </c>
      <c r="F19" s="38">
        <v>226.50450000000001</v>
      </c>
      <c r="G19" s="39">
        <v>2.8233879999999999E-2</v>
      </c>
      <c r="H19" s="34" t="s">
        <v>143</v>
      </c>
    </row>
    <row r="20" spans="1:8" ht="25.5" x14ac:dyDescent="0.2">
      <c r="A20" s="35">
        <v>14</v>
      </c>
      <c r="B20" s="36" t="s">
        <v>378</v>
      </c>
      <c r="C20" s="36" t="s">
        <v>379</v>
      </c>
      <c r="D20" s="36" t="s">
        <v>201</v>
      </c>
      <c r="E20" s="37">
        <v>3653</v>
      </c>
      <c r="F20" s="38">
        <v>214.81466499999999</v>
      </c>
      <c r="G20" s="39">
        <v>2.677674E-2</v>
      </c>
      <c r="H20" s="34" t="s">
        <v>143</v>
      </c>
    </row>
    <row r="21" spans="1:8" ht="25.5" x14ac:dyDescent="0.2">
      <c r="A21" s="35">
        <v>15</v>
      </c>
      <c r="B21" s="36" t="s">
        <v>382</v>
      </c>
      <c r="C21" s="36" t="s">
        <v>383</v>
      </c>
      <c r="D21" s="36" t="s">
        <v>270</v>
      </c>
      <c r="E21" s="37">
        <v>4183</v>
      </c>
      <c r="F21" s="38">
        <v>201.62478300000001</v>
      </c>
      <c r="G21" s="39">
        <v>2.513261E-2</v>
      </c>
      <c r="H21" s="34" t="s">
        <v>143</v>
      </c>
    </row>
    <row r="22" spans="1:8" x14ac:dyDescent="0.2">
      <c r="A22" s="35">
        <v>16</v>
      </c>
      <c r="B22" s="36" t="s">
        <v>44</v>
      </c>
      <c r="C22" s="36" t="s">
        <v>45</v>
      </c>
      <c r="D22" s="36" t="s">
        <v>19</v>
      </c>
      <c r="E22" s="37">
        <v>15091</v>
      </c>
      <c r="F22" s="38">
        <v>185.196752</v>
      </c>
      <c r="G22" s="39">
        <v>2.3084850000000001E-2</v>
      </c>
      <c r="H22" s="34" t="s">
        <v>143</v>
      </c>
    </row>
    <row r="23" spans="1:8" x14ac:dyDescent="0.2">
      <c r="A23" s="35">
        <v>17</v>
      </c>
      <c r="B23" s="36" t="s">
        <v>59</v>
      </c>
      <c r="C23" s="36" t="s">
        <v>60</v>
      </c>
      <c r="D23" s="36" t="s">
        <v>61</v>
      </c>
      <c r="E23" s="37">
        <v>16288</v>
      </c>
      <c r="F23" s="38">
        <v>180.76422400000001</v>
      </c>
      <c r="G23" s="39">
        <v>2.2532340000000001E-2</v>
      </c>
      <c r="H23" s="34" t="s">
        <v>143</v>
      </c>
    </row>
    <row r="24" spans="1:8" ht="25.5" x14ac:dyDescent="0.2">
      <c r="A24" s="35">
        <v>18</v>
      </c>
      <c r="B24" s="36" t="s">
        <v>390</v>
      </c>
      <c r="C24" s="36" t="s">
        <v>391</v>
      </c>
      <c r="D24" s="36" t="s">
        <v>392</v>
      </c>
      <c r="E24" s="37">
        <v>48701</v>
      </c>
      <c r="F24" s="38">
        <v>180.33980299999999</v>
      </c>
      <c r="G24" s="39">
        <v>2.2479430000000002E-2</v>
      </c>
      <c r="H24" s="34" t="s">
        <v>143</v>
      </c>
    </row>
    <row r="25" spans="1:8" x14ac:dyDescent="0.2">
      <c r="A25" s="35">
        <v>19</v>
      </c>
      <c r="B25" s="36" t="s">
        <v>386</v>
      </c>
      <c r="C25" s="36" t="s">
        <v>387</v>
      </c>
      <c r="D25" s="36" t="s">
        <v>192</v>
      </c>
      <c r="E25" s="37">
        <v>8289</v>
      </c>
      <c r="F25" s="38">
        <v>179.53973999999999</v>
      </c>
      <c r="G25" s="39">
        <v>2.2379699999999999E-2</v>
      </c>
      <c r="H25" s="34" t="s">
        <v>143</v>
      </c>
    </row>
    <row r="26" spans="1:8" x14ac:dyDescent="0.2">
      <c r="A26" s="35">
        <v>20</v>
      </c>
      <c r="B26" s="36" t="s">
        <v>388</v>
      </c>
      <c r="C26" s="36" t="s">
        <v>389</v>
      </c>
      <c r="D26" s="36" t="s">
        <v>192</v>
      </c>
      <c r="E26" s="37">
        <v>22434</v>
      </c>
      <c r="F26" s="38">
        <v>177.879186</v>
      </c>
      <c r="G26" s="39">
        <v>2.217272E-2</v>
      </c>
      <c r="H26" s="34" t="s">
        <v>143</v>
      </c>
    </row>
    <row r="27" spans="1:8" x14ac:dyDescent="0.2">
      <c r="A27" s="35">
        <v>21</v>
      </c>
      <c r="B27" s="36" t="s">
        <v>137</v>
      </c>
      <c r="C27" s="36" t="s">
        <v>138</v>
      </c>
      <c r="D27" s="36" t="s">
        <v>73</v>
      </c>
      <c r="E27" s="37">
        <v>10116</v>
      </c>
      <c r="F27" s="38">
        <v>174.925872</v>
      </c>
      <c r="G27" s="39">
        <v>2.180458E-2</v>
      </c>
      <c r="H27" s="34" t="s">
        <v>143</v>
      </c>
    </row>
    <row r="28" spans="1:8" x14ac:dyDescent="0.2">
      <c r="A28" s="35">
        <v>22</v>
      </c>
      <c r="B28" s="36" t="s">
        <v>413</v>
      </c>
      <c r="C28" s="36" t="s">
        <v>414</v>
      </c>
      <c r="D28" s="36" t="s">
        <v>198</v>
      </c>
      <c r="E28" s="37">
        <v>38673</v>
      </c>
      <c r="F28" s="38">
        <v>167.64745500000001</v>
      </c>
      <c r="G28" s="39">
        <v>2.0897329999999999E-2</v>
      </c>
      <c r="H28" s="34" t="s">
        <v>143</v>
      </c>
    </row>
    <row r="29" spans="1:8" x14ac:dyDescent="0.2">
      <c r="A29" s="35">
        <v>23</v>
      </c>
      <c r="B29" s="36" t="s">
        <v>71</v>
      </c>
      <c r="C29" s="36" t="s">
        <v>72</v>
      </c>
      <c r="D29" s="36" t="s">
        <v>73</v>
      </c>
      <c r="E29" s="37">
        <v>3065</v>
      </c>
      <c r="F29" s="38">
        <v>158.06205</v>
      </c>
      <c r="G29" s="39">
        <v>1.9702500000000001E-2</v>
      </c>
      <c r="H29" s="34" t="s">
        <v>143</v>
      </c>
    </row>
    <row r="30" spans="1:8" x14ac:dyDescent="0.2">
      <c r="A30" s="35">
        <v>24</v>
      </c>
      <c r="B30" s="36" t="s">
        <v>229</v>
      </c>
      <c r="C30" s="36" t="s">
        <v>230</v>
      </c>
      <c r="D30" s="36" t="s">
        <v>192</v>
      </c>
      <c r="E30" s="37">
        <v>1412</v>
      </c>
      <c r="F30" s="38">
        <v>154.68459999999999</v>
      </c>
      <c r="G30" s="39">
        <v>1.92815E-2</v>
      </c>
      <c r="H30" s="34" t="s">
        <v>143</v>
      </c>
    </row>
    <row r="31" spans="1:8" x14ac:dyDescent="0.2">
      <c r="A31" s="35">
        <v>25</v>
      </c>
      <c r="B31" s="36" t="s">
        <v>395</v>
      </c>
      <c r="C31" s="36" t="s">
        <v>396</v>
      </c>
      <c r="D31" s="36" t="s">
        <v>198</v>
      </c>
      <c r="E31" s="37">
        <v>33039</v>
      </c>
      <c r="F31" s="38">
        <v>151.153425</v>
      </c>
      <c r="G31" s="39">
        <v>1.8841340000000002E-2</v>
      </c>
      <c r="H31" s="34" t="s">
        <v>143</v>
      </c>
    </row>
    <row r="32" spans="1:8" x14ac:dyDescent="0.2">
      <c r="A32" s="35">
        <v>26</v>
      </c>
      <c r="B32" s="36" t="s">
        <v>402</v>
      </c>
      <c r="C32" s="36" t="s">
        <v>403</v>
      </c>
      <c r="D32" s="36" t="s">
        <v>221</v>
      </c>
      <c r="E32" s="37">
        <v>18794</v>
      </c>
      <c r="F32" s="38">
        <v>140.03409400000001</v>
      </c>
      <c r="G32" s="39">
        <v>1.7455310000000002E-2</v>
      </c>
      <c r="H32" s="34" t="s">
        <v>143</v>
      </c>
    </row>
    <row r="33" spans="1:8" x14ac:dyDescent="0.2">
      <c r="A33" s="35">
        <v>27</v>
      </c>
      <c r="B33" s="36" t="s">
        <v>404</v>
      </c>
      <c r="C33" s="36" t="s">
        <v>405</v>
      </c>
      <c r="D33" s="36" t="s">
        <v>73</v>
      </c>
      <c r="E33" s="37">
        <v>28519</v>
      </c>
      <c r="F33" s="38">
        <v>135.75044</v>
      </c>
      <c r="G33" s="39">
        <v>1.6921350000000002E-2</v>
      </c>
      <c r="H33" s="34" t="s">
        <v>143</v>
      </c>
    </row>
    <row r="34" spans="1:8" x14ac:dyDescent="0.2">
      <c r="A34" s="35">
        <v>28</v>
      </c>
      <c r="B34" s="36" t="s">
        <v>397</v>
      </c>
      <c r="C34" s="36" t="s">
        <v>398</v>
      </c>
      <c r="D34" s="36" t="s">
        <v>399</v>
      </c>
      <c r="E34" s="37">
        <v>12930</v>
      </c>
      <c r="F34" s="38">
        <v>125.43393</v>
      </c>
      <c r="G34" s="39">
        <v>1.5635389999999999E-2</v>
      </c>
      <c r="H34" s="34" t="s">
        <v>143</v>
      </c>
    </row>
    <row r="35" spans="1:8" x14ac:dyDescent="0.2">
      <c r="A35" s="35">
        <v>29</v>
      </c>
      <c r="B35" s="36" t="s">
        <v>410</v>
      </c>
      <c r="C35" s="36" t="s">
        <v>411</v>
      </c>
      <c r="D35" s="36" t="s">
        <v>412</v>
      </c>
      <c r="E35" s="37">
        <v>8206</v>
      </c>
      <c r="F35" s="38">
        <v>122.671494</v>
      </c>
      <c r="G35" s="39">
        <v>1.529105E-2</v>
      </c>
      <c r="H35" s="34" t="s">
        <v>143</v>
      </c>
    </row>
    <row r="36" spans="1:8" x14ac:dyDescent="0.2">
      <c r="A36" s="35">
        <v>30</v>
      </c>
      <c r="B36" s="36" t="s">
        <v>408</v>
      </c>
      <c r="C36" s="36" t="s">
        <v>409</v>
      </c>
      <c r="D36" s="36" t="s">
        <v>265</v>
      </c>
      <c r="E36" s="37">
        <v>26290</v>
      </c>
      <c r="F36" s="38">
        <v>120.868275</v>
      </c>
      <c r="G36" s="39">
        <v>1.506628E-2</v>
      </c>
      <c r="H36" s="34" t="s">
        <v>143</v>
      </c>
    </row>
    <row r="37" spans="1:8" x14ac:dyDescent="0.2">
      <c r="A37" s="35">
        <v>31</v>
      </c>
      <c r="B37" s="36" t="s">
        <v>451</v>
      </c>
      <c r="C37" s="36" t="s">
        <v>452</v>
      </c>
      <c r="D37" s="36" t="s">
        <v>73</v>
      </c>
      <c r="E37" s="37">
        <v>20968</v>
      </c>
      <c r="F37" s="38">
        <v>117.31596</v>
      </c>
      <c r="G37" s="39">
        <v>1.4623479999999999E-2</v>
      </c>
      <c r="H37" s="34" t="s">
        <v>143</v>
      </c>
    </row>
    <row r="38" spans="1:8" x14ac:dyDescent="0.2">
      <c r="A38" s="35">
        <v>32</v>
      </c>
      <c r="B38" s="36" t="s">
        <v>415</v>
      </c>
      <c r="C38" s="36" t="s">
        <v>416</v>
      </c>
      <c r="D38" s="36" t="s">
        <v>136</v>
      </c>
      <c r="E38" s="37">
        <v>56603</v>
      </c>
      <c r="F38" s="38">
        <v>90.428952800000005</v>
      </c>
      <c r="G38" s="39">
        <v>1.1272010000000001E-2</v>
      </c>
      <c r="H38" s="34" t="s">
        <v>143</v>
      </c>
    </row>
    <row r="39" spans="1:8" x14ac:dyDescent="0.2">
      <c r="A39" s="35">
        <v>33</v>
      </c>
      <c r="B39" s="36" t="s">
        <v>419</v>
      </c>
      <c r="C39" s="36" t="s">
        <v>420</v>
      </c>
      <c r="D39" s="36" t="s">
        <v>55</v>
      </c>
      <c r="E39" s="37">
        <v>7757</v>
      </c>
      <c r="F39" s="38">
        <v>56.606707499999999</v>
      </c>
      <c r="G39" s="39">
        <v>7.0560500000000003E-3</v>
      </c>
      <c r="H39" s="34" t="s">
        <v>143</v>
      </c>
    </row>
    <row r="40" spans="1:8" x14ac:dyDescent="0.2">
      <c r="A40" s="35">
        <v>34</v>
      </c>
      <c r="B40" s="36" t="s">
        <v>417</v>
      </c>
      <c r="C40" s="36" t="s">
        <v>418</v>
      </c>
      <c r="D40" s="36" t="s">
        <v>55</v>
      </c>
      <c r="E40" s="37">
        <v>7334</v>
      </c>
      <c r="F40" s="38">
        <v>55.738399999999999</v>
      </c>
      <c r="G40" s="39">
        <v>6.9478200000000004E-3</v>
      </c>
      <c r="H40" s="34" t="s">
        <v>143</v>
      </c>
    </row>
    <row r="41" spans="1:8" x14ac:dyDescent="0.2">
      <c r="A41" s="35">
        <v>35</v>
      </c>
      <c r="B41" s="36" t="s">
        <v>423</v>
      </c>
      <c r="C41" s="36" t="s">
        <v>424</v>
      </c>
      <c r="D41" s="36" t="s">
        <v>43</v>
      </c>
      <c r="E41" s="37">
        <v>8886</v>
      </c>
      <c r="F41" s="38">
        <v>34.126683</v>
      </c>
      <c r="G41" s="39">
        <v>4.2539099999999996E-3</v>
      </c>
      <c r="H41" s="34" t="s">
        <v>143</v>
      </c>
    </row>
    <row r="42" spans="1:8" x14ac:dyDescent="0.2">
      <c r="A42" s="41"/>
      <c r="B42" s="41"/>
      <c r="C42" s="42" t="s">
        <v>142</v>
      </c>
      <c r="D42" s="41"/>
      <c r="E42" s="41" t="s">
        <v>143</v>
      </c>
      <c r="F42" s="43">
        <v>7641.5263801000001</v>
      </c>
      <c r="G42" s="44">
        <v>0.95251949000000002</v>
      </c>
      <c r="H42" s="34" t="s">
        <v>143</v>
      </c>
    </row>
    <row r="43" spans="1:8" x14ac:dyDescent="0.2">
      <c r="A43" s="41"/>
      <c r="B43" s="41"/>
      <c r="C43" s="45"/>
      <c r="D43" s="41"/>
      <c r="E43" s="41"/>
      <c r="F43" s="46"/>
      <c r="G43" s="46"/>
      <c r="H43" s="34" t="s">
        <v>143</v>
      </c>
    </row>
    <row r="44" spans="1:8" x14ac:dyDescent="0.2">
      <c r="A44" s="41"/>
      <c r="B44" s="41"/>
      <c r="C44" s="42" t="s">
        <v>144</v>
      </c>
      <c r="D44" s="41"/>
      <c r="E44" s="41"/>
      <c r="F44" s="41"/>
      <c r="G44" s="41"/>
      <c r="H44" s="34" t="s">
        <v>143</v>
      </c>
    </row>
    <row r="45" spans="1:8" x14ac:dyDescent="0.2">
      <c r="A45" s="41"/>
      <c r="B45" s="41"/>
      <c r="C45" s="42" t="s">
        <v>142</v>
      </c>
      <c r="D45" s="41"/>
      <c r="E45" s="41" t="s">
        <v>143</v>
      </c>
      <c r="F45" s="47" t="s">
        <v>145</v>
      </c>
      <c r="G45" s="44">
        <v>0</v>
      </c>
      <c r="H45" s="34" t="s">
        <v>143</v>
      </c>
    </row>
    <row r="46" spans="1:8" x14ac:dyDescent="0.2">
      <c r="A46" s="41"/>
      <c r="B46" s="41"/>
      <c r="C46" s="45"/>
      <c r="D46" s="41"/>
      <c r="E46" s="41"/>
      <c r="F46" s="46"/>
      <c r="G46" s="46"/>
      <c r="H46" s="34" t="s">
        <v>143</v>
      </c>
    </row>
    <row r="47" spans="1:8" x14ac:dyDescent="0.2">
      <c r="A47" s="41"/>
      <c r="B47" s="41"/>
      <c r="C47" s="42" t="s">
        <v>146</v>
      </c>
      <c r="D47" s="41"/>
      <c r="E47" s="41"/>
      <c r="F47" s="41"/>
      <c r="G47" s="41"/>
      <c r="H47" s="34" t="s">
        <v>143</v>
      </c>
    </row>
    <row r="48" spans="1:8" x14ac:dyDescent="0.2">
      <c r="A48" s="41"/>
      <c r="B48" s="41"/>
      <c r="C48" s="42" t="s">
        <v>142</v>
      </c>
      <c r="D48" s="41"/>
      <c r="E48" s="41" t="s">
        <v>143</v>
      </c>
      <c r="F48" s="47" t="s">
        <v>145</v>
      </c>
      <c r="G48" s="44">
        <v>0</v>
      </c>
      <c r="H48" s="34" t="s">
        <v>143</v>
      </c>
    </row>
    <row r="49" spans="1:8" x14ac:dyDescent="0.2">
      <c r="A49" s="41"/>
      <c r="B49" s="41"/>
      <c r="C49" s="45"/>
      <c r="D49" s="41"/>
      <c r="E49" s="41"/>
      <c r="F49" s="46"/>
      <c r="G49" s="46"/>
      <c r="H49" s="34" t="s">
        <v>143</v>
      </c>
    </row>
    <row r="50" spans="1:8" x14ac:dyDescent="0.2">
      <c r="A50" s="41"/>
      <c r="B50" s="41"/>
      <c r="C50" s="42" t="s">
        <v>147</v>
      </c>
      <c r="D50" s="41"/>
      <c r="E50" s="41"/>
      <c r="F50" s="41"/>
      <c r="G50" s="41"/>
      <c r="H50" s="34" t="s">
        <v>143</v>
      </c>
    </row>
    <row r="51" spans="1:8" x14ac:dyDescent="0.2">
      <c r="A51" s="41"/>
      <c r="B51" s="41"/>
      <c r="C51" s="42" t="s">
        <v>142</v>
      </c>
      <c r="D51" s="41"/>
      <c r="E51" s="41" t="s">
        <v>143</v>
      </c>
      <c r="F51" s="47" t="s">
        <v>145</v>
      </c>
      <c r="G51" s="44">
        <v>0</v>
      </c>
      <c r="H51" s="34" t="s">
        <v>143</v>
      </c>
    </row>
    <row r="52" spans="1:8" x14ac:dyDescent="0.2">
      <c r="A52" s="41"/>
      <c r="B52" s="41"/>
      <c r="C52" s="45"/>
      <c r="D52" s="41"/>
      <c r="E52" s="41"/>
      <c r="F52" s="46"/>
      <c r="G52" s="46"/>
      <c r="H52" s="34" t="s">
        <v>143</v>
      </c>
    </row>
    <row r="53" spans="1:8" x14ac:dyDescent="0.2">
      <c r="A53" s="41"/>
      <c r="B53" s="41"/>
      <c r="C53" s="42" t="s">
        <v>148</v>
      </c>
      <c r="D53" s="41"/>
      <c r="E53" s="41"/>
      <c r="F53" s="46"/>
      <c r="G53" s="46"/>
      <c r="H53" s="34" t="s">
        <v>143</v>
      </c>
    </row>
    <row r="54" spans="1:8" x14ac:dyDescent="0.2">
      <c r="A54" s="41"/>
      <c r="B54" s="41"/>
      <c r="C54" s="42" t="s">
        <v>142</v>
      </c>
      <c r="D54" s="41"/>
      <c r="E54" s="41" t="s">
        <v>143</v>
      </c>
      <c r="F54" s="47" t="s">
        <v>145</v>
      </c>
      <c r="G54" s="44">
        <v>0</v>
      </c>
      <c r="H54" s="34" t="s">
        <v>143</v>
      </c>
    </row>
    <row r="55" spans="1:8" x14ac:dyDescent="0.2">
      <c r="A55" s="41"/>
      <c r="B55" s="41"/>
      <c r="C55" s="45"/>
      <c r="D55" s="41"/>
      <c r="E55" s="41"/>
      <c r="F55" s="46"/>
      <c r="G55" s="46"/>
      <c r="H55" s="34" t="s">
        <v>143</v>
      </c>
    </row>
    <row r="56" spans="1:8" x14ac:dyDescent="0.2">
      <c r="A56" s="41"/>
      <c r="B56" s="41"/>
      <c r="C56" s="42" t="s">
        <v>149</v>
      </c>
      <c r="D56" s="41"/>
      <c r="E56" s="41"/>
      <c r="F56" s="46"/>
      <c r="G56" s="46"/>
      <c r="H56" s="34" t="s">
        <v>143</v>
      </c>
    </row>
    <row r="57" spans="1:8" x14ac:dyDescent="0.2">
      <c r="A57" s="41"/>
      <c r="B57" s="41"/>
      <c r="C57" s="42" t="s">
        <v>142</v>
      </c>
      <c r="D57" s="41"/>
      <c r="E57" s="41" t="s">
        <v>143</v>
      </c>
      <c r="F57" s="47" t="s">
        <v>145</v>
      </c>
      <c r="G57" s="44">
        <v>0</v>
      </c>
      <c r="H57" s="34" t="s">
        <v>143</v>
      </c>
    </row>
    <row r="58" spans="1:8" x14ac:dyDescent="0.2">
      <c r="A58" s="41"/>
      <c r="B58" s="41"/>
      <c r="C58" s="45"/>
      <c r="D58" s="41"/>
      <c r="E58" s="41"/>
      <c r="F58" s="46"/>
      <c r="G58" s="46"/>
      <c r="H58" s="34" t="s">
        <v>143</v>
      </c>
    </row>
    <row r="59" spans="1:8" x14ac:dyDescent="0.2">
      <c r="A59" s="41"/>
      <c r="B59" s="41"/>
      <c r="C59" s="42" t="s">
        <v>150</v>
      </c>
      <c r="D59" s="41"/>
      <c r="E59" s="41"/>
      <c r="F59" s="43">
        <v>7641.5263801000001</v>
      </c>
      <c r="G59" s="44">
        <v>0.95251949000000002</v>
      </c>
      <c r="H59" s="34" t="s">
        <v>143</v>
      </c>
    </row>
    <row r="60" spans="1:8" x14ac:dyDescent="0.2">
      <c r="A60" s="41"/>
      <c r="B60" s="41"/>
      <c r="C60" s="45"/>
      <c r="D60" s="41"/>
      <c r="E60" s="41"/>
      <c r="F60" s="46"/>
      <c r="G60" s="46"/>
      <c r="H60" s="34" t="s">
        <v>143</v>
      </c>
    </row>
    <row r="61" spans="1:8" x14ac:dyDescent="0.2">
      <c r="A61" s="41"/>
      <c r="B61" s="41"/>
      <c r="C61" s="42" t="s">
        <v>151</v>
      </c>
      <c r="D61" s="41"/>
      <c r="E61" s="41"/>
      <c r="F61" s="46"/>
      <c r="G61" s="46"/>
      <c r="H61" s="34" t="s">
        <v>143</v>
      </c>
    </row>
    <row r="62" spans="1:8" x14ac:dyDescent="0.2">
      <c r="A62" s="41"/>
      <c r="B62" s="41"/>
      <c r="C62" s="42" t="s">
        <v>10</v>
      </c>
      <c r="D62" s="41"/>
      <c r="E62" s="41"/>
      <c r="F62" s="46"/>
      <c r="G62" s="46"/>
      <c r="H62" s="34" t="s">
        <v>143</v>
      </c>
    </row>
    <row r="63" spans="1:8" x14ac:dyDescent="0.2">
      <c r="A63" s="41"/>
      <c r="B63" s="41"/>
      <c r="C63" s="42" t="s">
        <v>142</v>
      </c>
      <c r="D63" s="41"/>
      <c r="E63" s="41" t="s">
        <v>143</v>
      </c>
      <c r="F63" s="47" t="s">
        <v>145</v>
      </c>
      <c r="G63" s="44">
        <v>0</v>
      </c>
      <c r="H63" s="34" t="s">
        <v>143</v>
      </c>
    </row>
    <row r="64" spans="1:8" x14ac:dyDescent="0.2">
      <c r="A64" s="41"/>
      <c r="B64" s="41"/>
      <c r="C64" s="45"/>
      <c r="D64" s="41"/>
      <c r="E64" s="41"/>
      <c r="F64" s="46"/>
      <c r="G64" s="46"/>
      <c r="H64" s="34" t="s">
        <v>143</v>
      </c>
    </row>
    <row r="65" spans="1:8" x14ac:dyDescent="0.2">
      <c r="A65" s="41"/>
      <c r="B65" s="41"/>
      <c r="C65" s="42" t="s">
        <v>152</v>
      </c>
      <c r="D65" s="41"/>
      <c r="E65" s="41"/>
      <c r="F65" s="41"/>
      <c r="G65" s="41"/>
      <c r="H65" s="34" t="s">
        <v>143</v>
      </c>
    </row>
    <row r="66" spans="1:8" x14ac:dyDescent="0.2">
      <c r="A66" s="41"/>
      <c r="B66" s="41"/>
      <c r="C66" s="42" t="s">
        <v>142</v>
      </c>
      <c r="D66" s="41"/>
      <c r="E66" s="41" t="s">
        <v>143</v>
      </c>
      <c r="F66" s="47" t="s">
        <v>145</v>
      </c>
      <c r="G66" s="44">
        <v>0</v>
      </c>
      <c r="H66" s="34" t="s">
        <v>143</v>
      </c>
    </row>
    <row r="67" spans="1:8" x14ac:dyDescent="0.2">
      <c r="A67" s="41"/>
      <c r="B67" s="41"/>
      <c r="C67" s="45"/>
      <c r="D67" s="41"/>
      <c r="E67" s="41"/>
      <c r="F67" s="46"/>
      <c r="G67" s="46"/>
      <c r="H67" s="34" t="s">
        <v>143</v>
      </c>
    </row>
    <row r="68" spans="1:8" x14ac:dyDescent="0.2">
      <c r="A68" s="41"/>
      <c r="B68" s="41"/>
      <c r="C68" s="42" t="s">
        <v>153</v>
      </c>
      <c r="D68" s="41"/>
      <c r="E68" s="41"/>
      <c r="F68" s="41"/>
      <c r="G68" s="41"/>
      <c r="H68" s="34" t="s">
        <v>143</v>
      </c>
    </row>
    <row r="69" spans="1:8" x14ac:dyDescent="0.2">
      <c r="A69" s="41"/>
      <c r="B69" s="41"/>
      <c r="C69" s="42" t="s">
        <v>142</v>
      </c>
      <c r="D69" s="41"/>
      <c r="E69" s="41" t="s">
        <v>143</v>
      </c>
      <c r="F69" s="47" t="s">
        <v>145</v>
      </c>
      <c r="G69" s="44">
        <v>0</v>
      </c>
      <c r="H69" s="34" t="s">
        <v>143</v>
      </c>
    </row>
    <row r="70" spans="1:8" x14ac:dyDescent="0.2">
      <c r="A70" s="41"/>
      <c r="B70" s="41"/>
      <c r="C70" s="45"/>
      <c r="D70" s="41"/>
      <c r="E70" s="41"/>
      <c r="F70" s="46"/>
      <c r="G70" s="46"/>
      <c r="H70" s="34" t="s">
        <v>143</v>
      </c>
    </row>
    <row r="71" spans="1:8" x14ac:dyDescent="0.2">
      <c r="A71" s="41"/>
      <c r="B71" s="41"/>
      <c r="C71" s="42" t="s">
        <v>154</v>
      </c>
      <c r="D71" s="41"/>
      <c r="E71" s="41"/>
      <c r="F71" s="46"/>
      <c r="G71" s="46"/>
      <c r="H71" s="34" t="s">
        <v>143</v>
      </c>
    </row>
    <row r="72" spans="1:8" x14ac:dyDescent="0.2">
      <c r="A72" s="41"/>
      <c r="B72" s="41"/>
      <c r="C72" s="42" t="s">
        <v>142</v>
      </c>
      <c r="D72" s="41"/>
      <c r="E72" s="41" t="s">
        <v>143</v>
      </c>
      <c r="F72" s="47" t="s">
        <v>145</v>
      </c>
      <c r="G72" s="44">
        <v>0</v>
      </c>
      <c r="H72" s="34" t="s">
        <v>143</v>
      </c>
    </row>
    <row r="73" spans="1:8" x14ac:dyDescent="0.2">
      <c r="A73" s="41"/>
      <c r="B73" s="41"/>
      <c r="C73" s="45"/>
      <c r="D73" s="41"/>
      <c r="E73" s="41"/>
      <c r="F73" s="46"/>
      <c r="G73" s="46"/>
      <c r="H73" s="34" t="s">
        <v>143</v>
      </c>
    </row>
    <row r="74" spans="1:8" x14ac:dyDescent="0.2">
      <c r="A74" s="41"/>
      <c r="B74" s="41"/>
      <c r="C74" s="42" t="s">
        <v>155</v>
      </c>
      <c r="D74" s="41"/>
      <c r="E74" s="41"/>
      <c r="F74" s="43">
        <v>0</v>
      </c>
      <c r="G74" s="44">
        <v>0</v>
      </c>
      <c r="H74" s="34" t="s">
        <v>143</v>
      </c>
    </row>
    <row r="75" spans="1:8" x14ac:dyDescent="0.2">
      <c r="A75" s="41"/>
      <c r="B75" s="41"/>
      <c r="C75" s="45"/>
      <c r="D75" s="41"/>
      <c r="E75" s="41"/>
      <c r="F75" s="46"/>
      <c r="G75" s="46"/>
      <c r="H75" s="34" t="s">
        <v>143</v>
      </c>
    </row>
    <row r="76" spans="1:8" x14ac:dyDescent="0.2">
      <c r="A76" s="41"/>
      <c r="B76" s="41"/>
      <c r="C76" s="42" t="s">
        <v>156</v>
      </c>
      <c r="D76" s="41"/>
      <c r="E76" s="41"/>
      <c r="F76" s="46"/>
      <c r="G76" s="46"/>
      <c r="H76" s="34" t="s">
        <v>143</v>
      </c>
    </row>
    <row r="77" spans="1:8" x14ac:dyDescent="0.2">
      <c r="A77" s="41"/>
      <c r="B77" s="41"/>
      <c r="C77" s="42" t="s">
        <v>157</v>
      </c>
      <c r="D77" s="41"/>
      <c r="E77" s="41"/>
      <c r="F77" s="46"/>
      <c r="G77" s="46"/>
      <c r="H77" s="34" t="s">
        <v>143</v>
      </c>
    </row>
    <row r="78" spans="1:8" x14ac:dyDescent="0.2">
      <c r="A78" s="41"/>
      <c r="B78" s="41"/>
      <c r="C78" s="42" t="s">
        <v>142</v>
      </c>
      <c r="D78" s="41"/>
      <c r="E78" s="41" t="s">
        <v>143</v>
      </c>
      <c r="F78" s="47" t="s">
        <v>145</v>
      </c>
      <c r="G78" s="44">
        <v>0</v>
      </c>
      <c r="H78" s="34" t="s">
        <v>143</v>
      </c>
    </row>
    <row r="79" spans="1:8" x14ac:dyDescent="0.2">
      <c r="A79" s="41"/>
      <c r="B79" s="41"/>
      <c r="C79" s="45"/>
      <c r="D79" s="41"/>
      <c r="E79" s="41"/>
      <c r="F79" s="46"/>
      <c r="G79" s="46"/>
      <c r="H79" s="34" t="s">
        <v>143</v>
      </c>
    </row>
    <row r="80" spans="1:8" x14ac:dyDescent="0.2">
      <c r="A80" s="41"/>
      <c r="B80" s="41"/>
      <c r="C80" s="42" t="s">
        <v>158</v>
      </c>
      <c r="D80" s="41"/>
      <c r="E80" s="41"/>
      <c r="F80" s="46"/>
      <c r="G80" s="46"/>
      <c r="H80" s="34" t="s">
        <v>143</v>
      </c>
    </row>
    <row r="81" spans="1:8" x14ac:dyDescent="0.2">
      <c r="A81" s="41"/>
      <c r="B81" s="41"/>
      <c r="C81" s="42" t="s">
        <v>142</v>
      </c>
      <c r="D81" s="41"/>
      <c r="E81" s="41" t="s">
        <v>143</v>
      </c>
      <c r="F81" s="47" t="s">
        <v>145</v>
      </c>
      <c r="G81" s="44">
        <v>0</v>
      </c>
      <c r="H81" s="34" t="s">
        <v>143</v>
      </c>
    </row>
    <row r="82" spans="1:8" x14ac:dyDescent="0.2">
      <c r="A82" s="41"/>
      <c r="B82" s="41"/>
      <c r="C82" s="45"/>
      <c r="D82" s="41"/>
      <c r="E82" s="41"/>
      <c r="F82" s="46"/>
      <c r="G82" s="46"/>
      <c r="H82" s="34" t="s">
        <v>143</v>
      </c>
    </row>
    <row r="83" spans="1:8" x14ac:dyDescent="0.2">
      <c r="A83" s="41"/>
      <c r="B83" s="41"/>
      <c r="C83" s="42" t="s">
        <v>159</v>
      </c>
      <c r="D83" s="41"/>
      <c r="E83" s="41"/>
      <c r="F83" s="46"/>
      <c r="G83" s="46"/>
      <c r="H83" s="34" t="s">
        <v>143</v>
      </c>
    </row>
    <row r="84" spans="1:8" x14ac:dyDescent="0.2">
      <c r="A84" s="41"/>
      <c r="B84" s="41"/>
      <c r="C84" s="42" t="s">
        <v>142</v>
      </c>
      <c r="D84" s="41"/>
      <c r="E84" s="41" t="s">
        <v>143</v>
      </c>
      <c r="F84" s="47" t="s">
        <v>145</v>
      </c>
      <c r="G84" s="44">
        <v>0</v>
      </c>
      <c r="H84" s="34" t="s">
        <v>143</v>
      </c>
    </row>
    <row r="85" spans="1:8" x14ac:dyDescent="0.2">
      <c r="A85" s="41"/>
      <c r="B85" s="41"/>
      <c r="C85" s="45"/>
      <c r="D85" s="41"/>
      <c r="E85" s="41"/>
      <c r="F85" s="46"/>
      <c r="G85" s="46"/>
      <c r="H85" s="34" t="s">
        <v>143</v>
      </c>
    </row>
    <row r="86" spans="1:8" x14ac:dyDescent="0.2">
      <c r="A86" s="41"/>
      <c r="B86" s="41"/>
      <c r="C86" s="42" t="s">
        <v>160</v>
      </c>
      <c r="D86" s="41"/>
      <c r="E86" s="41"/>
      <c r="F86" s="46"/>
      <c r="G86" s="46"/>
      <c r="H86" s="34" t="s">
        <v>143</v>
      </c>
    </row>
    <row r="87" spans="1:8" x14ac:dyDescent="0.2">
      <c r="A87" s="35">
        <v>1</v>
      </c>
      <c r="B87" s="36"/>
      <c r="C87" s="36" t="s">
        <v>161</v>
      </c>
      <c r="D87" s="36"/>
      <c r="E87" s="48"/>
      <c r="F87" s="38">
        <v>385.21064399900001</v>
      </c>
      <c r="G87" s="39">
        <v>4.8016669999999997E-2</v>
      </c>
      <c r="H87" s="34">
        <v>5.47</v>
      </c>
    </row>
    <row r="88" spans="1:8" x14ac:dyDescent="0.2">
      <c r="A88" s="41"/>
      <c r="B88" s="41"/>
      <c r="C88" s="42" t="s">
        <v>142</v>
      </c>
      <c r="D88" s="41"/>
      <c r="E88" s="41" t="s">
        <v>143</v>
      </c>
      <c r="F88" s="43">
        <v>385.21064399900001</v>
      </c>
      <c r="G88" s="44">
        <v>4.8016669999999997E-2</v>
      </c>
      <c r="H88" s="34" t="s">
        <v>143</v>
      </c>
    </row>
    <row r="89" spans="1:8" x14ac:dyDescent="0.2">
      <c r="A89" s="41"/>
      <c r="B89" s="41"/>
      <c r="C89" s="45"/>
      <c r="D89" s="41"/>
      <c r="E89" s="41"/>
      <c r="F89" s="46"/>
      <c r="G89" s="46"/>
      <c r="H89" s="34" t="s">
        <v>143</v>
      </c>
    </row>
    <row r="90" spans="1:8" x14ac:dyDescent="0.2">
      <c r="A90" s="41"/>
      <c r="B90" s="41"/>
      <c r="C90" s="42" t="s">
        <v>162</v>
      </c>
      <c r="D90" s="41"/>
      <c r="E90" s="41"/>
      <c r="F90" s="43">
        <v>385.21064399900001</v>
      </c>
      <c r="G90" s="44">
        <v>4.8016669999999997E-2</v>
      </c>
      <c r="H90" s="34" t="s">
        <v>143</v>
      </c>
    </row>
    <row r="91" spans="1:8" x14ac:dyDescent="0.2">
      <c r="A91" s="41"/>
      <c r="B91" s="41"/>
      <c r="C91" s="46"/>
      <c r="D91" s="41"/>
      <c r="E91" s="41"/>
      <c r="F91" s="41"/>
      <c r="G91" s="41"/>
      <c r="H91" s="34" t="s">
        <v>143</v>
      </c>
    </row>
    <row r="92" spans="1:8" x14ac:dyDescent="0.2">
      <c r="A92" s="41"/>
      <c r="B92" s="41"/>
      <c r="C92" s="42" t="s">
        <v>163</v>
      </c>
      <c r="D92" s="41"/>
      <c r="E92" s="41"/>
      <c r="F92" s="41"/>
      <c r="G92" s="41"/>
      <c r="H92" s="34" t="s">
        <v>143</v>
      </c>
    </row>
    <row r="93" spans="1:8" x14ac:dyDescent="0.2">
      <c r="A93" s="41"/>
      <c r="B93" s="41"/>
      <c r="C93" s="42" t="s">
        <v>164</v>
      </c>
      <c r="D93" s="41"/>
      <c r="E93" s="41"/>
      <c r="F93" s="41"/>
      <c r="G93" s="41"/>
      <c r="H93" s="34" t="s">
        <v>143</v>
      </c>
    </row>
    <row r="94" spans="1:8" x14ac:dyDescent="0.2">
      <c r="A94" s="41"/>
      <c r="B94" s="41"/>
      <c r="C94" s="42" t="s">
        <v>142</v>
      </c>
      <c r="D94" s="41"/>
      <c r="E94" s="41" t="s">
        <v>143</v>
      </c>
      <c r="F94" s="47" t="s">
        <v>145</v>
      </c>
      <c r="G94" s="44">
        <v>0</v>
      </c>
      <c r="H94" s="34" t="s">
        <v>143</v>
      </c>
    </row>
    <row r="95" spans="1:8" x14ac:dyDescent="0.2">
      <c r="A95" s="41"/>
      <c r="B95" s="41"/>
      <c r="C95" s="45"/>
      <c r="D95" s="41"/>
      <c r="E95" s="41"/>
      <c r="F95" s="46"/>
      <c r="G95" s="46"/>
      <c r="H95" s="34" t="s">
        <v>143</v>
      </c>
    </row>
    <row r="96" spans="1:8" x14ac:dyDescent="0.2">
      <c r="A96" s="41"/>
      <c r="B96" s="41"/>
      <c r="C96" s="42" t="s">
        <v>165</v>
      </c>
      <c r="D96" s="41"/>
      <c r="E96" s="41"/>
      <c r="F96" s="41"/>
      <c r="G96" s="41"/>
      <c r="H96" s="34" t="s">
        <v>143</v>
      </c>
    </row>
    <row r="97" spans="1:17" x14ac:dyDescent="0.2">
      <c r="A97" s="41"/>
      <c r="B97" s="41"/>
      <c r="C97" s="42" t="s">
        <v>166</v>
      </c>
      <c r="D97" s="41"/>
      <c r="E97" s="41"/>
      <c r="F97" s="41"/>
      <c r="G97" s="41"/>
      <c r="H97" s="34" t="s">
        <v>143</v>
      </c>
    </row>
    <row r="98" spans="1:17" x14ac:dyDescent="0.2">
      <c r="A98" s="41"/>
      <c r="B98" s="41"/>
      <c r="C98" s="42" t="s">
        <v>142</v>
      </c>
      <c r="D98" s="41"/>
      <c r="E98" s="41" t="s">
        <v>143</v>
      </c>
      <c r="F98" s="47" t="s">
        <v>145</v>
      </c>
      <c r="G98" s="44">
        <v>0</v>
      </c>
      <c r="H98" s="34" t="s">
        <v>143</v>
      </c>
    </row>
    <row r="99" spans="1:17" x14ac:dyDescent="0.2">
      <c r="A99" s="41"/>
      <c r="B99" s="41"/>
      <c r="C99" s="45"/>
      <c r="D99" s="41"/>
      <c r="E99" s="41"/>
      <c r="F99" s="46"/>
      <c r="G99" s="46"/>
      <c r="H99" s="34" t="s">
        <v>143</v>
      </c>
    </row>
    <row r="100" spans="1:17" x14ac:dyDescent="0.2">
      <c r="A100" s="41"/>
      <c r="B100" s="41"/>
      <c r="C100" s="42" t="s">
        <v>167</v>
      </c>
      <c r="D100" s="41"/>
      <c r="E100" s="41"/>
      <c r="F100" s="46"/>
      <c r="G100" s="46"/>
      <c r="H100" s="34" t="s">
        <v>143</v>
      </c>
    </row>
    <row r="101" spans="1:17" x14ac:dyDescent="0.2">
      <c r="A101" s="41"/>
      <c r="B101" s="41"/>
      <c r="C101" s="42" t="s">
        <v>142</v>
      </c>
      <c r="D101" s="41"/>
      <c r="E101" s="41" t="s">
        <v>143</v>
      </c>
      <c r="F101" s="47" t="s">
        <v>145</v>
      </c>
      <c r="G101" s="44">
        <v>0</v>
      </c>
      <c r="H101" s="34" t="s">
        <v>143</v>
      </c>
    </row>
    <row r="102" spans="1:17" x14ac:dyDescent="0.2">
      <c r="A102" s="41"/>
      <c r="B102" s="41"/>
      <c r="C102" s="45"/>
      <c r="D102" s="41"/>
      <c r="E102" s="41"/>
      <c r="F102" s="46"/>
      <c r="G102" s="46"/>
      <c r="H102" s="34" t="s">
        <v>143</v>
      </c>
    </row>
    <row r="103" spans="1:17" x14ac:dyDescent="0.2">
      <c r="A103" s="48"/>
      <c r="B103" s="36"/>
      <c r="C103" s="36" t="s">
        <v>168</v>
      </c>
      <c r="D103" s="36"/>
      <c r="E103" s="48"/>
      <c r="F103" s="38">
        <v>-4.3010820599999997</v>
      </c>
      <c r="G103" s="39">
        <v>-5.3613E-4</v>
      </c>
      <c r="H103" s="34" t="s">
        <v>143</v>
      </c>
    </row>
    <row r="104" spans="1:17" x14ac:dyDescent="0.2">
      <c r="A104" s="45"/>
      <c r="B104" s="45"/>
      <c r="C104" s="42" t="s">
        <v>169</v>
      </c>
      <c r="D104" s="46"/>
      <c r="E104" s="46"/>
      <c r="F104" s="43">
        <v>8022.4359420390001</v>
      </c>
      <c r="G104" s="51">
        <v>1.00000003</v>
      </c>
      <c r="H104" s="34" t="s">
        <v>143</v>
      </c>
    </row>
    <row r="105" spans="1:17" x14ac:dyDescent="0.2">
      <c r="A105" s="52"/>
      <c r="B105" s="52"/>
      <c r="C105" s="52"/>
      <c r="D105" s="53"/>
      <c r="E105" s="53"/>
      <c r="F105" s="53"/>
      <c r="G105" s="53"/>
    </row>
    <row r="106" spans="1:17" x14ac:dyDescent="0.2">
      <c r="A106" s="54"/>
      <c r="B106" s="158" t="s">
        <v>852</v>
      </c>
      <c r="C106" s="158"/>
      <c r="D106" s="158"/>
      <c r="E106" s="158"/>
      <c r="F106" s="158"/>
      <c r="G106" s="158"/>
      <c r="H106" s="158"/>
      <c r="J106" s="56"/>
    </row>
    <row r="107" spans="1:17" x14ac:dyDescent="0.2">
      <c r="A107" s="54"/>
      <c r="B107" s="158" t="s">
        <v>853</v>
      </c>
      <c r="C107" s="158"/>
      <c r="D107" s="158"/>
      <c r="E107" s="158"/>
      <c r="F107" s="158"/>
      <c r="G107" s="158"/>
      <c r="H107" s="158"/>
      <c r="J107" s="56"/>
    </row>
    <row r="108" spans="1:17" x14ac:dyDescent="0.2">
      <c r="A108" s="54"/>
      <c r="B108" s="158" t="s">
        <v>854</v>
      </c>
      <c r="C108" s="158"/>
      <c r="D108" s="158"/>
      <c r="E108" s="158"/>
      <c r="F108" s="158"/>
      <c r="G108" s="158"/>
      <c r="H108" s="158"/>
      <c r="J108" s="56"/>
    </row>
    <row r="109" spans="1:17" s="58" customFormat="1" ht="54" customHeight="1" x14ac:dyDescent="0.25">
      <c r="A109" s="57"/>
      <c r="B109" s="159" t="s">
        <v>855</v>
      </c>
      <c r="C109" s="159"/>
      <c r="D109" s="159"/>
      <c r="E109" s="159"/>
      <c r="F109" s="159"/>
      <c r="G109" s="159"/>
      <c r="H109" s="159"/>
      <c r="I109"/>
      <c r="J109" s="56"/>
      <c r="K109"/>
      <c r="L109"/>
      <c r="M109"/>
      <c r="N109"/>
      <c r="O109"/>
      <c r="P109"/>
      <c r="Q109"/>
    </row>
    <row r="110" spans="1:17" x14ac:dyDescent="0.2">
      <c r="A110" s="54"/>
      <c r="B110" s="158" t="s">
        <v>856</v>
      </c>
      <c r="C110" s="158"/>
      <c r="D110" s="158"/>
      <c r="E110" s="158"/>
      <c r="F110" s="158"/>
      <c r="G110" s="158"/>
      <c r="H110" s="158"/>
      <c r="J110" s="56"/>
    </row>
    <row r="111" spans="1:17" x14ac:dyDescent="0.2">
      <c r="A111" s="54"/>
      <c r="B111" s="54"/>
      <c r="C111" s="54"/>
      <c r="D111" s="59"/>
      <c r="E111" s="59"/>
      <c r="F111" s="59"/>
      <c r="G111" s="59"/>
    </row>
    <row r="112" spans="1:17" x14ac:dyDescent="0.2">
      <c r="A112" s="54"/>
      <c r="B112" s="160" t="s">
        <v>170</v>
      </c>
      <c r="C112" s="161"/>
      <c r="D112" s="162"/>
      <c r="E112" s="60"/>
      <c r="F112" s="59"/>
      <c r="G112" s="59"/>
    </row>
    <row r="113" spans="1:10" ht="27.75" customHeight="1" x14ac:dyDescent="0.2">
      <c r="A113" s="54"/>
      <c r="B113" s="154" t="s">
        <v>171</v>
      </c>
      <c r="C113" s="155"/>
      <c r="D113" s="33" t="s">
        <v>172</v>
      </c>
      <c r="E113" s="60"/>
      <c r="F113" s="59"/>
      <c r="G113" s="59"/>
    </row>
    <row r="114" spans="1:10" ht="12.75" customHeight="1" x14ac:dyDescent="0.2">
      <c r="A114" s="54"/>
      <c r="B114" s="154" t="s">
        <v>857</v>
      </c>
      <c r="C114" s="155"/>
      <c r="D114" s="33" t="s">
        <v>172</v>
      </c>
      <c r="E114" s="60"/>
      <c r="F114" s="59"/>
      <c r="G114" s="59"/>
    </row>
    <row r="115" spans="1:10" x14ac:dyDescent="0.2">
      <c r="A115" s="54"/>
      <c r="B115" s="154" t="s">
        <v>173</v>
      </c>
      <c r="C115" s="155"/>
      <c r="D115" s="61" t="s">
        <v>143</v>
      </c>
      <c r="E115" s="60"/>
      <c r="F115" s="59"/>
      <c r="G115" s="59"/>
    </row>
    <row r="116" spans="1:10" x14ac:dyDescent="0.2">
      <c r="A116" s="62"/>
      <c r="B116" s="63" t="s">
        <v>143</v>
      </c>
      <c r="C116" s="63" t="s">
        <v>858</v>
      </c>
      <c r="D116" s="63" t="s">
        <v>174</v>
      </c>
      <c r="E116" s="62"/>
      <c r="F116" s="62"/>
      <c r="G116" s="62"/>
      <c r="H116" s="62"/>
      <c r="J116" s="56"/>
    </row>
    <row r="117" spans="1:10" x14ac:dyDescent="0.2">
      <c r="A117" s="62"/>
      <c r="B117" s="64" t="s">
        <v>175</v>
      </c>
      <c r="C117" s="65">
        <v>45808</v>
      </c>
      <c r="D117" s="65">
        <v>45838</v>
      </c>
      <c r="E117" s="62"/>
      <c r="F117" s="62"/>
      <c r="G117" s="62"/>
      <c r="J117" s="56"/>
    </row>
    <row r="118" spans="1:10" x14ac:dyDescent="0.2">
      <c r="A118" s="66"/>
      <c r="B118" s="36" t="s">
        <v>176</v>
      </c>
      <c r="C118" s="67">
        <v>32.913899999999998</v>
      </c>
      <c r="D118" s="67">
        <v>34.884500000000003</v>
      </c>
      <c r="E118" s="66"/>
      <c r="F118" s="68"/>
      <c r="G118" s="69"/>
    </row>
    <row r="119" spans="1:10" x14ac:dyDescent="0.2">
      <c r="A119" s="66"/>
      <c r="B119" s="36" t="s">
        <v>1086</v>
      </c>
      <c r="C119" s="67">
        <v>28.8643</v>
      </c>
      <c r="D119" s="67">
        <v>30.592400000000001</v>
      </c>
      <c r="E119" s="66"/>
      <c r="F119" s="68"/>
      <c r="G119" s="69"/>
    </row>
    <row r="120" spans="1:10" x14ac:dyDescent="0.2">
      <c r="A120" s="66"/>
      <c r="B120" s="36" t="s">
        <v>177</v>
      </c>
      <c r="C120" s="67">
        <v>31.9664</v>
      </c>
      <c r="D120" s="67">
        <v>33.875300000000003</v>
      </c>
      <c r="E120" s="66"/>
      <c r="F120" s="68"/>
      <c r="G120" s="69"/>
    </row>
    <row r="121" spans="1:10" x14ac:dyDescent="0.2">
      <c r="A121" s="66"/>
      <c r="B121" s="36" t="s">
        <v>1087</v>
      </c>
      <c r="C121" s="67">
        <v>27.9682</v>
      </c>
      <c r="D121" s="67">
        <v>29.638400000000001</v>
      </c>
      <c r="E121" s="66"/>
      <c r="F121" s="68"/>
      <c r="G121" s="69"/>
    </row>
    <row r="122" spans="1:10" x14ac:dyDescent="0.2">
      <c r="A122" s="66"/>
      <c r="B122" s="66"/>
      <c r="C122" s="66"/>
      <c r="D122" s="66"/>
      <c r="E122" s="66"/>
      <c r="F122" s="66"/>
      <c r="G122" s="66"/>
    </row>
    <row r="123" spans="1:10" x14ac:dyDescent="0.2">
      <c r="A123" s="62"/>
      <c r="B123" s="154" t="s">
        <v>860</v>
      </c>
      <c r="C123" s="155"/>
      <c r="D123" s="33" t="s">
        <v>172</v>
      </c>
      <c r="E123" s="62"/>
      <c r="F123" s="62"/>
      <c r="G123" s="62"/>
    </row>
    <row r="124" spans="1:10" x14ac:dyDescent="0.2">
      <c r="A124" s="62"/>
      <c r="B124" s="70"/>
      <c r="C124" s="70"/>
      <c r="D124" s="70"/>
      <c r="E124" s="62"/>
      <c r="F124" s="62"/>
      <c r="G124" s="62"/>
    </row>
    <row r="125" spans="1:10" x14ac:dyDescent="0.2">
      <c r="A125" s="62"/>
      <c r="B125" s="154" t="s">
        <v>178</v>
      </c>
      <c r="C125" s="155"/>
      <c r="D125" s="33" t="s">
        <v>172</v>
      </c>
      <c r="E125" s="71"/>
      <c r="F125" s="62"/>
      <c r="G125" s="62"/>
    </row>
    <row r="126" spans="1:10" x14ac:dyDescent="0.2">
      <c r="A126" s="62"/>
      <c r="B126" s="154" t="s">
        <v>179</v>
      </c>
      <c r="C126" s="155"/>
      <c r="D126" s="33" t="s">
        <v>172</v>
      </c>
      <c r="E126" s="71"/>
      <c r="F126" s="62"/>
      <c r="G126" s="62"/>
    </row>
    <row r="127" spans="1:10" x14ac:dyDescent="0.2">
      <c r="A127" s="62"/>
      <c r="B127" s="154" t="s">
        <v>180</v>
      </c>
      <c r="C127" s="155"/>
      <c r="D127" s="33" t="s">
        <v>172</v>
      </c>
      <c r="E127" s="71"/>
      <c r="F127" s="62"/>
      <c r="G127" s="62"/>
    </row>
    <row r="128" spans="1:10" x14ac:dyDescent="0.2">
      <c r="A128" s="62"/>
      <c r="B128" s="154" t="s">
        <v>181</v>
      </c>
      <c r="C128" s="155"/>
      <c r="D128" s="72">
        <v>6.4374907915213622E-2</v>
      </c>
      <c r="E128" s="62"/>
      <c r="F128" s="55"/>
      <c r="G128" s="73"/>
    </row>
    <row r="130" spans="2:10" x14ac:dyDescent="0.2">
      <c r="B130" s="156" t="s">
        <v>861</v>
      </c>
      <c r="C130" s="156"/>
    </row>
    <row r="132" spans="2:10" ht="153.75" customHeight="1" x14ac:dyDescent="0.2"/>
    <row r="135" spans="2:10" x14ac:dyDescent="0.2">
      <c r="B135" s="79" t="s">
        <v>862</v>
      </c>
      <c r="C135" s="80"/>
      <c r="D135" s="79"/>
    </row>
    <row r="136" spans="2:10" x14ac:dyDescent="0.2">
      <c r="B136" s="79" t="s">
        <v>872</v>
      </c>
      <c r="D136" s="79"/>
    </row>
    <row r="137" spans="2:10" ht="165" customHeight="1" x14ac:dyDescent="0.2"/>
    <row r="138" spans="2:10" x14ac:dyDescent="0.2">
      <c r="B138" s="79"/>
      <c r="D138" s="79"/>
    </row>
    <row r="139" spans="2:10" x14ac:dyDescent="0.2">
      <c r="J139" s="31"/>
    </row>
  </sheetData>
  <mergeCells count="18">
    <mergeCell ref="A1:H1"/>
    <mergeCell ref="A2:H2"/>
    <mergeCell ref="A3:H3"/>
    <mergeCell ref="B106:H106"/>
    <mergeCell ref="B107:H107"/>
    <mergeCell ref="B108:H108"/>
    <mergeCell ref="B109:H109"/>
    <mergeCell ref="B110:H110"/>
    <mergeCell ref="B112:D112"/>
    <mergeCell ref="B113:C113"/>
    <mergeCell ref="B114:C114"/>
    <mergeCell ref="B115:C115"/>
    <mergeCell ref="B130:C130"/>
    <mergeCell ref="B123:C123"/>
    <mergeCell ref="B127:C127"/>
    <mergeCell ref="B128:C128"/>
    <mergeCell ref="B125:C125"/>
    <mergeCell ref="B126:C126"/>
  </mergeCells>
  <hyperlinks>
    <hyperlink ref="I1" location="Index!B2" display="Index" xr:uid="{EADF9440-8EC7-4ACC-9AFD-386A5CCA7880}"/>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7D8C2-B5EE-494F-B995-407CAF5AA276}">
  <sheetPr>
    <outlinePr summaryBelow="0" summaryRight="0"/>
  </sheetPr>
  <dimension ref="A1:Q138"/>
  <sheetViews>
    <sheetView showGridLines="0" workbookViewId="0">
      <selection sqref="A1:H1"/>
    </sheetView>
  </sheetViews>
  <sheetFormatPr defaultRowHeight="12.75" x14ac:dyDescent="0.2"/>
  <cols>
    <col min="1" max="1" width="6.85546875" customWidth="1"/>
    <col min="2" max="2" width="20.5703125" customWidth="1"/>
    <col min="3" max="3" width="40.855468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453</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330</v>
      </c>
      <c r="C7" s="36" t="s">
        <v>331</v>
      </c>
      <c r="D7" s="36" t="s">
        <v>206</v>
      </c>
      <c r="E7" s="37">
        <v>2658</v>
      </c>
      <c r="F7" s="38">
        <v>237.73151999999999</v>
      </c>
      <c r="G7" s="39">
        <v>6.2996369999999996E-2</v>
      </c>
      <c r="H7" s="34" t="s">
        <v>143</v>
      </c>
    </row>
    <row r="8" spans="1:9" x14ac:dyDescent="0.2">
      <c r="A8" s="35">
        <v>2</v>
      </c>
      <c r="B8" s="36" t="s">
        <v>368</v>
      </c>
      <c r="C8" s="36" t="s">
        <v>369</v>
      </c>
      <c r="D8" s="36" t="s">
        <v>55</v>
      </c>
      <c r="E8" s="37">
        <v>9824</v>
      </c>
      <c r="F8" s="38">
        <v>212.00192000000001</v>
      </c>
      <c r="G8" s="39">
        <v>5.6178289999999999E-2</v>
      </c>
      <c r="H8" s="34" t="s">
        <v>143</v>
      </c>
    </row>
    <row r="9" spans="1:9" x14ac:dyDescent="0.2">
      <c r="A9" s="35">
        <v>3</v>
      </c>
      <c r="B9" s="36" t="s">
        <v>364</v>
      </c>
      <c r="C9" s="36" t="s">
        <v>365</v>
      </c>
      <c r="D9" s="36" t="s">
        <v>195</v>
      </c>
      <c r="E9" s="37">
        <v>33900</v>
      </c>
      <c r="F9" s="38">
        <v>202.06094999999999</v>
      </c>
      <c r="G9" s="39">
        <v>5.3544040000000001E-2</v>
      </c>
      <c r="H9" s="34" t="s">
        <v>143</v>
      </c>
    </row>
    <row r="10" spans="1:9" x14ac:dyDescent="0.2">
      <c r="A10" s="35">
        <v>4</v>
      </c>
      <c r="B10" s="36" t="s">
        <v>376</v>
      </c>
      <c r="C10" s="36" t="s">
        <v>377</v>
      </c>
      <c r="D10" s="36" t="s">
        <v>206</v>
      </c>
      <c r="E10" s="37">
        <v>6306</v>
      </c>
      <c r="F10" s="38">
        <v>184.311768</v>
      </c>
      <c r="G10" s="39">
        <v>4.8840689999999999E-2</v>
      </c>
      <c r="H10" s="34" t="s">
        <v>143</v>
      </c>
    </row>
    <row r="11" spans="1:9" x14ac:dyDescent="0.2">
      <c r="A11" s="35">
        <v>5</v>
      </c>
      <c r="B11" s="36" t="s">
        <v>340</v>
      </c>
      <c r="C11" s="36" t="s">
        <v>341</v>
      </c>
      <c r="D11" s="36" t="s">
        <v>265</v>
      </c>
      <c r="E11" s="37">
        <v>9043</v>
      </c>
      <c r="F11" s="38">
        <v>180.70626899999999</v>
      </c>
      <c r="G11" s="39">
        <v>4.7885270000000001E-2</v>
      </c>
      <c r="H11" s="34" t="s">
        <v>143</v>
      </c>
    </row>
    <row r="12" spans="1:9" x14ac:dyDescent="0.2">
      <c r="A12" s="35">
        <v>6</v>
      </c>
      <c r="B12" s="36" t="s">
        <v>366</v>
      </c>
      <c r="C12" s="36" t="s">
        <v>367</v>
      </c>
      <c r="D12" s="36" t="s">
        <v>221</v>
      </c>
      <c r="E12" s="37">
        <v>48585</v>
      </c>
      <c r="F12" s="38">
        <v>159.74748</v>
      </c>
      <c r="G12" s="39">
        <v>4.233141E-2</v>
      </c>
      <c r="H12" s="34" t="s">
        <v>143</v>
      </c>
    </row>
    <row r="13" spans="1:9" ht="25.5" x14ac:dyDescent="0.2">
      <c r="A13" s="35">
        <v>7</v>
      </c>
      <c r="B13" s="36" t="s">
        <v>48</v>
      </c>
      <c r="C13" s="36" t="s">
        <v>49</v>
      </c>
      <c r="D13" s="36" t="s">
        <v>25</v>
      </c>
      <c r="E13" s="37">
        <v>2480</v>
      </c>
      <c r="F13" s="38">
        <v>152.52000000000001</v>
      </c>
      <c r="G13" s="39">
        <v>4.0416210000000001E-2</v>
      </c>
      <c r="H13" s="34" t="s">
        <v>143</v>
      </c>
    </row>
    <row r="14" spans="1:9" x14ac:dyDescent="0.2">
      <c r="A14" s="35">
        <v>8</v>
      </c>
      <c r="B14" s="36" t="s">
        <v>372</v>
      </c>
      <c r="C14" s="36" t="s">
        <v>373</v>
      </c>
      <c r="D14" s="36" t="s">
        <v>33</v>
      </c>
      <c r="E14" s="37">
        <v>36437</v>
      </c>
      <c r="F14" s="38">
        <v>143.67109099999999</v>
      </c>
      <c r="G14" s="39">
        <v>3.8071340000000002E-2</v>
      </c>
      <c r="H14" s="34" t="s">
        <v>143</v>
      </c>
    </row>
    <row r="15" spans="1:9" x14ac:dyDescent="0.2">
      <c r="A15" s="35">
        <v>9</v>
      </c>
      <c r="B15" s="36" t="s">
        <v>370</v>
      </c>
      <c r="C15" s="36" t="s">
        <v>371</v>
      </c>
      <c r="D15" s="36" t="s">
        <v>33</v>
      </c>
      <c r="E15" s="37">
        <v>290098</v>
      </c>
      <c r="F15" s="38">
        <v>142.23504940000001</v>
      </c>
      <c r="G15" s="39">
        <v>3.7690800000000003E-2</v>
      </c>
      <c r="H15" s="34" t="s">
        <v>143</v>
      </c>
    </row>
    <row r="16" spans="1:9" x14ac:dyDescent="0.2">
      <c r="A16" s="35">
        <v>10</v>
      </c>
      <c r="B16" s="36" t="s">
        <v>78</v>
      </c>
      <c r="C16" s="36" t="s">
        <v>79</v>
      </c>
      <c r="D16" s="36" t="s">
        <v>73</v>
      </c>
      <c r="E16" s="37">
        <v>16174</v>
      </c>
      <c r="F16" s="38">
        <v>132.311407</v>
      </c>
      <c r="G16" s="39">
        <v>3.5061139999999998E-2</v>
      </c>
      <c r="H16" s="34" t="s">
        <v>143</v>
      </c>
    </row>
    <row r="17" spans="1:8" x14ac:dyDescent="0.2">
      <c r="A17" s="35">
        <v>11</v>
      </c>
      <c r="B17" s="36" t="s">
        <v>374</v>
      </c>
      <c r="C17" s="36" t="s">
        <v>375</v>
      </c>
      <c r="D17" s="36" t="s">
        <v>55</v>
      </c>
      <c r="E17" s="37">
        <v>47004</v>
      </c>
      <c r="F17" s="38">
        <v>126.346752</v>
      </c>
      <c r="G17" s="39">
        <v>3.3480570000000001E-2</v>
      </c>
      <c r="H17" s="34" t="s">
        <v>143</v>
      </c>
    </row>
    <row r="18" spans="1:8" x14ac:dyDescent="0.2">
      <c r="A18" s="35">
        <v>12</v>
      </c>
      <c r="B18" s="36" t="s">
        <v>380</v>
      </c>
      <c r="C18" s="36" t="s">
        <v>381</v>
      </c>
      <c r="D18" s="36" t="s">
        <v>33</v>
      </c>
      <c r="E18" s="37">
        <v>187038</v>
      </c>
      <c r="F18" s="38">
        <v>125.5212018</v>
      </c>
      <c r="G18" s="39">
        <v>3.3261810000000003E-2</v>
      </c>
      <c r="H18" s="34" t="s">
        <v>143</v>
      </c>
    </row>
    <row r="19" spans="1:8" ht="25.5" x14ac:dyDescent="0.2">
      <c r="A19" s="35">
        <v>13</v>
      </c>
      <c r="B19" s="36" t="s">
        <v>382</v>
      </c>
      <c r="C19" s="36" t="s">
        <v>383</v>
      </c>
      <c r="D19" s="36" t="s">
        <v>270</v>
      </c>
      <c r="E19" s="37">
        <v>2426</v>
      </c>
      <c r="F19" s="38">
        <v>116.935626</v>
      </c>
      <c r="G19" s="39">
        <v>3.0986719999999999E-2</v>
      </c>
      <c r="H19" s="34" t="s">
        <v>143</v>
      </c>
    </row>
    <row r="20" spans="1:8" x14ac:dyDescent="0.2">
      <c r="A20" s="35">
        <v>14</v>
      </c>
      <c r="B20" s="36" t="s">
        <v>105</v>
      </c>
      <c r="C20" s="36" t="s">
        <v>106</v>
      </c>
      <c r="D20" s="36" t="s">
        <v>73</v>
      </c>
      <c r="E20" s="37">
        <v>2964</v>
      </c>
      <c r="F20" s="38">
        <v>112.41266400000001</v>
      </c>
      <c r="G20" s="39">
        <v>2.9788180000000001E-2</v>
      </c>
      <c r="H20" s="34" t="s">
        <v>143</v>
      </c>
    </row>
    <row r="21" spans="1:8" ht="25.5" x14ac:dyDescent="0.2">
      <c r="A21" s="35">
        <v>15</v>
      </c>
      <c r="B21" s="36" t="s">
        <v>378</v>
      </c>
      <c r="C21" s="36" t="s">
        <v>379</v>
      </c>
      <c r="D21" s="36" t="s">
        <v>201</v>
      </c>
      <c r="E21" s="37">
        <v>1708</v>
      </c>
      <c r="F21" s="38">
        <v>100.43894</v>
      </c>
      <c r="G21" s="39">
        <v>2.661527E-2</v>
      </c>
      <c r="H21" s="34" t="s">
        <v>143</v>
      </c>
    </row>
    <row r="22" spans="1:8" x14ac:dyDescent="0.2">
      <c r="A22" s="35">
        <v>16</v>
      </c>
      <c r="B22" s="36" t="s">
        <v>44</v>
      </c>
      <c r="C22" s="36" t="s">
        <v>45</v>
      </c>
      <c r="D22" s="36" t="s">
        <v>19</v>
      </c>
      <c r="E22" s="37">
        <v>7151</v>
      </c>
      <c r="F22" s="38">
        <v>87.757071999999994</v>
      </c>
      <c r="G22" s="39">
        <v>2.3254710000000001E-2</v>
      </c>
      <c r="H22" s="34" t="s">
        <v>143</v>
      </c>
    </row>
    <row r="23" spans="1:8" x14ac:dyDescent="0.2">
      <c r="A23" s="35">
        <v>17</v>
      </c>
      <c r="B23" s="36" t="s">
        <v>386</v>
      </c>
      <c r="C23" s="36" t="s">
        <v>387</v>
      </c>
      <c r="D23" s="36" t="s">
        <v>192</v>
      </c>
      <c r="E23" s="37">
        <v>4021</v>
      </c>
      <c r="F23" s="38">
        <v>87.094859999999997</v>
      </c>
      <c r="G23" s="39">
        <v>2.3079229999999999E-2</v>
      </c>
      <c r="H23" s="34" t="s">
        <v>143</v>
      </c>
    </row>
    <row r="24" spans="1:8" x14ac:dyDescent="0.2">
      <c r="A24" s="35">
        <v>18</v>
      </c>
      <c r="B24" s="36" t="s">
        <v>388</v>
      </c>
      <c r="C24" s="36" t="s">
        <v>389</v>
      </c>
      <c r="D24" s="36" t="s">
        <v>192</v>
      </c>
      <c r="E24" s="37">
        <v>10638</v>
      </c>
      <c r="F24" s="38">
        <v>84.348702000000003</v>
      </c>
      <c r="G24" s="39">
        <v>2.235152E-2</v>
      </c>
      <c r="H24" s="34" t="s">
        <v>143</v>
      </c>
    </row>
    <row r="25" spans="1:8" ht="25.5" x14ac:dyDescent="0.2">
      <c r="A25" s="35">
        <v>19</v>
      </c>
      <c r="B25" s="36" t="s">
        <v>390</v>
      </c>
      <c r="C25" s="36" t="s">
        <v>391</v>
      </c>
      <c r="D25" s="36" t="s">
        <v>392</v>
      </c>
      <c r="E25" s="37">
        <v>22746</v>
      </c>
      <c r="F25" s="38">
        <v>84.228437999999997</v>
      </c>
      <c r="G25" s="39">
        <v>2.2319660000000002E-2</v>
      </c>
      <c r="H25" s="34" t="s">
        <v>143</v>
      </c>
    </row>
    <row r="26" spans="1:8" x14ac:dyDescent="0.2">
      <c r="A26" s="35">
        <v>20</v>
      </c>
      <c r="B26" s="36" t="s">
        <v>413</v>
      </c>
      <c r="C26" s="36" t="s">
        <v>414</v>
      </c>
      <c r="D26" s="36" t="s">
        <v>198</v>
      </c>
      <c r="E26" s="37">
        <v>18242</v>
      </c>
      <c r="F26" s="38">
        <v>79.079070000000002</v>
      </c>
      <c r="G26" s="39">
        <v>2.0955129999999999E-2</v>
      </c>
      <c r="H26" s="34" t="s">
        <v>143</v>
      </c>
    </row>
    <row r="27" spans="1:8" x14ac:dyDescent="0.2">
      <c r="A27" s="35">
        <v>21</v>
      </c>
      <c r="B27" s="36" t="s">
        <v>137</v>
      </c>
      <c r="C27" s="36" t="s">
        <v>138</v>
      </c>
      <c r="D27" s="36" t="s">
        <v>73</v>
      </c>
      <c r="E27" s="37">
        <v>4465</v>
      </c>
      <c r="F27" s="38">
        <v>77.208780000000004</v>
      </c>
      <c r="G27" s="39">
        <v>2.0459519999999998E-2</v>
      </c>
      <c r="H27" s="34" t="s">
        <v>143</v>
      </c>
    </row>
    <row r="28" spans="1:8" x14ac:dyDescent="0.2">
      <c r="A28" s="35">
        <v>22</v>
      </c>
      <c r="B28" s="36" t="s">
        <v>59</v>
      </c>
      <c r="C28" s="36" t="s">
        <v>60</v>
      </c>
      <c r="D28" s="36" t="s">
        <v>61</v>
      </c>
      <c r="E28" s="37">
        <v>6875</v>
      </c>
      <c r="F28" s="38">
        <v>76.298749999999998</v>
      </c>
      <c r="G28" s="39">
        <v>2.0218369999999999E-2</v>
      </c>
      <c r="H28" s="34" t="s">
        <v>143</v>
      </c>
    </row>
    <row r="29" spans="1:8" x14ac:dyDescent="0.2">
      <c r="A29" s="35">
        <v>23</v>
      </c>
      <c r="B29" s="36" t="s">
        <v>229</v>
      </c>
      <c r="C29" s="36" t="s">
        <v>230</v>
      </c>
      <c r="D29" s="36" t="s">
        <v>192</v>
      </c>
      <c r="E29" s="37">
        <v>692</v>
      </c>
      <c r="F29" s="38">
        <v>75.808599999999998</v>
      </c>
      <c r="G29" s="39">
        <v>2.0088490000000001E-2</v>
      </c>
      <c r="H29" s="34" t="s">
        <v>143</v>
      </c>
    </row>
    <row r="30" spans="1:8" x14ac:dyDescent="0.2">
      <c r="A30" s="35">
        <v>24</v>
      </c>
      <c r="B30" s="36" t="s">
        <v>71</v>
      </c>
      <c r="C30" s="36" t="s">
        <v>72</v>
      </c>
      <c r="D30" s="36" t="s">
        <v>73</v>
      </c>
      <c r="E30" s="37">
        <v>1446</v>
      </c>
      <c r="F30" s="38">
        <v>74.570220000000006</v>
      </c>
      <c r="G30" s="39">
        <v>1.976033E-2</v>
      </c>
      <c r="H30" s="34" t="s">
        <v>143</v>
      </c>
    </row>
    <row r="31" spans="1:8" x14ac:dyDescent="0.2">
      <c r="A31" s="35">
        <v>25</v>
      </c>
      <c r="B31" s="36" t="s">
        <v>395</v>
      </c>
      <c r="C31" s="36" t="s">
        <v>396</v>
      </c>
      <c r="D31" s="36" t="s">
        <v>198</v>
      </c>
      <c r="E31" s="37">
        <v>15581</v>
      </c>
      <c r="F31" s="38">
        <v>71.283074999999997</v>
      </c>
      <c r="G31" s="39">
        <v>1.888927E-2</v>
      </c>
      <c r="H31" s="34" t="s">
        <v>143</v>
      </c>
    </row>
    <row r="32" spans="1:8" x14ac:dyDescent="0.2">
      <c r="A32" s="35">
        <v>26</v>
      </c>
      <c r="B32" s="36" t="s">
        <v>402</v>
      </c>
      <c r="C32" s="36" t="s">
        <v>403</v>
      </c>
      <c r="D32" s="36" t="s">
        <v>221</v>
      </c>
      <c r="E32" s="37">
        <v>9165</v>
      </c>
      <c r="F32" s="38">
        <v>68.288415000000001</v>
      </c>
      <c r="G32" s="39">
        <v>1.8095719999999999E-2</v>
      </c>
      <c r="H32" s="34" t="s">
        <v>143</v>
      </c>
    </row>
    <row r="33" spans="1:8" x14ac:dyDescent="0.2">
      <c r="A33" s="35">
        <v>27</v>
      </c>
      <c r="B33" s="36" t="s">
        <v>404</v>
      </c>
      <c r="C33" s="36" t="s">
        <v>405</v>
      </c>
      <c r="D33" s="36" t="s">
        <v>73</v>
      </c>
      <c r="E33" s="37">
        <v>13623</v>
      </c>
      <c r="F33" s="38">
        <v>64.845479999999995</v>
      </c>
      <c r="G33" s="39">
        <v>1.718337E-2</v>
      </c>
      <c r="H33" s="34" t="s">
        <v>143</v>
      </c>
    </row>
    <row r="34" spans="1:8" x14ac:dyDescent="0.2">
      <c r="A34" s="35">
        <v>28</v>
      </c>
      <c r="B34" s="36" t="s">
        <v>397</v>
      </c>
      <c r="C34" s="36" t="s">
        <v>398</v>
      </c>
      <c r="D34" s="36" t="s">
        <v>399</v>
      </c>
      <c r="E34" s="37">
        <v>6011</v>
      </c>
      <c r="F34" s="38">
        <v>58.312711</v>
      </c>
      <c r="G34" s="39">
        <v>1.5452260000000001E-2</v>
      </c>
      <c r="H34" s="34" t="s">
        <v>143</v>
      </c>
    </row>
    <row r="35" spans="1:8" x14ac:dyDescent="0.2">
      <c r="A35" s="35">
        <v>29</v>
      </c>
      <c r="B35" s="36" t="s">
        <v>410</v>
      </c>
      <c r="C35" s="36" t="s">
        <v>411</v>
      </c>
      <c r="D35" s="36" t="s">
        <v>412</v>
      </c>
      <c r="E35" s="37">
        <v>3882</v>
      </c>
      <c r="F35" s="38">
        <v>58.032018000000001</v>
      </c>
      <c r="G35" s="39">
        <v>1.537788E-2</v>
      </c>
      <c r="H35" s="34" t="s">
        <v>143</v>
      </c>
    </row>
    <row r="36" spans="1:8" x14ac:dyDescent="0.2">
      <c r="A36" s="35">
        <v>30</v>
      </c>
      <c r="B36" s="36" t="s">
        <v>408</v>
      </c>
      <c r="C36" s="36" t="s">
        <v>409</v>
      </c>
      <c r="D36" s="36" t="s">
        <v>265</v>
      </c>
      <c r="E36" s="37">
        <v>12245</v>
      </c>
      <c r="F36" s="38">
        <v>56.296387500000002</v>
      </c>
      <c r="G36" s="39">
        <v>1.4917949999999999E-2</v>
      </c>
      <c r="H36" s="34" t="s">
        <v>143</v>
      </c>
    </row>
    <row r="37" spans="1:8" x14ac:dyDescent="0.2">
      <c r="A37" s="35">
        <v>31</v>
      </c>
      <c r="B37" s="36" t="s">
        <v>451</v>
      </c>
      <c r="C37" s="36" t="s">
        <v>452</v>
      </c>
      <c r="D37" s="36" t="s">
        <v>73</v>
      </c>
      <c r="E37" s="37">
        <v>9769</v>
      </c>
      <c r="F37" s="38">
        <v>54.657555000000002</v>
      </c>
      <c r="G37" s="39">
        <v>1.4483680000000001E-2</v>
      </c>
      <c r="H37" s="34" t="s">
        <v>143</v>
      </c>
    </row>
    <row r="38" spans="1:8" x14ac:dyDescent="0.2">
      <c r="A38" s="35">
        <v>32</v>
      </c>
      <c r="B38" s="36" t="s">
        <v>415</v>
      </c>
      <c r="C38" s="36" t="s">
        <v>416</v>
      </c>
      <c r="D38" s="36" t="s">
        <v>136</v>
      </c>
      <c r="E38" s="37">
        <v>25659</v>
      </c>
      <c r="F38" s="38">
        <v>40.992818399999997</v>
      </c>
      <c r="G38" s="39">
        <v>1.086267E-2</v>
      </c>
      <c r="H38" s="34" t="s">
        <v>143</v>
      </c>
    </row>
    <row r="39" spans="1:8" x14ac:dyDescent="0.2">
      <c r="A39" s="35">
        <v>33</v>
      </c>
      <c r="B39" s="36" t="s">
        <v>419</v>
      </c>
      <c r="C39" s="36" t="s">
        <v>420</v>
      </c>
      <c r="D39" s="36" t="s">
        <v>55</v>
      </c>
      <c r="E39" s="37">
        <v>3832</v>
      </c>
      <c r="F39" s="38">
        <v>27.964020000000001</v>
      </c>
      <c r="G39" s="39">
        <v>7.4101699999999998E-3</v>
      </c>
      <c r="H39" s="34" t="s">
        <v>143</v>
      </c>
    </row>
    <row r="40" spans="1:8" x14ac:dyDescent="0.2">
      <c r="A40" s="35">
        <v>34</v>
      </c>
      <c r="B40" s="36" t="s">
        <v>417</v>
      </c>
      <c r="C40" s="36" t="s">
        <v>418</v>
      </c>
      <c r="D40" s="36" t="s">
        <v>55</v>
      </c>
      <c r="E40" s="37">
        <v>3447</v>
      </c>
      <c r="F40" s="38">
        <v>26.197199999999999</v>
      </c>
      <c r="G40" s="39">
        <v>6.9419800000000004E-3</v>
      </c>
      <c r="H40" s="34" t="s">
        <v>143</v>
      </c>
    </row>
    <row r="41" spans="1:8" x14ac:dyDescent="0.2">
      <c r="A41" s="35">
        <v>35</v>
      </c>
      <c r="B41" s="36" t="s">
        <v>423</v>
      </c>
      <c r="C41" s="36" t="s">
        <v>424</v>
      </c>
      <c r="D41" s="36" t="s">
        <v>43</v>
      </c>
      <c r="E41" s="37">
        <v>4314</v>
      </c>
      <c r="F41" s="38">
        <v>16.567917000000001</v>
      </c>
      <c r="G41" s="39">
        <v>4.3903299999999996E-3</v>
      </c>
      <c r="H41" s="34" t="s">
        <v>143</v>
      </c>
    </row>
    <row r="42" spans="1:8" x14ac:dyDescent="0.2">
      <c r="A42" s="41"/>
      <c r="B42" s="41"/>
      <c r="C42" s="42" t="s">
        <v>142</v>
      </c>
      <c r="D42" s="41"/>
      <c r="E42" s="41" t="s">
        <v>143</v>
      </c>
      <c r="F42" s="43">
        <v>3598.7847271000001</v>
      </c>
      <c r="G42" s="44">
        <v>0.95364035000000003</v>
      </c>
      <c r="H42" s="34" t="s">
        <v>143</v>
      </c>
    </row>
    <row r="43" spans="1:8" x14ac:dyDescent="0.2">
      <c r="A43" s="41"/>
      <c r="B43" s="41"/>
      <c r="C43" s="45"/>
      <c r="D43" s="41"/>
      <c r="E43" s="41"/>
      <c r="F43" s="46"/>
      <c r="G43" s="46"/>
      <c r="H43" s="34" t="s">
        <v>143</v>
      </c>
    </row>
    <row r="44" spans="1:8" x14ac:dyDescent="0.2">
      <c r="A44" s="41"/>
      <c r="B44" s="41"/>
      <c r="C44" s="42" t="s">
        <v>144</v>
      </c>
      <c r="D44" s="41"/>
      <c r="E44" s="41"/>
      <c r="F44" s="41"/>
      <c r="G44" s="41"/>
      <c r="H44" s="34" t="s">
        <v>143</v>
      </c>
    </row>
    <row r="45" spans="1:8" x14ac:dyDescent="0.2">
      <c r="A45" s="41"/>
      <c r="B45" s="41"/>
      <c r="C45" s="42" t="s">
        <v>142</v>
      </c>
      <c r="D45" s="41"/>
      <c r="E45" s="41" t="s">
        <v>143</v>
      </c>
      <c r="F45" s="47" t="s">
        <v>145</v>
      </c>
      <c r="G45" s="44">
        <v>0</v>
      </c>
      <c r="H45" s="34" t="s">
        <v>143</v>
      </c>
    </row>
    <row r="46" spans="1:8" x14ac:dyDescent="0.2">
      <c r="A46" s="41"/>
      <c r="B46" s="41"/>
      <c r="C46" s="45"/>
      <c r="D46" s="41"/>
      <c r="E46" s="41"/>
      <c r="F46" s="46"/>
      <c r="G46" s="46"/>
      <c r="H46" s="34" t="s">
        <v>143</v>
      </c>
    </row>
    <row r="47" spans="1:8" x14ac:dyDescent="0.2">
      <c r="A47" s="41"/>
      <c r="B47" s="41"/>
      <c r="C47" s="42" t="s">
        <v>146</v>
      </c>
      <c r="D47" s="41"/>
      <c r="E47" s="41"/>
      <c r="F47" s="41"/>
      <c r="G47" s="41"/>
      <c r="H47" s="34" t="s">
        <v>143</v>
      </c>
    </row>
    <row r="48" spans="1:8" x14ac:dyDescent="0.2">
      <c r="A48" s="41"/>
      <c r="B48" s="41"/>
      <c r="C48" s="42" t="s">
        <v>142</v>
      </c>
      <c r="D48" s="41"/>
      <c r="E48" s="41" t="s">
        <v>143</v>
      </c>
      <c r="F48" s="47" t="s">
        <v>145</v>
      </c>
      <c r="G48" s="44">
        <v>0</v>
      </c>
      <c r="H48" s="34" t="s">
        <v>143</v>
      </c>
    </row>
    <row r="49" spans="1:8" x14ac:dyDescent="0.2">
      <c r="A49" s="41"/>
      <c r="B49" s="41"/>
      <c r="C49" s="45"/>
      <c r="D49" s="41"/>
      <c r="E49" s="41"/>
      <c r="F49" s="46"/>
      <c r="G49" s="46"/>
      <c r="H49" s="34" t="s">
        <v>143</v>
      </c>
    </row>
    <row r="50" spans="1:8" x14ac:dyDescent="0.2">
      <c r="A50" s="41"/>
      <c r="B50" s="41"/>
      <c r="C50" s="42" t="s">
        <v>147</v>
      </c>
      <c r="D50" s="41"/>
      <c r="E50" s="41"/>
      <c r="F50" s="41"/>
      <c r="G50" s="41"/>
      <c r="H50" s="34" t="s">
        <v>143</v>
      </c>
    </row>
    <row r="51" spans="1:8" x14ac:dyDescent="0.2">
      <c r="A51" s="41"/>
      <c r="B51" s="41"/>
      <c r="C51" s="42" t="s">
        <v>142</v>
      </c>
      <c r="D51" s="41"/>
      <c r="E51" s="41" t="s">
        <v>143</v>
      </c>
      <c r="F51" s="47" t="s">
        <v>145</v>
      </c>
      <c r="G51" s="44">
        <v>0</v>
      </c>
      <c r="H51" s="34" t="s">
        <v>143</v>
      </c>
    </row>
    <row r="52" spans="1:8" x14ac:dyDescent="0.2">
      <c r="A52" s="41"/>
      <c r="B52" s="41"/>
      <c r="C52" s="45"/>
      <c r="D52" s="41"/>
      <c r="E52" s="41"/>
      <c r="F52" s="46"/>
      <c r="G52" s="46"/>
      <c r="H52" s="34" t="s">
        <v>143</v>
      </c>
    </row>
    <row r="53" spans="1:8" x14ac:dyDescent="0.2">
      <c r="A53" s="41"/>
      <c r="B53" s="41"/>
      <c r="C53" s="42" t="s">
        <v>148</v>
      </c>
      <c r="D53" s="41"/>
      <c r="E53" s="41"/>
      <c r="F53" s="46"/>
      <c r="G53" s="46"/>
      <c r="H53" s="34" t="s">
        <v>143</v>
      </c>
    </row>
    <row r="54" spans="1:8" x14ac:dyDescent="0.2">
      <c r="A54" s="41"/>
      <c r="B54" s="41"/>
      <c r="C54" s="42" t="s">
        <v>142</v>
      </c>
      <c r="D54" s="41"/>
      <c r="E54" s="41" t="s">
        <v>143</v>
      </c>
      <c r="F54" s="47" t="s">
        <v>145</v>
      </c>
      <c r="G54" s="44">
        <v>0</v>
      </c>
      <c r="H54" s="34" t="s">
        <v>143</v>
      </c>
    </row>
    <row r="55" spans="1:8" x14ac:dyDescent="0.2">
      <c r="A55" s="41"/>
      <c r="B55" s="41"/>
      <c r="C55" s="45"/>
      <c r="D55" s="41"/>
      <c r="E55" s="41"/>
      <c r="F55" s="46"/>
      <c r="G55" s="46"/>
      <c r="H55" s="34" t="s">
        <v>143</v>
      </c>
    </row>
    <row r="56" spans="1:8" x14ac:dyDescent="0.2">
      <c r="A56" s="41"/>
      <c r="B56" s="41"/>
      <c r="C56" s="42" t="s">
        <v>149</v>
      </c>
      <c r="D56" s="41"/>
      <c r="E56" s="41"/>
      <c r="F56" s="46"/>
      <c r="G56" s="46"/>
      <c r="H56" s="34" t="s">
        <v>143</v>
      </c>
    </row>
    <row r="57" spans="1:8" x14ac:dyDescent="0.2">
      <c r="A57" s="41"/>
      <c r="B57" s="41"/>
      <c r="C57" s="42" t="s">
        <v>142</v>
      </c>
      <c r="D57" s="41"/>
      <c r="E57" s="41" t="s">
        <v>143</v>
      </c>
      <c r="F57" s="47" t="s">
        <v>145</v>
      </c>
      <c r="G57" s="44">
        <v>0</v>
      </c>
      <c r="H57" s="34" t="s">
        <v>143</v>
      </c>
    </row>
    <row r="58" spans="1:8" x14ac:dyDescent="0.2">
      <c r="A58" s="41"/>
      <c r="B58" s="41"/>
      <c r="C58" s="45"/>
      <c r="D58" s="41"/>
      <c r="E58" s="41"/>
      <c r="F58" s="46"/>
      <c r="G58" s="46"/>
      <c r="H58" s="34" t="s">
        <v>143</v>
      </c>
    </row>
    <row r="59" spans="1:8" x14ac:dyDescent="0.2">
      <c r="A59" s="41"/>
      <c r="B59" s="41"/>
      <c r="C59" s="42" t="s">
        <v>150</v>
      </c>
      <c r="D59" s="41"/>
      <c r="E59" s="41"/>
      <c r="F59" s="43">
        <v>3598.7847271000001</v>
      </c>
      <c r="G59" s="44">
        <v>0.95364035000000003</v>
      </c>
      <c r="H59" s="34" t="s">
        <v>143</v>
      </c>
    </row>
    <row r="60" spans="1:8" x14ac:dyDescent="0.2">
      <c r="A60" s="41"/>
      <c r="B60" s="41"/>
      <c r="C60" s="45"/>
      <c r="D60" s="41"/>
      <c r="E60" s="41"/>
      <c r="F60" s="46"/>
      <c r="G60" s="46"/>
      <c r="H60" s="34" t="s">
        <v>143</v>
      </c>
    </row>
    <row r="61" spans="1:8" x14ac:dyDescent="0.2">
      <c r="A61" s="41"/>
      <c r="B61" s="41"/>
      <c r="C61" s="42" t="s">
        <v>151</v>
      </c>
      <c r="D61" s="41"/>
      <c r="E61" s="41"/>
      <c r="F61" s="46"/>
      <c r="G61" s="46"/>
      <c r="H61" s="34" t="s">
        <v>143</v>
      </c>
    </row>
    <row r="62" spans="1:8" x14ac:dyDescent="0.2">
      <c r="A62" s="41"/>
      <c r="B62" s="41"/>
      <c r="C62" s="42" t="s">
        <v>10</v>
      </c>
      <c r="D62" s="41"/>
      <c r="E62" s="41"/>
      <c r="F62" s="46"/>
      <c r="G62" s="46"/>
      <c r="H62" s="34" t="s">
        <v>143</v>
      </c>
    </row>
    <row r="63" spans="1:8" x14ac:dyDescent="0.2">
      <c r="A63" s="41"/>
      <c r="B63" s="41"/>
      <c r="C63" s="42" t="s">
        <v>142</v>
      </c>
      <c r="D63" s="41"/>
      <c r="E63" s="41" t="s">
        <v>143</v>
      </c>
      <c r="F63" s="47" t="s">
        <v>145</v>
      </c>
      <c r="G63" s="44">
        <v>0</v>
      </c>
      <c r="H63" s="34" t="s">
        <v>143</v>
      </c>
    </row>
    <row r="64" spans="1:8" x14ac:dyDescent="0.2">
      <c r="A64" s="41"/>
      <c r="B64" s="41"/>
      <c r="C64" s="45"/>
      <c r="D64" s="41"/>
      <c r="E64" s="41"/>
      <c r="F64" s="46"/>
      <c r="G64" s="46"/>
      <c r="H64" s="34" t="s">
        <v>143</v>
      </c>
    </row>
    <row r="65" spans="1:8" x14ac:dyDescent="0.2">
      <c r="A65" s="41"/>
      <c r="B65" s="41"/>
      <c r="C65" s="42" t="s">
        <v>152</v>
      </c>
      <c r="D65" s="41"/>
      <c r="E65" s="41"/>
      <c r="F65" s="41"/>
      <c r="G65" s="41"/>
      <c r="H65" s="34" t="s">
        <v>143</v>
      </c>
    </row>
    <row r="66" spans="1:8" x14ac:dyDescent="0.2">
      <c r="A66" s="41"/>
      <c r="B66" s="41"/>
      <c r="C66" s="42" t="s">
        <v>142</v>
      </c>
      <c r="D66" s="41"/>
      <c r="E66" s="41" t="s">
        <v>143</v>
      </c>
      <c r="F66" s="47" t="s">
        <v>145</v>
      </c>
      <c r="G66" s="44">
        <v>0</v>
      </c>
      <c r="H66" s="34" t="s">
        <v>143</v>
      </c>
    </row>
    <row r="67" spans="1:8" x14ac:dyDescent="0.2">
      <c r="A67" s="41"/>
      <c r="B67" s="41"/>
      <c r="C67" s="45"/>
      <c r="D67" s="41"/>
      <c r="E67" s="41"/>
      <c r="F67" s="46"/>
      <c r="G67" s="46"/>
      <c r="H67" s="34" t="s">
        <v>143</v>
      </c>
    </row>
    <row r="68" spans="1:8" x14ac:dyDescent="0.2">
      <c r="A68" s="41"/>
      <c r="B68" s="41"/>
      <c r="C68" s="42" t="s">
        <v>153</v>
      </c>
      <c r="D68" s="41"/>
      <c r="E68" s="41"/>
      <c r="F68" s="41"/>
      <c r="G68" s="41"/>
      <c r="H68" s="34" t="s">
        <v>143</v>
      </c>
    </row>
    <row r="69" spans="1:8" x14ac:dyDescent="0.2">
      <c r="A69" s="41"/>
      <c r="B69" s="41"/>
      <c r="C69" s="42" t="s">
        <v>142</v>
      </c>
      <c r="D69" s="41"/>
      <c r="E69" s="41" t="s">
        <v>143</v>
      </c>
      <c r="F69" s="47" t="s">
        <v>145</v>
      </c>
      <c r="G69" s="44">
        <v>0</v>
      </c>
      <c r="H69" s="34" t="s">
        <v>143</v>
      </c>
    </row>
    <row r="70" spans="1:8" x14ac:dyDescent="0.2">
      <c r="A70" s="41"/>
      <c r="B70" s="41"/>
      <c r="C70" s="45"/>
      <c r="D70" s="41"/>
      <c r="E70" s="41"/>
      <c r="F70" s="46"/>
      <c r="G70" s="46"/>
      <c r="H70" s="34" t="s">
        <v>143</v>
      </c>
    </row>
    <row r="71" spans="1:8" x14ac:dyDescent="0.2">
      <c r="A71" s="41"/>
      <c r="B71" s="41"/>
      <c r="C71" s="42" t="s">
        <v>154</v>
      </c>
      <c r="D71" s="41"/>
      <c r="E71" s="41"/>
      <c r="F71" s="46"/>
      <c r="G71" s="46"/>
      <c r="H71" s="34" t="s">
        <v>143</v>
      </c>
    </row>
    <row r="72" spans="1:8" x14ac:dyDescent="0.2">
      <c r="A72" s="41"/>
      <c r="B72" s="41"/>
      <c r="C72" s="42" t="s">
        <v>142</v>
      </c>
      <c r="D72" s="41"/>
      <c r="E72" s="41" t="s">
        <v>143</v>
      </c>
      <c r="F72" s="47" t="s">
        <v>145</v>
      </c>
      <c r="G72" s="44">
        <v>0</v>
      </c>
      <c r="H72" s="34" t="s">
        <v>143</v>
      </c>
    </row>
    <row r="73" spans="1:8" x14ac:dyDescent="0.2">
      <c r="A73" s="41"/>
      <c r="B73" s="41"/>
      <c r="C73" s="45"/>
      <c r="D73" s="41"/>
      <c r="E73" s="41"/>
      <c r="F73" s="46"/>
      <c r="G73" s="46"/>
      <c r="H73" s="34" t="s">
        <v>143</v>
      </c>
    </row>
    <row r="74" spans="1:8" x14ac:dyDescent="0.2">
      <c r="A74" s="41"/>
      <c r="B74" s="41"/>
      <c r="C74" s="42" t="s">
        <v>155</v>
      </c>
      <c r="D74" s="41"/>
      <c r="E74" s="41"/>
      <c r="F74" s="43">
        <v>0</v>
      </c>
      <c r="G74" s="44">
        <v>0</v>
      </c>
      <c r="H74" s="34" t="s">
        <v>143</v>
      </c>
    </row>
    <row r="75" spans="1:8" x14ac:dyDescent="0.2">
      <c r="A75" s="41"/>
      <c r="B75" s="41"/>
      <c r="C75" s="45"/>
      <c r="D75" s="41"/>
      <c r="E75" s="41"/>
      <c r="F75" s="46"/>
      <c r="G75" s="46"/>
      <c r="H75" s="34" t="s">
        <v>143</v>
      </c>
    </row>
    <row r="76" spans="1:8" x14ac:dyDescent="0.2">
      <c r="A76" s="41"/>
      <c r="B76" s="41"/>
      <c r="C76" s="42" t="s">
        <v>156</v>
      </c>
      <c r="D76" s="41"/>
      <c r="E76" s="41"/>
      <c r="F76" s="46"/>
      <c r="G76" s="46"/>
      <c r="H76" s="34" t="s">
        <v>143</v>
      </c>
    </row>
    <row r="77" spans="1:8" x14ac:dyDescent="0.2">
      <c r="A77" s="41"/>
      <c r="B77" s="41"/>
      <c r="C77" s="42" t="s">
        <v>157</v>
      </c>
      <c r="D77" s="41"/>
      <c r="E77" s="41"/>
      <c r="F77" s="46"/>
      <c r="G77" s="46"/>
      <c r="H77" s="34" t="s">
        <v>143</v>
      </c>
    </row>
    <row r="78" spans="1:8" x14ac:dyDescent="0.2">
      <c r="A78" s="41"/>
      <c r="B78" s="41"/>
      <c r="C78" s="42" t="s">
        <v>142</v>
      </c>
      <c r="D78" s="41"/>
      <c r="E78" s="41" t="s">
        <v>143</v>
      </c>
      <c r="F78" s="47" t="s">
        <v>145</v>
      </c>
      <c r="G78" s="44">
        <v>0</v>
      </c>
      <c r="H78" s="34" t="s">
        <v>143</v>
      </c>
    </row>
    <row r="79" spans="1:8" x14ac:dyDescent="0.2">
      <c r="A79" s="41"/>
      <c r="B79" s="41"/>
      <c r="C79" s="45"/>
      <c r="D79" s="41"/>
      <c r="E79" s="41"/>
      <c r="F79" s="46"/>
      <c r="G79" s="46"/>
      <c r="H79" s="34" t="s">
        <v>143</v>
      </c>
    </row>
    <row r="80" spans="1:8" x14ac:dyDescent="0.2">
      <c r="A80" s="41"/>
      <c r="B80" s="41"/>
      <c r="C80" s="42" t="s">
        <v>158</v>
      </c>
      <c r="D80" s="41"/>
      <c r="E80" s="41"/>
      <c r="F80" s="46"/>
      <c r="G80" s="46"/>
      <c r="H80" s="34" t="s">
        <v>143</v>
      </c>
    </row>
    <row r="81" spans="1:8" x14ac:dyDescent="0.2">
      <c r="A81" s="41"/>
      <c r="B81" s="41"/>
      <c r="C81" s="42" t="s">
        <v>142</v>
      </c>
      <c r="D81" s="41"/>
      <c r="E81" s="41" t="s">
        <v>143</v>
      </c>
      <c r="F81" s="47" t="s">
        <v>145</v>
      </c>
      <c r="G81" s="44">
        <v>0</v>
      </c>
      <c r="H81" s="34" t="s">
        <v>143</v>
      </c>
    </row>
    <row r="82" spans="1:8" x14ac:dyDescent="0.2">
      <c r="A82" s="41"/>
      <c r="B82" s="41"/>
      <c r="C82" s="45"/>
      <c r="D82" s="41"/>
      <c r="E82" s="41"/>
      <c r="F82" s="46"/>
      <c r="G82" s="46"/>
      <c r="H82" s="34" t="s">
        <v>143</v>
      </c>
    </row>
    <row r="83" spans="1:8" x14ac:dyDescent="0.2">
      <c r="A83" s="41"/>
      <c r="B83" s="41"/>
      <c r="C83" s="42" t="s">
        <v>159</v>
      </c>
      <c r="D83" s="41"/>
      <c r="E83" s="41"/>
      <c r="F83" s="46"/>
      <c r="G83" s="46"/>
      <c r="H83" s="34" t="s">
        <v>143</v>
      </c>
    </row>
    <row r="84" spans="1:8" x14ac:dyDescent="0.2">
      <c r="A84" s="41"/>
      <c r="B84" s="41"/>
      <c r="C84" s="42" t="s">
        <v>142</v>
      </c>
      <c r="D84" s="41"/>
      <c r="E84" s="41" t="s">
        <v>143</v>
      </c>
      <c r="F84" s="47" t="s">
        <v>145</v>
      </c>
      <c r="G84" s="44">
        <v>0</v>
      </c>
      <c r="H84" s="34" t="s">
        <v>143</v>
      </c>
    </row>
    <row r="85" spans="1:8" x14ac:dyDescent="0.2">
      <c r="A85" s="41"/>
      <c r="B85" s="41"/>
      <c r="C85" s="45"/>
      <c r="D85" s="41"/>
      <c r="E85" s="41"/>
      <c r="F85" s="46"/>
      <c r="G85" s="46"/>
      <c r="H85" s="34" t="s">
        <v>143</v>
      </c>
    </row>
    <row r="86" spans="1:8" x14ac:dyDescent="0.2">
      <c r="A86" s="41"/>
      <c r="B86" s="41"/>
      <c r="C86" s="42" t="s">
        <v>160</v>
      </c>
      <c r="D86" s="41"/>
      <c r="E86" s="41"/>
      <c r="F86" s="46"/>
      <c r="G86" s="46"/>
      <c r="H86" s="34" t="s">
        <v>143</v>
      </c>
    </row>
    <row r="87" spans="1:8" x14ac:dyDescent="0.2">
      <c r="A87" s="35">
        <v>1</v>
      </c>
      <c r="B87" s="36"/>
      <c r="C87" s="36" t="s">
        <v>161</v>
      </c>
      <c r="D87" s="36"/>
      <c r="E87" s="48"/>
      <c r="F87" s="38">
        <v>174.624653</v>
      </c>
      <c r="G87" s="39">
        <v>4.6273710000000003E-2</v>
      </c>
      <c r="H87" s="34">
        <v>5.47</v>
      </c>
    </row>
    <row r="88" spans="1:8" x14ac:dyDescent="0.2">
      <c r="A88" s="41"/>
      <c r="B88" s="41"/>
      <c r="C88" s="42" t="s">
        <v>142</v>
      </c>
      <c r="D88" s="41"/>
      <c r="E88" s="41" t="s">
        <v>143</v>
      </c>
      <c r="F88" s="43">
        <v>174.624653</v>
      </c>
      <c r="G88" s="44">
        <v>4.6273710000000003E-2</v>
      </c>
      <c r="H88" s="34" t="s">
        <v>143</v>
      </c>
    </row>
    <row r="89" spans="1:8" x14ac:dyDescent="0.2">
      <c r="A89" s="41"/>
      <c r="B89" s="41"/>
      <c r="C89" s="45"/>
      <c r="D89" s="41"/>
      <c r="E89" s="41"/>
      <c r="F89" s="46"/>
      <c r="G89" s="46"/>
      <c r="H89" s="34" t="s">
        <v>143</v>
      </c>
    </row>
    <row r="90" spans="1:8" x14ac:dyDescent="0.2">
      <c r="A90" s="41"/>
      <c r="B90" s="41"/>
      <c r="C90" s="42" t="s">
        <v>162</v>
      </c>
      <c r="D90" s="41"/>
      <c r="E90" s="41"/>
      <c r="F90" s="43">
        <v>174.624653</v>
      </c>
      <c r="G90" s="44">
        <v>4.6273710000000003E-2</v>
      </c>
      <c r="H90" s="34" t="s">
        <v>143</v>
      </c>
    </row>
    <row r="91" spans="1:8" x14ac:dyDescent="0.2">
      <c r="A91" s="41"/>
      <c r="B91" s="41"/>
      <c r="C91" s="46"/>
      <c r="D91" s="41"/>
      <c r="E91" s="41"/>
      <c r="F91" s="41"/>
      <c r="G91" s="41"/>
      <c r="H91" s="34" t="s">
        <v>143</v>
      </c>
    </row>
    <row r="92" spans="1:8" x14ac:dyDescent="0.2">
      <c r="A92" s="41"/>
      <c r="B92" s="41"/>
      <c r="C92" s="42" t="s">
        <v>163</v>
      </c>
      <c r="D92" s="41"/>
      <c r="E92" s="41"/>
      <c r="F92" s="41"/>
      <c r="G92" s="41"/>
      <c r="H92" s="34" t="s">
        <v>143</v>
      </c>
    </row>
    <row r="93" spans="1:8" x14ac:dyDescent="0.2">
      <c r="A93" s="41"/>
      <c r="B93" s="41"/>
      <c r="C93" s="42" t="s">
        <v>164</v>
      </c>
      <c r="D93" s="41"/>
      <c r="E93" s="41"/>
      <c r="F93" s="41"/>
      <c r="G93" s="41"/>
      <c r="H93" s="34" t="s">
        <v>143</v>
      </c>
    </row>
    <row r="94" spans="1:8" x14ac:dyDescent="0.2">
      <c r="A94" s="41"/>
      <c r="B94" s="41"/>
      <c r="C94" s="42" t="s">
        <v>142</v>
      </c>
      <c r="D94" s="41"/>
      <c r="E94" s="41" t="s">
        <v>143</v>
      </c>
      <c r="F94" s="47" t="s">
        <v>145</v>
      </c>
      <c r="G94" s="44">
        <v>0</v>
      </c>
      <c r="H94" s="34" t="s">
        <v>143</v>
      </c>
    </row>
    <row r="95" spans="1:8" x14ac:dyDescent="0.2">
      <c r="A95" s="41"/>
      <c r="B95" s="41"/>
      <c r="C95" s="45"/>
      <c r="D95" s="41"/>
      <c r="E95" s="41"/>
      <c r="F95" s="46"/>
      <c r="G95" s="46"/>
      <c r="H95" s="34" t="s">
        <v>143</v>
      </c>
    </row>
    <row r="96" spans="1:8" x14ac:dyDescent="0.2">
      <c r="A96" s="41"/>
      <c r="B96" s="41"/>
      <c r="C96" s="42" t="s">
        <v>165</v>
      </c>
      <c r="D96" s="41"/>
      <c r="E96" s="41"/>
      <c r="F96" s="41"/>
      <c r="G96" s="41"/>
      <c r="H96" s="34" t="s">
        <v>143</v>
      </c>
    </row>
    <row r="97" spans="1:17" x14ac:dyDescent="0.2">
      <c r="A97" s="41"/>
      <c r="B97" s="41"/>
      <c r="C97" s="42" t="s">
        <v>166</v>
      </c>
      <c r="D97" s="41"/>
      <c r="E97" s="41"/>
      <c r="F97" s="41"/>
      <c r="G97" s="41"/>
      <c r="H97" s="34" t="s">
        <v>143</v>
      </c>
    </row>
    <row r="98" spans="1:17" x14ac:dyDescent="0.2">
      <c r="A98" s="41"/>
      <c r="B98" s="41"/>
      <c r="C98" s="42" t="s">
        <v>142</v>
      </c>
      <c r="D98" s="41"/>
      <c r="E98" s="41" t="s">
        <v>143</v>
      </c>
      <c r="F98" s="47" t="s">
        <v>145</v>
      </c>
      <c r="G98" s="44">
        <v>0</v>
      </c>
      <c r="H98" s="34" t="s">
        <v>143</v>
      </c>
    </row>
    <row r="99" spans="1:17" x14ac:dyDescent="0.2">
      <c r="A99" s="41"/>
      <c r="B99" s="41"/>
      <c r="C99" s="45"/>
      <c r="D99" s="41"/>
      <c r="E99" s="41"/>
      <c r="F99" s="46"/>
      <c r="G99" s="46"/>
      <c r="H99" s="34" t="s">
        <v>143</v>
      </c>
    </row>
    <row r="100" spans="1:17" x14ac:dyDescent="0.2">
      <c r="A100" s="41"/>
      <c r="B100" s="41"/>
      <c r="C100" s="42" t="s">
        <v>167</v>
      </c>
      <c r="D100" s="41"/>
      <c r="E100" s="41"/>
      <c r="F100" s="46"/>
      <c r="G100" s="46"/>
      <c r="H100" s="34" t="s">
        <v>143</v>
      </c>
    </row>
    <row r="101" spans="1:17" x14ac:dyDescent="0.2">
      <c r="A101" s="41"/>
      <c r="B101" s="41"/>
      <c r="C101" s="42" t="s">
        <v>142</v>
      </c>
      <c r="D101" s="41"/>
      <c r="E101" s="41" t="s">
        <v>143</v>
      </c>
      <c r="F101" s="47" t="s">
        <v>145</v>
      </c>
      <c r="G101" s="44">
        <v>0</v>
      </c>
      <c r="H101" s="34" t="s">
        <v>143</v>
      </c>
    </row>
    <row r="102" spans="1:17" x14ac:dyDescent="0.2">
      <c r="A102" s="41"/>
      <c r="B102" s="41"/>
      <c r="C102" s="45"/>
      <c r="D102" s="41"/>
      <c r="E102" s="41"/>
      <c r="F102" s="46"/>
      <c r="G102" s="46"/>
      <c r="H102" s="34" t="s">
        <v>143</v>
      </c>
    </row>
    <row r="103" spans="1:17" x14ac:dyDescent="0.2">
      <c r="A103" s="48"/>
      <c r="B103" s="36"/>
      <c r="C103" s="36" t="s">
        <v>168</v>
      </c>
      <c r="D103" s="36"/>
      <c r="E103" s="48"/>
      <c r="F103" s="38">
        <v>0.32444914000000002</v>
      </c>
      <c r="G103" s="39">
        <v>8.598E-5</v>
      </c>
      <c r="H103" s="34" t="s">
        <v>143</v>
      </c>
    </row>
    <row r="104" spans="1:17" x14ac:dyDescent="0.2">
      <c r="A104" s="45"/>
      <c r="B104" s="45"/>
      <c r="C104" s="42" t="s">
        <v>169</v>
      </c>
      <c r="D104" s="46"/>
      <c r="E104" s="46"/>
      <c r="F104" s="43">
        <v>3773.73382924</v>
      </c>
      <c r="G104" s="51">
        <v>1.00000004</v>
      </c>
      <c r="H104" s="34" t="s">
        <v>143</v>
      </c>
    </row>
    <row r="105" spans="1:17" x14ac:dyDescent="0.2">
      <c r="A105" s="52"/>
      <c r="B105" s="52"/>
      <c r="C105" s="52"/>
      <c r="D105" s="53"/>
      <c r="E105" s="53"/>
      <c r="F105" s="53"/>
      <c r="G105" s="53"/>
    </row>
    <row r="106" spans="1:17" x14ac:dyDescent="0.2">
      <c r="A106" s="54"/>
      <c r="B106" s="158" t="s">
        <v>852</v>
      </c>
      <c r="C106" s="158"/>
      <c r="D106" s="158"/>
      <c r="E106" s="158"/>
      <c r="F106" s="158"/>
      <c r="G106" s="158"/>
      <c r="H106" s="158"/>
      <c r="J106" s="56"/>
    </row>
    <row r="107" spans="1:17" x14ac:dyDescent="0.2">
      <c r="A107" s="54"/>
      <c r="B107" s="158" t="s">
        <v>853</v>
      </c>
      <c r="C107" s="158"/>
      <c r="D107" s="158"/>
      <c r="E107" s="158"/>
      <c r="F107" s="158"/>
      <c r="G107" s="158"/>
      <c r="H107" s="158"/>
      <c r="J107" s="56"/>
    </row>
    <row r="108" spans="1:17" x14ac:dyDescent="0.2">
      <c r="A108" s="54"/>
      <c r="B108" s="158" t="s">
        <v>854</v>
      </c>
      <c r="C108" s="158"/>
      <c r="D108" s="158"/>
      <c r="E108" s="158"/>
      <c r="F108" s="158"/>
      <c r="G108" s="158"/>
      <c r="H108" s="158"/>
      <c r="J108" s="56"/>
    </row>
    <row r="109" spans="1:17" s="58" customFormat="1" ht="52.5" customHeight="1" x14ac:dyDescent="0.25">
      <c r="A109" s="57"/>
      <c r="B109" s="159" t="s">
        <v>855</v>
      </c>
      <c r="C109" s="159"/>
      <c r="D109" s="159"/>
      <c r="E109" s="159"/>
      <c r="F109" s="159"/>
      <c r="G109" s="159"/>
      <c r="H109" s="159"/>
      <c r="I109"/>
      <c r="J109" s="56"/>
      <c r="K109"/>
      <c r="L109"/>
      <c r="M109"/>
      <c r="N109"/>
      <c r="O109"/>
      <c r="P109"/>
      <c r="Q109"/>
    </row>
    <row r="110" spans="1:17" x14ac:dyDescent="0.2">
      <c r="A110" s="54"/>
      <c r="B110" s="158" t="s">
        <v>856</v>
      </c>
      <c r="C110" s="158"/>
      <c r="D110" s="158"/>
      <c r="E110" s="158"/>
      <c r="F110" s="158"/>
      <c r="G110" s="158"/>
      <c r="H110" s="158"/>
      <c r="J110" s="56"/>
    </row>
    <row r="111" spans="1:17" x14ac:dyDescent="0.2">
      <c r="A111" s="54"/>
      <c r="B111" s="54"/>
      <c r="C111" s="54"/>
      <c r="D111" s="59"/>
      <c r="E111" s="59"/>
      <c r="F111" s="59"/>
      <c r="G111" s="59"/>
    </row>
    <row r="112" spans="1:17" x14ac:dyDescent="0.2">
      <c r="A112" s="54"/>
      <c r="B112" s="160" t="s">
        <v>170</v>
      </c>
      <c r="C112" s="161"/>
      <c r="D112" s="162"/>
      <c r="E112" s="60"/>
      <c r="F112" s="59"/>
      <c r="G112" s="59"/>
    </row>
    <row r="113" spans="1:10" ht="27.75" customHeight="1" x14ac:dyDescent="0.2">
      <c r="A113" s="54"/>
      <c r="B113" s="154" t="s">
        <v>171</v>
      </c>
      <c r="C113" s="155"/>
      <c r="D113" s="33" t="s">
        <v>172</v>
      </c>
      <c r="E113" s="60"/>
      <c r="F113" s="59"/>
      <c r="G113" s="59"/>
    </row>
    <row r="114" spans="1:10" ht="12.75" customHeight="1" x14ac:dyDescent="0.2">
      <c r="A114" s="54"/>
      <c r="B114" s="154" t="s">
        <v>857</v>
      </c>
      <c r="C114" s="155"/>
      <c r="D114" s="33" t="s">
        <v>172</v>
      </c>
      <c r="E114" s="60"/>
      <c r="F114" s="59"/>
      <c r="G114" s="59"/>
    </row>
    <row r="115" spans="1:10" x14ac:dyDescent="0.2">
      <c r="A115" s="54"/>
      <c r="B115" s="154" t="s">
        <v>173</v>
      </c>
      <c r="C115" s="155"/>
      <c r="D115" s="61" t="s">
        <v>143</v>
      </c>
      <c r="E115" s="60"/>
      <c r="F115" s="59"/>
      <c r="G115" s="59"/>
    </row>
    <row r="116" spans="1:10" x14ac:dyDescent="0.2">
      <c r="A116" s="62"/>
      <c r="B116" s="63" t="s">
        <v>143</v>
      </c>
      <c r="C116" s="63" t="s">
        <v>858</v>
      </c>
      <c r="D116" s="63" t="s">
        <v>174</v>
      </c>
      <c r="E116" s="62"/>
      <c r="F116" s="62"/>
      <c r="G116" s="62"/>
      <c r="H116" s="62"/>
      <c r="J116" s="56"/>
    </row>
    <row r="117" spans="1:10" x14ac:dyDescent="0.2">
      <c r="A117" s="62"/>
      <c r="B117" s="64" t="s">
        <v>175</v>
      </c>
      <c r="C117" s="65">
        <v>45808</v>
      </c>
      <c r="D117" s="65">
        <v>45838</v>
      </c>
      <c r="E117" s="62"/>
      <c r="F117" s="62"/>
      <c r="G117" s="62"/>
      <c r="J117" s="56"/>
    </row>
    <row r="118" spans="1:10" x14ac:dyDescent="0.2">
      <c r="A118" s="66"/>
      <c r="B118" s="36" t="s">
        <v>176</v>
      </c>
      <c r="C118" s="67">
        <v>28.4269</v>
      </c>
      <c r="D118" s="67">
        <v>30.139299999999999</v>
      </c>
      <c r="E118" s="66"/>
      <c r="F118" s="68"/>
      <c r="G118" s="69"/>
    </row>
    <row r="119" spans="1:10" x14ac:dyDescent="0.2">
      <c r="A119" s="66"/>
      <c r="B119" s="36" t="s">
        <v>1086</v>
      </c>
      <c r="C119" s="67">
        <v>27.056699999999999</v>
      </c>
      <c r="D119" s="67">
        <v>28.686499999999999</v>
      </c>
      <c r="E119" s="66"/>
      <c r="F119" s="68"/>
      <c r="G119" s="69"/>
    </row>
    <row r="120" spans="1:10" x14ac:dyDescent="0.2">
      <c r="A120" s="66"/>
      <c r="B120" s="36" t="s">
        <v>177</v>
      </c>
      <c r="C120" s="67">
        <v>27.8049</v>
      </c>
      <c r="D120" s="67">
        <v>29.4771</v>
      </c>
      <c r="E120" s="66"/>
      <c r="F120" s="68"/>
      <c r="G120" s="69"/>
    </row>
    <row r="121" spans="1:10" x14ac:dyDescent="0.2">
      <c r="A121" s="66"/>
      <c r="B121" s="36" t="s">
        <v>1087</v>
      </c>
      <c r="C121" s="67">
        <v>26.436499999999999</v>
      </c>
      <c r="D121" s="67">
        <v>28.026499999999999</v>
      </c>
      <c r="E121" s="66"/>
      <c r="F121" s="68"/>
      <c r="G121" s="69"/>
    </row>
    <row r="122" spans="1:10" x14ac:dyDescent="0.2">
      <c r="A122" s="66"/>
      <c r="B122" s="66"/>
      <c r="C122" s="66"/>
      <c r="D122" s="66"/>
      <c r="E122" s="66"/>
      <c r="F122" s="66"/>
      <c r="G122" s="66"/>
    </row>
    <row r="123" spans="1:10" x14ac:dyDescent="0.2">
      <c r="A123" s="62"/>
      <c r="B123" s="154" t="s">
        <v>860</v>
      </c>
      <c r="C123" s="155"/>
      <c r="D123" s="33" t="s">
        <v>172</v>
      </c>
      <c r="E123" s="62"/>
      <c r="F123" s="62"/>
      <c r="G123" s="62"/>
    </row>
    <row r="124" spans="1:10" x14ac:dyDescent="0.2">
      <c r="A124" s="62"/>
      <c r="B124" s="70"/>
      <c r="C124" s="70"/>
      <c r="D124" s="70"/>
      <c r="E124" s="62"/>
      <c r="F124" s="62"/>
      <c r="G124" s="62"/>
    </row>
    <row r="125" spans="1:10" x14ac:dyDescent="0.2">
      <c r="A125" s="62"/>
      <c r="B125" s="154" t="s">
        <v>178</v>
      </c>
      <c r="C125" s="155"/>
      <c r="D125" s="33" t="s">
        <v>172</v>
      </c>
      <c r="E125" s="71"/>
      <c r="F125" s="62"/>
      <c r="G125" s="62"/>
    </row>
    <row r="126" spans="1:10" x14ac:dyDescent="0.2">
      <c r="A126" s="62"/>
      <c r="B126" s="154" t="s">
        <v>179</v>
      </c>
      <c r="C126" s="155"/>
      <c r="D126" s="33" t="s">
        <v>172</v>
      </c>
      <c r="E126" s="71"/>
      <c r="F126" s="62"/>
      <c r="G126" s="62"/>
    </row>
    <row r="127" spans="1:10" x14ac:dyDescent="0.2">
      <c r="A127" s="62"/>
      <c r="B127" s="154" t="s">
        <v>180</v>
      </c>
      <c r="C127" s="155"/>
      <c r="D127" s="33" t="s">
        <v>172</v>
      </c>
      <c r="E127" s="71"/>
      <c r="F127" s="62"/>
      <c r="G127" s="62"/>
    </row>
    <row r="128" spans="1:10" x14ac:dyDescent="0.2">
      <c r="A128" s="62"/>
      <c r="B128" s="154" t="s">
        <v>181</v>
      </c>
      <c r="C128" s="155"/>
      <c r="D128" s="72">
        <v>6.4556944930231772E-2</v>
      </c>
      <c r="E128" s="62"/>
      <c r="F128" s="55"/>
      <c r="G128" s="73"/>
    </row>
    <row r="130" spans="2:10" x14ac:dyDescent="0.2">
      <c r="B130" s="156" t="s">
        <v>861</v>
      </c>
      <c r="C130" s="156"/>
    </row>
    <row r="132" spans="2:10" ht="153.75" customHeight="1" x14ac:dyDescent="0.2"/>
    <row r="135" spans="2:10" x14ac:dyDescent="0.2">
      <c r="B135" s="79" t="s">
        <v>862</v>
      </c>
      <c r="C135" s="80"/>
      <c r="D135" s="79"/>
    </row>
    <row r="136" spans="2:10" x14ac:dyDescent="0.2">
      <c r="B136" s="79" t="s">
        <v>873</v>
      </c>
      <c r="D136" s="79"/>
    </row>
    <row r="137" spans="2:10" ht="165" customHeight="1" x14ac:dyDescent="0.2"/>
    <row r="138" spans="2:10" x14ac:dyDescent="0.2">
      <c r="J138" s="31"/>
    </row>
  </sheetData>
  <mergeCells count="18">
    <mergeCell ref="A1:H1"/>
    <mergeCell ref="A2:H2"/>
    <mergeCell ref="A3:H3"/>
    <mergeCell ref="B106:H106"/>
    <mergeCell ref="B107:H107"/>
    <mergeCell ref="B108:H108"/>
    <mergeCell ref="B109:H109"/>
    <mergeCell ref="B110:H110"/>
    <mergeCell ref="B112:D112"/>
    <mergeCell ref="B113:C113"/>
    <mergeCell ref="B114:C114"/>
    <mergeCell ref="B115:C115"/>
    <mergeCell ref="B130:C130"/>
    <mergeCell ref="B123:C123"/>
    <mergeCell ref="B127:C127"/>
    <mergeCell ref="B128:C128"/>
    <mergeCell ref="B125:C125"/>
    <mergeCell ref="B126:C126"/>
  </mergeCells>
  <hyperlinks>
    <hyperlink ref="I1" location="Index!B2" display="Index" xr:uid="{FBC3A7DA-A814-47F1-A591-3A7718B36BA8}"/>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26769-F21E-42AA-9EA1-BDB0FA56D9E3}">
  <sheetPr>
    <outlinePr summaryBelow="0" summaryRight="0"/>
  </sheetPr>
  <dimension ref="A1:Q140"/>
  <sheetViews>
    <sheetView showGridLines="0" workbookViewId="0">
      <selection sqref="A1:H1"/>
    </sheetView>
  </sheetViews>
  <sheetFormatPr defaultRowHeight="12.75" x14ac:dyDescent="0.2"/>
  <cols>
    <col min="1" max="1" width="6.85546875" customWidth="1"/>
    <col min="2" max="2" width="20.5703125" customWidth="1"/>
    <col min="3" max="3" width="40"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454</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330</v>
      </c>
      <c r="C7" s="36" t="s">
        <v>331</v>
      </c>
      <c r="D7" s="36" t="s">
        <v>206</v>
      </c>
      <c r="E7" s="37">
        <v>2143</v>
      </c>
      <c r="F7" s="38">
        <v>191.66991999999999</v>
      </c>
      <c r="G7" s="39">
        <v>6.0365160000000001E-2</v>
      </c>
      <c r="H7" s="34" t="s">
        <v>143</v>
      </c>
    </row>
    <row r="8" spans="1:9" x14ac:dyDescent="0.2">
      <c r="A8" s="35">
        <v>2</v>
      </c>
      <c r="B8" s="36" t="s">
        <v>340</v>
      </c>
      <c r="C8" s="36" t="s">
        <v>341</v>
      </c>
      <c r="D8" s="36" t="s">
        <v>265</v>
      </c>
      <c r="E8" s="37">
        <v>8793</v>
      </c>
      <c r="F8" s="38">
        <v>175.71051900000001</v>
      </c>
      <c r="G8" s="39">
        <v>5.5338850000000002E-2</v>
      </c>
      <c r="H8" s="34" t="s">
        <v>143</v>
      </c>
    </row>
    <row r="9" spans="1:9" x14ac:dyDescent="0.2">
      <c r="A9" s="35">
        <v>3</v>
      </c>
      <c r="B9" s="36" t="s">
        <v>364</v>
      </c>
      <c r="C9" s="36" t="s">
        <v>365</v>
      </c>
      <c r="D9" s="36" t="s">
        <v>195</v>
      </c>
      <c r="E9" s="37">
        <v>28701</v>
      </c>
      <c r="F9" s="38">
        <v>171.07231049999999</v>
      </c>
      <c r="G9" s="39">
        <v>5.3878080000000002E-2</v>
      </c>
      <c r="H9" s="34" t="s">
        <v>143</v>
      </c>
    </row>
    <row r="10" spans="1:9" x14ac:dyDescent="0.2">
      <c r="A10" s="35">
        <v>4</v>
      </c>
      <c r="B10" s="36" t="s">
        <v>368</v>
      </c>
      <c r="C10" s="36" t="s">
        <v>369</v>
      </c>
      <c r="D10" s="36" t="s">
        <v>55</v>
      </c>
      <c r="E10" s="37">
        <v>6658</v>
      </c>
      <c r="F10" s="38">
        <v>143.67964000000001</v>
      </c>
      <c r="G10" s="39">
        <v>4.5250940000000003E-2</v>
      </c>
      <c r="H10" s="34" t="s">
        <v>143</v>
      </c>
    </row>
    <row r="11" spans="1:9" x14ac:dyDescent="0.2">
      <c r="A11" s="35">
        <v>5</v>
      </c>
      <c r="B11" s="36" t="s">
        <v>366</v>
      </c>
      <c r="C11" s="36" t="s">
        <v>367</v>
      </c>
      <c r="D11" s="36" t="s">
        <v>221</v>
      </c>
      <c r="E11" s="37">
        <v>43035</v>
      </c>
      <c r="F11" s="38">
        <v>141.49907999999999</v>
      </c>
      <c r="G11" s="39">
        <v>4.4564189999999997E-2</v>
      </c>
      <c r="H11" s="34" t="s">
        <v>143</v>
      </c>
    </row>
    <row r="12" spans="1:9" x14ac:dyDescent="0.2">
      <c r="A12" s="35">
        <v>6</v>
      </c>
      <c r="B12" s="36" t="s">
        <v>376</v>
      </c>
      <c r="C12" s="36" t="s">
        <v>377</v>
      </c>
      <c r="D12" s="36" t="s">
        <v>206</v>
      </c>
      <c r="E12" s="37">
        <v>4435</v>
      </c>
      <c r="F12" s="38">
        <v>129.62618000000001</v>
      </c>
      <c r="G12" s="39">
        <v>4.0824899999999997E-2</v>
      </c>
      <c r="H12" s="34" t="s">
        <v>143</v>
      </c>
    </row>
    <row r="13" spans="1:9" x14ac:dyDescent="0.2">
      <c r="A13" s="35">
        <v>7</v>
      </c>
      <c r="B13" s="36" t="s">
        <v>78</v>
      </c>
      <c r="C13" s="36" t="s">
        <v>79</v>
      </c>
      <c r="D13" s="36" t="s">
        <v>73</v>
      </c>
      <c r="E13" s="37">
        <v>15343</v>
      </c>
      <c r="F13" s="38">
        <v>125.5134115</v>
      </c>
      <c r="G13" s="39">
        <v>3.952961E-2</v>
      </c>
      <c r="H13" s="34" t="s">
        <v>143</v>
      </c>
    </row>
    <row r="14" spans="1:9" x14ac:dyDescent="0.2">
      <c r="A14" s="35">
        <v>8</v>
      </c>
      <c r="B14" s="36" t="s">
        <v>372</v>
      </c>
      <c r="C14" s="36" t="s">
        <v>373</v>
      </c>
      <c r="D14" s="36" t="s">
        <v>33</v>
      </c>
      <c r="E14" s="37">
        <v>31040</v>
      </c>
      <c r="F14" s="38">
        <v>122.39072</v>
      </c>
      <c r="G14" s="39">
        <v>3.854614E-2</v>
      </c>
      <c r="H14" s="34" t="s">
        <v>143</v>
      </c>
    </row>
    <row r="15" spans="1:9" x14ac:dyDescent="0.2">
      <c r="A15" s="35">
        <v>9</v>
      </c>
      <c r="B15" s="36" t="s">
        <v>370</v>
      </c>
      <c r="C15" s="36" t="s">
        <v>371</v>
      </c>
      <c r="D15" s="36" t="s">
        <v>33</v>
      </c>
      <c r="E15" s="37">
        <v>241296</v>
      </c>
      <c r="F15" s="38">
        <v>118.3074288</v>
      </c>
      <c r="G15" s="39">
        <v>3.7260130000000002E-2</v>
      </c>
      <c r="H15" s="34" t="s">
        <v>143</v>
      </c>
    </row>
    <row r="16" spans="1:9" x14ac:dyDescent="0.2">
      <c r="A16" s="35">
        <v>10</v>
      </c>
      <c r="B16" s="36" t="s">
        <v>374</v>
      </c>
      <c r="C16" s="36" t="s">
        <v>375</v>
      </c>
      <c r="D16" s="36" t="s">
        <v>55</v>
      </c>
      <c r="E16" s="37">
        <v>39512</v>
      </c>
      <c r="F16" s="38">
        <v>106.20825600000001</v>
      </c>
      <c r="G16" s="39">
        <v>3.344958E-2</v>
      </c>
      <c r="H16" s="34" t="s">
        <v>143</v>
      </c>
    </row>
    <row r="17" spans="1:8" x14ac:dyDescent="0.2">
      <c r="A17" s="35">
        <v>11</v>
      </c>
      <c r="B17" s="36" t="s">
        <v>380</v>
      </c>
      <c r="C17" s="36" t="s">
        <v>381</v>
      </c>
      <c r="D17" s="36" t="s">
        <v>33</v>
      </c>
      <c r="E17" s="37">
        <v>141618</v>
      </c>
      <c r="F17" s="38">
        <v>95.039839799999996</v>
      </c>
      <c r="G17" s="39">
        <v>2.9932159999999999E-2</v>
      </c>
      <c r="H17" s="34" t="s">
        <v>143</v>
      </c>
    </row>
    <row r="18" spans="1:8" ht="25.5" x14ac:dyDescent="0.2">
      <c r="A18" s="35">
        <v>12</v>
      </c>
      <c r="B18" s="36" t="s">
        <v>378</v>
      </c>
      <c r="C18" s="36" t="s">
        <v>379</v>
      </c>
      <c r="D18" s="36" t="s">
        <v>201</v>
      </c>
      <c r="E18" s="37">
        <v>1573</v>
      </c>
      <c r="F18" s="38">
        <v>92.500264999999999</v>
      </c>
      <c r="G18" s="39">
        <v>2.913234E-2</v>
      </c>
      <c r="H18" s="34" t="s">
        <v>143</v>
      </c>
    </row>
    <row r="19" spans="1:8" x14ac:dyDescent="0.2">
      <c r="A19" s="35">
        <v>13</v>
      </c>
      <c r="B19" s="36" t="s">
        <v>105</v>
      </c>
      <c r="C19" s="36" t="s">
        <v>106</v>
      </c>
      <c r="D19" s="36" t="s">
        <v>73</v>
      </c>
      <c r="E19" s="37">
        <v>2337</v>
      </c>
      <c r="F19" s="38">
        <v>88.633061999999995</v>
      </c>
      <c r="G19" s="39">
        <v>2.7914390000000001E-2</v>
      </c>
      <c r="H19" s="34" t="s">
        <v>143</v>
      </c>
    </row>
    <row r="20" spans="1:8" x14ac:dyDescent="0.2">
      <c r="A20" s="35">
        <v>14</v>
      </c>
      <c r="B20" s="36" t="s">
        <v>388</v>
      </c>
      <c r="C20" s="36" t="s">
        <v>389</v>
      </c>
      <c r="D20" s="36" t="s">
        <v>192</v>
      </c>
      <c r="E20" s="37">
        <v>10672</v>
      </c>
      <c r="F20" s="38">
        <v>84.618288000000007</v>
      </c>
      <c r="G20" s="39">
        <v>2.664996E-2</v>
      </c>
      <c r="H20" s="34" t="s">
        <v>143</v>
      </c>
    </row>
    <row r="21" spans="1:8" ht="25.5" x14ac:dyDescent="0.2">
      <c r="A21" s="35">
        <v>15</v>
      </c>
      <c r="B21" s="36" t="s">
        <v>48</v>
      </c>
      <c r="C21" s="36" t="s">
        <v>49</v>
      </c>
      <c r="D21" s="36" t="s">
        <v>25</v>
      </c>
      <c r="E21" s="37">
        <v>1255</v>
      </c>
      <c r="F21" s="38">
        <v>77.182500000000005</v>
      </c>
      <c r="G21" s="39">
        <v>2.4308110000000001E-2</v>
      </c>
      <c r="H21" s="34" t="s">
        <v>143</v>
      </c>
    </row>
    <row r="22" spans="1:8" x14ac:dyDescent="0.2">
      <c r="A22" s="35">
        <v>16</v>
      </c>
      <c r="B22" s="36" t="s">
        <v>44</v>
      </c>
      <c r="C22" s="36" t="s">
        <v>45</v>
      </c>
      <c r="D22" s="36" t="s">
        <v>19</v>
      </c>
      <c r="E22" s="37">
        <v>6049</v>
      </c>
      <c r="F22" s="38">
        <v>74.233328</v>
      </c>
      <c r="G22" s="39">
        <v>2.337929E-2</v>
      </c>
      <c r="H22" s="34" t="s">
        <v>143</v>
      </c>
    </row>
    <row r="23" spans="1:8" ht="25.5" x14ac:dyDescent="0.2">
      <c r="A23" s="35">
        <v>17</v>
      </c>
      <c r="B23" s="36" t="s">
        <v>390</v>
      </c>
      <c r="C23" s="36" t="s">
        <v>391</v>
      </c>
      <c r="D23" s="36" t="s">
        <v>392</v>
      </c>
      <c r="E23" s="37">
        <v>19517</v>
      </c>
      <c r="F23" s="38">
        <v>72.271450999999999</v>
      </c>
      <c r="G23" s="39">
        <v>2.2761409999999999E-2</v>
      </c>
      <c r="H23" s="34" t="s">
        <v>143</v>
      </c>
    </row>
    <row r="24" spans="1:8" x14ac:dyDescent="0.2">
      <c r="A24" s="35">
        <v>18</v>
      </c>
      <c r="B24" s="36" t="s">
        <v>386</v>
      </c>
      <c r="C24" s="36" t="s">
        <v>387</v>
      </c>
      <c r="D24" s="36" t="s">
        <v>192</v>
      </c>
      <c r="E24" s="37">
        <v>3287</v>
      </c>
      <c r="F24" s="38">
        <v>71.196420000000003</v>
      </c>
      <c r="G24" s="39">
        <v>2.2422839999999999E-2</v>
      </c>
      <c r="H24" s="34" t="s">
        <v>143</v>
      </c>
    </row>
    <row r="25" spans="1:8" x14ac:dyDescent="0.2">
      <c r="A25" s="35">
        <v>19</v>
      </c>
      <c r="B25" s="36" t="s">
        <v>413</v>
      </c>
      <c r="C25" s="36" t="s">
        <v>414</v>
      </c>
      <c r="D25" s="36" t="s">
        <v>198</v>
      </c>
      <c r="E25" s="37">
        <v>15429</v>
      </c>
      <c r="F25" s="38">
        <v>66.884715</v>
      </c>
      <c r="G25" s="39">
        <v>2.1064889999999999E-2</v>
      </c>
      <c r="H25" s="34" t="s">
        <v>143</v>
      </c>
    </row>
    <row r="26" spans="1:8" x14ac:dyDescent="0.2">
      <c r="A26" s="35">
        <v>20</v>
      </c>
      <c r="B26" s="36" t="s">
        <v>229</v>
      </c>
      <c r="C26" s="36" t="s">
        <v>230</v>
      </c>
      <c r="D26" s="36" t="s">
        <v>192</v>
      </c>
      <c r="E26" s="37">
        <v>601</v>
      </c>
      <c r="F26" s="38">
        <v>65.839550000000003</v>
      </c>
      <c r="G26" s="39">
        <v>2.0735730000000001E-2</v>
      </c>
      <c r="H26" s="34" t="s">
        <v>143</v>
      </c>
    </row>
    <row r="27" spans="1:8" x14ac:dyDescent="0.2">
      <c r="A27" s="35">
        <v>21</v>
      </c>
      <c r="B27" s="36" t="s">
        <v>71</v>
      </c>
      <c r="C27" s="36" t="s">
        <v>72</v>
      </c>
      <c r="D27" s="36" t="s">
        <v>73</v>
      </c>
      <c r="E27" s="37">
        <v>1222</v>
      </c>
      <c r="F27" s="38">
        <v>63.018540000000002</v>
      </c>
      <c r="G27" s="39">
        <v>1.984727E-2</v>
      </c>
      <c r="H27" s="34" t="s">
        <v>143</v>
      </c>
    </row>
    <row r="28" spans="1:8" x14ac:dyDescent="0.2">
      <c r="A28" s="35">
        <v>22</v>
      </c>
      <c r="B28" s="36" t="s">
        <v>59</v>
      </c>
      <c r="C28" s="36" t="s">
        <v>60</v>
      </c>
      <c r="D28" s="36" t="s">
        <v>61</v>
      </c>
      <c r="E28" s="37">
        <v>5587</v>
      </c>
      <c r="F28" s="38">
        <v>62.004525999999998</v>
      </c>
      <c r="G28" s="39">
        <v>1.9527909999999999E-2</v>
      </c>
      <c r="H28" s="34" t="s">
        <v>143</v>
      </c>
    </row>
    <row r="29" spans="1:8" x14ac:dyDescent="0.2">
      <c r="A29" s="35">
        <v>23</v>
      </c>
      <c r="B29" s="36" t="s">
        <v>395</v>
      </c>
      <c r="C29" s="36" t="s">
        <v>396</v>
      </c>
      <c r="D29" s="36" t="s">
        <v>198</v>
      </c>
      <c r="E29" s="37">
        <v>13180</v>
      </c>
      <c r="F29" s="38">
        <v>60.298499999999997</v>
      </c>
      <c r="G29" s="39">
        <v>1.8990610000000002E-2</v>
      </c>
      <c r="H29" s="34" t="s">
        <v>143</v>
      </c>
    </row>
    <row r="30" spans="1:8" x14ac:dyDescent="0.2">
      <c r="A30" s="35">
        <v>24</v>
      </c>
      <c r="B30" s="36" t="s">
        <v>402</v>
      </c>
      <c r="C30" s="36" t="s">
        <v>403</v>
      </c>
      <c r="D30" s="36" t="s">
        <v>221</v>
      </c>
      <c r="E30" s="37">
        <v>8090</v>
      </c>
      <c r="F30" s="38">
        <v>60.278590000000001</v>
      </c>
      <c r="G30" s="39">
        <v>1.8984339999999999E-2</v>
      </c>
      <c r="H30" s="34" t="s">
        <v>143</v>
      </c>
    </row>
    <row r="31" spans="1:8" ht="25.5" x14ac:dyDescent="0.2">
      <c r="A31" s="35">
        <v>25</v>
      </c>
      <c r="B31" s="36" t="s">
        <v>393</v>
      </c>
      <c r="C31" s="36" t="s">
        <v>394</v>
      </c>
      <c r="D31" s="36" t="s">
        <v>201</v>
      </c>
      <c r="E31" s="37">
        <v>8276</v>
      </c>
      <c r="F31" s="38">
        <v>59.988585999999998</v>
      </c>
      <c r="G31" s="39">
        <v>1.8893E-2</v>
      </c>
      <c r="H31" s="34" t="s">
        <v>143</v>
      </c>
    </row>
    <row r="32" spans="1:8" x14ac:dyDescent="0.2">
      <c r="A32" s="35">
        <v>26</v>
      </c>
      <c r="B32" s="36" t="s">
        <v>400</v>
      </c>
      <c r="C32" s="36" t="s">
        <v>401</v>
      </c>
      <c r="D32" s="36" t="s">
        <v>192</v>
      </c>
      <c r="E32" s="37">
        <v>5234</v>
      </c>
      <c r="F32" s="38">
        <v>58.065995999999998</v>
      </c>
      <c r="G32" s="39">
        <v>1.8287500000000002E-2</v>
      </c>
      <c r="H32" s="34" t="s">
        <v>143</v>
      </c>
    </row>
    <row r="33" spans="1:8" x14ac:dyDescent="0.2">
      <c r="A33" s="35">
        <v>27</v>
      </c>
      <c r="B33" s="36" t="s">
        <v>397</v>
      </c>
      <c r="C33" s="36" t="s">
        <v>398</v>
      </c>
      <c r="D33" s="36" t="s">
        <v>399</v>
      </c>
      <c r="E33" s="37">
        <v>5857</v>
      </c>
      <c r="F33" s="38">
        <v>56.818756999999998</v>
      </c>
      <c r="G33" s="39">
        <v>1.7894690000000001E-2</v>
      </c>
      <c r="H33" s="34" t="s">
        <v>143</v>
      </c>
    </row>
    <row r="34" spans="1:8" x14ac:dyDescent="0.2">
      <c r="A34" s="35">
        <v>28</v>
      </c>
      <c r="B34" s="36" t="s">
        <v>404</v>
      </c>
      <c r="C34" s="36" t="s">
        <v>405</v>
      </c>
      <c r="D34" s="36" t="s">
        <v>73</v>
      </c>
      <c r="E34" s="37">
        <v>11627</v>
      </c>
      <c r="F34" s="38">
        <v>55.344520000000003</v>
      </c>
      <c r="G34" s="39">
        <v>1.743039E-2</v>
      </c>
      <c r="H34" s="34" t="s">
        <v>143</v>
      </c>
    </row>
    <row r="35" spans="1:8" x14ac:dyDescent="0.2">
      <c r="A35" s="35">
        <v>29</v>
      </c>
      <c r="B35" s="36" t="s">
        <v>137</v>
      </c>
      <c r="C35" s="36" t="s">
        <v>138</v>
      </c>
      <c r="D35" s="36" t="s">
        <v>73</v>
      </c>
      <c r="E35" s="37">
        <v>3026</v>
      </c>
      <c r="F35" s="38">
        <v>52.325592</v>
      </c>
      <c r="G35" s="39">
        <v>1.64796E-2</v>
      </c>
      <c r="H35" s="34" t="s">
        <v>143</v>
      </c>
    </row>
    <row r="36" spans="1:8" ht="25.5" x14ac:dyDescent="0.2">
      <c r="A36" s="35">
        <v>30</v>
      </c>
      <c r="B36" s="36" t="s">
        <v>382</v>
      </c>
      <c r="C36" s="36" t="s">
        <v>383</v>
      </c>
      <c r="D36" s="36" t="s">
        <v>270</v>
      </c>
      <c r="E36" s="37">
        <v>1060</v>
      </c>
      <c r="F36" s="38">
        <v>51.093060000000001</v>
      </c>
      <c r="G36" s="39">
        <v>1.6091419999999999E-2</v>
      </c>
      <c r="H36" s="34" t="s">
        <v>143</v>
      </c>
    </row>
    <row r="37" spans="1:8" x14ac:dyDescent="0.2">
      <c r="A37" s="35">
        <v>31</v>
      </c>
      <c r="B37" s="36" t="s">
        <v>410</v>
      </c>
      <c r="C37" s="36" t="s">
        <v>411</v>
      </c>
      <c r="D37" s="36" t="s">
        <v>412</v>
      </c>
      <c r="E37" s="37">
        <v>3246</v>
      </c>
      <c r="F37" s="38">
        <v>48.524453999999999</v>
      </c>
      <c r="G37" s="39">
        <v>1.528245E-2</v>
      </c>
      <c r="H37" s="34" t="s">
        <v>143</v>
      </c>
    </row>
    <row r="38" spans="1:8" x14ac:dyDescent="0.2">
      <c r="A38" s="35">
        <v>32</v>
      </c>
      <c r="B38" s="36" t="s">
        <v>408</v>
      </c>
      <c r="C38" s="36" t="s">
        <v>409</v>
      </c>
      <c r="D38" s="36" t="s">
        <v>265</v>
      </c>
      <c r="E38" s="37">
        <v>10471</v>
      </c>
      <c r="F38" s="38">
        <v>48.1404225</v>
      </c>
      <c r="G38" s="39">
        <v>1.51615E-2</v>
      </c>
      <c r="H38" s="34" t="s">
        <v>143</v>
      </c>
    </row>
    <row r="39" spans="1:8" x14ac:dyDescent="0.2">
      <c r="A39" s="35">
        <v>33</v>
      </c>
      <c r="B39" s="36" t="s">
        <v>451</v>
      </c>
      <c r="C39" s="36" t="s">
        <v>452</v>
      </c>
      <c r="D39" s="36" t="s">
        <v>73</v>
      </c>
      <c r="E39" s="37">
        <v>8418</v>
      </c>
      <c r="F39" s="38">
        <v>47.098709999999997</v>
      </c>
      <c r="G39" s="39">
        <v>1.483342E-2</v>
      </c>
      <c r="H39" s="34" t="s">
        <v>143</v>
      </c>
    </row>
    <row r="40" spans="1:8" x14ac:dyDescent="0.2">
      <c r="A40" s="35">
        <v>34</v>
      </c>
      <c r="B40" s="36" t="s">
        <v>415</v>
      </c>
      <c r="C40" s="36" t="s">
        <v>416</v>
      </c>
      <c r="D40" s="36" t="s">
        <v>136</v>
      </c>
      <c r="E40" s="37">
        <v>19513</v>
      </c>
      <c r="F40" s="38">
        <v>31.173968800000001</v>
      </c>
      <c r="G40" s="39">
        <v>9.8180300000000002E-3</v>
      </c>
      <c r="H40" s="34" t="s">
        <v>143</v>
      </c>
    </row>
    <row r="41" spans="1:8" x14ac:dyDescent="0.2">
      <c r="A41" s="35">
        <v>35</v>
      </c>
      <c r="B41" s="36" t="s">
        <v>419</v>
      </c>
      <c r="C41" s="36" t="s">
        <v>420</v>
      </c>
      <c r="D41" s="36" t="s">
        <v>55</v>
      </c>
      <c r="E41" s="37">
        <v>3212</v>
      </c>
      <c r="F41" s="38">
        <v>23.43957</v>
      </c>
      <c r="G41" s="39">
        <v>7.3821399999999997E-3</v>
      </c>
      <c r="H41" s="34" t="s">
        <v>143</v>
      </c>
    </row>
    <row r="42" spans="1:8" x14ac:dyDescent="0.2">
      <c r="A42" s="35">
        <v>36</v>
      </c>
      <c r="B42" s="36" t="s">
        <v>417</v>
      </c>
      <c r="C42" s="36" t="s">
        <v>418</v>
      </c>
      <c r="D42" s="36" t="s">
        <v>55</v>
      </c>
      <c r="E42" s="37">
        <v>3000</v>
      </c>
      <c r="F42" s="38">
        <v>22.8</v>
      </c>
      <c r="G42" s="39">
        <v>7.1807099999999999E-3</v>
      </c>
      <c r="H42" s="34" t="s">
        <v>143</v>
      </c>
    </row>
    <row r="43" spans="1:8" x14ac:dyDescent="0.2">
      <c r="A43" s="35">
        <v>37</v>
      </c>
      <c r="B43" s="36" t="s">
        <v>423</v>
      </c>
      <c r="C43" s="36" t="s">
        <v>424</v>
      </c>
      <c r="D43" s="36" t="s">
        <v>43</v>
      </c>
      <c r="E43" s="37">
        <v>4242</v>
      </c>
      <c r="F43" s="38">
        <v>16.291401</v>
      </c>
      <c r="G43" s="39">
        <v>5.13087E-3</v>
      </c>
      <c r="H43" s="34" t="s">
        <v>143</v>
      </c>
    </row>
    <row r="44" spans="1:8" x14ac:dyDescent="0.2">
      <c r="A44" s="41"/>
      <c r="B44" s="41"/>
      <c r="C44" s="42" t="s">
        <v>142</v>
      </c>
      <c r="D44" s="41"/>
      <c r="E44" s="41" t="s">
        <v>143</v>
      </c>
      <c r="F44" s="43">
        <v>3030.7820778999999</v>
      </c>
      <c r="G44" s="44">
        <v>0.95452455000000003</v>
      </c>
      <c r="H44" s="34" t="s">
        <v>143</v>
      </c>
    </row>
    <row r="45" spans="1:8" x14ac:dyDescent="0.2">
      <c r="A45" s="41"/>
      <c r="B45" s="41"/>
      <c r="C45" s="45"/>
      <c r="D45" s="41"/>
      <c r="E45" s="41"/>
      <c r="F45" s="46"/>
      <c r="G45" s="46"/>
      <c r="H45" s="34" t="s">
        <v>143</v>
      </c>
    </row>
    <row r="46" spans="1:8" x14ac:dyDescent="0.2">
      <c r="A46" s="41"/>
      <c r="B46" s="41"/>
      <c r="C46" s="42" t="s">
        <v>144</v>
      </c>
      <c r="D46" s="41"/>
      <c r="E46" s="41"/>
      <c r="F46" s="41"/>
      <c r="G46" s="41"/>
      <c r="H46" s="34" t="s">
        <v>143</v>
      </c>
    </row>
    <row r="47" spans="1:8" x14ac:dyDescent="0.2">
      <c r="A47" s="41"/>
      <c r="B47" s="41"/>
      <c r="C47" s="42" t="s">
        <v>142</v>
      </c>
      <c r="D47" s="41"/>
      <c r="E47" s="41" t="s">
        <v>143</v>
      </c>
      <c r="F47" s="47" t="s">
        <v>145</v>
      </c>
      <c r="G47" s="44">
        <v>0</v>
      </c>
      <c r="H47" s="34" t="s">
        <v>143</v>
      </c>
    </row>
    <row r="48" spans="1:8" x14ac:dyDescent="0.2">
      <c r="A48" s="41"/>
      <c r="B48" s="41"/>
      <c r="C48" s="45"/>
      <c r="D48" s="41"/>
      <c r="E48" s="41"/>
      <c r="F48" s="46"/>
      <c r="G48" s="46"/>
      <c r="H48" s="34" t="s">
        <v>143</v>
      </c>
    </row>
    <row r="49" spans="1:8" x14ac:dyDescent="0.2">
      <c r="A49" s="41"/>
      <c r="B49" s="41"/>
      <c r="C49" s="42" t="s">
        <v>146</v>
      </c>
      <c r="D49" s="41"/>
      <c r="E49" s="41"/>
      <c r="F49" s="41"/>
      <c r="G49" s="41"/>
      <c r="H49" s="34" t="s">
        <v>143</v>
      </c>
    </row>
    <row r="50" spans="1:8" x14ac:dyDescent="0.2">
      <c r="A50" s="41"/>
      <c r="B50" s="41"/>
      <c r="C50" s="42" t="s">
        <v>142</v>
      </c>
      <c r="D50" s="41"/>
      <c r="E50" s="41" t="s">
        <v>143</v>
      </c>
      <c r="F50" s="47" t="s">
        <v>145</v>
      </c>
      <c r="G50" s="44">
        <v>0</v>
      </c>
      <c r="H50" s="34" t="s">
        <v>143</v>
      </c>
    </row>
    <row r="51" spans="1:8" x14ac:dyDescent="0.2">
      <c r="A51" s="41"/>
      <c r="B51" s="41"/>
      <c r="C51" s="45"/>
      <c r="D51" s="41"/>
      <c r="E51" s="41"/>
      <c r="F51" s="46"/>
      <c r="G51" s="46"/>
      <c r="H51" s="34" t="s">
        <v>143</v>
      </c>
    </row>
    <row r="52" spans="1:8" x14ac:dyDescent="0.2">
      <c r="A52" s="41"/>
      <c r="B52" s="41"/>
      <c r="C52" s="42" t="s">
        <v>147</v>
      </c>
      <c r="D52" s="41"/>
      <c r="E52" s="41"/>
      <c r="F52" s="41"/>
      <c r="G52" s="41"/>
      <c r="H52" s="34" t="s">
        <v>143</v>
      </c>
    </row>
    <row r="53" spans="1:8" x14ac:dyDescent="0.2">
      <c r="A53" s="41"/>
      <c r="B53" s="41"/>
      <c r="C53" s="42" t="s">
        <v>142</v>
      </c>
      <c r="D53" s="41"/>
      <c r="E53" s="41" t="s">
        <v>143</v>
      </c>
      <c r="F53" s="47" t="s">
        <v>145</v>
      </c>
      <c r="G53" s="44">
        <v>0</v>
      </c>
      <c r="H53" s="34" t="s">
        <v>143</v>
      </c>
    </row>
    <row r="54" spans="1:8" x14ac:dyDescent="0.2">
      <c r="A54" s="41"/>
      <c r="B54" s="41"/>
      <c r="C54" s="45"/>
      <c r="D54" s="41"/>
      <c r="E54" s="41"/>
      <c r="F54" s="46"/>
      <c r="G54" s="46"/>
      <c r="H54" s="34" t="s">
        <v>143</v>
      </c>
    </row>
    <row r="55" spans="1:8" x14ac:dyDescent="0.2">
      <c r="A55" s="41"/>
      <c r="B55" s="41"/>
      <c r="C55" s="42" t="s">
        <v>148</v>
      </c>
      <c r="D55" s="41"/>
      <c r="E55" s="41"/>
      <c r="F55" s="46"/>
      <c r="G55" s="46"/>
      <c r="H55" s="34" t="s">
        <v>143</v>
      </c>
    </row>
    <row r="56" spans="1:8" x14ac:dyDescent="0.2">
      <c r="A56" s="41"/>
      <c r="B56" s="41"/>
      <c r="C56" s="42" t="s">
        <v>142</v>
      </c>
      <c r="D56" s="41"/>
      <c r="E56" s="41" t="s">
        <v>143</v>
      </c>
      <c r="F56" s="47" t="s">
        <v>145</v>
      </c>
      <c r="G56" s="44">
        <v>0</v>
      </c>
      <c r="H56" s="34" t="s">
        <v>143</v>
      </c>
    </row>
    <row r="57" spans="1:8" x14ac:dyDescent="0.2">
      <c r="A57" s="41"/>
      <c r="B57" s="41"/>
      <c r="C57" s="45"/>
      <c r="D57" s="41"/>
      <c r="E57" s="41"/>
      <c r="F57" s="46"/>
      <c r="G57" s="46"/>
      <c r="H57" s="34" t="s">
        <v>143</v>
      </c>
    </row>
    <row r="58" spans="1:8" x14ac:dyDescent="0.2">
      <c r="A58" s="41"/>
      <c r="B58" s="41"/>
      <c r="C58" s="42" t="s">
        <v>149</v>
      </c>
      <c r="D58" s="41"/>
      <c r="E58" s="41"/>
      <c r="F58" s="46"/>
      <c r="G58" s="46"/>
      <c r="H58" s="34" t="s">
        <v>143</v>
      </c>
    </row>
    <row r="59" spans="1:8" x14ac:dyDescent="0.2">
      <c r="A59" s="41"/>
      <c r="B59" s="41"/>
      <c r="C59" s="42" t="s">
        <v>142</v>
      </c>
      <c r="D59" s="41"/>
      <c r="E59" s="41" t="s">
        <v>143</v>
      </c>
      <c r="F59" s="47" t="s">
        <v>145</v>
      </c>
      <c r="G59" s="44">
        <v>0</v>
      </c>
      <c r="H59" s="34" t="s">
        <v>143</v>
      </c>
    </row>
    <row r="60" spans="1:8" x14ac:dyDescent="0.2">
      <c r="A60" s="41"/>
      <c r="B60" s="41"/>
      <c r="C60" s="45"/>
      <c r="D60" s="41"/>
      <c r="E60" s="41"/>
      <c r="F60" s="46"/>
      <c r="G60" s="46"/>
      <c r="H60" s="34" t="s">
        <v>143</v>
      </c>
    </row>
    <row r="61" spans="1:8" x14ac:dyDescent="0.2">
      <c r="A61" s="41"/>
      <c r="B61" s="41"/>
      <c r="C61" s="42" t="s">
        <v>150</v>
      </c>
      <c r="D61" s="41"/>
      <c r="E61" s="41"/>
      <c r="F61" s="43">
        <v>3030.7820778999999</v>
      </c>
      <c r="G61" s="44">
        <v>0.95452455000000003</v>
      </c>
      <c r="H61" s="34" t="s">
        <v>143</v>
      </c>
    </row>
    <row r="62" spans="1:8" x14ac:dyDescent="0.2">
      <c r="A62" s="41"/>
      <c r="B62" s="41"/>
      <c r="C62" s="45"/>
      <c r="D62" s="41"/>
      <c r="E62" s="41"/>
      <c r="F62" s="46"/>
      <c r="G62" s="46"/>
      <c r="H62" s="34" t="s">
        <v>143</v>
      </c>
    </row>
    <row r="63" spans="1:8" x14ac:dyDescent="0.2">
      <c r="A63" s="41"/>
      <c r="B63" s="41"/>
      <c r="C63" s="42" t="s">
        <v>151</v>
      </c>
      <c r="D63" s="41"/>
      <c r="E63" s="41"/>
      <c r="F63" s="46"/>
      <c r="G63" s="46"/>
      <c r="H63" s="34" t="s">
        <v>143</v>
      </c>
    </row>
    <row r="64" spans="1:8" x14ac:dyDescent="0.2">
      <c r="A64" s="41"/>
      <c r="B64" s="41"/>
      <c r="C64" s="42" t="s">
        <v>10</v>
      </c>
      <c r="D64" s="41"/>
      <c r="E64" s="41"/>
      <c r="F64" s="46"/>
      <c r="G64" s="46"/>
      <c r="H64" s="34" t="s">
        <v>143</v>
      </c>
    </row>
    <row r="65" spans="1:8" x14ac:dyDescent="0.2">
      <c r="A65" s="41"/>
      <c r="B65" s="41"/>
      <c r="C65" s="42" t="s">
        <v>142</v>
      </c>
      <c r="D65" s="41"/>
      <c r="E65" s="41" t="s">
        <v>143</v>
      </c>
      <c r="F65" s="47" t="s">
        <v>145</v>
      </c>
      <c r="G65" s="44">
        <v>0</v>
      </c>
      <c r="H65" s="34" t="s">
        <v>143</v>
      </c>
    </row>
    <row r="66" spans="1:8" x14ac:dyDescent="0.2">
      <c r="A66" s="41"/>
      <c r="B66" s="41"/>
      <c r="C66" s="45"/>
      <c r="D66" s="41"/>
      <c r="E66" s="41"/>
      <c r="F66" s="46"/>
      <c r="G66" s="46"/>
      <c r="H66" s="34" t="s">
        <v>143</v>
      </c>
    </row>
    <row r="67" spans="1:8" x14ac:dyDescent="0.2">
      <c r="A67" s="41"/>
      <c r="B67" s="41"/>
      <c r="C67" s="42" t="s">
        <v>152</v>
      </c>
      <c r="D67" s="41"/>
      <c r="E67" s="41"/>
      <c r="F67" s="41"/>
      <c r="G67" s="41"/>
      <c r="H67" s="34" t="s">
        <v>143</v>
      </c>
    </row>
    <row r="68" spans="1:8" x14ac:dyDescent="0.2">
      <c r="A68" s="41"/>
      <c r="B68" s="41"/>
      <c r="C68" s="42" t="s">
        <v>142</v>
      </c>
      <c r="D68" s="41"/>
      <c r="E68" s="41" t="s">
        <v>143</v>
      </c>
      <c r="F68" s="47" t="s">
        <v>145</v>
      </c>
      <c r="G68" s="44">
        <v>0</v>
      </c>
      <c r="H68" s="34" t="s">
        <v>143</v>
      </c>
    </row>
    <row r="69" spans="1:8" x14ac:dyDescent="0.2">
      <c r="A69" s="41"/>
      <c r="B69" s="41"/>
      <c r="C69" s="45"/>
      <c r="D69" s="41"/>
      <c r="E69" s="41"/>
      <c r="F69" s="46"/>
      <c r="G69" s="46"/>
      <c r="H69" s="34" t="s">
        <v>143</v>
      </c>
    </row>
    <row r="70" spans="1:8" x14ac:dyDescent="0.2">
      <c r="A70" s="41"/>
      <c r="B70" s="41"/>
      <c r="C70" s="42" t="s">
        <v>153</v>
      </c>
      <c r="D70" s="41"/>
      <c r="E70" s="41"/>
      <c r="F70" s="41"/>
      <c r="G70" s="41"/>
      <c r="H70" s="34" t="s">
        <v>143</v>
      </c>
    </row>
    <row r="71" spans="1:8" x14ac:dyDescent="0.2">
      <c r="A71" s="41"/>
      <c r="B71" s="41"/>
      <c r="C71" s="42" t="s">
        <v>142</v>
      </c>
      <c r="D71" s="41"/>
      <c r="E71" s="41" t="s">
        <v>143</v>
      </c>
      <c r="F71" s="47" t="s">
        <v>145</v>
      </c>
      <c r="G71" s="44">
        <v>0</v>
      </c>
      <c r="H71" s="34" t="s">
        <v>143</v>
      </c>
    </row>
    <row r="72" spans="1:8" x14ac:dyDescent="0.2">
      <c r="A72" s="41"/>
      <c r="B72" s="41"/>
      <c r="C72" s="45"/>
      <c r="D72" s="41"/>
      <c r="E72" s="41"/>
      <c r="F72" s="46"/>
      <c r="G72" s="46"/>
      <c r="H72" s="34" t="s">
        <v>143</v>
      </c>
    </row>
    <row r="73" spans="1:8" x14ac:dyDescent="0.2">
      <c r="A73" s="41"/>
      <c r="B73" s="41"/>
      <c r="C73" s="42" t="s">
        <v>154</v>
      </c>
      <c r="D73" s="41"/>
      <c r="E73" s="41"/>
      <c r="F73" s="46"/>
      <c r="G73" s="46"/>
      <c r="H73" s="34" t="s">
        <v>143</v>
      </c>
    </row>
    <row r="74" spans="1:8" x14ac:dyDescent="0.2">
      <c r="A74" s="41"/>
      <c r="B74" s="41"/>
      <c r="C74" s="42" t="s">
        <v>142</v>
      </c>
      <c r="D74" s="41"/>
      <c r="E74" s="41" t="s">
        <v>143</v>
      </c>
      <c r="F74" s="47" t="s">
        <v>145</v>
      </c>
      <c r="G74" s="44">
        <v>0</v>
      </c>
      <c r="H74" s="34" t="s">
        <v>143</v>
      </c>
    </row>
    <row r="75" spans="1:8" x14ac:dyDescent="0.2">
      <c r="A75" s="41"/>
      <c r="B75" s="41"/>
      <c r="C75" s="45"/>
      <c r="D75" s="41"/>
      <c r="E75" s="41"/>
      <c r="F75" s="46"/>
      <c r="G75" s="46"/>
      <c r="H75" s="34" t="s">
        <v>143</v>
      </c>
    </row>
    <row r="76" spans="1:8" x14ac:dyDescent="0.2">
      <c r="A76" s="41"/>
      <c r="B76" s="41"/>
      <c r="C76" s="42" t="s">
        <v>155</v>
      </c>
      <c r="D76" s="41"/>
      <c r="E76" s="41"/>
      <c r="F76" s="43">
        <v>0</v>
      </c>
      <c r="G76" s="44">
        <v>0</v>
      </c>
      <c r="H76" s="34" t="s">
        <v>143</v>
      </c>
    </row>
    <row r="77" spans="1:8" x14ac:dyDescent="0.2">
      <c r="A77" s="41"/>
      <c r="B77" s="41"/>
      <c r="C77" s="45"/>
      <c r="D77" s="41"/>
      <c r="E77" s="41"/>
      <c r="F77" s="46"/>
      <c r="G77" s="46"/>
      <c r="H77" s="34" t="s">
        <v>143</v>
      </c>
    </row>
    <row r="78" spans="1:8" x14ac:dyDescent="0.2">
      <c r="A78" s="41"/>
      <c r="B78" s="41"/>
      <c r="C78" s="42" t="s">
        <v>156</v>
      </c>
      <c r="D78" s="41"/>
      <c r="E78" s="41"/>
      <c r="F78" s="46"/>
      <c r="G78" s="46"/>
      <c r="H78" s="34" t="s">
        <v>143</v>
      </c>
    </row>
    <row r="79" spans="1:8" x14ac:dyDescent="0.2">
      <c r="A79" s="41"/>
      <c r="B79" s="41"/>
      <c r="C79" s="42" t="s">
        <v>157</v>
      </c>
      <c r="D79" s="41"/>
      <c r="E79" s="41"/>
      <c r="F79" s="46"/>
      <c r="G79" s="46"/>
      <c r="H79" s="34" t="s">
        <v>143</v>
      </c>
    </row>
    <row r="80" spans="1:8" x14ac:dyDescent="0.2">
      <c r="A80" s="41"/>
      <c r="B80" s="41"/>
      <c r="C80" s="42" t="s">
        <v>142</v>
      </c>
      <c r="D80" s="41"/>
      <c r="E80" s="41" t="s">
        <v>143</v>
      </c>
      <c r="F80" s="47" t="s">
        <v>145</v>
      </c>
      <c r="G80" s="44">
        <v>0</v>
      </c>
      <c r="H80" s="34" t="s">
        <v>143</v>
      </c>
    </row>
    <row r="81" spans="1:8" x14ac:dyDescent="0.2">
      <c r="A81" s="41"/>
      <c r="B81" s="41"/>
      <c r="C81" s="45"/>
      <c r="D81" s="41"/>
      <c r="E81" s="41"/>
      <c r="F81" s="46"/>
      <c r="G81" s="46"/>
      <c r="H81" s="34" t="s">
        <v>143</v>
      </c>
    </row>
    <row r="82" spans="1:8" x14ac:dyDescent="0.2">
      <c r="A82" s="41"/>
      <c r="B82" s="41"/>
      <c r="C82" s="42" t="s">
        <v>158</v>
      </c>
      <c r="D82" s="41"/>
      <c r="E82" s="41"/>
      <c r="F82" s="46"/>
      <c r="G82" s="46"/>
      <c r="H82" s="34" t="s">
        <v>143</v>
      </c>
    </row>
    <row r="83" spans="1:8" x14ac:dyDescent="0.2">
      <c r="A83" s="41"/>
      <c r="B83" s="41"/>
      <c r="C83" s="42" t="s">
        <v>142</v>
      </c>
      <c r="D83" s="41"/>
      <c r="E83" s="41" t="s">
        <v>143</v>
      </c>
      <c r="F83" s="47" t="s">
        <v>145</v>
      </c>
      <c r="G83" s="44">
        <v>0</v>
      </c>
      <c r="H83" s="34" t="s">
        <v>143</v>
      </c>
    </row>
    <row r="84" spans="1:8" x14ac:dyDescent="0.2">
      <c r="A84" s="41"/>
      <c r="B84" s="41"/>
      <c r="C84" s="45"/>
      <c r="D84" s="41"/>
      <c r="E84" s="41"/>
      <c r="F84" s="46"/>
      <c r="G84" s="46"/>
      <c r="H84" s="34" t="s">
        <v>143</v>
      </c>
    </row>
    <row r="85" spans="1:8" x14ac:dyDescent="0.2">
      <c r="A85" s="41"/>
      <c r="B85" s="41"/>
      <c r="C85" s="42" t="s">
        <v>159</v>
      </c>
      <c r="D85" s="41"/>
      <c r="E85" s="41"/>
      <c r="F85" s="46"/>
      <c r="G85" s="46"/>
      <c r="H85" s="34" t="s">
        <v>143</v>
      </c>
    </row>
    <row r="86" spans="1:8" x14ac:dyDescent="0.2">
      <c r="A86" s="41"/>
      <c r="B86" s="41"/>
      <c r="C86" s="42" t="s">
        <v>142</v>
      </c>
      <c r="D86" s="41"/>
      <c r="E86" s="41" t="s">
        <v>143</v>
      </c>
      <c r="F86" s="47" t="s">
        <v>145</v>
      </c>
      <c r="G86" s="44">
        <v>0</v>
      </c>
      <c r="H86" s="34" t="s">
        <v>143</v>
      </c>
    </row>
    <row r="87" spans="1:8" x14ac:dyDescent="0.2">
      <c r="A87" s="41"/>
      <c r="B87" s="41"/>
      <c r="C87" s="45"/>
      <c r="D87" s="41"/>
      <c r="E87" s="41"/>
      <c r="F87" s="46"/>
      <c r="G87" s="46"/>
      <c r="H87" s="34" t="s">
        <v>143</v>
      </c>
    </row>
    <row r="88" spans="1:8" x14ac:dyDescent="0.2">
      <c r="A88" s="41"/>
      <c r="B88" s="41"/>
      <c r="C88" s="42" t="s">
        <v>160</v>
      </c>
      <c r="D88" s="41"/>
      <c r="E88" s="41"/>
      <c r="F88" s="46"/>
      <c r="G88" s="46"/>
      <c r="H88" s="34" t="s">
        <v>143</v>
      </c>
    </row>
    <row r="89" spans="1:8" x14ac:dyDescent="0.2">
      <c r="A89" s="35">
        <v>1</v>
      </c>
      <c r="B89" s="36"/>
      <c r="C89" s="36" t="s">
        <v>161</v>
      </c>
      <c r="D89" s="36"/>
      <c r="E89" s="48"/>
      <c r="F89" s="38">
        <v>143.83149599999999</v>
      </c>
      <c r="G89" s="39">
        <v>4.5298770000000002E-2</v>
      </c>
      <c r="H89" s="34">
        <v>5.47</v>
      </c>
    </row>
    <row r="90" spans="1:8" x14ac:dyDescent="0.2">
      <c r="A90" s="41"/>
      <c r="B90" s="41"/>
      <c r="C90" s="42" t="s">
        <v>142</v>
      </c>
      <c r="D90" s="41"/>
      <c r="E90" s="41" t="s">
        <v>143</v>
      </c>
      <c r="F90" s="43">
        <v>143.83149599999999</v>
      </c>
      <c r="G90" s="44">
        <v>4.5298770000000002E-2</v>
      </c>
      <c r="H90" s="34" t="s">
        <v>143</v>
      </c>
    </row>
    <row r="91" spans="1:8" x14ac:dyDescent="0.2">
      <c r="A91" s="41"/>
      <c r="B91" s="41"/>
      <c r="C91" s="45"/>
      <c r="D91" s="41"/>
      <c r="E91" s="41"/>
      <c r="F91" s="46"/>
      <c r="G91" s="46"/>
      <c r="H91" s="34" t="s">
        <v>143</v>
      </c>
    </row>
    <row r="92" spans="1:8" x14ac:dyDescent="0.2">
      <c r="A92" s="41"/>
      <c r="B92" s="41"/>
      <c r="C92" s="42" t="s">
        <v>162</v>
      </c>
      <c r="D92" s="41"/>
      <c r="E92" s="41"/>
      <c r="F92" s="43">
        <v>143.83149599999999</v>
      </c>
      <c r="G92" s="44">
        <v>4.5298770000000002E-2</v>
      </c>
      <c r="H92" s="34" t="s">
        <v>143</v>
      </c>
    </row>
    <row r="93" spans="1:8" x14ac:dyDescent="0.2">
      <c r="A93" s="41"/>
      <c r="B93" s="41"/>
      <c r="C93" s="46"/>
      <c r="D93" s="41"/>
      <c r="E93" s="41"/>
      <c r="F93" s="41"/>
      <c r="G93" s="41"/>
      <c r="H93" s="34" t="s">
        <v>143</v>
      </c>
    </row>
    <row r="94" spans="1:8" x14ac:dyDescent="0.2">
      <c r="A94" s="41"/>
      <c r="B94" s="41"/>
      <c r="C94" s="42" t="s">
        <v>163</v>
      </c>
      <c r="D94" s="41"/>
      <c r="E94" s="41"/>
      <c r="F94" s="41"/>
      <c r="G94" s="41"/>
      <c r="H94" s="34" t="s">
        <v>143</v>
      </c>
    </row>
    <row r="95" spans="1:8" x14ac:dyDescent="0.2">
      <c r="A95" s="41"/>
      <c r="B95" s="41"/>
      <c r="C95" s="42" t="s">
        <v>164</v>
      </c>
      <c r="D95" s="41"/>
      <c r="E95" s="41"/>
      <c r="F95" s="41"/>
      <c r="G95" s="41"/>
      <c r="H95" s="34" t="s">
        <v>143</v>
      </c>
    </row>
    <row r="96" spans="1:8" x14ac:dyDescent="0.2">
      <c r="A96" s="41"/>
      <c r="B96" s="41"/>
      <c r="C96" s="42" t="s">
        <v>142</v>
      </c>
      <c r="D96" s="41"/>
      <c r="E96" s="41" t="s">
        <v>143</v>
      </c>
      <c r="F96" s="47" t="s">
        <v>145</v>
      </c>
      <c r="G96" s="44">
        <v>0</v>
      </c>
      <c r="H96" s="34" t="s">
        <v>143</v>
      </c>
    </row>
    <row r="97" spans="1:17" x14ac:dyDescent="0.2">
      <c r="A97" s="41"/>
      <c r="B97" s="41"/>
      <c r="C97" s="45"/>
      <c r="D97" s="41"/>
      <c r="E97" s="41"/>
      <c r="F97" s="46"/>
      <c r="G97" s="46"/>
      <c r="H97" s="34" t="s">
        <v>143</v>
      </c>
    </row>
    <row r="98" spans="1:17" x14ac:dyDescent="0.2">
      <c r="A98" s="41"/>
      <c r="B98" s="41"/>
      <c r="C98" s="42" t="s">
        <v>165</v>
      </c>
      <c r="D98" s="41"/>
      <c r="E98" s="41"/>
      <c r="F98" s="41"/>
      <c r="G98" s="41"/>
      <c r="H98" s="34" t="s">
        <v>143</v>
      </c>
    </row>
    <row r="99" spans="1:17" x14ac:dyDescent="0.2">
      <c r="A99" s="41"/>
      <c r="B99" s="41"/>
      <c r="C99" s="42" t="s">
        <v>166</v>
      </c>
      <c r="D99" s="41"/>
      <c r="E99" s="41"/>
      <c r="F99" s="41"/>
      <c r="G99" s="41"/>
      <c r="H99" s="34" t="s">
        <v>143</v>
      </c>
    </row>
    <row r="100" spans="1:17" x14ac:dyDescent="0.2">
      <c r="A100" s="41"/>
      <c r="B100" s="41"/>
      <c r="C100" s="42" t="s">
        <v>142</v>
      </c>
      <c r="D100" s="41"/>
      <c r="E100" s="41" t="s">
        <v>143</v>
      </c>
      <c r="F100" s="47" t="s">
        <v>145</v>
      </c>
      <c r="G100" s="44">
        <v>0</v>
      </c>
      <c r="H100" s="34" t="s">
        <v>143</v>
      </c>
    </row>
    <row r="101" spans="1:17" x14ac:dyDescent="0.2">
      <c r="A101" s="41"/>
      <c r="B101" s="41"/>
      <c r="C101" s="45"/>
      <c r="D101" s="41"/>
      <c r="E101" s="41"/>
      <c r="F101" s="46"/>
      <c r="G101" s="46"/>
      <c r="H101" s="34" t="s">
        <v>143</v>
      </c>
    </row>
    <row r="102" spans="1:17" x14ac:dyDescent="0.2">
      <c r="A102" s="41"/>
      <c r="B102" s="41"/>
      <c r="C102" s="42" t="s">
        <v>167</v>
      </c>
      <c r="D102" s="41"/>
      <c r="E102" s="41"/>
      <c r="F102" s="46"/>
      <c r="G102" s="46"/>
      <c r="H102" s="34" t="s">
        <v>143</v>
      </c>
    </row>
    <row r="103" spans="1:17" x14ac:dyDescent="0.2">
      <c r="A103" s="41"/>
      <c r="B103" s="41"/>
      <c r="C103" s="42" t="s">
        <v>142</v>
      </c>
      <c r="D103" s="41"/>
      <c r="E103" s="41" t="s">
        <v>143</v>
      </c>
      <c r="F103" s="47" t="s">
        <v>145</v>
      </c>
      <c r="G103" s="44">
        <v>0</v>
      </c>
      <c r="H103" s="34" t="s">
        <v>143</v>
      </c>
    </row>
    <row r="104" spans="1:17" x14ac:dyDescent="0.2">
      <c r="A104" s="41"/>
      <c r="B104" s="41"/>
      <c r="C104" s="45"/>
      <c r="D104" s="41"/>
      <c r="E104" s="41"/>
      <c r="F104" s="46"/>
      <c r="G104" s="46"/>
      <c r="H104" s="34" t="s">
        <v>143</v>
      </c>
    </row>
    <row r="105" spans="1:17" x14ac:dyDescent="0.2">
      <c r="A105" s="48"/>
      <c r="B105" s="36"/>
      <c r="C105" s="36" t="s">
        <v>168</v>
      </c>
      <c r="D105" s="36"/>
      <c r="E105" s="48"/>
      <c r="F105" s="38">
        <v>0.56104330999999996</v>
      </c>
      <c r="G105" s="39">
        <v>1.7670000000000001E-4</v>
      </c>
      <c r="H105" s="34" t="s">
        <v>143</v>
      </c>
    </row>
    <row r="106" spans="1:17" x14ac:dyDescent="0.2">
      <c r="A106" s="45"/>
      <c r="B106" s="45"/>
      <c r="C106" s="42" t="s">
        <v>169</v>
      </c>
      <c r="D106" s="46"/>
      <c r="E106" s="46"/>
      <c r="F106" s="43">
        <v>3175.1746172100002</v>
      </c>
      <c r="G106" s="51">
        <v>1.0000000200000001</v>
      </c>
      <c r="H106" s="34" t="s">
        <v>143</v>
      </c>
    </row>
    <row r="107" spans="1:17" x14ac:dyDescent="0.2">
      <c r="A107" s="52"/>
      <c r="B107" s="52"/>
      <c r="C107" s="52"/>
      <c r="D107" s="53"/>
      <c r="E107" s="53"/>
      <c r="F107" s="53"/>
      <c r="G107" s="53"/>
    </row>
    <row r="108" spans="1:17" x14ac:dyDescent="0.2">
      <c r="A108" s="54"/>
      <c r="B108" s="158" t="s">
        <v>852</v>
      </c>
      <c r="C108" s="158"/>
      <c r="D108" s="158"/>
      <c r="E108" s="158"/>
      <c r="F108" s="158"/>
      <c r="G108" s="158"/>
      <c r="H108" s="158"/>
      <c r="J108" s="56"/>
    </row>
    <row r="109" spans="1:17" x14ac:dyDescent="0.2">
      <c r="A109" s="54"/>
      <c r="B109" s="158" t="s">
        <v>853</v>
      </c>
      <c r="C109" s="158"/>
      <c r="D109" s="158"/>
      <c r="E109" s="158"/>
      <c r="F109" s="158"/>
      <c r="G109" s="158"/>
      <c r="H109" s="158"/>
      <c r="J109" s="56"/>
    </row>
    <row r="110" spans="1:17" x14ac:dyDescent="0.2">
      <c r="A110" s="54"/>
      <c r="B110" s="158" t="s">
        <v>854</v>
      </c>
      <c r="C110" s="158"/>
      <c r="D110" s="158"/>
      <c r="E110" s="158"/>
      <c r="F110" s="158"/>
      <c r="G110" s="158"/>
      <c r="H110" s="158"/>
      <c r="J110" s="56"/>
    </row>
    <row r="111" spans="1:17" s="58" customFormat="1" ht="52.5" customHeight="1" x14ac:dyDescent="0.25">
      <c r="A111" s="57"/>
      <c r="B111" s="159" t="s">
        <v>855</v>
      </c>
      <c r="C111" s="159"/>
      <c r="D111" s="159"/>
      <c r="E111" s="159"/>
      <c r="F111" s="159"/>
      <c r="G111" s="159"/>
      <c r="H111" s="159"/>
      <c r="I111"/>
      <c r="J111" s="56"/>
      <c r="K111"/>
      <c r="L111"/>
      <c r="M111"/>
      <c r="N111"/>
      <c r="O111"/>
      <c r="P111"/>
      <c r="Q111"/>
    </row>
    <row r="112" spans="1:17" x14ac:dyDescent="0.2">
      <c r="A112" s="54"/>
      <c r="B112" s="158" t="s">
        <v>856</v>
      </c>
      <c r="C112" s="158"/>
      <c r="D112" s="158"/>
      <c r="E112" s="158"/>
      <c r="F112" s="158"/>
      <c r="G112" s="158"/>
      <c r="H112" s="158"/>
      <c r="J112" s="56"/>
    </row>
    <row r="113" spans="1:10" x14ac:dyDescent="0.2">
      <c r="A113" s="54"/>
      <c r="B113" s="54"/>
      <c r="C113" s="54"/>
      <c r="D113" s="59"/>
      <c r="E113" s="59"/>
      <c r="F113" s="59"/>
      <c r="G113" s="59"/>
    </row>
    <row r="114" spans="1:10" x14ac:dyDescent="0.2">
      <c r="A114" s="54"/>
      <c r="B114" s="160" t="s">
        <v>170</v>
      </c>
      <c r="C114" s="161"/>
      <c r="D114" s="162"/>
      <c r="E114" s="60"/>
      <c r="F114" s="59"/>
      <c r="G114" s="59"/>
    </row>
    <row r="115" spans="1:10" ht="27.75" customHeight="1" x14ac:dyDescent="0.2">
      <c r="A115" s="54"/>
      <c r="B115" s="154" t="s">
        <v>171</v>
      </c>
      <c r="C115" s="155"/>
      <c r="D115" s="33" t="s">
        <v>172</v>
      </c>
      <c r="E115" s="60"/>
      <c r="F115" s="59"/>
      <c r="G115" s="59"/>
    </row>
    <row r="116" spans="1:10" ht="12.75" customHeight="1" x14ac:dyDescent="0.2">
      <c r="A116" s="54"/>
      <c r="B116" s="154" t="s">
        <v>857</v>
      </c>
      <c r="C116" s="155"/>
      <c r="D116" s="33" t="s">
        <v>172</v>
      </c>
      <c r="E116" s="60"/>
      <c r="F116" s="59"/>
      <c r="G116" s="59"/>
    </row>
    <row r="117" spans="1:10" x14ac:dyDescent="0.2">
      <c r="A117" s="54"/>
      <c r="B117" s="154" t="s">
        <v>173</v>
      </c>
      <c r="C117" s="155"/>
      <c r="D117" s="61" t="s">
        <v>143</v>
      </c>
      <c r="E117" s="60"/>
      <c r="F117" s="59"/>
      <c r="G117" s="59"/>
    </row>
    <row r="118" spans="1:10" x14ac:dyDescent="0.2">
      <c r="A118" s="62"/>
      <c r="B118" s="63" t="s">
        <v>143</v>
      </c>
      <c r="C118" s="63" t="s">
        <v>858</v>
      </c>
      <c r="D118" s="63" t="s">
        <v>174</v>
      </c>
      <c r="E118" s="62"/>
      <c r="F118" s="62"/>
      <c r="G118" s="62"/>
      <c r="H118" s="62"/>
      <c r="J118" s="56"/>
    </row>
    <row r="119" spans="1:10" x14ac:dyDescent="0.2">
      <c r="A119" s="62"/>
      <c r="B119" s="64" t="s">
        <v>175</v>
      </c>
      <c r="C119" s="65">
        <v>45808</v>
      </c>
      <c r="D119" s="65">
        <v>45838</v>
      </c>
      <c r="E119" s="62"/>
      <c r="F119" s="62"/>
      <c r="G119" s="62"/>
      <c r="J119" s="56"/>
    </row>
    <row r="120" spans="1:10" x14ac:dyDescent="0.2">
      <c r="A120" s="66"/>
      <c r="B120" s="36" t="s">
        <v>176</v>
      </c>
      <c r="C120" s="67">
        <v>27.689499999999999</v>
      </c>
      <c r="D120" s="67">
        <v>29.442</v>
      </c>
      <c r="E120" s="66"/>
      <c r="F120" s="68"/>
      <c r="G120" s="69"/>
    </row>
    <row r="121" spans="1:10" x14ac:dyDescent="0.2">
      <c r="A121" s="66"/>
      <c r="B121" s="36" t="s">
        <v>1086</v>
      </c>
      <c r="C121" s="67">
        <v>26.361799999999999</v>
      </c>
      <c r="D121" s="67">
        <v>28.0304</v>
      </c>
      <c r="E121" s="66"/>
      <c r="F121" s="68"/>
      <c r="G121" s="69"/>
    </row>
    <row r="122" spans="1:10" x14ac:dyDescent="0.2">
      <c r="A122" s="66"/>
      <c r="B122" s="36" t="s">
        <v>177</v>
      </c>
      <c r="C122" s="67">
        <v>26.930299999999999</v>
      </c>
      <c r="D122" s="67">
        <v>28.6296</v>
      </c>
      <c r="E122" s="66"/>
      <c r="F122" s="68"/>
      <c r="G122" s="69"/>
    </row>
    <row r="123" spans="1:10" x14ac:dyDescent="0.2">
      <c r="A123" s="66"/>
      <c r="B123" s="36" t="s">
        <v>1087</v>
      </c>
      <c r="C123" s="67">
        <v>25.606999999999999</v>
      </c>
      <c r="D123" s="67">
        <v>27.222799999999999</v>
      </c>
      <c r="E123" s="66"/>
      <c r="F123" s="68"/>
      <c r="G123" s="69"/>
    </row>
    <row r="124" spans="1:10" x14ac:dyDescent="0.2">
      <c r="A124" s="66"/>
      <c r="B124" s="66"/>
      <c r="C124" s="66"/>
      <c r="D124" s="66"/>
      <c r="E124" s="66"/>
      <c r="F124" s="66"/>
      <c r="G124" s="66"/>
    </row>
    <row r="125" spans="1:10" x14ac:dyDescent="0.2">
      <c r="A125" s="62"/>
      <c r="B125" s="154" t="s">
        <v>860</v>
      </c>
      <c r="C125" s="155"/>
      <c r="D125" s="33" t="s">
        <v>172</v>
      </c>
      <c r="E125" s="62"/>
      <c r="F125" s="62"/>
      <c r="G125" s="62"/>
    </row>
    <row r="126" spans="1:10" x14ac:dyDescent="0.2">
      <c r="A126" s="62"/>
      <c r="B126" s="70"/>
      <c r="C126" s="70"/>
      <c r="D126" s="70"/>
      <c r="E126" s="62"/>
      <c r="F126" s="62"/>
      <c r="G126" s="62"/>
    </row>
    <row r="127" spans="1:10" x14ac:dyDescent="0.2">
      <c r="A127" s="62"/>
      <c r="B127" s="154" t="s">
        <v>178</v>
      </c>
      <c r="C127" s="155"/>
      <c r="D127" s="33" t="s">
        <v>172</v>
      </c>
      <c r="E127" s="71"/>
      <c r="F127" s="62"/>
      <c r="G127" s="62"/>
    </row>
    <row r="128" spans="1:10" x14ac:dyDescent="0.2">
      <c r="A128" s="62"/>
      <c r="B128" s="154" t="s">
        <v>179</v>
      </c>
      <c r="C128" s="155"/>
      <c r="D128" s="33" t="s">
        <v>172</v>
      </c>
      <c r="E128" s="71"/>
      <c r="F128" s="62"/>
      <c r="G128" s="62"/>
    </row>
    <row r="129" spans="1:10" x14ac:dyDescent="0.2">
      <c r="A129" s="62"/>
      <c r="B129" s="154" t="s">
        <v>180</v>
      </c>
      <c r="C129" s="155"/>
      <c r="D129" s="33" t="s">
        <v>172</v>
      </c>
      <c r="E129" s="71"/>
      <c r="F129" s="62"/>
      <c r="G129" s="62"/>
    </row>
    <row r="130" spans="1:10" x14ac:dyDescent="0.2">
      <c r="A130" s="62"/>
      <c r="B130" s="154" t="s">
        <v>181</v>
      </c>
      <c r="C130" s="155"/>
      <c r="D130" s="72">
        <v>8.0839436386515459E-2</v>
      </c>
      <c r="E130" s="62"/>
      <c r="F130" s="55"/>
      <c r="G130" s="73"/>
    </row>
    <row r="132" spans="1:10" x14ac:dyDescent="0.2">
      <c r="B132" s="156" t="s">
        <v>861</v>
      </c>
      <c r="C132" s="156"/>
    </row>
    <row r="134" spans="1:10" ht="153.75" customHeight="1" x14ac:dyDescent="0.2"/>
    <row r="137" spans="1:10" x14ac:dyDescent="0.2">
      <c r="B137" s="79" t="s">
        <v>862</v>
      </c>
      <c r="C137" s="80"/>
      <c r="D137" s="79"/>
    </row>
    <row r="138" spans="1:10" x14ac:dyDescent="0.2">
      <c r="B138" s="79" t="s">
        <v>874</v>
      </c>
      <c r="D138" s="79"/>
    </row>
    <row r="139" spans="1:10" ht="165" customHeight="1" x14ac:dyDescent="0.2"/>
    <row r="140" spans="1:10" x14ac:dyDescent="0.2">
      <c r="J140" s="31"/>
    </row>
  </sheetData>
  <mergeCells count="18">
    <mergeCell ref="A1:H1"/>
    <mergeCell ref="A2:H2"/>
    <mergeCell ref="A3:H3"/>
    <mergeCell ref="B108:H108"/>
    <mergeCell ref="B109:H109"/>
    <mergeCell ref="B110:H110"/>
    <mergeCell ref="B111:H111"/>
    <mergeCell ref="B112:H112"/>
    <mergeCell ref="B114:D114"/>
    <mergeCell ref="B115:C115"/>
    <mergeCell ref="B116:C116"/>
    <mergeCell ref="B117:C117"/>
    <mergeCell ref="B132:C132"/>
    <mergeCell ref="B125:C125"/>
    <mergeCell ref="B129:C129"/>
    <mergeCell ref="B130:C130"/>
    <mergeCell ref="B127:C127"/>
    <mergeCell ref="B128:C128"/>
  </mergeCells>
  <hyperlinks>
    <hyperlink ref="I1" location="Index!B2" display="Index" xr:uid="{B20311F2-ADBD-4E8D-93DC-E2F76DAD1539}"/>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4189B-C68B-42C0-AC58-48425C86004C}">
  <sheetPr>
    <outlinePr summaryBelow="0" summaryRight="0"/>
  </sheetPr>
  <dimension ref="A1:Q138"/>
  <sheetViews>
    <sheetView showGridLines="0" workbookViewId="0">
      <selection sqref="A1:H1"/>
    </sheetView>
  </sheetViews>
  <sheetFormatPr defaultRowHeight="12.75" x14ac:dyDescent="0.2"/>
  <cols>
    <col min="1" max="1" width="6.85546875" customWidth="1"/>
    <col min="2" max="2" width="20.5703125" customWidth="1"/>
    <col min="3" max="3" width="40"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455</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340</v>
      </c>
      <c r="C7" s="36" t="s">
        <v>341</v>
      </c>
      <c r="D7" s="36" t="s">
        <v>265</v>
      </c>
      <c r="E7" s="37">
        <v>10679</v>
      </c>
      <c r="F7" s="38">
        <v>213.39845700000001</v>
      </c>
      <c r="G7" s="39">
        <v>5.5910649999999999E-2</v>
      </c>
      <c r="H7" s="34" t="s">
        <v>143</v>
      </c>
    </row>
    <row r="8" spans="1:9" x14ac:dyDescent="0.2">
      <c r="A8" s="35">
        <v>2</v>
      </c>
      <c r="B8" s="36" t="s">
        <v>364</v>
      </c>
      <c r="C8" s="36" t="s">
        <v>365</v>
      </c>
      <c r="D8" s="36" t="s">
        <v>195</v>
      </c>
      <c r="E8" s="37">
        <v>35553</v>
      </c>
      <c r="F8" s="38">
        <v>211.9136565</v>
      </c>
      <c r="G8" s="39">
        <v>5.5521630000000002E-2</v>
      </c>
      <c r="H8" s="34" t="s">
        <v>143</v>
      </c>
    </row>
    <row r="9" spans="1:9" x14ac:dyDescent="0.2">
      <c r="A9" s="35">
        <v>3</v>
      </c>
      <c r="B9" s="36" t="s">
        <v>78</v>
      </c>
      <c r="C9" s="36" t="s">
        <v>79</v>
      </c>
      <c r="D9" s="36" t="s">
        <v>73</v>
      </c>
      <c r="E9" s="37">
        <v>22800</v>
      </c>
      <c r="F9" s="38">
        <v>186.5154</v>
      </c>
      <c r="G9" s="39">
        <v>4.8867250000000001E-2</v>
      </c>
      <c r="H9" s="34" t="s">
        <v>143</v>
      </c>
    </row>
    <row r="10" spans="1:9" x14ac:dyDescent="0.2">
      <c r="A10" s="35">
        <v>4</v>
      </c>
      <c r="B10" s="36" t="s">
        <v>366</v>
      </c>
      <c r="C10" s="36" t="s">
        <v>367</v>
      </c>
      <c r="D10" s="36" t="s">
        <v>221</v>
      </c>
      <c r="E10" s="37">
        <v>53380</v>
      </c>
      <c r="F10" s="38">
        <v>175.51344</v>
      </c>
      <c r="G10" s="39">
        <v>4.5984730000000001E-2</v>
      </c>
      <c r="H10" s="34" t="s">
        <v>143</v>
      </c>
    </row>
    <row r="11" spans="1:9" x14ac:dyDescent="0.2">
      <c r="A11" s="35">
        <v>5</v>
      </c>
      <c r="B11" s="36" t="s">
        <v>368</v>
      </c>
      <c r="C11" s="36" t="s">
        <v>369</v>
      </c>
      <c r="D11" s="36" t="s">
        <v>55</v>
      </c>
      <c r="E11" s="37">
        <v>8097</v>
      </c>
      <c r="F11" s="38">
        <v>174.73326</v>
      </c>
      <c r="G11" s="39">
        <v>4.5780319999999999E-2</v>
      </c>
      <c r="H11" s="34" t="s">
        <v>143</v>
      </c>
    </row>
    <row r="12" spans="1:9" x14ac:dyDescent="0.2">
      <c r="A12" s="35">
        <v>6</v>
      </c>
      <c r="B12" s="36" t="s">
        <v>376</v>
      </c>
      <c r="C12" s="36" t="s">
        <v>377</v>
      </c>
      <c r="D12" s="36" t="s">
        <v>206</v>
      </c>
      <c r="E12" s="37">
        <v>5956</v>
      </c>
      <c r="F12" s="38">
        <v>174.08196799999999</v>
      </c>
      <c r="G12" s="39">
        <v>4.560968E-2</v>
      </c>
      <c r="H12" s="34" t="s">
        <v>143</v>
      </c>
    </row>
    <row r="13" spans="1:9" x14ac:dyDescent="0.2">
      <c r="A13" s="35">
        <v>7</v>
      </c>
      <c r="B13" s="36" t="s">
        <v>330</v>
      </c>
      <c r="C13" s="36" t="s">
        <v>331</v>
      </c>
      <c r="D13" s="36" t="s">
        <v>206</v>
      </c>
      <c r="E13" s="37">
        <v>1804</v>
      </c>
      <c r="F13" s="38">
        <v>161.34976</v>
      </c>
      <c r="G13" s="39">
        <v>4.2273829999999998E-2</v>
      </c>
      <c r="H13" s="34" t="s">
        <v>143</v>
      </c>
    </row>
    <row r="14" spans="1:9" x14ac:dyDescent="0.2">
      <c r="A14" s="35">
        <v>8</v>
      </c>
      <c r="B14" s="36" t="s">
        <v>372</v>
      </c>
      <c r="C14" s="36" t="s">
        <v>373</v>
      </c>
      <c r="D14" s="36" t="s">
        <v>33</v>
      </c>
      <c r="E14" s="37">
        <v>37549</v>
      </c>
      <c r="F14" s="38">
        <v>148.05570700000001</v>
      </c>
      <c r="G14" s="39">
        <v>3.8790770000000002E-2</v>
      </c>
      <c r="H14" s="34" t="s">
        <v>143</v>
      </c>
    </row>
    <row r="15" spans="1:9" x14ac:dyDescent="0.2">
      <c r="A15" s="35">
        <v>9</v>
      </c>
      <c r="B15" s="36" t="s">
        <v>370</v>
      </c>
      <c r="C15" s="36" t="s">
        <v>371</v>
      </c>
      <c r="D15" s="36" t="s">
        <v>33</v>
      </c>
      <c r="E15" s="37">
        <v>298383</v>
      </c>
      <c r="F15" s="38">
        <v>146.29718489999999</v>
      </c>
      <c r="G15" s="39">
        <v>3.8330030000000001E-2</v>
      </c>
      <c r="H15" s="34" t="s">
        <v>143</v>
      </c>
    </row>
    <row r="16" spans="1:9" ht="25.5" x14ac:dyDescent="0.2">
      <c r="A16" s="35">
        <v>10</v>
      </c>
      <c r="B16" s="36" t="s">
        <v>48</v>
      </c>
      <c r="C16" s="36" t="s">
        <v>49</v>
      </c>
      <c r="D16" s="36" t="s">
        <v>25</v>
      </c>
      <c r="E16" s="37">
        <v>2267</v>
      </c>
      <c r="F16" s="38">
        <v>139.4205</v>
      </c>
      <c r="G16" s="39">
        <v>3.6528329999999998E-2</v>
      </c>
      <c r="H16" s="34" t="s">
        <v>143</v>
      </c>
    </row>
    <row r="17" spans="1:8" ht="25.5" x14ac:dyDescent="0.2">
      <c r="A17" s="35">
        <v>11</v>
      </c>
      <c r="B17" s="36" t="s">
        <v>382</v>
      </c>
      <c r="C17" s="36" t="s">
        <v>383</v>
      </c>
      <c r="D17" s="36" t="s">
        <v>270</v>
      </c>
      <c r="E17" s="37">
        <v>2631</v>
      </c>
      <c r="F17" s="38">
        <v>126.81683099999999</v>
      </c>
      <c r="G17" s="39">
        <v>3.3226159999999998E-2</v>
      </c>
      <c r="H17" s="34" t="s">
        <v>143</v>
      </c>
    </row>
    <row r="18" spans="1:8" x14ac:dyDescent="0.2">
      <c r="A18" s="35">
        <v>12</v>
      </c>
      <c r="B18" s="36" t="s">
        <v>374</v>
      </c>
      <c r="C18" s="36" t="s">
        <v>375</v>
      </c>
      <c r="D18" s="36" t="s">
        <v>55</v>
      </c>
      <c r="E18" s="37">
        <v>46205</v>
      </c>
      <c r="F18" s="38">
        <v>124.19904</v>
      </c>
      <c r="G18" s="39">
        <v>3.2540289999999999E-2</v>
      </c>
      <c r="H18" s="34" t="s">
        <v>143</v>
      </c>
    </row>
    <row r="19" spans="1:8" x14ac:dyDescent="0.2">
      <c r="A19" s="35">
        <v>13</v>
      </c>
      <c r="B19" s="36" t="s">
        <v>380</v>
      </c>
      <c r="C19" s="36" t="s">
        <v>381</v>
      </c>
      <c r="D19" s="36" t="s">
        <v>33</v>
      </c>
      <c r="E19" s="37">
        <v>180840</v>
      </c>
      <c r="F19" s="38">
        <v>121.361724</v>
      </c>
      <c r="G19" s="39">
        <v>3.1796909999999998E-2</v>
      </c>
      <c r="H19" s="34" t="s">
        <v>143</v>
      </c>
    </row>
    <row r="20" spans="1:8" x14ac:dyDescent="0.2">
      <c r="A20" s="35">
        <v>14</v>
      </c>
      <c r="B20" s="36" t="s">
        <v>105</v>
      </c>
      <c r="C20" s="36" t="s">
        <v>106</v>
      </c>
      <c r="D20" s="36" t="s">
        <v>73</v>
      </c>
      <c r="E20" s="37">
        <v>3144</v>
      </c>
      <c r="F20" s="38">
        <v>119.239344</v>
      </c>
      <c r="G20" s="39">
        <v>3.1240850000000001E-2</v>
      </c>
      <c r="H20" s="34" t="s">
        <v>143</v>
      </c>
    </row>
    <row r="21" spans="1:8" ht="25.5" x14ac:dyDescent="0.2">
      <c r="A21" s="35">
        <v>15</v>
      </c>
      <c r="B21" s="36" t="s">
        <v>378</v>
      </c>
      <c r="C21" s="36" t="s">
        <v>379</v>
      </c>
      <c r="D21" s="36" t="s">
        <v>201</v>
      </c>
      <c r="E21" s="37">
        <v>1831</v>
      </c>
      <c r="F21" s="38">
        <v>107.671955</v>
      </c>
      <c r="G21" s="39">
        <v>2.8210180000000001E-2</v>
      </c>
      <c r="H21" s="34" t="s">
        <v>143</v>
      </c>
    </row>
    <row r="22" spans="1:8" x14ac:dyDescent="0.2">
      <c r="A22" s="35">
        <v>16</v>
      </c>
      <c r="B22" s="36" t="s">
        <v>44</v>
      </c>
      <c r="C22" s="36" t="s">
        <v>45</v>
      </c>
      <c r="D22" s="36" t="s">
        <v>19</v>
      </c>
      <c r="E22" s="37">
        <v>7465</v>
      </c>
      <c r="F22" s="38">
        <v>91.610479999999995</v>
      </c>
      <c r="G22" s="39">
        <v>2.400205E-2</v>
      </c>
      <c r="H22" s="34" t="s">
        <v>143</v>
      </c>
    </row>
    <row r="23" spans="1:8" x14ac:dyDescent="0.2">
      <c r="A23" s="35">
        <v>17</v>
      </c>
      <c r="B23" s="36" t="s">
        <v>386</v>
      </c>
      <c r="C23" s="36" t="s">
        <v>387</v>
      </c>
      <c r="D23" s="36" t="s">
        <v>192</v>
      </c>
      <c r="E23" s="37">
        <v>4105</v>
      </c>
      <c r="F23" s="38">
        <v>88.914299999999997</v>
      </c>
      <c r="G23" s="39">
        <v>2.3295650000000001E-2</v>
      </c>
      <c r="H23" s="34" t="s">
        <v>143</v>
      </c>
    </row>
    <row r="24" spans="1:8" ht="25.5" x14ac:dyDescent="0.2">
      <c r="A24" s="35">
        <v>18</v>
      </c>
      <c r="B24" s="36" t="s">
        <v>390</v>
      </c>
      <c r="C24" s="36" t="s">
        <v>391</v>
      </c>
      <c r="D24" s="36" t="s">
        <v>392</v>
      </c>
      <c r="E24" s="37">
        <v>23998</v>
      </c>
      <c r="F24" s="38">
        <v>88.864593999999997</v>
      </c>
      <c r="G24" s="39">
        <v>2.3282629999999999E-2</v>
      </c>
      <c r="H24" s="34" t="s">
        <v>143</v>
      </c>
    </row>
    <row r="25" spans="1:8" x14ac:dyDescent="0.2">
      <c r="A25" s="35">
        <v>19</v>
      </c>
      <c r="B25" s="36" t="s">
        <v>59</v>
      </c>
      <c r="C25" s="36" t="s">
        <v>60</v>
      </c>
      <c r="D25" s="36" t="s">
        <v>61</v>
      </c>
      <c r="E25" s="37">
        <v>7562</v>
      </c>
      <c r="F25" s="38">
        <v>83.923075999999995</v>
      </c>
      <c r="G25" s="39">
        <v>2.1987940000000001E-2</v>
      </c>
      <c r="H25" s="34" t="s">
        <v>143</v>
      </c>
    </row>
    <row r="26" spans="1:8" x14ac:dyDescent="0.2">
      <c r="A26" s="35">
        <v>20</v>
      </c>
      <c r="B26" s="36" t="s">
        <v>413</v>
      </c>
      <c r="C26" s="36" t="s">
        <v>414</v>
      </c>
      <c r="D26" s="36" t="s">
        <v>198</v>
      </c>
      <c r="E26" s="37">
        <v>19125</v>
      </c>
      <c r="F26" s="38">
        <v>82.906874999999999</v>
      </c>
      <c r="G26" s="39">
        <v>2.17217E-2</v>
      </c>
      <c r="H26" s="34" t="s">
        <v>143</v>
      </c>
    </row>
    <row r="27" spans="1:8" x14ac:dyDescent="0.2">
      <c r="A27" s="35">
        <v>21</v>
      </c>
      <c r="B27" s="36" t="s">
        <v>71</v>
      </c>
      <c r="C27" s="36" t="s">
        <v>72</v>
      </c>
      <c r="D27" s="36" t="s">
        <v>73</v>
      </c>
      <c r="E27" s="37">
        <v>1517</v>
      </c>
      <c r="F27" s="38">
        <v>78.23169</v>
      </c>
      <c r="G27" s="39">
        <v>2.0496790000000001E-2</v>
      </c>
      <c r="H27" s="34" t="s">
        <v>143</v>
      </c>
    </row>
    <row r="28" spans="1:8" x14ac:dyDescent="0.2">
      <c r="A28" s="35">
        <v>22</v>
      </c>
      <c r="B28" s="36" t="s">
        <v>229</v>
      </c>
      <c r="C28" s="36" t="s">
        <v>230</v>
      </c>
      <c r="D28" s="36" t="s">
        <v>192</v>
      </c>
      <c r="E28" s="37">
        <v>707</v>
      </c>
      <c r="F28" s="38">
        <v>77.451849999999993</v>
      </c>
      <c r="G28" s="39">
        <v>2.0292480000000002E-2</v>
      </c>
      <c r="H28" s="34" t="s">
        <v>143</v>
      </c>
    </row>
    <row r="29" spans="1:8" x14ac:dyDescent="0.2">
      <c r="A29" s="35">
        <v>23</v>
      </c>
      <c r="B29" s="36" t="s">
        <v>395</v>
      </c>
      <c r="C29" s="36" t="s">
        <v>396</v>
      </c>
      <c r="D29" s="36" t="s">
        <v>198</v>
      </c>
      <c r="E29" s="37">
        <v>16328</v>
      </c>
      <c r="F29" s="38">
        <v>74.700599999999994</v>
      </c>
      <c r="G29" s="39">
        <v>1.9571649999999999E-2</v>
      </c>
      <c r="H29" s="34" t="s">
        <v>143</v>
      </c>
    </row>
    <row r="30" spans="1:8" ht="25.5" x14ac:dyDescent="0.2">
      <c r="A30" s="35">
        <v>24</v>
      </c>
      <c r="B30" s="36" t="s">
        <v>393</v>
      </c>
      <c r="C30" s="36" t="s">
        <v>394</v>
      </c>
      <c r="D30" s="36" t="s">
        <v>201</v>
      </c>
      <c r="E30" s="37">
        <v>10194</v>
      </c>
      <c r="F30" s="38">
        <v>73.891209000000003</v>
      </c>
      <c r="G30" s="39">
        <v>1.9359580000000001E-2</v>
      </c>
      <c r="H30" s="34" t="s">
        <v>143</v>
      </c>
    </row>
    <row r="31" spans="1:8" x14ac:dyDescent="0.2">
      <c r="A31" s="35">
        <v>25</v>
      </c>
      <c r="B31" s="36" t="s">
        <v>397</v>
      </c>
      <c r="C31" s="36" t="s">
        <v>398</v>
      </c>
      <c r="D31" s="36" t="s">
        <v>399</v>
      </c>
      <c r="E31" s="37">
        <v>7495</v>
      </c>
      <c r="F31" s="38">
        <v>72.708995000000002</v>
      </c>
      <c r="G31" s="39">
        <v>1.9049839999999998E-2</v>
      </c>
      <c r="H31" s="34" t="s">
        <v>143</v>
      </c>
    </row>
    <row r="32" spans="1:8" x14ac:dyDescent="0.2">
      <c r="A32" s="35">
        <v>26</v>
      </c>
      <c r="B32" s="36" t="s">
        <v>388</v>
      </c>
      <c r="C32" s="36" t="s">
        <v>389</v>
      </c>
      <c r="D32" s="36" t="s">
        <v>192</v>
      </c>
      <c r="E32" s="37">
        <v>9140</v>
      </c>
      <c r="F32" s="38">
        <v>72.471059999999994</v>
      </c>
      <c r="G32" s="39">
        <v>1.8987500000000001E-2</v>
      </c>
      <c r="H32" s="34" t="s">
        <v>143</v>
      </c>
    </row>
    <row r="33" spans="1:8" x14ac:dyDescent="0.2">
      <c r="A33" s="35">
        <v>27</v>
      </c>
      <c r="B33" s="36" t="s">
        <v>402</v>
      </c>
      <c r="C33" s="36" t="s">
        <v>403</v>
      </c>
      <c r="D33" s="36" t="s">
        <v>221</v>
      </c>
      <c r="E33" s="37">
        <v>9506</v>
      </c>
      <c r="F33" s="38">
        <v>70.829205999999999</v>
      </c>
      <c r="G33" s="39">
        <v>1.8557339999999999E-2</v>
      </c>
      <c r="H33" s="34" t="s">
        <v>143</v>
      </c>
    </row>
    <row r="34" spans="1:8" x14ac:dyDescent="0.2">
      <c r="A34" s="35">
        <v>28</v>
      </c>
      <c r="B34" s="36" t="s">
        <v>400</v>
      </c>
      <c r="C34" s="36" t="s">
        <v>401</v>
      </c>
      <c r="D34" s="36" t="s">
        <v>192</v>
      </c>
      <c r="E34" s="37">
        <v>6319</v>
      </c>
      <c r="F34" s="38">
        <v>70.102986000000001</v>
      </c>
      <c r="G34" s="39">
        <v>1.8367060000000001E-2</v>
      </c>
      <c r="H34" s="34" t="s">
        <v>143</v>
      </c>
    </row>
    <row r="35" spans="1:8" x14ac:dyDescent="0.2">
      <c r="A35" s="35">
        <v>29</v>
      </c>
      <c r="B35" s="36" t="s">
        <v>404</v>
      </c>
      <c r="C35" s="36" t="s">
        <v>405</v>
      </c>
      <c r="D35" s="36" t="s">
        <v>73</v>
      </c>
      <c r="E35" s="37">
        <v>14157</v>
      </c>
      <c r="F35" s="38">
        <v>67.387320000000003</v>
      </c>
      <c r="G35" s="39">
        <v>1.7655560000000001E-2</v>
      </c>
      <c r="H35" s="34" t="s">
        <v>143</v>
      </c>
    </row>
    <row r="36" spans="1:8" x14ac:dyDescent="0.2">
      <c r="A36" s="35">
        <v>30</v>
      </c>
      <c r="B36" s="36" t="s">
        <v>408</v>
      </c>
      <c r="C36" s="36" t="s">
        <v>409</v>
      </c>
      <c r="D36" s="36" t="s">
        <v>265</v>
      </c>
      <c r="E36" s="37">
        <v>12789</v>
      </c>
      <c r="F36" s="38">
        <v>58.797427499999998</v>
      </c>
      <c r="G36" s="39">
        <v>1.5405E-2</v>
      </c>
      <c r="H36" s="34" t="s">
        <v>143</v>
      </c>
    </row>
    <row r="37" spans="1:8" x14ac:dyDescent="0.2">
      <c r="A37" s="35">
        <v>31</v>
      </c>
      <c r="B37" s="36" t="s">
        <v>410</v>
      </c>
      <c r="C37" s="36" t="s">
        <v>411</v>
      </c>
      <c r="D37" s="36" t="s">
        <v>412</v>
      </c>
      <c r="E37" s="37">
        <v>3921</v>
      </c>
      <c r="F37" s="38">
        <v>58.615029</v>
      </c>
      <c r="G37" s="39">
        <v>1.535721E-2</v>
      </c>
      <c r="H37" s="34" t="s">
        <v>143</v>
      </c>
    </row>
    <row r="38" spans="1:8" x14ac:dyDescent="0.2">
      <c r="A38" s="35">
        <v>32</v>
      </c>
      <c r="B38" s="36" t="s">
        <v>451</v>
      </c>
      <c r="C38" s="36" t="s">
        <v>452</v>
      </c>
      <c r="D38" s="36" t="s">
        <v>73</v>
      </c>
      <c r="E38" s="37">
        <v>10251</v>
      </c>
      <c r="F38" s="38">
        <v>57.354345000000002</v>
      </c>
      <c r="G38" s="39">
        <v>1.5026909999999999E-2</v>
      </c>
      <c r="H38" s="34" t="s">
        <v>143</v>
      </c>
    </row>
    <row r="39" spans="1:8" x14ac:dyDescent="0.2">
      <c r="A39" s="35">
        <v>33</v>
      </c>
      <c r="B39" s="36" t="s">
        <v>419</v>
      </c>
      <c r="C39" s="36" t="s">
        <v>420</v>
      </c>
      <c r="D39" s="36" t="s">
        <v>55</v>
      </c>
      <c r="E39" s="37">
        <v>3782</v>
      </c>
      <c r="F39" s="38">
        <v>27.599145</v>
      </c>
      <c r="G39" s="39">
        <v>7.2310100000000004E-3</v>
      </c>
      <c r="H39" s="34" t="s">
        <v>143</v>
      </c>
    </row>
    <row r="40" spans="1:8" x14ac:dyDescent="0.2">
      <c r="A40" s="35">
        <v>34</v>
      </c>
      <c r="B40" s="36" t="s">
        <v>417</v>
      </c>
      <c r="C40" s="36" t="s">
        <v>418</v>
      </c>
      <c r="D40" s="36" t="s">
        <v>55</v>
      </c>
      <c r="E40" s="37">
        <v>3365</v>
      </c>
      <c r="F40" s="38">
        <v>25.574000000000002</v>
      </c>
      <c r="G40" s="39">
        <v>6.7004200000000003E-3</v>
      </c>
      <c r="H40" s="34" t="s">
        <v>143</v>
      </c>
    </row>
    <row r="41" spans="1:8" x14ac:dyDescent="0.2">
      <c r="A41" s="35">
        <v>35</v>
      </c>
      <c r="B41" s="36" t="s">
        <v>423</v>
      </c>
      <c r="C41" s="36" t="s">
        <v>424</v>
      </c>
      <c r="D41" s="36" t="s">
        <v>43</v>
      </c>
      <c r="E41" s="37">
        <v>4604</v>
      </c>
      <c r="F41" s="38">
        <v>17.681661999999999</v>
      </c>
      <c r="G41" s="39">
        <v>4.6326199999999996E-3</v>
      </c>
      <c r="H41" s="34" t="s">
        <v>143</v>
      </c>
    </row>
    <row r="42" spans="1:8" x14ac:dyDescent="0.2">
      <c r="A42" s="41"/>
      <c r="B42" s="41"/>
      <c r="C42" s="42" t="s">
        <v>142</v>
      </c>
      <c r="D42" s="41"/>
      <c r="E42" s="41" t="s">
        <v>143</v>
      </c>
      <c r="F42" s="43">
        <v>3670.1840769</v>
      </c>
      <c r="G42" s="44">
        <v>0.96159254999999999</v>
      </c>
      <c r="H42" s="34" t="s">
        <v>143</v>
      </c>
    </row>
    <row r="43" spans="1:8" x14ac:dyDescent="0.2">
      <c r="A43" s="41"/>
      <c r="B43" s="41"/>
      <c r="C43" s="45"/>
      <c r="D43" s="41"/>
      <c r="E43" s="41"/>
      <c r="F43" s="46"/>
      <c r="G43" s="46"/>
      <c r="H43" s="34" t="s">
        <v>143</v>
      </c>
    </row>
    <row r="44" spans="1:8" x14ac:dyDescent="0.2">
      <c r="A44" s="41"/>
      <c r="B44" s="41"/>
      <c r="C44" s="42" t="s">
        <v>144</v>
      </c>
      <c r="D44" s="41"/>
      <c r="E44" s="41"/>
      <c r="F44" s="41"/>
      <c r="G44" s="41"/>
      <c r="H44" s="34" t="s">
        <v>143</v>
      </c>
    </row>
    <row r="45" spans="1:8" x14ac:dyDescent="0.2">
      <c r="A45" s="41"/>
      <c r="B45" s="41"/>
      <c r="C45" s="42" t="s">
        <v>142</v>
      </c>
      <c r="D45" s="41"/>
      <c r="E45" s="41" t="s">
        <v>143</v>
      </c>
      <c r="F45" s="47" t="s">
        <v>145</v>
      </c>
      <c r="G45" s="44">
        <v>0</v>
      </c>
      <c r="H45" s="34" t="s">
        <v>143</v>
      </c>
    </row>
    <row r="46" spans="1:8" x14ac:dyDescent="0.2">
      <c r="A46" s="41"/>
      <c r="B46" s="41"/>
      <c r="C46" s="45"/>
      <c r="D46" s="41"/>
      <c r="E46" s="41"/>
      <c r="F46" s="46"/>
      <c r="G46" s="46"/>
      <c r="H46" s="34" t="s">
        <v>143</v>
      </c>
    </row>
    <row r="47" spans="1:8" x14ac:dyDescent="0.2">
      <c r="A47" s="41"/>
      <c r="B47" s="41"/>
      <c r="C47" s="42" t="s">
        <v>146</v>
      </c>
      <c r="D47" s="41"/>
      <c r="E47" s="41"/>
      <c r="F47" s="41"/>
      <c r="G47" s="41"/>
      <c r="H47" s="34" t="s">
        <v>143</v>
      </c>
    </row>
    <row r="48" spans="1:8" x14ac:dyDescent="0.2">
      <c r="A48" s="41"/>
      <c r="B48" s="41"/>
      <c r="C48" s="42" t="s">
        <v>142</v>
      </c>
      <c r="D48" s="41"/>
      <c r="E48" s="41" t="s">
        <v>143</v>
      </c>
      <c r="F48" s="47" t="s">
        <v>145</v>
      </c>
      <c r="G48" s="44">
        <v>0</v>
      </c>
      <c r="H48" s="34" t="s">
        <v>143</v>
      </c>
    </row>
    <row r="49" spans="1:8" x14ac:dyDescent="0.2">
      <c r="A49" s="41"/>
      <c r="B49" s="41"/>
      <c r="C49" s="45"/>
      <c r="D49" s="41"/>
      <c r="E49" s="41"/>
      <c r="F49" s="46"/>
      <c r="G49" s="46"/>
      <c r="H49" s="34" t="s">
        <v>143</v>
      </c>
    </row>
    <row r="50" spans="1:8" x14ac:dyDescent="0.2">
      <c r="A50" s="41"/>
      <c r="B50" s="41"/>
      <c r="C50" s="42" t="s">
        <v>147</v>
      </c>
      <c r="D50" s="41"/>
      <c r="E50" s="41"/>
      <c r="F50" s="41"/>
      <c r="G50" s="41"/>
      <c r="H50" s="34" t="s">
        <v>143</v>
      </c>
    </row>
    <row r="51" spans="1:8" x14ac:dyDescent="0.2">
      <c r="A51" s="41"/>
      <c r="B51" s="41"/>
      <c r="C51" s="42" t="s">
        <v>142</v>
      </c>
      <c r="D51" s="41"/>
      <c r="E51" s="41" t="s">
        <v>143</v>
      </c>
      <c r="F51" s="47" t="s">
        <v>145</v>
      </c>
      <c r="G51" s="44">
        <v>0</v>
      </c>
      <c r="H51" s="34" t="s">
        <v>143</v>
      </c>
    </row>
    <row r="52" spans="1:8" x14ac:dyDescent="0.2">
      <c r="A52" s="41"/>
      <c r="B52" s="41"/>
      <c r="C52" s="45"/>
      <c r="D52" s="41"/>
      <c r="E52" s="41"/>
      <c r="F52" s="46"/>
      <c r="G52" s="46"/>
      <c r="H52" s="34" t="s">
        <v>143</v>
      </c>
    </row>
    <row r="53" spans="1:8" x14ac:dyDescent="0.2">
      <c r="A53" s="41"/>
      <c r="B53" s="41"/>
      <c r="C53" s="42" t="s">
        <v>148</v>
      </c>
      <c r="D53" s="41"/>
      <c r="E53" s="41"/>
      <c r="F53" s="46"/>
      <c r="G53" s="46"/>
      <c r="H53" s="34" t="s">
        <v>143</v>
      </c>
    </row>
    <row r="54" spans="1:8" x14ac:dyDescent="0.2">
      <c r="A54" s="41"/>
      <c r="B54" s="41"/>
      <c r="C54" s="42" t="s">
        <v>142</v>
      </c>
      <c r="D54" s="41"/>
      <c r="E54" s="41" t="s">
        <v>143</v>
      </c>
      <c r="F54" s="47" t="s">
        <v>145</v>
      </c>
      <c r="G54" s="44">
        <v>0</v>
      </c>
      <c r="H54" s="34" t="s">
        <v>143</v>
      </c>
    </row>
    <row r="55" spans="1:8" x14ac:dyDescent="0.2">
      <c r="A55" s="41"/>
      <c r="B55" s="41"/>
      <c r="C55" s="45"/>
      <c r="D55" s="41"/>
      <c r="E55" s="41"/>
      <c r="F55" s="46"/>
      <c r="G55" s="46"/>
      <c r="H55" s="34" t="s">
        <v>143</v>
      </c>
    </row>
    <row r="56" spans="1:8" x14ac:dyDescent="0.2">
      <c r="A56" s="41"/>
      <c r="B56" s="41"/>
      <c r="C56" s="42" t="s">
        <v>149</v>
      </c>
      <c r="D56" s="41"/>
      <c r="E56" s="41"/>
      <c r="F56" s="46"/>
      <c r="G56" s="46"/>
      <c r="H56" s="34" t="s">
        <v>143</v>
      </c>
    </row>
    <row r="57" spans="1:8" x14ac:dyDescent="0.2">
      <c r="A57" s="41"/>
      <c r="B57" s="41"/>
      <c r="C57" s="42" t="s">
        <v>142</v>
      </c>
      <c r="D57" s="41"/>
      <c r="E57" s="41" t="s">
        <v>143</v>
      </c>
      <c r="F57" s="47" t="s">
        <v>145</v>
      </c>
      <c r="G57" s="44">
        <v>0</v>
      </c>
      <c r="H57" s="34" t="s">
        <v>143</v>
      </c>
    </row>
    <row r="58" spans="1:8" x14ac:dyDescent="0.2">
      <c r="A58" s="41"/>
      <c r="B58" s="41"/>
      <c r="C58" s="45"/>
      <c r="D58" s="41"/>
      <c r="E58" s="41"/>
      <c r="F58" s="46"/>
      <c r="G58" s="46"/>
      <c r="H58" s="34" t="s">
        <v>143</v>
      </c>
    </row>
    <row r="59" spans="1:8" x14ac:dyDescent="0.2">
      <c r="A59" s="41"/>
      <c r="B59" s="41"/>
      <c r="C59" s="42" t="s">
        <v>150</v>
      </c>
      <c r="D59" s="41"/>
      <c r="E59" s="41"/>
      <c r="F59" s="43">
        <v>3670.1840769</v>
      </c>
      <c r="G59" s="44">
        <v>0.96159254999999999</v>
      </c>
      <c r="H59" s="34" t="s">
        <v>143</v>
      </c>
    </row>
    <row r="60" spans="1:8" x14ac:dyDescent="0.2">
      <c r="A60" s="41"/>
      <c r="B60" s="41"/>
      <c r="C60" s="45"/>
      <c r="D60" s="41"/>
      <c r="E60" s="41"/>
      <c r="F60" s="46"/>
      <c r="G60" s="46"/>
      <c r="H60" s="34" t="s">
        <v>143</v>
      </c>
    </row>
    <row r="61" spans="1:8" x14ac:dyDescent="0.2">
      <c r="A61" s="41"/>
      <c r="B61" s="41"/>
      <c r="C61" s="42" t="s">
        <v>151</v>
      </c>
      <c r="D61" s="41"/>
      <c r="E61" s="41"/>
      <c r="F61" s="46"/>
      <c r="G61" s="46"/>
      <c r="H61" s="34" t="s">
        <v>143</v>
      </c>
    </row>
    <row r="62" spans="1:8" x14ac:dyDescent="0.2">
      <c r="A62" s="41"/>
      <c r="B62" s="41"/>
      <c r="C62" s="42" t="s">
        <v>10</v>
      </c>
      <c r="D62" s="41"/>
      <c r="E62" s="41"/>
      <c r="F62" s="46"/>
      <c r="G62" s="46"/>
      <c r="H62" s="34" t="s">
        <v>143</v>
      </c>
    </row>
    <row r="63" spans="1:8" x14ac:dyDescent="0.2">
      <c r="A63" s="41"/>
      <c r="B63" s="41"/>
      <c r="C63" s="42" t="s">
        <v>142</v>
      </c>
      <c r="D63" s="41"/>
      <c r="E63" s="41" t="s">
        <v>143</v>
      </c>
      <c r="F63" s="47" t="s">
        <v>145</v>
      </c>
      <c r="G63" s="44">
        <v>0</v>
      </c>
      <c r="H63" s="34" t="s">
        <v>143</v>
      </c>
    </row>
    <row r="64" spans="1:8" x14ac:dyDescent="0.2">
      <c r="A64" s="41"/>
      <c r="B64" s="41"/>
      <c r="C64" s="45"/>
      <c r="D64" s="41"/>
      <c r="E64" s="41"/>
      <c r="F64" s="46"/>
      <c r="G64" s="46"/>
      <c r="H64" s="34" t="s">
        <v>143</v>
      </c>
    </row>
    <row r="65" spans="1:8" x14ac:dyDescent="0.2">
      <c r="A65" s="41"/>
      <c r="B65" s="41"/>
      <c r="C65" s="42" t="s">
        <v>152</v>
      </c>
      <c r="D65" s="41"/>
      <c r="E65" s="41"/>
      <c r="F65" s="41"/>
      <c r="G65" s="41"/>
      <c r="H65" s="34" t="s">
        <v>143</v>
      </c>
    </row>
    <row r="66" spans="1:8" x14ac:dyDescent="0.2">
      <c r="A66" s="41"/>
      <c r="B66" s="41"/>
      <c r="C66" s="42" t="s">
        <v>142</v>
      </c>
      <c r="D66" s="41"/>
      <c r="E66" s="41" t="s">
        <v>143</v>
      </c>
      <c r="F66" s="47" t="s">
        <v>145</v>
      </c>
      <c r="G66" s="44">
        <v>0</v>
      </c>
      <c r="H66" s="34" t="s">
        <v>143</v>
      </c>
    </row>
    <row r="67" spans="1:8" x14ac:dyDescent="0.2">
      <c r="A67" s="41"/>
      <c r="B67" s="41"/>
      <c r="C67" s="45"/>
      <c r="D67" s="41"/>
      <c r="E67" s="41"/>
      <c r="F67" s="46"/>
      <c r="G67" s="46"/>
      <c r="H67" s="34" t="s">
        <v>143</v>
      </c>
    </row>
    <row r="68" spans="1:8" x14ac:dyDescent="0.2">
      <c r="A68" s="41"/>
      <c r="B68" s="41"/>
      <c r="C68" s="42" t="s">
        <v>153</v>
      </c>
      <c r="D68" s="41"/>
      <c r="E68" s="41"/>
      <c r="F68" s="41"/>
      <c r="G68" s="41"/>
      <c r="H68" s="34" t="s">
        <v>143</v>
      </c>
    </row>
    <row r="69" spans="1:8" x14ac:dyDescent="0.2">
      <c r="A69" s="41"/>
      <c r="B69" s="41"/>
      <c r="C69" s="42" t="s">
        <v>142</v>
      </c>
      <c r="D69" s="41"/>
      <c r="E69" s="41" t="s">
        <v>143</v>
      </c>
      <c r="F69" s="47" t="s">
        <v>145</v>
      </c>
      <c r="G69" s="44">
        <v>0</v>
      </c>
      <c r="H69" s="34" t="s">
        <v>143</v>
      </c>
    </row>
    <row r="70" spans="1:8" x14ac:dyDescent="0.2">
      <c r="A70" s="41"/>
      <c r="B70" s="41"/>
      <c r="C70" s="45"/>
      <c r="D70" s="41"/>
      <c r="E70" s="41"/>
      <c r="F70" s="46"/>
      <c r="G70" s="46"/>
      <c r="H70" s="34" t="s">
        <v>143</v>
      </c>
    </row>
    <row r="71" spans="1:8" x14ac:dyDescent="0.2">
      <c r="A71" s="41"/>
      <c r="B71" s="41"/>
      <c r="C71" s="42" t="s">
        <v>154</v>
      </c>
      <c r="D71" s="41"/>
      <c r="E71" s="41"/>
      <c r="F71" s="46"/>
      <c r="G71" s="46"/>
      <c r="H71" s="34" t="s">
        <v>143</v>
      </c>
    </row>
    <row r="72" spans="1:8" x14ac:dyDescent="0.2">
      <c r="A72" s="41"/>
      <c r="B72" s="41"/>
      <c r="C72" s="42" t="s">
        <v>142</v>
      </c>
      <c r="D72" s="41"/>
      <c r="E72" s="41" t="s">
        <v>143</v>
      </c>
      <c r="F72" s="47" t="s">
        <v>145</v>
      </c>
      <c r="G72" s="44">
        <v>0</v>
      </c>
      <c r="H72" s="34" t="s">
        <v>143</v>
      </c>
    </row>
    <row r="73" spans="1:8" x14ac:dyDescent="0.2">
      <c r="A73" s="41"/>
      <c r="B73" s="41"/>
      <c r="C73" s="45"/>
      <c r="D73" s="41"/>
      <c r="E73" s="41"/>
      <c r="F73" s="46"/>
      <c r="G73" s="46"/>
      <c r="H73" s="34" t="s">
        <v>143</v>
      </c>
    </row>
    <row r="74" spans="1:8" x14ac:dyDescent="0.2">
      <c r="A74" s="41"/>
      <c r="B74" s="41"/>
      <c r="C74" s="42" t="s">
        <v>155</v>
      </c>
      <c r="D74" s="41"/>
      <c r="E74" s="41"/>
      <c r="F74" s="43">
        <v>0</v>
      </c>
      <c r="G74" s="44">
        <v>0</v>
      </c>
      <c r="H74" s="34" t="s">
        <v>143</v>
      </c>
    </row>
    <row r="75" spans="1:8" x14ac:dyDescent="0.2">
      <c r="A75" s="41"/>
      <c r="B75" s="41"/>
      <c r="C75" s="45"/>
      <c r="D75" s="41"/>
      <c r="E75" s="41"/>
      <c r="F75" s="46"/>
      <c r="G75" s="46"/>
      <c r="H75" s="34" t="s">
        <v>143</v>
      </c>
    </row>
    <row r="76" spans="1:8" x14ac:dyDescent="0.2">
      <c r="A76" s="41"/>
      <c r="B76" s="41"/>
      <c r="C76" s="42" t="s">
        <v>156</v>
      </c>
      <c r="D76" s="41"/>
      <c r="E76" s="41"/>
      <c r="F76" s="46"/>
      <c r="G76" s="46"/>
      <c r="H76" s="34" t="s">
        <v>143</v>
      </c>
    </row>
    <row r="77" spans="1:8" x14ac:dyDescent="0.2">
      <c r="A77" s="41"/>
      <c r="B77" s="41"/>
      <c r="C77" s="42" t="s">
        <v>157</v>
      </c>
      <c r="D77" s="41"/>
      <c r="E77" s="41"/>
      <c r="F77" s="46"/>
      <c r="G77" s="46"/>
      <c r="H77" s="34" t="s">
        <v>143</v>
      </c>
    </row>
    <row r="78" spans="1:8" x14ac:dyDescent="0.2">
      <c r="A78" s="41"/>
      <c r="B78" s="41"/>
      <c r="C78" s="42" t="s">
        <v>142</v>
      </c>
      <c r="D78" s="41"/>
      <c r="E78" s="41" t="s">
        <v>143</v>
      </c>
      <c r="F78" s="47" t="s">
        <v>145</v>
      </c>
      <c r="G78" s="44">
        <v>0</v>
      </c>
      <c r="H78" s="34" t="s">
        <v>143</v>
      </c>
    </row>
    <row r="79" spans="1:8" x14ac:dyDescent="0.2">
      <c r="A79" s="41"/>
      <c r="B79" s="41"/>
      <c r="C79" s="45"/>
      <c r="D79" s="41"/>
      <c r="E79" s="41"/>
      <c r="F79" s="46"/>
      <c r="G79" s="46"/>
      <c r="H79" s="34" t="s">
        <v>143</v>
      </c>
    </row>
    <row r="80" spans="1:8" x14ac:dyDescent="0.2">
      <c r="A80" s="41"/>
      <c r="B80" s="41"/>
      <c r="C80" s="42" t="s">
        <v>158</v>
      </c>
      <c r="D80" s="41"/>
      <c r="E80" s="41"/>
      <c r="F80" s="46"/>
      <c r="G80" s="46"/>
      <c r="H80" s="34" t="s">
        <v>143</v>
      </c>
    </row>
    <row r="81" spans="1:8" x14ac:dyDescent="0.2">
      <c r="A81" s="41"/>
      <c r="B81" s="41"/>
      <c r="C81" s="42" t="s">
        <v>142</v>
      </c>
      <c r="D81" s="41"/>
      <c r="E81" s="41" t="s">
        <v>143</v>
      </c>
      <c r="F81" s="47" t="s">
        <v>145</v>
      </c>
      <c r="G81" s="44">
        <v>0</v>
      </c>
      <c r="H81" s="34" t="s">
        <v>143</v>
      </c>
    </row>
    <row r="82" spans="1:8" x14ac:dyDescent="0.2">
      <c r="A82" s="41"/>
      <c r="B82" s="41"/>
      <c r="C82" s="45"/>
      <c r="D82" s="41"/>
      <c r="E82" s="41"/>
      <c r="F82" s="46"/>
      <c r="G82" s="46"/>
      <c r="H82" s="34" t="s">
        <v>143</v>
      </c>
    </row>
    <row r="83" spans="1:8" x14ac:dyDescent="0.2">
      <c r="A83" s="41"/>
      <c r="B83" s="41"/>
      <c r="C83" s="42" t="s">
        <v>159</v>
      </c>
      <c r="D83" s="41"/>
      <c r="E83" s="41"/>
      <c r="F83" s="46"/>
      <c r="G83" s="46"/>
      <c r="H83" s="34" t="s">
        <v>143</v>
      </c>
    </row>
    <row r="84" spans="1:8" x14ac:dyDescent="0.2">
      <c r="A84" s="41"/>
      <c r="B84" s="41"/>
      <c r="C84" s="42" t="s">
        <v>142</v>
      </c>
      <c r="D84" s="41"/>
      <c r="E84" s="41" t="s">
        <v>143</v>
      </c>
      <c r="F84" s="47" t="s">
        <v>145</v>
      </c>
      <c r="G84" s="44">
        <v>0</v>
      </c>
      <c r="H84" s="34" t="s">
        <v>143</v>
      </c>
    </row>
    <row r="85" spans="1:8" x14ac:dyDescent="0.2">
      <c r="A85" s="41"/>
      <c r="B85" s="41"/>
      <c r="C85" s="45"/>
      <c r="D85" s="41"/>
      <c r="E85" s="41"/>
      <c r="F85" s="46"/>
      <c r="G85" s="46"/>
      <c r="H85" s="34" t="s">
        <v>143</v>
      </c>
    </row>
    <row r="86" spans="1:8" x14ac:dyDescent="0.2">
      <c r="A86" s="41"/>
      <c r="B86" s="41"/>
      <c r="C86" s="42" t="s">
        <v>160</v>
      </c>
      <c r="D86" s="41"/>
      <c r="E86" s="41"/>
      <c r="F86" s="46"/>
      <c r="G86" s="46"/>
      <c r="H86" s="34" t="s">
        <v>143</v>
      </c>
    </row>
    <row r="87" spans="1:8" x14ac:dyDescent="0.2">
      <c r="A87" s="35">
        <v>1</v>
      </c>
      <c r="B87" s="36"/>
      <c r="C87" s="36" t="s">
        <v>161</v>
      </c>
      <c r="D87" s="36"/>
      <c r="E87" s="48"/>
      <c r="F87" s="38">
        <v>152.53710800100001</v>
      </c>
      <c r="G87" s="39">
        <v>3.9964899999999998E-2</v>
      </c>
      <c r="H87" s="34">
        <v>5.47</v>
      </c>
    </row>
    <row r="88" spans="1:8" x14ac:dyDescent="0.2">
      <c r="A88" s="41"/>
      <c r="B88" s="41"/>
      <c r="C88" s="42" t="s">
        <v>142</v>
      </c>
      <c r="D88" s="41"/>
      <c r="E88" s="41" t="s">
        <v>143</v>
      </c>
      <c r="F88" s="43">
        <v>152.53710800100001</v>
      </c>
      <c r="G88" s="44">
        <v>3.9964899999999998E-2</v>
      </c>
      <c r="H88" s="34" t="s">
        <v>143</v>
      </c>
    </row>
    <row r="89" spans="1:8" x14ac:dyDescent="0.2">
      <c r="A89" s="41"/>
      <c r="B89" s="41"/>
      <c r="C89" s="45"/>
      <c r="D89" s="41"/>
      <c r="E89" s="41"/>
      <c r="F89" s="46"/>
      <c r="G89" s="46"/>
      <c r="H89" s="34" t="s">
        <v>143</v>
      </c>
    </row>
    <row r="90" spans="1:8" x14ac:dyDescent="0.2">
      <c r="A90" s="41"/>
      <c r="B90" s="41"/>
      <c r="C90" s="42" t="s">
        <v>162</v>
      </c>
      <c r="D90" s="41"/>
      <c r="E90" s="41"/>
      <c r="F90" s="43">
        <v>152.53710800100001</v>
      </c>
      <c r="G90" s="44">
        <v>3.9964899999999998E-2</v>
      </c>
      <c r="H90" s="34" t="s">
        <v>143</v>
      </c>
    </row>
    <row r="91" spans="1:8" x14ac:dyDescent="0.2">
      <c r="A91" s="41"/>
      <c r="B91" s="41"/>
      <c r="C91" s="46"/>
      <c r="D91" s="41"/>
      <c r="E91" s="41"/>
      <c r="F91" s="41"/>
      <c r="G91" s="41"/>
      <c r="H91" s="34" t="s">
        <v>143</v>
      </c>
    </row>
    <row r="92" spans="1:8" x14ac:dyDescent="0.2">
      <c r="A92" s="41"/>
      <c r="B92" s="41"/>
      <c r="C92" s="42" t="s">
        <v>163</v>
      </c>
      <c r="D92" s="41"/>
      <c r="E92" s="41"/>
      <c r="F92" s="41"/>
      <c r="G92" s="41"/>
      <c r="H92" s="34" t="s">
        <v>143</v>
      </c>
    </row>
    <row r="93" spans="1:8" x14ac:dyDescent="0.2">
      <c r="A93" s="41"/>
      <c r="B93" s="41"/>
      <c r="C93" s="42" t="s">
        <v>164</v>
      </c>
      <c r="D93" s="41"/>
      <c r="E93" s="41"/>
      <c r="F93" s="41"/>
      <c r="G93" s="41"/>
      <c r="H93" s="34" t="s">
        <v>143</v>
      </c>
    </row>
    <row r="94" spans="1:8" x14ac:dyDescent="0.2">
      <c r="A94" s="41"/>
      <c r="B94" s="41"/>
      <c r="C94" s="42" t="s">
        <v>142</v>
      </c>
      <c r="D94" s="41"/>
      <c r="E94" s="41" t="s">
        <v>143</v>
      </c>
      <c r="F94" s="47" t="s">
        <v>145</v>
      </c>
      <c r="G94" s="44">
        <v>0</v>
      </c>
      <c r="H94" s="34" t="s">
        <v>143</v>
      </c>
    </row>
    <row r="95" spans="1:8" x14ac:dyDescent="0.2">
      <c r="A95" s="41"/>
      <c r="B95" s="41"/>
      <c r="C95" s="45"/>
      <c r="D95" s="41"/>
      <c r="E95" s="41"/>
      <c r="F95" s="46"/>
      <c r="G95" s="46"/>
      <c r="H95" s="34" t="s">
        <v>143</v>
      </c>
    </row>
    <row r="96" spans="1:8" x14ac:dyDescent="0.2">
      <c r="A96" s="41"/>
      <c r="B96" s="41"/>
      <c r="C96" s="42" t="s">
        <v>165</v>
      </c>
      <c r="D96" s="41"/>
      <c r="E96" s="41"/>
      <c r="F96" s="41"/>
      <c r="G96" s="41"/>
      <c r="H96" s="34" t="s">
        <v>143</v>
      </c>
    </row>
    <row r="97" spans="1:17" x14ac:dyDescent="0.2">
      <c r="A97" s="41"/>
      <c r="B97" s="41"/>
      <c r="C97" s="42" t="s">
        <v>166</v>
      </c>
      <c r="D97" s="41"/>
      <c r="E97" s="41"/>
      <c r="F97" s="41"/>
      <c r="G97" s="41"/>
      <c r="H97" s="34" t="s">
        <v>143</v>
      </c>
    </row>
    <row r="98" spans="1:17" x14ac:dyDescent="0.2">
      <c r="A98" s="41"/>
      <c r="B98" s="41"/>
      <c r="C98" s="42" t="s">
        <v>142</v>
      </c>
      <c r="D98" s="41"/>
      <c r="E98" s="41" t="s">
        <v>143</v>
      </c>
      <c r="F98" s="47" t="s">
        <v>145</v>
      </c>
      <c r="G98" s="44">
        <v>0</v>
      </c>
      <c r="H98" s="34" t="s">
        <v>143</v>
      </c>
    </row>
    <row r="99" spans="1:17" x14ac:dyDescent="0.2">
      <c r="A99" s="41"/>
      <c r="B99" s="41"/>
      <c r="C99" s="45"/>
      <c r="D99" s="41"/>
      <c r="E99" s="41"/>
      <c r="F99" s="46"/>
      <c r="G99" s="46"/>
      <c r="H99" s="34" t="s">
        <v>143</v>
      </c>
    </row>
    <row r="100" spans="1:17" x14ac:dyDescent="0.2">
      <c r="A100" s="41"/>
      <c r="B100" s="41"/>
      <c r="C100" s="42" t="s">
        <v>167</v>
      </c>
      <c r="D100" s="41"/>
      <c r="E100" s="41"/>
      <c r="F100" s="46"/>
      <c r="G100" s="46"/>
      <c r="H100" s="34" t="s">
        <v>143</v>
      </c>
    </row>
    <row r="101" spans="1:17" x14ac:dyDescent="0.2">
      <c r="A101" s="41"/>
      <c r="B101" s="41"/>
      <c r="C101" s="42" t="s">
        <v>142</v>
      </c>
      <c r="D101" s="41"/>
      <c r="E101" s="41" t="s">
        <v>143</v>
      </c>
      <c r="F101" s="47" t="s">
        <v>145</v>
      </c>
      <c r="G101" s="44">
        <v>0</v>
      </c>
      <c r="H101" s="34" t="s">
        <v>143</v>
      </c>
    </row>
    <row r="102" spans="1:17" x14ac:dyDescent="0.2">
      <c r="A102" s="41"/>
      <c r="B102" s="41"/>
      <c r="C102" s="45"/>
      <c r="D102" s="41"/>
      <c r="E102" s="41"/>
      <c r="F102" s="46"/>
      <c r="G102" s="46"/>
      <c r="H102" s="34" t="s">
        <v>143</v>
      </c>
    </row>
    <row r="103" spans="1:17" x14ac:dyDescent="0.2">
      <c r="A103" s="48"/>
      <c r="B103" s="36"/>
      <c r="C103" s="36" t="s">
        <v>168</v>
      </c>
      <c r="D103" s="36"/>
      <c r="E103" s="48"/>
      <c r="F103" s="38">
        <v>-5.9443317699999998</v>
      </c>
      <c r="G103" s="39">
        <v>-1.5574199999999999E-3</v>
      </c>
      <c r="H103" s="34" t="s">
        <v>143</v>
      </c>
    </row>
    <row r="104" spans="1:17" x14ac:dyDescent="0.2">
      <c r="A104" s="45"/>
      <c r="B104" s="45"/>
      <c r="C104" s="42" t="s">
        <v>169</v>
      </c>
      <c r="D104" s="46"/>
      <c r="E104" s="46"/>
      <c r="F104" s="43">
        <v>3816.7768531309998</v>
      </c>
      <c r="G104" s="51">
        <v>1.00000003</v>
      </c>
      <c r="H104" s="34" t="s">
        <v>143</v>
      </c>
    </row>
    <row r="105" spans="1:17" x14ac:dyDescent="0.2">
      <c r="A105" s="52"/>
      <c r="B105" s="52"/>
      <c r="C105" s="52"/>
      <c r="D105" s="53"/>
      <c r="E105" s="53"/>
      <c r="F105" s="53"/>
      <c r="G105" s="53"/>
    </row>
    <row r="106" spans="1:17" x14ac:dyDescent="0.2">
      <c r="A106" s="54"/>
      <c r="B106" s="158" t="s">
        <v>852</v>
      </c>
      <c r="C106" s="158"/>
      <c r="D106" s="158"/>
      <c r="E106" s="158"/>
      <c r="F106" s="158"/>
      <c r="G106" s="158"/>
      <c r="H106" s="158"/>
      <c r="J106" s="56"/>
    </row>
    <row r="107" spans="1:17" x14ac:dyDescent="0.2">
      <c r="A107" s="54"/>
      <c r="B107" s="158" t="s">
        <v>853</v>
      </c>
      <c r="C107" s="158"/>
      <c r="D107" s="158"/>
      <c r="E107" s="158"/>
      <c r="F107" s="158"/>
      <c r="G107" s="158"/>
      <c r="H107" s="158"/>
      <c r="J107" s="56"/>
    </row>
    <row r="108" spans="1:17" x14ac:dyDescent="0.2">
      <c r="A108" s="54"/>
      <c r="B108" s="158" t="s">
        <v>854</v>
      </c>
      <c r="C108" s="158"/>
      <c r="D108" s="158"/>
      <c r="E108" s="158"/>
      <c r="F108" s="158"/>
      <c r="G108" s="158"/>
      <c r="H108" s="158"/>
      <c r="J108" s="56"/>
    </row>
    <row r="109" spans="1:17" s="58" customFormat="1" ht="51" customHeight="1" x14ac:dyDescent="0.25">
      <c r="A109" s="57"/>
      <c r="B109" s="159" t="s">
        <v>855</v>
      </c>
      <c r="C109" s="159"/>
      <c r="D109" s="159"/>
      <c r="E109" s="159"/>
      <c r="F109" s="159"/>
      <c r="G109" s="159"/>
      <c r="H109" s="159"/>
      <c r="I109"/>
      <c r="J109" s="56"/>
      <c r="K109"/>
      <c r="L109"/>
      <c r="M109"/>
      <c r="N109"/>
      <c r="O109"/>
      <c r="P109"/>
      <c r="Q109"/>
    </row>
    <row r="110" spans="1:17" x14ac:dyDescent="0.2">
      <c r="A110" s="54"/>
      <c r="B110" s="158" t="s">
        <v>856</v>
      </c>
      <c r="C110" s="158"/>
      <c r="D110" s="158"/>
      <c r="E110" s="158"/>
      <c r="F110" s="158"/>
      <c r="G110" s="158"/>
      <c r="H110" s="158"/>
      <c r="J110" s="56"/>
    </row>
    <row r="111" spans="1:17" x14ac:dyDescent="0.2">
      <c r="A111" s="54"/>
      <c r="B111" s="54"/>
      <c r="C111" s="54"/>
      <c r="D111" s="59"/>
      <c r="E111" s="59"/>
      <c r="F111" s="59"/>
      <c r="G111" s="59"/>
    </row>
    <row r="112" spans="1:17" x14ac:dyDescent="0.2">
      <c r="A112" s="54"/>
      <c r="B112" s="160" t="s">
        <v>170</v>
      </c>
      <c r="C112" s="161"/>
      <c r="D112" s="162"/>
      <c r="E112" s="60"/>
      <c r="F112" s="59"/>
      <c r="G112" s="59"/>
    </row>
    <row r="113" spans="1:10" ht="27.75" customHeight="1" x14ac:dyDescent="0.2">
      <c r="A113" s="54"/>
      <c r="B113" s="154" t="s">
        <v>171</v>
      </c>
      <c r="C113" s="155"/>
      <c r="D113" s="33" t="s">
        <v>172</v>
      </c>
      <c r="E113" s="60"/>
      <c r="F113" s="59"/>
      <c r="G113" s="59"/>
    </row>
    <row r="114" spans="1:10" ht="12.75" customHeight="1" x14ac:dyDescent="0.2">
      <c r="A114" s="54"/>
      <c r="B114" s="154" t="s">
        <v>857</v>
      </c>
      <c r="C114" s="155"/>
      <c r="D114" s="33" t="s">
        <v>172</v>
      </c>
      <c r="E114" s="60"/>
      <c r="F114" s="59"/>
      <c r="G114" s="59"/>
    </row>
    <row r="115" spans="1:10" x14ac:dyDescent="0.2">
      <c r="A115" s="54"/>
      <c r="B115" s="154" t="s">
        <v>173</v>
      </c>
      <c r="C115" s="155"/>
      <c r="D115" s="61" t="s">
        <v>143</v>
      </c>
      <c r="E115" s="60"/>
      <c r="F115" s="59"/>
      <c r="G115" s="59"/>
    </row>
    <row r="116" spans="1:10" x14ac:dyDescent="0.2">
      <c r="A116" s="62"/>
      <c r="B116" s="63" t="s">
        <v>143</v>
      </c>
      <c r="C116" s="63" t="s">
        <v>858</v>
      </c>
      <c r="D116" s="63" t="s">
        <v>174</v>
      </c>
      <c r="E116" s="62"/>
      <c r="F116" s="62"/>
      <c r="G116" s="62"/>
      <c r="H116" s="62"/>
      <c r="J116" s="56"/>
    </row>
    <row r="117" spans="1:10" x14ac:dyDescent="0.2">
      <c r="A117" s="62"/>
      <c r="B117" s="64" t="s">
        <v>175</v>
      </c>
      <c r="C117" s="65">
        <v>45808</v>
      </c>
      <c r="D117" s="65">
        <v>45838</v>
      </c>
      <c r="E117" s="62"/>
      <c r="F117" s="62"/>
      <c r="G117" s="62"/>
      <c r="J117" s="56"/>
    </row>
    <row r="118" spans="1:10" x14ac:dyDescent="0.2">
      <c r="A118" s="66"/>
      <c r="B118" s="36" t="s">
        <v>176</v>
      </c>
      <c r="C118" s="67">
        <v>26.949300000000001</v>
      </c>
      <c r="D118" s="67">
        <v>28.634399999999999</v>
      </c>
      <c r="E118" s="66"/>
      <c r="F118" s="68"/>
      <c r="G118" s="69"/>
    </row>
    <row r="119" spans="1:10" x14ac:dyDescent="0.2">
      <c r="A119" s="66"/>
      <c r="B119" s="36" t="s">
        <v>1086</v>
      </c>
      <c r="C119" s="67">
        <v>26.083100000000002</v>
      </c>
      <c r="D119" s="67">
        <v>27.714099999999998</v>
      </c>
      <c r="E119" s="66"/>
      <c r="F119" s="68"/>
      <c r="G119" s="69"/>
    </row>
    <row r="120" spans="1:10" x14ac:dyDescent="0.2">
      <c r="A120" s="66"/>
      <c r="B120" s="36" t="s">
        <v>177</v>
      </c>
      <c r="C120" s="67">
        <v>25.714400000000001</v>
      </c>
      <c r="D120" s="67">
        <v>27.3169</v>
      </c>
      <c r="E120" s="66"/>
      <c r="F120" s="68"/>
      <c r="G120" s="69"/>
    </row>
    <row r="121" spans="1:10" x14ac:dyDescent="0.2">
      <c r="A121" s="66"/>
      <c r="B121" s="36" t="s">
        <v>1087</v>
      </c>
      <c r="C121" s="67">
        <v>24.851299999999998</v>
      </c>
      <c r="D121" s="67">
        <v>26.400099999999998</v>
      </c>
      <c r="E121" s="66"/>
      <c r="F121" s="68"/>
      <c r="G121" s="69"/>
    </row>
    <row r="122" spans="1:10" x14ac:dyDescent="0.2">
      <c r="A122" s="66"/>
      <c r="B122" s="66"/>
      <c r="C122" s="66"/>
      <c r="D122" s="66"/>
      <c r="E122" s="66"/>
      <c r="F122" s="66"/>
      <c r="G122" s="66"/>
    </row>
    <row r="123" spans="1:10" x14ac:dyDescent="0.2">
      <c r="A123" s="62"/>
      <c r="B123" s="154" t="s">
        <v>860</v>
      </c>
      <c r="C123" s="155"/>
      <c r="D123" s="33" t="s">
        <v>172</v>
      </c>
      <c r="E123" s="62"/>
      <c r="F123" s="62"/>
      <c r="G123" s="62"/>
    </row>
    <row r="124" spans="1:10" x14ac:dyDescent="0.2">
      <c r="A124" s="62"/>
      <c r="B124" s="70"/>
      <c r="C124" s="70"/>
      <c r="D124" s="70"/>
      <c r="E124" s="62"/>
      <c r="F124" s="62"/>
      <c r="G124" s="62"/>
    </row>
    <row r="125" spans="1:10" x14ac:dyDescent="0.2">
      <c r="A125" s="62"/>
      <c r="B125" s="154" t="s">
        <v>178</v>
      </c>
      <c r="C125" s="155"/>
      <c r="D125" s="33" t="s">
        <v>172</v>
      </c>
      <c r="E125" s="71"/>
      <c r="F125" s="62"/>
      <c r="G125" s="62"/>
    </row>
    <row r="126" spans="1:10" x14ac:dyDescent="0.2">
      <c r="A126" s="62"/>
      <c r="B126" s="154" t="s">
        <v>179</v>
      </c>
      <c r="C126" s="155"/>
      <c r="D126" s="33" t="s">
        <v>172</v>
      </c>
      <c r="E126" s="71"/>
      <c r="F126" s="62"/>
      <c r="G126" s="62"/>
    </row>
    <row r="127" spans="1:10" x14ac:dyDescent="0.2">
      <c r="A127" s="62"/>
      <c r="B127" s="154" t="s">
        <v>180</v>
      </c>
      <c r="C127" s="155"/>
      <c r="D127" s="33" t="s">
        <v>172</v>
      </c>
      <c r="E127" s="71"/>
      <c r="F127" s="62"/>
      <c r="G127" s="62"/>
    </row>
    <row r="128" spans="1:10" x14ac:dyDescent="0.2">
      <c r="A128" s="62"/>
      <c r="B128" s="154" t="s">
        <v>181</v>
      </c>
      <c r="C128" s="155"/>
      <c r="D128" s="72">
        <v>8.1802240506844731E-2</v>
      </c>
      <c r="E128" s="62"/>
      <c r="F128" s="55"/>
      <c r="G128" s="73"/>
    </row>
    <row r="130" spans="2:10" x14ac:dyDescent="0.2">
      <c r="B130" s="156" t="s">
        <v>861</v>
      </c>
      <c r="C130" s="156"/>
    </row>
    <row r="132" spans="2:10" ht="153.75" customHeight="1" x14ac:dyDescent="0.2"/>
    <row r="135" spans="2:10" x14ac:dyDescent="0.2">
      <c r="B135" s="79" t="s">
        <v>862</v>
      </c>
      <c r="C135" s="80"/>
      <c r="D135" s="79"/>
    </row>
    <row r="136" spans="2:10" x14ac:dyDescent="0.2">
      <c r="B136" s="79" t="s">
        <v>875</v>
      </c>
      <c r="D136" s="79"/>
    </row>
    <row r="137" spans="2:10" ht="165" customHeight="1" x14ac:dyDescent="0.2"/>
    <row r="138" spans="2:10" x14ac:dyDescent="0.2">
      <c r="J138" s="31"/>
    </row>
  </sheetData>
  <mergeCells count="18">
    <mergeCell ref="A1:H1"/>
    <mergeCell ref="A2:H2"/>
    <mergeCell ref="A3:H3"/>
    <mergeCell ref="B106:H106"/>
    <mergeCell ref="B107:H107"/>
    <mergeCell ref="B108:H108"/>
    <mergeCell ref="B109:H109"/>
    <mergeCell ref="B110:H110"/>
    <mergeCell ref="B112:D112"/>
    <mergeCell ref="B113:C113"/>
    <mergeCell ref="B114:C114"/>
    <mergeCell ref="B115:C115"/>
    <mergeCell ref="B130:C130"/>
    <mergeCell ref="B123:C123"/>
    <mergeCell ref="B127:C127"/>
    <mergeCell ref="B128:C128"/>
    <mergeCell ref="B125:C125"/>
    <mergeCell ref="B126:C126"/>
  </mergeCells>
  <hyperlinks>
    <hyperlink ref="I1" location="Index!B2" display="Index" xr:uid="{944D258E-FAB2-4439-BA3A-60B5E36F67AE}"/>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F7F3A-BB7D-4345-BEE2-976C0D9860C1}">
  <sheetPr>
    <outlinePr summaryBelow="0" summaryRight="0"/>
  </sheetPr>
  <dimension ref="A1:Q174"/>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456</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364</v>
      </c>
      <c r="C7" s="36" t="s">
        <v>365</v>
      </c>
      <c r="D7" s="36" t="s">
        <v>195</v>
      </c>
      <c r="E7" s="37">
        <v>1898655</v>
      </c>
      <c r="F7" s="38">
        <v>11316.9331275</v>
      </c>
      <c r="G7" s="39">
        <v>3.2908689999999997E-2</v>
      </c>
      <c r="H7" s="34" t="s">
        <v>143</v>
      </c>
    </row>
    <row r="8" spans="1:9" x14ac:dyDescent="0.2">
      <c r="A8" s="35">
        <v>2</v>
      </c>
      <c r="B8" s="36" t="s">
        <v>340</v>
      </c>
      <c r="C8" s="36" t="s">
        <v>341</v>
      </c>
      <c r="D8" s="36" t="s">
        <v>265</v>
      </c>
      <c r="E8" s="37">
        <v>530036</v>
      </c>
      <c r="F8" s="38">
        <v>10591.709387999999</v>
      </c>
      <c r="G8" s="39">
        <v>3.0799799999999999E-2</v>
      </c>
      <c r="H8" s="34" t="s">
        <v>143</v>
      </c>
    </row>
    <row r="9" spans="1:9" x14ac:dyDescent="0.2">
      <c r="A9" s="35">
        <v>3</v>
      </c>
      <c r="B9" s="36" t="s">
        <v>400</v>
      </c>
      <c r="C9" s="36" t="s">
        <v>401</v>
      </c>
      <c r="D9" s="36" t="s">
        <v>192</v>
      </c>
      <c r="E9" s="37">
        <v>906389</v>
      </c>
      <c r="F9" s="38">
        <v>10055.479566</v>
      </c>
      <c r="G9" s="39">
        <v>2.9240490000000001E-2</v>
      </c>
      <c r="H9" s="34" t="s">
        <v>143</v>
      </c>
    </row>
    <row r="10" spans="1:9" x14ac:dyDescent="0.2">
      <c r="A10" s="35">
        <v>4</v>
      </c>
      <c r="B10" s="36" t="s">
        <v>457</v>
      </c>
      <c r="C10" s="36" t="s">
        <v>458</v>
      </c>
      <c r="D10" s="36" t="s">
        <v>459</v>
      </c>
      <c r="E10" s="37">
        <v>899463</v>
      </c>
      <c r="F10" s="38">
        <v>9984.0393000000004</v>
      </c>
      <c r="G10" s="39">
        <v>2.903275E-2</v>
      </c>
      <c r="H10" s="34" t="s">
        <v>143</v>
      </c>
    </row>
    <row r="11" spans="1:9" x14ac:dyDescent="0.2">
      <c r="A11" s="35">
        <v>5</v>
      </c>
      <c r="B11" s="36" t="s">
        <v>368</v>
      </c>
      <c r="C11" s="36" t="s">
        <v>369</v>
      </c>
      <c r="D11" s="36" t="s">
        <v>55</v>
      </c>
      <c r="E11" s="37">
        <v>410809</v>
      </c>
      <c r="F11" s="38">
        <v>8865.2582199999997</v>
      </c>
      <c r="G11" s="39">
        <v>2.5779429999999999E-2</v>
      </c>
      <c r="H11" s="34" t="s">
        <v>143</v>
      </c>
    </row>
    <row r="12" spans="1:9" x14ac:dyDescent="0.2">
      <c r="A12" s="35">
        <v>6</v>
      </c>
      <c r="B12" s="36" t="s">
        <v>386</v>
      </c>
      <c r="C12" s="36" t="s">
        <v>387</v>
      </c>
      <c r="D12" s="36" t="s">
        <v>192</v>
      </c>
      <c r="E12" s="37">
        <v>395668</v>
      </c>
      <c r="F12" s="38">
        <v>8570.1688799999993</v>
      </c>
      <c r="G12" s="39">
        <v>2.4921329999999998E-2</v>
      </c>
      <c r="H12" s="34" t="s">
        <v>143</v>
      </c>
    </row>
    <row r="13" spans="1:9" x14ac:dyDescent="0.2">
      <c r="A13" s="35">
        <v>7</v>
      </c>
      <c r="B13" s="36" t="s">
        <v>41</v>
      </c>
      <c r="C13" s="36" t="s">
        <v>42</v>
      </c>
      <c r="D13" s="36" t="s">
        <v>43</v>
      </c>
      <c r="E13" s="37">
        <v>648946</v>
      </c>
      <c r="F13" s="38">
        <v>8326.6261259999992</v>
      </c>
      <c r="G13" s="39">
        <v>2.4213129999999999E-2</v>
      </c>
      <c r="H13" s="34" t="s">
        <v>143</v>
      </c>
    </row>
    <row r="14" spans="1:9" x14ac:dyDescent="0.2">
      <c r="A14" s="35">
        <v>8</v>
      </c>
      <c r="B14" s="36" t="s">
        <v>370</v>
      </c>
      <c r="C14" s="36" t="s">
        <v>371</v>
      </c>
      <c r="D14" s="36" t="s">
        <v>33</v>
      </c>
      <c r="E14" s="37">
        <v>16665062</v>
      </c>
      <c r="F14" s="38">
        <v>8170.8798986000002</v>
      </c>
      <c r="G14" s="39">
        <v>2.376023E-2</v>
      </c>
      <c r="H14" s="34" t="s">
        <v>143</v>
      </c>
    </row>
    <row r="15" spans="1:9" x14ac:dyDescent="0.2">
      <c r="A15" s="35">
        <v>9</v>
      </c>
      <c r="B15" s="36" t="s">
        <v>74</v>
      </c>
      <c r="C15" s="36" t="s">
        <v>75</v>
      </c>
      <c r="D15" s="36" t="s">
        <v>43</v>
      </c>
      <c r="E15" s="37">
        <v>140821</v>
      </c>
      <c r="F15" s="38">
        <v>7844.4338049999997</v>
      </c>
      <c r="G15" s="39">
        <v>2.2810960000000002E-2</v>
      </c>
      <c r="H15" s="34" t="s">
        <v>143</v>
      </c>
    </row>
    <row r="16" spans="1:9" x14ac:dyDescent="0.2">
      <c r="A16" s="35">
        <v>10</v>
      </c>
      <c r="B16" s="36" t="s">
        <v>78</v>
      </c>
      <c r="C16" s="36" t="s">
        <v>79</v>
      </c>
      <c r="D16" s="36" t="s">
        <v>73</v>
      </c>
      <c r="E16" s="37">
        <v>936780</v>
      </c>
      <c r="F16" s="38">
        <v>7663.3287899999996</v>
      </c>
      <c r="G16" s="39">
        <v>2.228432E-2</v>
      </c>
      <c r="H16" s="34" t="s">
        <v>143</v>
      </c>
    </row>
    <row r="17" spans="1:8" ht="25.5" x14ac:dyDescent="0.2">
      <c r="A17" s="35">
        <v>11</v>
      </c>
      <c r="B17" s="36" t="s">
        <v>460</v>
      </c>
      <c r="C17" s="36" t="s">
        <v>461</v>
      </c>
      <c r="D17" s="36" t="s">
        <v>209</v>
      </c>
      <c r="E17" s="37">
        <v>1184520</v>
      </c>
      <c r="F17" s="38">
        <v>7034.2720200000003</v>
      </c>
      <c r="G17" s="39">
        <v>2.0455069999999999E-2</v>
      </c>
      <c r="H17" s="34" t="s">
        <v>143</v>
      </c>
    </row>
    <row r="18" spans="1:8" ht="25.5" x14ac:dyDescent="0.2">
      <c r="A18" s="35">
        <v>12</v>
      </c>
      <c r="B18" s="36" t="s">
        <v>462</v>
      </c>
      <c r="C18" s="36" t="s">
        <v>463</v>
      </c>
      <c r="D18" s="36" t="s">
        <v>201</v>
      </c>
      <c r="E18" s="37">
        <v>115943</v>
      </c>
      <c r="F18" s="38">
        <v>6604.1132799999996</v>
      </c>
      <c r="G18" s="39">
        <v>1.9204209999999999E-2</v>
      </c>
      <c r="H18" s="34" t="s">
        <v>143</v>
      </c>
    </row>
    <row r="19" spans="1:8" x14ac:dyDescent="0.2">
      <c r="A19" s="35">
        <v>13</v>
      </c>
      <c r="B19" s="36" t="s">
        <v>376</v>
      </c>
      <c r="C19" s="36" t="s">
        <v>377</v>
      </c>
      <c r="D19" s="36" t="s">
        <v>206</v>
      </c>
      <c r="E19" s="37">
        <v>224785</v>
      </c>
      <c r="F19" s="38">
        <v>6570.0159800000001</v>
      </c>
      <c r="G19" s="39">
        <v>1.910506E-2</v>
      </c>
      <c r="H19" s="34" t="s">
        <v>143</v>
      </c>
    </row>
    <row r="20" spans="1:8" x14ac:dyDescent="0.2">
      <c r="A20" s="35">
        <v>14</v>
      </c>
      <c r="B20" s="36" t="s">
        <v>464</v>
      </c>
      <c r="C20" s="36" t="s">
        <v>465</v>
      </c>
      <c r="D20" s="36" t="s">
        <v>28</v>
      </c>
      <c r="E20" s="37">
        <v>399900</v>
      </c>
      <c r="F20" s="38">
        <v>6344.8134</v>
      </c>
      <c r="G20" s="39">
        <v>1.8450190000000002E-2</v>
      </c>
      <c r="H20" s="34" t="s">
        <v>143</v>
      </c>
    </row>
    <row r="21" spans="1:8" x14ac:dyDescent="0.2">
      <c r="A21" s="35">
        <v>15</v>
      </c>
      <c r="B21" s="36" t="s">
        <v>380</v>
      </c>
      <c r="C21" s="36" t="s">
        <v>381</v>
      </c>
      <c r="D21" s="36" t="s">
        <v>33</v>
      </c>
      <c r="E21" s="37">
        <v>9377207</v>
      </c>
      <c r="F21" s="38">
        <v>6293.0436177000001</v>
      </c>
      <c r="G21" s="39">
        <v>1.8299639999999999E-2</v>
      </c>
      <c r="H21" s="34" t="s">
        <v>143</v>
      </c>
    </row>
    <row r="22" spans="1:8" x14ac:dyDescent="0.2">
      <c r="A22" s="35">
        <v>16</v>
      </c>
      <c r="B22" s="36" t="s">
        <v>231</v>
      </c>
      <c r="C22" s="36" t="s">
        <v>232</v>
      </c>
      <c r="D22" s="36" t="s">
        <v>221</v>
      </c>
      <c r="E22" s="37">
        <v>669376</v>
      </c>
      <c r="F22" s="38">
        <v>6168.6345279999996</v>
      </c>
      <c r="G22" s="39">
        <v>1.7937870000000002E-2</v>
      </c>
      <c r="H22" s="34" t="s">
        <v>143</v>
      </c>
    </row>
    <row r="23" spans="1:8" x14ac:dyDescent="0.2">
      <c r="A23" s="35">
        <v>17</v>
      </c>
      <c r="B23" s="36" t="s">
        <v>466</v>
      </c>
      <c r="C23" s="36" t="s">
        <v>467</v>
      </c>
      <c r="D23" s="36" t="s">
        <v>33</v>
      </c>
      <c r="E23" s="37">
        <v>4223792</v>
      </c>
      <c r="F23" s="38">
        <v>6132.945984</v>
      </c>
      <c r="G23" s="39">
        <v>1.783409E-2</v>
      </c>
      <c r="H23" s="34" t="s">
        <v>143</v>
      </c>
    </row>
    <row r="24" spans="1:8" x14ac:dyDescent="0.2">
      <c r="A24" s="35">
        <v>18</v>
      </c>
      <c r="B24" s="36" t="s">
        <v>372</v>
      </c>
      <c r="C24" s="36" t="s">
        <v>373</v>
      </c>
      <c r="D24" s="36" t="s">
        <v>33</v>
      </c>
      <c r="E24" s="37">
        <v>1535716</v>
      </c>
      <c r="F24" s="38">
        <v>6055.3281880000004</v>
      </c>
      <c r="G24" s="39">
        <v>1.7608390000000002E-2</v>
      </c>
      <c r="H24" s="34" t="s">
        <v>143</v>
      </c>
    </row>
    <row r="25" spans="1:8" x14ac:dyDescent="0.2">
      <c r="A25" s="35">
        <v>19</v>
      </c>
      <c r="B25" s="36" t="s">
        <v>374</v>
      </c>
      <c r="C25" s="36" t="s">
        <v>375</v>
      </c>
      <c r="D25" s="36" t="s">
        <v>55</v>
      </c>
      <c r="E25" s="37">
        <v>2131826</v>
      </c>
      <c r="F25" s="38">
        <v>5730.3482880000001</v>
      </c>
      <c r="G25" s="39">
        <v>1.666337E-2</v>
      </c>
      <c r="H25" s="34" t="s">
        <v>143</v>
      </c>
    </row>
    <row r="26" spans="1:8" ht="25.5" x14ac:dyDescent="0.2">
      <c r="A26" s="35">
        <v>20</v>
      </c>
      <c r="B26" s="36" t="s">
        <v>56</v>
      </c>
      <c r="C26" s="36" t="s">
        <v>57</v>
      </c>
      <c r="D26" s="36" t="s">
        <v>58</v>
      </c>
      <c r="E26" s="37">
        <v>390188</v>
      </c>
      <c r="F26" s="38">
        <v>5658.5063760000003</v>
      </c>
      <c r="G26" s="39">
        <v>1.6454460000000001E-2</v>
      </c>
      <c r="H26" s="34" t="s">
        <v>143</v>
      </c>
    </row>
    <row r="27" spans="1:8" x14ac:dyDescent="0.2">
      <c r="A27" s="35">
        <v>21</v>
      </c>
      <c r="B27" s="36" t="s">
        <v>395</v>
      </c>
      <c r="C27" s="36" t="s">
        <v>396</v>
      </c>
      <c r="D27" s="36" t="s">
        <v>198</v>
      </c>
      <c r="E27" s="37">
        <v>1232954</v>
      </c>
      <c r="F27" s="38">
        <v>5640.7645499999999</v>
      </c>
      <c r="G27" s="39">
        <v>1.640287E-2</v>
      </c>
      <c r="H27" s="34" t="s">
        <v>143</v>
      </c>
    </row>
    <row r="28" spans="1:8" x14ac:dyDescent="0.2">
      <c r="A28" s="35">
        <v>22</v>
      </c>
      <c r="B28" s="36" t="s">
        <v>402</v>
      </c>
      <c r="C28" s="36" t="s">
        <v>403</v>
      </c>
      <c r="D28" s="36" t="s">
        <v>221</v>
      </c>
      <c r="E28" s="37">
        <v>724141</v>
      </c>
      <c r="F28" s="38">
        <v>5395.5745909999996</v>
      </c>
      <c r="G28" s="39">
        <v>1.568988E-2</v>
      </c>
      <c r="H28" s="34" t="s">
        <v>143</v>
      </c>
    </row>
    <row r="29" spans="1:8" ht="25.5" x14ac:dyDescent="0.2">
      <c r="A29" s="35">
        <v>23</v>
      </c>
      <c r="B29" s="36" t="s">
        <v>468</v>
      </c>
      <c r="C29" s="36" t="s">
        <v>469</v>
      </c>
      <c r="D29" s="36" t="s">
        <v>201</v>
      </c>
      <c r="E29" s="37">
        <v>44855</v>
      </c>
      <c r="F29" s="38">
        <v>5382.6</v>
      </c>
      <c r="G29" s="39">
        <v>1.565215E-2</v>
      </c>
      <c r="H29" s="34" t="s">
        <v>143</v>
      </c>
    </row>
    <row r="30" spans="1:8" x14ac:dyDescent="0.2">
      <c r="A30" s="35">
        <v>24</v>
      </c>
      <c r="B30" s="36" t="s">
        <v>59</v>
      </c>
      <c r="C30" s="36" t="s">
        <v>60</v>
      </c>
      <c r="D30" s="36" t="s">
        <v>61</v>
      </c>
      <c r="E30" s="37">
        <v>476538</v>
      </c>
      <c r="F30" s="38">
        <v>5288.6187239999999</v>
      </c>
      <c r="G30" s="39">
        <v>1.5378859999999999E-2</v>
      </c>
      <c r="H30" s="34" t="s">
        <v>143</v>
      </c>
    </row>
    <row r="31" spans="1:8" x14ac:dyDescent="0.2">
      <c r="A31" s="35">
        <v>25</v>
      </c>
      <c r="B31" s="36" t="s">
        <v>470</v>
      </c>
      <c r="C31" s="36" t="s">
        <v>471</v>
      </c>
      <c r="D31" s="36" t="s">
        <v>43</v>
      </c>
      <c r="E31" s="37">
        <v>140438</v>
      </c>
      <c r="F31" s="38">
        <v>5173.7359200000001</v>
      </c>
      <c r="G31" s="39">
        <v>1.5044790000000001E-2</v>
      </c>
      <c r="H31" s="34" t="s">
        <v>143</v>
      </c>
    </row>
    <row r="32" spans="1:8" x14ac:dyDescent="0.2">
      <c r="A32" s="35">
        <v>26</v>
      </c>
      <c r="B32" s="36" t="s">
        <v>66</v>
      </c>
      <c r="C32" s="36" t="s">
        <v>67</v>
      </c>
      <c r="D32" s="36" t="s">
        <v>36</v>
      </c>
      <c r="E32" s="37">
        <v>1006213</v>
      </c>
      <c r="F32" s="38">
        <v>5026.0339350000004</v>
      </c>
      <c r="G32" s="39">
        <v>1.461529E-2</v>
      </c>
      <c r="H32" s="34" t="s">
        <v>143</v>
      </c>
    </row>
    <row r="33" spans="1:8" x14ac:dyDescent="0.2">
      <c r="A33" s="35">
        <v>27</v>
      </c>
      <c r="B33" s="36" t="s">
        <v>472</v>
      </c>
      <c r="C33" s="36" t="s">
        <v>473</v>
      </c>
      <c r="D33" s="36" t="s">
        <v>474</v>
      </c>
      <c r="E33" s="37">
        <v>888697</v>
      </c>
      <c r="F33" s="38">
        <v>4827.4021039999998</v>
      </c>
      <c r="G33" s="39">
        <v>1.403768E-2</v>
      </c>
      <c r="H33" s="34" t="s">
        <v>143</v>
      </c>
    </row>
    <row r="34" spans="1:8" x14ac:dyDescent="0.2">
      <c r="A34" s="35">
        <v>28</v>
      </c>
      <c r="B34" s="36" t="s">
        <v>404</v>
      </c>
      <c r="C34" s="36" t="s">
        <v>405</v>
      </c>
      <c r="D34" s="36" t="s">
        <v>73</v>
      </c>
      <c r="E34" s="37">
        <v>1005408</v>
      </c>
      <c r="F34" s="38">
        <v>4785.74208</v>
      </c>
      <c r="G34" s="39">
        <v>1.391654E-2</v>
      </c>
      <c r="H34" s="34" t="s">
        <v>143</v>
      </c>
    </row>
    <row r="35" spans="1:8" ht="25.5" x14ac:dyDescent="0.2">
      <c r="A35" s="35">
        <v>29</v>
      </c>
      <c r="B35" s="36" t="s">
        <v>475</v>
      </c>
      <c r="C35" s="36" t="s">
        <v>476</v>
      </c>
      <c r="D35" s="36" t="s">
        <v>201</v>
      </c>
      <c r="E35" s="37">
        <v>502166</v>
      </c>
      <c r="F35" s="38">
        <v>4653.3212389999999</v>
      </c>
      <c r="G35" s="39">
        <v>1.353147E-2</v>
      </c>
      <c r="H35" s="34" t="s">
        <v>143</v>
      </c>
    </row>
    <row r="36" spans="1:8" x14ac:dyDescent="0.2">
      <c r="A36" s="35">
        <v>30</v>
      </c>
      <c r="B36" s="36" t="s">
        <v>408</v>
      </c>
      <c r="C36" s="36" t="s">
        <v>409</v>
      </c>
      <c r="D36" s="36" t="s">
        <v>265</v>
      </c>
      <c r="E36" s="37">
        <v>1005471</v>
      </c>
      <c r="F36" s="38">
        <v>4622.6529225000004</v>
      </c>
      <c r="G36" s="39">
        <v>1.3442290000000001E-2</v>
      </c>
      <c r="H36" s="34" t="s">
        <v>143</v>
      </c>
    </row>
    <row r="37" spans="1:8" x14ac:dyDescent="0.2">
      <c r="A37" s="35">
        <v>31</v>
      </c>
      <c r="B37" s="36" t="s">
        <v>477</v>
      </c>
      <c r="C37" s="36" t="s">
        <v>478</v>
      </c>
      <c r="D37" s="36" t="s">
        <v>195</v>
      </c>
      <c r="E37" s="37">
        <v>75317</v>
      </c>
      <c r="F37" s="38">
        <v>4401.6761139999999</v>
      </c>
      <c r="G37" s="39">
        <v>1.2799710000000001E-2</v>
      </c>
      <c r="H37" s="34" t="s">
        <v>143</v>
      </c>
    </row>
    <row r="38" spans="1:8" x14ac:dyDescent="0.2">
      <c r="A38" s="35">
        <v>32</v>
      </c>
      <c r="B38" s="36" t="s">
        <v>17</v>
      </c>
      <c r="C38" s="36" t="s">
        <v>18</v>
      </c>
      <c r="D38" s="36" t="s">
        <v>19</v>
      </c>
      <c r="E38" s="37">
        <v>119155</v>
      </c>
      <c r="F38" s="38">
        <v>4372.7501899999997</v>
      </c>
      <c r="G38" s="39">
        <v>1.2715590000000001E-2</v>
      </c>
      <c r="H38" s="34" t="s">
        <v>143</v>
      </c>
    </row>
    <row r="39" spans="1:8" x14ac:dyDescent="0.2">
      <c r="A39" s="35">
        <v>33</v>
      </c>
      <c r="B39" s="36" t="s">
        <v>479</v>
      </c>
      <c r="C39" s="36" t="s">
        <v>480</v>
      </c>
      <c r="D39" s="36" t="s">
        <v>256</v>
      </c>
      <c r="E39" s="37">
        <v>816578</v>
      </c>
      <c r="F39" s="38">
        <v>4347.4612719999996</v>
      </c>
      <c r="G39" s="39">
        <v>1.264205E-2</v>
      </c>
      <c r="H39" s="34" t="s">
        <v>143</v>
      </c>
    </row>
    <row r="40" spans="1:8" ht="25.5" x14ac:dyDescent="0.2">
      <c r="A40" s="35">
        <v>34</v>
      </c>
      <c r="B40" s="36" t="s">
        <v>481</v>
      </c>
      <c r="C40" s="36" t="s">
        <v>482</v>
      </c>
      <c r="D40" s="36" t="s">
        <v>119</v>
      </c>
      <c r="E40" s="37">
        <v>276000</v>
      </c>
      <c r="F40" s="38">
        <v>4299.2520000000004</v>
      </c>
      <c r="G40" s="39">
        <v>1.250186E-2</v>
      </c>
      <c r="H40" s="34" t="s">
        <v>143</v>
      </c>
    </row>
    <row r="41" spans="1:8" x14ac:dyDescent="0.2">
      <c r="A41" s="35">
        <v>35</v>
      </c>
      <c r="B41" s="36" t="s">
        <v>44</v>
      </c>
      <c r="C41" s="36" t="s">
        <v>45</v>
      </c>
      <c r="D41" s="36" t="s">
        <v>19</v>
      </c>
      <c r="E41" s="37">
        <v>337012</v>
      </c>
      <c r="F41" s="38">
        <v>4135.8112639999999</v>
      </c>
      <c r="G41" s="39">
        <v>1.202659E-2</v>
      </c>
      <c r="H41" s="34" t="s">
        <v>143</v>
      </c>
    </row>
    <row r="42" spans="1:8" x14ac:dyDescent="0.2">
      <c r="A42" s="35">
        <v>36</v>
      </c>
      <c r="B42" s="36" t="s">
        <v>297</v>
      </c>
      <c r="C42" s="36" t="s">
        <v>298</v>
      </c>
      <c r="D42" s="36" t="s">
        <v>94</v>
      </c>
      <c r="E42" s="37">
        <v>1234878</v>
      </c>
      <c r="F42" s="38">
        <v>4069.5404490000001</v>
      </c>
      <c r="G42" s="39">
        <v>1.183388E-2</v>
      </c>
      <c r="H42" s="34" t="s">
        <v>143</v>
      </c>
    </row>
    <row r="43" spans="1:8" x14ac:dyDescent="0.2">
      <c r="A43" s="35">
        <v>37</v>
      </c>
      <c r="B43" s="36" t="s">
        <v>483</v>
      </c>
      <c r="C43" s="36" t="s">
        <v>484</v>
      </c>
      <c r="D43" s="36" t="s">
        <v>265</v>
      </c>
      <c r="E43" s="37">
        <v>314897</v>
      </c>
      <c r="F43" s="38">
        <v>4057.7627419999999</v>
      </c>
      <c r="G43" s="39">
        <v>1.179963E-2</v>
      </c>
      <c r="H43" s="34" t="s">
        <v>143</v>
      </c>
    </row>
    <row r="44" spans="1:8" x14ac:dyDescent="0.2">
      <c r="A44" s="35">
        <v>38</v>
      </c>
      <c r="B44" s="36" t="s">
        <v>451</v>
      </c>
      <c r="C44" s="36" t="s">
        <v>452</v>
      </c>
      <c r="D44" s="36" t="s">
        <v>73</v>
      </c>
      <c r="E44" s="37">
        <v>717054</v>
      </c>
      <c r="F44" s="38">
        <v>4011.9171299999998</v>
      </c>
      <c r="G44" s="39">
        <v>1.1666320000000001E-2</v>
      </c>
      <c r="H44" s="34" t="s">
        <v>143</v>
      </c>
    </row>
    <row r="45" spans="1:8" ht="25.5" x14ac:dyDescent="0.2">
      <c r="A45" s="35">
        <v>39</v>
      </c>
      <c r="B45" s="36" t="s">
        <v>442</v>
      </c>
      <c r="C45" s="36" t="s">
        <v>443</v>
      </c>
      <c r="D45" s="36" t="s">
        <v>25</v>
      </c>
      <c r="E45" s="37">
        <v>297739</v>
      </c>
      <c r="F45" s="38">
        <v>3996.848336</v>
      </c>
      <c r="G45" s="39">
        <v>1.1622499999999999E-2</v>
      </c>
      <c r="H45" s="34" t="s">
        <v>143</v>
      </c>
    </row>
    <row r="46" spans="1:8" x14ac:dyDescent="0.2">
      <c r="A46" s="35">
        <v>40</v>
      </c>
      <c r="B46" s="36" t="s">
        <v>350</v>
      </c>
      <c r="C46" s="36" t="s">
        <v>351</v>
      </c>
      <c r="D46" s="36" t="s">
        <v>287</v>
      </c>
      <c r="E46" s="37">
        <v>1493974</v>
      </c>
      <c r="F46" s="38">
        <v>3946.3323209999999</v>
      </c>
      <c r="G46" s="39">
        <v>1.1475600000000001E-2</v>
      </c>
      <c r="H46" s="34" t="s">
        <v>143</v>
      </c>
    </row>
    <row r="47" spans="1:8" x14ac:dyDescent="0.2">
      <c r="A47" s="35">
        <v>41</v>
      </c>
      <c r="B47" s="36" t="s">
        <v>90</v>
      </c>
      <c r="C47" s="36" t="s">
        <v>91</v>
      </c>
      <c r="D47" s="36" t="s">
        <v>61</v>
      </c>
      <c r="E47" s="37">
        <v>263979</v>
      </c>
      <c r="F47" s="38">
        <v>3869.4041820000002</v>
      </c>
      <c r="G47" s="39">
        <v>1.12519E-2</v>
      </c>
      <c r="H47" s="34" t="s">
        <v>143</v>
      </c>
    </row>
    <row r="48" spans="1:8" x14ac:dyDescent="0.2">
      <c r="A48" s="35">
        <v>42</v>
      </c>
      <c r="B48" s="36" t="s">
        <v>410</v>
      </c>
      <c r="C48" s="36" t="s">
        <v>411</v>
      </c>
      <c r="D48" s="36" t="s">
        <v>412</v>
      </c>
      <c r="E48" s="37">
        <v>258285</v>
      </c>
      <c r="F48" s="38">
        <v>3861.1024649999999</v>
      </c>
      <c r="G48" s="39">
        <v>1.122776E-2</v>
      </c>
      <c r="H48" s="34" t="s">
        <v>143</v>
      </c>
    </row>
    <row r="49" spans="1:8" x14ac:dyDescent="0.2">
      <c r="A49" s="35">
        <v>43</v>
      </c>
      <c r="B49" s="36" t="s">
        <v>485</v>
      </c>
      <c r="C49" s="36" t="s">
        <v>486</v>
      </c>
      <c r="D49" s="36" t="s">
        <v>206</v>
      </c>
      <c r="E49" s="37">
        <v>142505</v>
      </c>
      <c r="F49" s="38">
        <v>3860.7454600000001</v>
      </c>
      <c r="G49" s="39">
        <v>1.1226720000000001E-2</v>
      </c>
      <c r="H49" s="34" t="s">
        <v>143</v>
      </c>
    </row>
    <row r="50" spans="1:8" x14ac:dyDescent="0.2">
      <c r="A50" s="35">
        <v>44</v>
      </c>
      <c r="B50" s="36" t="s">
        <v>292</v>
      </c>
      <c r="C50" s="36" t="s">
        <v>293</v>
      </c>
      <c r="D50" s="36" t="s">
        <v>294</v>
      </c>
      <c r="E50" s="37">
        <v>675223</v>
      </c>
      <c r="F50" s="38">
        <v>3859.5746680000002</v>
      </c>
      <c r="G50" s="39">
        <v>1.122332E-2</v>
      </c>
      <c r="H50" s="34" t="s">
        <v>143</v>
      </c>
    </row>
    <row r="51" spans="1:8" x14ac:dyDescent="0.2">
      <c r="A51" s="35">
        <v>45</v>
      </c>
      <c r="B51" s="36" t="s">
        <v>487</v>
      </c>
      <c r="C51" s="36" t="s">
        <v>488</v>
      </c>
      <c r="D51" s="36" t="s">
        <v>55</v>
      </c>
      <c r="E51" s="37">
        <v>1603225</v>
      </c>
      <c r="F51" s="38">
        <v>3592.185935</v>
      </c>
      <c r="G51" s="39">
        <v>1.044578E-2</v>
      </c>
      <c r="H51" s="34" t="s">
        <v>143</v>
      </c>
    </row>
    <row r="52" spans="1:8" x14ac:dyDescent="0.2">
      <c r="A52" s="35">
        <v>46</v>
      </c>
      <c r="B52" s="36" t="s">
        <v>307</v>
      </c>
      <c r="C52" s="36" t="s">
        <v>308</v>
      </c>
      <c r="D52" s="36" t="s">
        <v>73</v>
      </c>
      <c r="E52" s="37">
        <v>74038</v>
      </c>
      <c r="F52" s="38">
        <v>3565.5220039999999</v>
      </c>
      <c r="G52" s="39">
        <v>1.0368240000000001E-2</v>
      </c>
      <c r="H52" s="34" t="s">
        <v>143</v>
      </c>
    </row>
    <row r="53" spans="1:8" x14ac:dyDescent="0.2">
      <c r="A53" s="35">
        <v>47</v>
      </c>
      <c r="B53" s="36" t="s">
        <v>84</v>
      </c>
      <c r="C53" s="36" t="s">
        <v>85</v>
      </c>
      <c r="D53" s="36" t="s">
        <v>43</v>
      </c>
      <c r="E53" s="37">
        <v>24979</v>
      </c>
      <c r="F53" s="38">
        <v>3345.18768</v>
      </c>
      <c r="G53" s="39">
        <v>9.7275299999999999E-3</v>
      </c>
      <c r="H53" s="34" t="s">
        <v>143</v>
      </c>
    </row>
    <row r="54" spans="1:8" x14ac:dyDescent="0.2">
      <c r="A54" s="35">
        <v>48</v>
      </c>
      <c r="B54" s="36" t="s">
        <v>489</v>
      </c>
      <c r="C54" s="36" t="s">
        <v>490</v>
      </c>
      <c r="D54" s="36" t="s">
        <v>287</v>
      </c>
      <c r="E54" s="37">
        <v>2248576</v>
      </c>
      <c r="F54" s="38">
        <v>3289.4418304000001</v>
      </c>
      <c r="G54" s="39">
        <v>9.5654199999999998E-3</v>
      </c>
      <c r="H54" s="34" t="s">
        <v>143</v>
      </c>
    </row>
    <row r="55" spans="1:8" x14ac:dyDescent="0.2">
      <c r="A55" s="35">
        <v>49</v>
      </c>
      <c r="B55" s="36" t="s">
        <v>491</v>
      </c>
      <c r="C55" s="36" t="s">
        <v>492</v>
      </c>
      <c r="D55" s="36" t="s">
        <v>206</v>
      </c>
      <c r="E55" s="37">
        <v>251901</v>
      </c>
      <c r="F55" s="38">
        <v>3251.5381080000002</v>
      </c>
      <c r="G55" s="39">
        <v>9.4552000000000004E-3</v>
      </c>
      <c r="H55" s="34" t="s">
        <v>143</v>
      </c>
    </row>
    <row r="56" spans="1:8" x14ac:dyDescent="0.2">
      <c r="A56" s="35">
        <v>50</v>
      </c>
      <c r="B56" s="36" t="s">
        <v>71</v>
      </c>
      <c r="C56" s="36" t="s">
        <v>72</v>
      </c>
      <c r="D56" s="36" t="s">
        <v>73</v>
      </c>
      <c r="E56" s="37">
        <v>60184</v>
      </c>
      <c r="F56" s="38">
        <v>3103.6888800000002</v>
      </c>
      <c r="G56" s="39">
        <v>9.0252700000000002E-3</v>
      </c>
      <c r="H56" s="34" t="s">
        <v>143</v>
      </c>
    </row>
    <row r="57" spans="1:8" x14ac:dyDescent="0.2">
      <c r="A57" s="35">
        <v>51</v>
      </c>
      <c r="B57" s="36" t="s">
        <v>397</v>
      </c>
      <c r="C57" s="36" t="s">
        <v>398</v>
      </c>
      <c r="D57" s="36" t="s">
        <v>399</v>
      </c>
      <c r="E57" s="37">
        <v>308127</v>
      </c>
      <c r="F57" s="38">
        <v>2989.1400269999999</v>
      </c>
      <c r="G57" s="39">
        <v>8.6921700000000008E-3</v>
      </c>
      <c r="H57" s="34" t="s">
        <v>143</v>
      </c>
    </row>
    <row r="58" spans="1:8" ht="25.5" x14ac:dyDescent="0.2">
      <c r="A58" s="35">
        <v>52</v>
      </c>
      <c r="B58" s="36" t="s">
        <v>384</v>
      </c>
      <c r="C58" s="36" t="s">
        <v>385</v>
      </c>
      <c r="D58" s="36" t="s">
        <v>201</v>
      </c>
      <c r="E58" s="37">
        <v>177419</v>
      </c>
      <c r="F58" s="38">
        <v>2979.3972669999998</v>
      </c>
      <c r="G58" s="39">
        <v>8.6638400000000008E-3</v>
      </c>
      <c r="H58" s="34" t="s">
        <v>143</v>
      </c>
    </row>
    <row r="59" spans="1:8" x14ac:dyDescent="0.2">
      <c r="A59" s="35">
        <v>53</v>
      </c>
      <c r="B59" s="36" t="s">
        <v>493</v>
      </c>
      <c r="C59" s="36" t="s">
        <v>494</v>
      </c>
      <c r="D59" s="36" t="s">
        <v>412</v>
      </c>
      <c r="E59" s="37">
        <v>258182</v>
      </c>
      <c r="F59" s="38">
        <v>2945.85662</v>
      </c>
      <c r="G59" s="39">
        <v>8.5663000000000007E-3</v>
      </c>
      <c r="H59" s="34" t="s">
        <v>143</v>
      </c>
    </row>
    <row r="60" spans="1:8" ht="25.5" x14ac:dyDescent="0.2">
      <c r="A60" s="35">
        <v>54</v>
      </c>
      <c r="B60" s="36" t="s">
        <v>495</v>
      </c>
      <c r="C60" s="36" t="s">
        <v>496</v>
      </c>
      <c r="D60" s="36" t="s">
        <v>270</v>
      </c>
      <c r="E60" s="37">
        <v>176665</v>
      </c>
      <c r="F60" s="38">
        <v>2926.8090550000002</v>
      </c>
      <c r="G60" s="39">
        <v>8.5109199999999999E-3</v>
      </c>
      <c r="H60" s="34" t="s">
        <v>143</v>
      </c>
    </row>
    <row r="61" spans="1:8" x14ac:dyDescent="0.2">
      <c r="A61" s="35">
        <v>55</v>
      </c>
      <c r="B61" s="36" t="s">
        <v>421</v>
      </c>
      <c r="C61" s="36" t="s">
        <v>422</v>
      </c>
      <c r="D61" s="36" t="s">
        <v>73</v>
      </c>
      <c r="E61" s="37">
        <v>275772</v>
      </c>
      <c r="F61" s="38">
        <v>2662.4407740000001</v>
      </c>
      <c r="G61" s="39">
        <v>7.7421599999999997E-3</v>
      </c>
      <c r="H61" s="34" t="s">
        <v>143</v>
      </c>
    </row>
    <row r="62" spans="1:8" x14ac:dyDescent="0.2">
      <c r="A62" s="35">
        <v>56</v>
      </c>
      <c r="B62" s="36" t="s">
        <v>53</v>
      </c>
      <c r="C62" s="36" t="s">
        <v>54</v>
      </c>
      <c r="D62" s="36" t="s">
        <v>55</v>
      </c>
      <c r="E62" s="37">
        <v>38742</v>
      </c>
      <c r="F62" s="38">
        <v>2622.63969</v>
      </c>
      <c r="G62" s="39">
        <v>7.6264200000000001E-3</v>
      </c>
      <c r="H62" s="34" t="s">
        <v>143</v>
      </c>
    </row>
    <row r="63" spans="1:8" x14ac:dyDescent="0.2">
      <c r="A63" s="35">
        <v>57</v>
      </c>
      <c r="B63" s="36" t="s">
        <v>497</v>
      </c>
      <c r="C63" s="36" t="s">
        <v>498</v>
      </c>
      <c r="D63" s="36" t="s">
        <v>55</v>
      </c>
      <c r="E63" s="37">
        <v>749032</v>
      </c>
      <c r="F63" s="38">
        <v>2571.0523400000002</v>
      </c>
      <c r="G63" s="39">
        <v>7.4764100000000002E-3</v>
      </c>
      <c r="H63" s="34" t="s">
        <v>143</v>
      </c>
    </row>
    <row r="64" spans="1:8" x14ac:dyDescent="0.2">
      <c r="A64" s="35">
        <v>58</v>
      </c>
      <c r="B64" s="36" t="s">
        <v>406</v>
      </c>
      <c r="C64" s="36" t="s">
        <v>407</v>
      </c>
      <c r="D64" s="36" t="s">
        <v>192</v>
      </c>
      <c r="E64" s="37">
        <v>212263</v>
      </c>
      <c r="F64" s="38">
        <v>2567.7455110000001</v>
      </c>
      <c r="G64" s="39">
        <v>7.4667900000000001E-3</v>
      </c>
      <c r="H64" s="34" t="s">
        <v>143</v>
      </c>
    </row>
    <row r="65" spans="1:8" ht="25.5" x14ac:dyDescent="0.2">
      <c r="A65" s="35">
        <v>59</v>
      </c>
      <c r="B65" s="36" t="s">
        <v>382</v>
      </c>
      <c r="C65" s="36" t="s">
        <v>383</v>
      </c>
      <c r="D65" s="36" t="s">
        <v>270</v>
      </c>
      <c r="E65" s="37">
        <v>45069</v>
      </c>
      <c r="F65" s="38">
        <v>2172.3708689999999</v>
      </c>
      <c r="G65" s="39">
        <v>6.3170700000000002E-3</v>
      </c>
      <c r="H65" s="34" t="s">
        <v>143</v>
      </c>
    </row>
    <row r="66" spans="1:8" x14ac:dyDescent="0.2">
      <c r="A66" s="35">
        <v>60</v>
      </c>
      <c r="B66" s="36" t="s">
        <v>499</v>
      </c>
      <c r="C66" s="36" t="s">
        <v>500</v>
      </c>
      <c r="D66" s="36" t="s">
        <v>192</v>
      </c>
      <c r="E66" s="37">
        <v>539249</v>
      </c>
      <c r="F66" s="38">
        <v>2169.9379760000002</v>
      </c>
      <c r="G66" s="39">
        <v>6.3099999999999996E-3</v>
      </c>
      <c r="H66" s="34" t="s">
        <v>143</v>
      </c>
    </row>
    <row r="67" spans="1:8" x14ac:dyDescent="0.2">
      <c r="A67" s="35">
        <v>61</v>
      </c>
      <c r="B67" s="36" t="s">
        <v>413</v>
      </c>
      <c r="C67" s="36" t="s">
        <v>414</v>
      </c>
      <c r="D67" s="36" t="s">
        <v>198</v>
      </c>
      <c r="E67" s="37">
        <v>498569</v>
      </c>
      <c r="F67" s="38">
        <v>2161.2966150000002</v>
      </c>
      <c r="G67" s="39">
        <v>6.2848699999999997E-3</v>
      </c>
      <c r="H67" s="34" t="s">
        <v>143</v>
      </c>
    </row>
    <row r="68" spans="1:8" ht="25.5" x14ac:dyDescent="0.2">
      <c r="A68" s="35">
        <v>62</v>
      </c>
      <c r="B68" s="36" t="s">
        <v>48</v>
      </c>
      <c r="C68" s="36" t="s">
        <v>49</v>
      </c>
      <c r="D68" s="36" t="s">
        <v>25</v>
      </c>
      <c r="E68" s="37">
        <v>34271</v>
      </c>
      <c r="F68" s="38">
        <v>2107.6664999999998</v>
      </c>
      <c r="G68" s="39">
        <v>6.1289200000000004E-3</v>
      </c>
      <c r="H68" s="34" t="s">
        <v>143</v>
      </c>
    </row>
    <row r="69" spans="1:8" x14ac:dyDescent="0.2">
      <c r="A69" s="35">
        <v>63</v>
      </c>
      <c r="B69" s="36" t="s">
        <v>105</v>
      </c>
      <c r="C69" s="36" t="s">
        <v>106</v>
      </c>
      <c r="D69" s="36" t="s">
        <v>73</v>
      </c>
      <c r="E69" s="37">
        <v>54351</v>
      </c>
      <c r="F69" s="38">
        <v>2061.316026</v>
      </c>
      <c r="G69" s="39">
        <v>5.9941300000000003E-3</v>
      </c>
      <c r="H69" s="34" t="s">
        <v>143</v>
      </c>
    </row>
    <row r="70" spans="1:8" ht="25.5" x14ac:dyDescent="0.2">
      <c r="A70" s="35">
        <v>64</v>
      </c>
      <c r="B70" s="36" t="s">
        <v>393</v>
      </c>
      <c r="C70" s="36" t="s">
        <v>394</v>
      </c>
      <c r="D70" s="36" t="s">
        <v>201</v>
      </c>
      <c r="E70" s="37">
        <v>283996</v>
      </c>
      <c r="F70" s="38">
        <v>2058.5450059999998</v>
      </c>
      <c r="G70" s="39">
        <v>5.9860800000000004E-3</v>
      </c>
      <c r="H70" s="34" t="s">
        <v>143</v>
      </c>
    </row>
    <row r="71" spans="1:8" x14ac:dyDescent="0.2">
      <c r="A71" s="35">
        <v>65</v>
      </c>
      <c r="B71" s="36" t="s">
        <v>427</v>
      </c>
      <c r="C71" s="36" t="s">
        <v>428</v>
      </c>
      <c r="D71" s="36" t="s">
        <v>251</v>
      </c>
      <c r="E71" s="37">
        <v>276702</v>
      </c>
      <c r="F71" s="38">
        <v>1903.70976</v>
      </c>
      <c r="G71" s="39">
        <v>5.5358300000000003E-3</v>
      </c>
      <c r="H71" s="34" t="s">
        <v>143</v>
      </c>
    </row>
    <row r="72" spans="1:8" x14ac:dyDescent="0.2">
      <c r="A72" s="35">
        <v>66</v>
      </c>
      <c r="B72" s="36" t="s">
        <v>330</v>
      </c>
      <c r="C72" s="36" t="s">
        <v>331</v>
      </c>
      <c r="D72" s="36" t="s">
        <v>206</v>
      </c>
      <c r="E72" s="37">
        <v>18450</v>
      </c>
      <c r="F72" s="38">
        <v>1650.1679999999999</v>
      </c>
      <c r="G72" s="39">
        <v>4.7985500000000004E-3</v>
      </c>
      <c r="H72" s="34" t="s">
        <v>143</v>
      </c>
    </row>
    <row r="73" spans="1:8" x14ac:dyDescent="0.2">
      <c r="A73" s="35">
        <v>67</v>
      </c>
      <c r="B73" s="36" t="s">
        <v>322</v>
      </c>
      <c r="C73" s="36" t="s">
        <v>323</v>
      </c>
      <c r="D73" s="36" t="s">
        <v>33</v>
      </c>
      <c r="E73" s="37">
        <v>79947</v>
      </c>
      <c r="F73" s="38">
        <v>1600.1392049999999</v>
      </c>
      <c r="G73" s="39">
        <v>4.6530699999999996E-3</v>
      </c>
      <c r="H73" s="34" t="s">
        <v>143</v>
      </c>
    </row>
    <row r="74" spans="1:8" ht="25.5" x14ac:dyDescent="0.2">
      <c r="A74" s="35">
        <v>68</v>
      </c>
      <c r="B74" s="36" t="s">
        <v>268</v>
      </c>
      <c r="C74" s="36" t="s">
        <v>269</v>
      </c>
      <c r="D74" s="36" t="s">
        <v>270</v>
      </c>
      <c r="E74" s="37">
        <v>65271</v>
      </c>
      <c r="F74" s="38">
        <v>1297.000041</v>
      </c>
      <c r="G74" s="39">
        <v>3.7715700000000001E-3</v>
      </c>
      <c r="H74" s="34" t="s">
        <v>143</v>
      </c>
    </row>
    <row r="75" spans="1:8" x14ac:dyDescent="0.2">
      <c r="A75" s="41"/>
      <c r="B75" s="41"/>
      <c r="C75" s="42" t="s">
        <v>142</v>
      </c>
      <c r="D75" s="41"/>
      <c r="E75" s="41" t="s">
        <v>143</v>
      </c>
      <c r="F75" s="43">
        <v>323462.299148219</v>
      </c>
      <c r="G75" s="44">
        <v>0.94060127000000004</v>
      </c>
      <c r="H75" s="34" t="s">
        <v>143</v>
      </c>
    </row>
    <row r="76" spans="1:8" x14ac:dyDescent="0.2">
      <c r="A76" s="41"/>
      <c r="B76" s="41"/>
      <c r="C76" s="45"/>
      <c r="D76" s="41"/>
      <c r="E76" s="41"/>
      <c r="F76" s="46"/>
      <c r="G76" s="46"/>
      <c r="H76" s="34" t="s">
        <v>143</v>
      </c>
    </row>
    <row r="77" spans="1:8" x14ac:dyDescent="0.2">
      <c r="A77" s="41"/>
      <c r="B77" s="41"/>
      <c r="C77" s="42" t="s">
        <v>144</v>
      </c>
      <c r="D77" s="41"/>
      <c r="E77" s="41"/>
      <c r="F77" s="41"/>
      <c r="G77" s="41"/>
      <c r="H77" s="34" t="s">
        <v>143</v>
      </c>
    </row>
    <row r="78" spans="1:8" x14ac:dyDescent="0.2">
      <c r="A78" s="41"/>
      <c r="B78" s="41"/>
      <c r="C78" s="42" t="s">
        <v>142</v>
      </c>
      <c r="D78" s="41"/>
      <c r="E78" s="41" t="s">
        <v>143</v>
      </c>
      <c r="F78" s="47" t="s">
        <v>145</v>
      </c>
      <c r="G78" s="44">
        <v>0</v>
      </c>
      <c r="H78" s="34" t="s">
        <v>143</v>
      </c>
    </row>
    <row r="79" spans="1:8" x14ac:dyDescent="0.2">
      <c r="A79" s="41"/>
      <c r="B79" s="41"/>
      <c r="C79" s="45"/>
      <c r="D79" s="41"/>
      <c r="E79" s="41"/>
      <c r="F79" s="46"/>
      <c r="G79" s="46"/>
      <c r="H79" s="34" t="s">
        <v>143</v>
      </c>
    </row>
    <row r="80" spans="1:8" x14ac:dyDescent="0.2">
      <c r="A80" s="41"/>
      <c r="B80" s="41"/>
      <c r="C80" s="42" t="s">
        <v>146</v>
      </c>
      <c r="D80" s="41"/>
      <c r="E80" s="41"/>
      <c r="F80" s="41"/>
      <c r="G80" s="41"/>
      <c r="H80" s="34" t="s">
        <v>143</v>
      </c>
    </row>
    <row r="81" spans="1:8" x14ac:dyDescent="0.2">
      <c r="A81" s="35">
        <v>1</v>
      </c>
      <c r="B81" s="36" t="s">
        <v>139</v>
      </c>
      <c r="C81" s="50" t="s">
        <v>859</v>
      </c>
      <c r="D81" s="36" t="s">
        <v>140</v>
      </c>
      <c r="E81" s="37">
        <v>375961</v>
      </c>
      <c r="F81" s="38">
        <v>7.5190000000000003E-6</v>
      </c>
      <c r="G81" s="48" t="s">
        <v>141</v>
      </c>
      <c r="H81" s="34" t="s">
        <v>143</v>
      </c>
    </row>
    <row r="82" spans="1:8" x14ac:dyDescent="0.2">
      <c r="A82" s="41"/>
      <c r="B82" s="41"/>
      <c r="C82" s="42" t="s">
        <v>142</v>
      </c>
      <c r="D82" s="41"/>
      <c r="E82" s="41" t="s">
        <v>143</v>
      </c>
      <c r="F82" s="47" t="s">
        <v>145</v>
      </c>
      <c r="G82" s="44">
        <v>0</v>
      </c>
      <c r="H82" s="34" t="s">
        <v>143</v>
      </c>
    </row>
    <row r="83" spans="1:8" x14ac:dyDescent="0.2">
      <c r="A83" s="41"/>
      <c r="B83" s="41"/>
      <c r="C83" s="45"/>
      <c r="D83" s="41"/>
      <c r="E83" s="41"/>
      <c r="F83" s="46"/>
      <c r="G83" s="46"/>
      <c r="H83" s="34" t="s">
        <v>143</v>
      </c>
    </row>
    <row r="84" spans="1:8" x14ac:dyDescent="0.2">
      <c r="A84" s="41"/>
      <c r="B84" s="41"/>
      <c r="C84" s="42" t="s">
        <v>147</v>
      </c>
      <c r="D84" s="41"/>
      <c r="E84" s="41"/>
      <c r="F84" s="41"/>
      <c r="G84" s="41"/>
      <c r="H84" s="34" t="s">
        <v>143</v>
      </c>
    </row>
    <row r="85" spans="1:8" x14ac:dyDescent="0.2">
      <c r="A85" s="41"/>
      <c r="B85" s="41"/>
      <c r="C85" s="42" t="s">
        <v>142</v>
      </c>
      <c r="D85" s="41"/>
      <c r="E85" s="41" t="s">
        <v>143</v>
      </c>
      <c r="F85" s="47" t="s">
        <v>145</v>
      </c>
      <c r="G85" s="44">
        <v>0</v>
      </c>
      <c r="H85" s="34" t="s">
        <v>143</v>
      </c>
    </row>
    <row r="86" spans="1:8" x14ac:dyDescent="0.2">
      <c r="A86" s="41"/>
      <c r="B86" s="41"/>
      <c r="C86" s="45"/>
      <c r="D86" s="41"/>
      <c r="E86" s="41"/>
      <c r="F86" s="46"/>
      <c r="G86" s="46"/>
      <c r="H86" s="34" t="s">
        <v>143</v>
      </c>
    </row>
    <row r="87" spans="1:8" x14ac:dyDescent="0.2">
      <c r="A87" s="41"/>
      <c r="B87" s="41"/>
      <c r="C87" s="42" t="s">
        <v>148</v>
      </c>
      <c r="D87" s="41"/>
      <c r="E87" s="41"/>
      <c r="F87" s="46"/>
      <c r="G87" s="46"/>
      <c r="H87" s="34" t="s">
        <v>143</v>
      </c>
    </row>
    <row r="88" spans="1:8" x14ac:dyDescent="0.2">
      <c r="A88" s="41"/>
      <c r="B88" s="41"/>
      <c r="C88" s="42" t="s">
        <v>142</v>
      </c>
      <c r="D88" s="41"/>
      <c r="E88" s="41" t="s">
        <v>143</v>
      </c>
      <c r="F88" s="47" t="s">
        <v>145</v>
      </c>
      <c r="G88" s="44">
        <v>0</v>
      </c>
      <c r="H88" s="34" t="s">
        <v>143</v>
      </c>
    </row>
    <row r="89" spans="1:8" x14ac:dyDescent="0.2">
      <c r="A89" s="41"/>
      <c r="B89" s="41"/>
      <c r="C89" s="45"/>
      <c r="D89" s="41"/>
      <c r="E89" s="41"/>
      <c r="F89" s="46"/>
      <c r="G89" s="46"/>
      <c r="H89" s="34" t="s">
        <v>143</v>
      </c>
    </row>
    <row r="90" spans="1:8" x14ac:dyDescent="0.2">
      <c r="A90" s="41"/>
      <c r="B90" s="41"/>
      <c r="C90" s="42" t="s">
        <v>149</v>
      </c>
      <c r="D90" s="41"/>
      <c r="E90" s="41"/>
      <c r="F90" s="46"/>
      <c r="G90" s="46"/>
      <c r="H90" s="34" t="s">
        <v>143</v>
      </c>
    </row>
    <row r="91" spans="1:8" x14ac:dyDescent="0.2">
      <c r="A91" s="41"/>
      <c r="B91" s="41"/>
      <c r="C91" s="42" t="s">
        <v>142</v>
      </c>
      <c r="D91" s="41"/>
      <c r="E91" s="41" t="s">
        <v>143</v>
      </c>
      <c r="F91" s="47" t="s">
        <v>145</v>
      </c>
      <c r="G91" s="44">
        <v>0</v>
      </c>
      <c r="H91" s="34" t="s">
        <v>143</v>
      </c>
    </row>
    <row r="92" spans="1:8" x14ac:dyDescent="0.2">
      <c r="A92" s="41"/>
      <c r="B92" s="41"/>
      <c r="C92" s="45"/>
      <c r="D92" s="41"/>
      <c r="E92" s="41"/>
      <c r="F92" s="46"/>
      <c r="G92" s="46"/>
      <c r="H92" s="34" t="s">
        <v>143</v>
      </c>
    </row>
    <row r="93" spans="1:8" x14ac:dyDescent="0.2">
      <c r="A93" s="41"/>
      <c r="B93" s="41"/>
      <c r="C93" s="42" t="s">
        <v>150</v>
      </c>
      <c r="D93" s="41"/>
      <c r="E93" s="41"/>
      <c r="F93" s="43">
        <v>323462.299148219</v>
      </c>
      <c r="G93" s="44">
        <v>0.94060127000000004</v>
      </c>
      <c r="H93" s="34" t="s">
        <v>143</v>
      </c>
    </row>
    <row r="94" spans="1:8" x14ac:dyDescent="0.2">
      <c r="A94" s="41"/>
      <c r="B94" s="41"/>
      <c r="C94" s="45"/>
      <c r="D94" s="41"/>
      <c r="E94" s="41"/>
      <c r="F94" s="46"/>
      <c r="G94" s="46"/>
      <c r="H94" s="34" t="s">
        <v>143</v>
      </c>
    </row>
    <row r="95" spans="1:8" x14ac:dyDescent="0.2">
      <c r="A95" s="41"/>
      <c r="B95" s="41"/>
      <c r="C95" s="42" t="s">
        <v>151</v>
      </c>
      <c r="D95" s="41"/>
      <c r="E95" s="41"/>
      <c r="F95" s="46"/>
      <c r="G95" s="46"/>
      <c r="H95" s="34" t="s">
        <v>143</v>
      </c>
    </row>
    <row r="96" spans="1:8" x14ac:dyDescent="0.2">
      <c r="A96" s="41"/>
      <c r="B96" s="41"/>
      <c r="C96" s="42" t="s">
        <v>10</v>
      </c>
      <c r="D96" s="41"/>
      <c r="E96" s="41"/>
      <c r="F96" s="46"/>
      <c r="G96" s="46"/>
      <c r="H96" s="34" t="s">
        <v>143</v>
      </c>
    </row>
    <row r="97" spans="1:8" x14ac:dyDescent="0.2">
      <c r="A97" s="41"/>
      <c r="B97" s="41"/>
      <c r="C97" s="42" t="s">
        <v>142</v>
      </c>
      <c r="D97" s="41"/>
      <c r="E97" s="41" t="s">
        <v>143</v>
      </c>
      <c r="F97" s="47" t="s">
        <v>145</v>
      </c>
      <c r="G97" s="44">
        <v>0</v>
      </c>
      <c r="H97" s="34" t="s">
        <v>143</v>
      </c>
    </row>
    <row r="98" spans="1:8" x14ac:dyDescent="0.2">
      <c r="A98" s="41"/>
      <c r="B98" s="41"/>
      <c r="C98" s="45"/>
      <c r="D98" s="41"/>
      <c r="E98" s="41"/>
      <c r="F98" s="46"/>
      <c r="G98" s="46"/>
      <c r="H98" s="34" t="s">
        <v>143</v>
      </c>
    </row>
    <row r="99" spans="1:8" x14ac:dyDescent="0.2">
      <c r="A99" s="41"/>
      <c r="B99" s="41"/>
      <c r="C99" s="42" t="s">
        <v>152</v>
      </c>
      <c r="D99" s="41"/>
      <c r="E99" s="41"/>
      <c r="F99" s="41"/>
      <c r="G99" s="41"/>
      <c r="H99" s="34" t="s">
        <v>143</v>
      </c>
    </row>
    <row r="100" spans="1:8" x14ac:dyDescent="0.2">
      <c r="A100" s="41"/>
      <c r="B100" s="41"/>
      <c r="C100" s="42" t="s">
        <v>142</v>
      </c>
      <c r="D100" s="41"/>
      <c r="E100" s="41" t="s">
        <v>143</v>
      </c>
      <c r="F100" s="47" t="s">
        <v>145</v>
      </c>
      <c r="G100" s="44">
        <v>0</v>
      </c>
      <c r="H100" s="34" t="s">
        <v>143</v>
      </c>
    </row>
    <row r="101" spans="1:8" x14ac:dyDescent="0.2">
      <c r="A101" s="41"/>
      <c r="B101" s="41"/>
      <c r="C101" s="45"/>
      <c r="D101" s="41"/>
      <c r="E101" s="41"/>
      <c r="F101" s="46"/>
      <c r="G101" s="46"/>
      <c r="H101" s="34" t="s">
        <v>143</v>
      </c>
    </row>
    <row r="102" spans="1:8" x14ac:dyDescent="0.2">
      <c r="A102" s="41"/>
      <c r="B102" s="41"/>
      <c r="C102" s="42" t="s">
        <v>153</v>
      </c>
      <c r="D102" s="41"/>
      <c r="E102" s="41"/>
      <c r="F102" s="41"/>
      <c r="G102" s="41"/>
      <c r="H102" s="34" t="s">
        <v>143</v>
      </c>
    </row>
    <row r="103" spans="1:8" x14ac:dyDescent="0.2">
      <c r="A103" s="41"/>
      <c r="B103" s="41"/>
      <c r="C103" s="42" t="s">
        <v>142</v>
      </c>
      <c r="D103" s="41"/>
      <c r="E103" s="41" t="s">
        <v>143</v>
      </c>
      <c r="F103" s="47" t="s">
        <v>145</v>
      </c>
      <c r="G103" s="44">
        <v>0</v>
      </c>
      <c r="H103" s="34" t="s">
        <v>143</v>
      </c>
    </row>
    <row r="104" spans="1:8" x14ac:dyDescent="0.2">
      <c r="A104" s="41"/>
      <c r="B104" s="41"/>
      <c r="C104" s="45"/>
      <c r="D104" s="41"/>
      <c r="E104" s="41"/>
      <c r="F104" s="46"/>
      <c r="G104" s="46"/>
      <c r="H104" s="34" t="s">
        <v>143</v>
      </c>
    </row>
    <row r="105" spans="1:8" x14ac:dyDescent="0.2">
      <c r="A105" s="41"/>
      <c r="B105" s="41"/>
      <c r="C105" s="42" t="s">
        <v>154</v>
      </c>
      <c r="D105" s="41"/>
      <c r="E105" s="41"/>
      <c r="F105" s="46"/>
      <c r="G105" s="46"/>
      <c r="H105" s="34" t="s">
        <v>143</v>
      </c>
    </row>
    <row r="106" spans="1:8" x14ac:dyDescent="0.2">
      <c r="A106" s="41"/>
      <c r="B106" s="41"/>
      <c r="C106" s="42" t="s">
        <v>142</v>
      </c>
      <c r="D106" s="41"/>
      <c r="E106" s="41" t="s">
        <v>143</v>
      </c>
      <c r="F106" s="47" t="s">
        <v>145</v>
      </c>
      <c r="G106" s="44">
        <v>0</v>
      </c>
      <c r="H106" s="34" t="s">
        <v>143</v>
      </c>
    </row>
    <row r="107" spans="1:8" x14ac:dyDescent="0.2">
      <c r="A107" s="41"/>
      <c r="B107" s="41"/>
      <c r="C107" s="45"/>
      <c r="D107" s="41"/>
      <c r="E107" s="41"/>
      <c r="F107" s="46"/>
      <c r="G107" s="46"/>
      <c r="H107" s="34" t="s">
        <v>143</v>
      </c>
    </row>
    <row r="108" spans="1:8" x14ac:dyDescent="0.2">
      <c r="A108" s="41"/>
      <c r="B108" s="41"/>
      <c r="C108" s="42" t="s">
        <v>155</v>
      </c>
      <c r="D108" s="41"/>
      <c r="E108" s="41"/>
      <c r="F108" s="43">
        <v>0</v>
      </c>
      <c r="G108" s="44">
        <v>0</v>
      </c>
      <c r="H108" s="34" t="s">
        <v>143</v>
      </c>
    </row>
    <row r="109" spans="1:8" x14ac:dyDescent="0.2">
      <c r="A109" s="41"/>
      <c r="B109" s="41"/>
      <c r="C109" s="45"/>
      <c r="D109" s="41"/>
      <c r="E109" s="41"/>
      <c r="F109" s="46"/>
      <c r="G109" s="46"/>
      <c r="H109" s="34" t="s">
        <v>143</v>
      </c>
    </row>
    <row r="110" spans="1:8" x14ac:dyDescent="0.2">
      <c r="A110" s="41"/>
      <c r="B110" s="41"/>
      <c r="C110" s="42" t="s">
        <v>156</v>
      </c>
      <c r="D110" s="41"/>
      <c r="E110" s="41"/>
      <c r="F110" s="46"/>
      <c r="G110" s="46"/>
      <c r="H110" s="34" t="s">
        <v>143</v>
      </c>
    </row>
    <row r="111" spans="1:8" x14ac:dyDescent="0.2">
      <c r="A111" s="41"/>
      <c r="B111" s="41"/>
      <c r="C111" s="42" t="s">
        <v>157</v>
      </c>
      <c r="D111" s="41"/>
      <c r="E111" s="41"/>
      <c r="F111" s="46"/>
      <c r="G111" s="46"/>
      <c r="H111" s="34" t="s">
        <v>143</v>
      </c>
    </row>
    <row r="112" spans="1:8" x14ac:dyDescent="0.2">
      <c r="A112" s="41"/>
      <c r="B112" s="41"/>
      <c r="C112" s="42" t="s">
        <v>142</v>
      </c>
      <c r="D112" s="41"/>
      <c r="E112" s="41" t="s">
        <v>143</v>
      </c>
      <c r="F112" s="47" t="s">
        <v>145</v>
      </c>
      <c r="G112" s="44">
        <v>0</v>
      </c>
      <c r="H112" s="34" t="s">
        <v>143</v>
      </c>
    </row>
    <row r="113" spans="1:8" x14ac:dyDescent="0.2">
      <c r="A113" s="41"/>
      <c r="B113" s="41"/>
      <c r="C113" s="45"/>
      <c r="D113" s="41"/>
      <c r="E113" s="41"/>
      <c r="F113" s="46"/>
      <c r="G113" s="46"/>
      <c r="H113" s="34" t="s">
        <v>143</v>
      </c>
    </row>
    <row r="114" spans="1:8" x14ac:dyDescent="0.2">
      <c r="A114" s="41"/>
      <c r="B114" s="41"/>
      <c r="C114" s="42" t="s">
        <v>158</v>
      </c>
      <c r="D114" s="41"/>
      <c r="E114" s="41"/>
      <c r="F114" s="46"/>
      <c r="G114" s="46"/>
      <c r="H114" s="34" t="s">
        <v>143</v>
      </c>
    </row>
    <row r="115" spans="1:8" x14ac:dyDescent="0.2">
      <c r="A115" s="41"/>
      <c r="B115" s="41"/>
      <c r="C115" s="42" t="s">
        <v>142</v>
      </c>
      <c r="D115" s="41"/>
      <c r="E115" s="41" t="s">
        <v>143</v>
      </c>
      <c r="F115" s="47" t="s">
        <v>145</v>
      </c>
      <c r="G115" s="44">
        <v>0</v>
      </c>
      <c r="H115" s="34" t="s">
        <v>143</v>
      </c>
    </row>
    <row r="116" spans="1:8" x14ac:dyDescent="0.2">
      <c r="A116" s="41"/>
      <c r="B116" s="41"/>
      <c r="C116" s="45"/>
      <c r="D116" s="41"/>
      <c r="E116" s="41"/>
      <c r="F116" s="46"/>
      <c r="G116" s="46"/>
      <c r="H116" s="34" t="s">
        <v>143</v>
      </c>
    </row>
    <row r="117" spans="1:8" x14ac:dyDescent="0.2">
      <c r="A117" s="41"/>
      <c r="B117" s="41"/>
      <c r="C117" s="42" t="s">
        <v>159</v>
      </c>
      <c r="D117" s="41"/>
      <c r="E117" s="41"/>
      <c r="F117" s="46"/>
      <c r="G117" s="46"/>
      <c r="H117" s="34" t="s">
        <v>143</v>
      </c>
    </row>
    <row r="118" spans="1:8" x14ac:dyDescent="0.2">
      <c r="A118" s="41"/>
      <c r="B118" s="41"/>
      <c r="C118" s="42" t="s">
        <v>142</v>
      </c>
      <c r="D118" s="41"/>
      <c r="E118" s="41" t="s">
        <v>143</v>
      </c>
      <c r="F118" s="47" t="s">
        <v>145</v>
      </c>
      <c r="G118" s="44">
        <v>0</v>
      </c>
      <c r="H118" s="34" t="s">
        <v>143</v>
      </c>
    </row>
    <row r="119" spans="1:8" x14ac:dyDescent="0.2">
      <c r="A119" s="41"/>
      <c r="B119" s="41"/>
      <c r="C119" s="45"/>
      <c r="D119" s="41"/>
      <c r="E119" s="41"/>
      <c r="F119" s="46"/>
      <c r="G119" s="46"/>
      <c r="H119" s="34" t="s">
        <v>143</v>
      </c>
    </row>
    <row r="120" spans="1:8" x14ac:dyDescent="0.2">
      <c r="A120" s="41"/>
      <c r="B120" s="41"/>
      <c r="C120" s="42" t="s">
        <v>160</v>
      </c>
      <c r="D120" s="41"/>
      <c r="E120" s="41"/>
      <c r="F120" s="46"/>
      <c r="G120" s="46"/>
      <c r="H120" s="34" t="s">
        <v>143</v>
      </c>
    </row>
    <row r="121" spans="1:8" x14ac:dyDescent="0.2">
      <c r="A121" s="35">
        <v>1</v>
      </c>
      <c r="B121" s="36"/>
      <c r="C121" s="36" t="s">
        <v>161</v>
      </c>
      <c r="D121" s="36"/>
      <c r="E121" s="48"/>
      <c r="F121" s="38">
        <v>5360.6911720170001</v>
      </c>
      <c r="G121" s="39">
        <v>1.558844E-2</v>
      </c>
      <c r="H121" s="34">
        <v>5.47</v>
      </c>
    </row>
    <row r="122" spans="1:8" x14ac:dyDescent="0.2">
      <c r="A122" s="41"/>
      <c r="B122" s="41"/>
      <c r="C122" s="42" t="s">
        <v>142</v>
      </c>
      <c r="D122" s="41"/>
      <c r="E122" s="41" t="s">
        <v>143</v>
      </c>
      <c r="F122" s="43">
        <v>5360.6911720170001</v>
      </c>
      <c r="G122" s="44">
        <v>1.558844E-2</v>
      </c>
      <c r="H122" s="34" t="s">
        <v>143</v>
      </c>
    </row>
    <row r="123" spans="1:8" x14ac:dyDescent="0.2">
      <c r="A123" s="41"/>
      <c r="B123" s="41"/>
      <c r="C123" s="45"/>
      <c r="D123" s="41"/>
      <c r="E123" s="41"/>
      <c r="F123" s="46"/>
      <c r="G123" s="46"/>
      <c r="H123" s="34" t="s">
        <v>143</v>
      </c>
    </row>
    <row r="124" spans="1:8" x14ac:dyDescent="0.2">
      <c r="A124" s="41"/>
      <c r="B124" s="41"/>
      <c r="C124" s="42" t="s">
        <v>162</v>
      </c>
      <c r="D124" s="41"/>
      <c r="E124" s="41"/>
      <c r="F124" s="43">
        <v>5360.6911720170001</v>
      </c>
      <c r="G124" s="44">
        <v>1.558844E-2</v>
      </c>
      <c r="H124" s="34" t="s">
        <v>143</v>
      </c>
    </row>
    <row r="125" spans="1:8" x14ac:dyDescent="0.2">
      <c r="A125" s="41"/>
      <c r="B125" s="41"/>
      <c r="C125" s="46"/>
      <c r="D125" s="41"/>
      <c r="E125" s="41"/>
      <c r="F125" s="41"/>
      <c r="G125" s="41"/>
      <c r="H125" s="34" t="s">
        <v>143</v>
      </c>
    </row>
    <row r="126" spans="1:8" x14ac:dyDescent="0.2">
      <c r="A126" s="41"/>
      <c r="B126" s="41"/>
      <c r="C126" s="42" t="s">
        <v>163</v>
      </c>
      <c r="D126" s="41"/>
      <c r="E126" s="41"/>
      <c r="F126" s="41"/>
      <c r="G126" s="41"/>
      <c r="H126" s="34" t="s">
        <v>143</v>
      </c>
    </row>
    <row r="127" spans="1:8" x14ac:dyDescent="0.2">
      <c r="A127" s="41"/>
      <c r="B127" s="41"/>
      <c r="C127" s="42" t="s">
        <v>164</v>
      </c>
      <c r="D127" s="41"/>
      <c r="E127" s="41"/>
      <c r="F127" s="41"/>
      <c r="G127" s="41"/>
      <c r="H127" s="34" t="s">
        <v>143</v>
      </c>
    </row>
    <row r="128" spans="1:8" ht="25.5" x14ac:dyDescent="0.2">
      <c r="A128" s="35">
        <v>1</v>
      </c>
      <c r="B128" s="36" t="s">
        <v>501</v>
      </c>
      <c r="C128" s="36" t="s">
        <v>1088</v>
      </c>
      <c r="D128" s="36"/>
      <c r="E128" s="49">
        <v>13395446.6942</v>
      </c>
      <c r="F128" s="38">
        <v>2026.4899667919999</v>
      </c>
      <c r="G128" s="39">
        <v>5.8928599999999998E-3</v>
      </c>
      <c r="H128" s="34" t="s">
        <v>143</v>
      </c>
    </row>
    <row r="129" spans="1:17" x14ac:dyDescent="0.2">
      <c r="A129" s="41"/>
      <c r="B129" s="41"/>
      <c r="C129" s="42" t="s">
        <v>142</v>
      </c>
      <c r="D129" s="41"/>
      <c r="E129" s="41" t="s">
        <v>143</v>
      </c>
      <c r="F129" s="43">
        <v>2026.4899667919999</v>
      </c>
      <c r="G129" s="44">
        <v>5.8928599999999998E-3</v>
      </c>
      <c r="H129" s="34" t="s">
        <v>143</v>
      </c>
    </row>
    <row r="130" spans="1:17" x14ac:dyDescent="0.2">
      <c r="A130" s="41"/>
      <c r="B130" s="41"/>
      <c r="C130" s="45"/>
      <c r="D130" s="41"/>
      <c r="E130" s="41"/>
      <c r="F130" s="46"/>
      <c r="G130" s="46"/>
      <c r="H130" s="34" t="s">
        <v>143</v>
      </c>
    </row>
    <row r="131" spans="1:17" x14ac:dyDescent="0.2">
      <c r="A131" s="41"/>
      <c r="B131" s="41"/>
      <c r="C131" s="42" t="s">
        <v>165</v>
      </c>
      <c r="D131" s="41"/>
      <c r="E131" s="41"/>
      <c r="F131" s="41"/>
      <c r="G131" s="41"/>
      <c r="H131" s="34" t="s">
        <v>143</v>
      </c>
    </row>
    <row r="132" spans="1:17" x14ac:dyDescent="0.2">
      <c r="A132" s="41"/>
      <c r="B132" s="41"/>
      <c r="C132" s="42" t="s">
        <v>166</v>
      </c>
      <c r="D132" s="41"/>
      <c r="E132" s="41"/>
      <c r="F132" s="41"/>
      <c r="G132" s="41"/>
      <c r="H132" s="34" t="s">
        <v>143</v>
      </c>
    </row>
    <row r="133" spans="1:17" x14ac:dyDescent="0.2">
      <c r="A133" s="41"/>
      <c r="B133" s="41"/>
      <c r="C133" s="42" t="s">
        <v>142</v>
      </c>
      <c r="D133" s="41"/>
      <c r="E133" s="41" t="s">
        <v>143</v>
      </c>
      <c r="F133" s="47" t="s">
        <v>145</v>
      </c>
      <c r="G133" s="44">
        <v>0</v>
      </c>
      <c r="H133" s="34" t="s">
        <v>143</v>
      </c>
    </row>
    <row r="134" spans="1:17" x14ac:dyDescent="0.2">
      <c r="A134" s="41"/>
      <c r="B134" s="41"/>
      <c r="C134" s="45"/>
      <c r="D134" s="41"/>
      <c r="E134" s="41"/>
      <c r="F134" s="46"/>
      <c r="G134" s="46"/>
      <c r="H134" s="34" t="s">
        <v>143</v>
      </c>
    </row>
    <row r="135" spans="1:17" x14ac:dyDescent="0.2">
      <c r="A135" s="41"/>
      <c r="B135" s="41"/>
      <c r="C135" s="42" t="s">
        <v>167</v>
      </c>
      <c r="D135" s="41"/>
      <c r="E135" s="41"/>
      <c r="F135" s="46"/>
      <c r="G135" s="46"/>
      <c r="H135" s="34" t="s">
        <v>143</v>
      </c>
    </row>
    <row r="136" spans="1:17" x14ac:dyDescent="0.2">
      <c r="A136" s="41"/>
      <c r="B136" s="41"/>
      <c r="C136" s="42" t="s">
        <v>142</v>
      </c>
      <c r="D136" s="41"/>
      <c r="E136" s="41" t="s">
        <v>143</v>
      </c>
      <c r="F136" s="47" t="s">
        <v>145</v>
      </c>
      <c r="G136" s="44">
        <v>0</v>
      </c>
      <c r="H136" s="34" t="s">
        <v>143</v>
      </c>
    </row>
    <row r="137" spans="1:17" x14ac:dyDescent="0.2">
      <c r="A137" s="41"/>
      <c r="B137" s="41"/>
      <c r="C137" s="45"/>
      <c r="D137" s="41"/>
      <c r="E137" s="41"/>
      <c r="F137" s="46"/>
      <c r="G137" s="46"/>
      <c r="H137" s="34" t="s">
        <v>143</v>
      </c>
    </row>
    <row r="138" spans="1:17" x14ac:dyDescent="0.2">
      <c r="A138" s="48"/>
      <c r="B138" s="36"/>
      <c r="C138" s="36" t="s">
        <v>168</v>
      </c>
      <c r="D138" s="36"/>
      <c r="E138" s="48"/>
      <c r="F138" s="38">
        <f>13039.38782447+0.00270479194641113</f>
        <v>13039.390529261947</v>
      </c>
      <c r="G138" s="39">
        <v>3.7917449999999998E-2</v>
      </c>
      <c r="H138" s="34" t="s">
        <v>143</v>
      </c>
    </row>
    <row r="139" spans="1:17" x14ac:dyDescent="0.2">
      <c r="A139" s="45"/>
      <c r="B139" s="45"/>
      <c r="C139" s="42" t="s">
        <v>169</v>
      </c>
      <c r="D139" s="46"/>
      <c r="E139" s="46"/>
      <c r="F139" s="43">
        <f>343888.868111498+0.00270479194641113</f>
        <v>343888.87081628997</v>
      </c>
      <c r="G139" s="51">
        <v>1.0000000200000001</v>
      </c>
      <c r="H139" s="34" t="s">
        <v>143</v>
      </c>
    </row>
    <row r="140" spans="1:17" x14ac:dyDescent="0.2">
      <c r="A140" s="52"/>
      <c r="B140" s="52"/>
      <c r="C140" s="52"/>
      <c r="D140" s="53"/>
      <c r="E140" s="53"/>
      <c r="F140" s="53"/>
      <c r="G140" s="53"/>
    </row>
    <row r="141" spans="1:17" x14ac:dyDescent="0.2">
      <c r="A141" s="54"/>
      <c r="B141" s="158" t="s">
        <v>852</v>
      </c>
      <c r="C141" s="158"/>
      <c r="D141" s="158"/>
      <c r="E141" s="158"/>
      <c r="F141" s="158"/>
      <c r="G141" s="158"/>
      <c r="H141" s="158"/>
      <c r="J141" s="56"/>
    </row>
    <row r="142" spans="1:17" x14ac:dyDescent="0.2">
      <c r="A142" s="54"/>
      <c r="B142" s="158" t="s">
        <v>853</v>
      </c>
      <c r="C142" s="158"/>
      <c r="D142" s="158"/>
      <c r="E142" s="158"/>
      <c r="F142" s="158"/>
      <c r="G142" s="158"/>
      <c r="H142" s="158"/>
      <c r="J142" s="56"/>
    </row>
    <row r="143" spans="1:17" x14ac:dyDescent="0.2">
      <c r="A143" s="54"/>
      <c r="B143" s="158" t="s">
        <v>854</v>
      </c>
      <c r="C143" s="158"/>
      <c r="D143" s="158"/>
      <c r="E143" s="158"/>
      <c r="F143" s="158"/>
      <c r="G143" s="158"/>
      <c r="H143" s="158"/>
      <c r="J143" s="56"/>
    </row>
    <row r="144" spans="1:17" s="58" customFormat="1" ht="54" customHeight="1" x14ac:dyDescent="0.25">
      <c r="A144" s="57"/>
      <c r="B144" s="159" t="s">
        <v>855</v>
      </c>
      <c r="C144" s="159"/>
      <c r="D144" s="159"/>
      <c r="E144" s="159"/>
      <c r="F144" s="159"/>
      <c r="G144" s="159"/>
      <c r="H144" s="159"/>
      <c r="I144"/>
      <c r="J144" s="56"/>
      <c r="K144"/>
      <c r="L144"/>
      <c r="M144"/>
      <c r="N144"/>
      <c r="O144"/>
      <c r="P144"/>
      <c r="Q144"/>
    </row>
    <row r="145" spans="1:10" x14ac:dyDescent="0.2">
      <c r="A145" s="54"/>
      <c r="B145" s="158" t="s">
        <v>856</v>
      </c>
      <c r="C145" s="158"/>
      <c r="D145" s="158"/>
      <c r="E145" s="158"/>
      <c r="F145" s="158"/>
      <c r="G145" s="158"/>
      <c r="H145" s="158"/>
      <c r="J145" s="56"/>
    </row>
    <row r="146" spans="1:10" x14ac:dyDescent="0.2">
      <c r="A146" s="54"/>
      <c r="B146" s="54"/>
      <c r="C146" s="54"/>
      <c r="D146" s="59"/>
      <c r="E146" s="59"/>
      <c r="F146" s="59"/>
      <c r="G146" s="59"/>
    </row>
    <row r="147" spans="1:10" x14ac:dyDescent="0.2">
      <c r="A147" s="54"/>
      <c r="B147" s="160" t="s">
        <v>170</v>
      </c>
      <c r="C147" s="161"/>
      <c r="D147" s="162"/>
      <c r="E147" s="60"/>
      <c r="F147" s="59"/>
      <c r="G147" s="59"/>
    </row>
    <row r="148" spans="1:10" ht="27.75" customHeight="1" x14ac:dyDescent="0.2">
      <c r="A148" s="54"/>
      <c r="B148" s="154" t="s">
        <v>171</v>
      </c>
      <c r="C148" s="155"/>
      <c r="D148" s="33" t="s">
        <v>172</v>
      </c>
      <c r="E148" s="60"/>
      <c r="F148" s="59"/>
      <c r="G148" s="59"/>
    </row>
    <row r="149" spans="1:10" ht="12.75" customHeight="1" x14ac:dyDescent="0.2">
      <c r="A149" s="54"/>
      <c r="B149" s="154" t="s">
        <v>857</v>
      </c>
      <c r="C149" s="155"/>
      <c r="D149" s="33" t="str">
        <f>"Rs. "&amp;TEXT(F79,"0.00")&amp;" lacs/ #"</f>
        <v>Rs. 0.00 lacs/ #</v>
      </c>
      <c r="E149" s="60"/>
      <c r="F149" s="59"/>
      <c r="G149" s="59"/>
    </row>
    <row r="150" spans="1:10" x14ac:dyDescent="0.2">
      <c r="A150" s="54"/>
      <c r="B150" s="154" t="s">
        <v>173</v>
      </c>
      <c r="C150" s="155"/>
      <c r="D150" s="61" t="s">
        <v>143</v>
      </c>
      <c r="E150" s="60"/>
      <c r="F150" s="59"/>
      <c r="G150" s="59"/>
    </row>
    <row r="151" spans="1:10" x14ac:dyDescent="0.2">
      <c r="A151" s="62"/>
      <c r="B151" s="63" t="s">
        <v>143</v>
      </c>
      <c r="C151" s="63" t="s">
        <v>858</v>
      </c>
      <c r="D151" s="63" t="s">
        <v>174</v>
      </c>
      <c r="E151" s="62"/>
      <c r="F151" s="62"/>
      <c r="G151" s="62"/>
      <c r="H151" s="62"/>
      <c r="J151" s="56"/>
    </row>
    <row r="152" spans="1:10" x14ac:dyDescent="0.2">
      <c r="A152" s="62"/>
      <c r="B152" s="64" t="s">
        <v>175</v>
      </c>
      <c r="C152" s="65">
        <v>45808</v>
      </c>
      <c r="D152" s="65">
        <v>45838</v>
      </c>
      <c r="E152" s="62"/>
      <c r="F152" s="62"/>
      <c r="G152" s="62"/>
      <c r="J152" s="56"/>
    </row>
    <row r="153" spans="1:10" x14ac:dyDescent="0.2">
      <c r="A153" s="66"/>
      <c r="B153" s="36" t="s">
        <v>176</v>
      </c>
      <c r="C153" s="67">
        <v>278.19290000000001</v>
      </c>
      <c r="D153" s="67">
        <v>289.44499999999999</v>
      </c>
      <c r="E153" s="66"/>
      <c r="F153" s="68"/>
      <c r="G153" s="69"/>
    </row>
    <row r="154" spans="1:10" x14ac:dyDescent="0.2">
      <c r="A154" s="66"/>
      <c r="B154" s="36" t="s">
        <v>1086</v>
      </c>
      <c r="C154" s="67">
        <v>39.117100000000001</v>
      </c>
      <c r="D154" s="67">
        <v>40.699300000000001</v>
      </c>
      <c r="E154" s="66"/>
      <c r="F154" s="68"/>
      <c r="G154" s="69"/>
    </row>
    <row r="155" spans="1:10" x14ac:dyDescent="0.2">
      <c r="A155" s="66"/>
      <c r="B155" s="36" t="s">
        <v>177</v>
      </c>
      <c r="C155" s="67">
        <v>251.65870000000001</v>
      </c>
      <c r="D155" s="67">
        <v>261.60520000000002</v>
      </c>
      <c r="E155" s="66"/>
      <c r="F155" s="68"/>
      <c r="G155" s="69"/>
    </row>
    <row r="156" spans="1:10" x14ac:dyDescent="0.2">
      <c r="A156" s="66"/>
      <c r="B156" s="36" t="s">
        <v>1087</v>
      </c>
      <c r="C156" s="67">
        <v>34.435400000000001</v>
      </c>
      <c r="D156" s="67">
        <v>35.796399999999998</v>
      </c>
      <c r="E156" s="66"/>
      <c r="F156" s="68"/>
      <c r="G156" s="69"/>
    </row>
    <row r="157" spans="1:10" x14ac:dyDescent="0.2">
      <c r="A157" s="66"/>
      <c r="B157" s="66"/>
      <c r="C157" s="66"/>
      <c r="D157" s="66"/>
      <c r="E157" s="66"/>
      <c r="F157" s="66"/>
      <c r="G157" s="66"/>
    </row>
    <row r="158" spans="1:10" x14ac:dyDescent="0.2">
      <c r="A158" s="62"/>
      <c r="B158" s="154" t="s">
        <v>860</v>
      </c>
      <c r="C158" s="155"/>
      <c r="D158" s="33" t="s">
        <v>172</v>
      </c>
      <c r="E158" s="62"/>
      <c r="F158" s="62"/>
      <c r="G158" s="62"/>
    </row>
    <row r="159" spans="1:10" x14ac:dyDescent="0.2">
      <c r="A159" s="62"/>
      <c r="B159" s="70"/>
      <c r="C159" s="70"/>
      <c r="D159" s="70"/>
      <c r="E159" s="62"/>
      <c r="F159" s="62"/>
      <c r="G159" s="62"/>
    </row>
    <row r="160" spans="1:10" ht="25.5" customHeight="1" x14ac:dyDescent="0.2">
      <c r="A160" s="62"/>
      <c r="B160" s="154" t="s">
        <v>178</v>
      </c>
      <c r="C160" s="155"/>
      <c r="D160" s="33" t="s">
        <v>172</v>
      </c>
      <c r="E160" s="71"/>
      <c r="F160" s="62"/>
      <c r="G160" s="62"/>
    </row>
    <row r="161" spans="1:10" ht="24.75" customHeight="1" x14ac:dyDescent="0.2">
      <c r="A161" s="62"/>
      <c r="B161" s="154" t="s">
        <v>179</v>
      </c>
      <c r="C161" s="155"/>
      <c r="D161" s="33" t="s">
        <v>172</v>
      </c>
      <c r="E161" s="71"/>
      <c r="F161" s="62"/>
      <c r="G161" s="62"/>
    </row>
    <row r="162" spans="1:10" x14ac:dyDescent="0.2">
      <c r="A162" s="62"/>
      <c r="B162" s="154" t="s">
        <v>180</v>
      </c>
      <c r="C162" s="155"/>
      <c r="D162" s="33" t="s">
        <v>172</v>
      </c>
      <c r="E162" s="71"/>
      <c r="F162" s="62"/>
      <c r="G162" s="62"/>
    </row>
    <row r="163" spans="1:10" x14ac:dyDescent="0.2">
      <c r="A163" s="62"/>
      <c r="B163" s="154" t="s">
        <v>181</v>
      </c>
      <c r="C163" s="155"/>
      <c r="D163" s="72">
        <v>0.82301375798794785</v>
      </c>
      <c r="E163" s="62"/>
      <c r="F163" s="55"/>
      <c r="G163" s="73"/>
    </row>
    <row r="165" spans="1:10" x14ac:dyDescent="0.2">
      <c r="B165" s="156" t="s">
        <v>861</v>
      </c>
      <c r="C165" s="156"/>
    </row>
    <row r="167" spans="1:10" ht="153.75" customHeight="1" x14ac:dyDescent="0.2"/>
    <row r="170" spans="1:10" x14ac:dyDescent="0.2">
      <c r="B170" s="79" t="s">
        <v>862</v>
      </c>
      <c r="C170" s="80"/>
      <c r="D170" s="79" t="s">
        <v>865</v>
      </c>
    </row>
    <row r="171" spans="1:10" x14ac:dyDescent="0.2">
      <c r="B171" s="79" t="s">
        <v>876</v>
      </c>
      <c r="D171" s="79" t="s">
        <v>877</v>
      </c>
    </row>
    <row r="172" spans="1:10" ht="165" customHeight="1" x14ac:dyDescent="0.2"/>
    <row r="174" spans="1:10" x14ac:dyDescent="0.2">
      <c r="J174" s="31"/>
    </row>
  </sheetData>
  <mergeCells count="18">
    <mergeCell ref="A1:H1"/>
    <mergeCell ref="A2:H2"/>
    <mergeCell ref="A3:H3"/>
    <mergeCell ref="B141:H141"/>
    <mergeCell ref="B142:H142"/>
    <mergeCell ref="B143:H143"/>
    <mergeCell ref="B144:H144"/>
    <mergeCell ref="B145:H145"/>
    <mergeCell ref="B147:D147"/>
    <mergeCell ref="B148:C148"/>
    <mergeCell ref="B149:C149"/>
    <mergeCell ref="B150:C150"/>
    <mergeCell ref="B165:C165"/>
    <mergeCell ref="B158:C158"/>
    <mergeCell ref="B162:C162"/>
    <mergeCell ref="B163:C163"/>
    <mergeCell ref="B160:C160"/>
    <mergeCell ref="B161:C161"/>
  </mergeCells>
  <hyperlinks>
    <hyperlink ref="I1" location="Index!B2" display="Index" xr:uid="{EED1E709-FF80-40D9-9FE4-B70E2BC181A8}"/>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3508D-36F8-4F96-B6EF-35449948E3A0}">
  <sheetPr>
    <outlinePr summaryBelow="0" summaryRight="0"/>
  </sheetPr>
  <dimension ref="A1:Q285"/>
  <sheetViews>
    <sheetView showGridLines="0" workbookViewId="0">
      <selection sqref="A1:H1"/>
    </sheetView>
  </sheetViews>
  <sheetFormatPr defaultRowHeight="12.75" x14ac:dyDescent="0.2"/>
  <cols>
    <col min="1" max="1" width="6.85546875" customWidth="1"/>
    <col min="2" max="2" width="20.5703125" customWidth="1"/>
    <col min="3" max="3" width="41"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502</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1046</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322</v>
      </c>
      <c r="C7" s="36" t="s">
        <v>323</v>
      </c>
      <c r="D7" s="36" t="s">
        <v>33</v>
      </c>
      <c r="E7" s="37">
        <v>2335098</v>
      </c>
      <c r="F7" s="38">
        <v>46736.986470000003</v>
      </c>
      <c r="G7" s="39">
        <v>7.2702710000000004E-2</v>
      </c>
      <c r="H7" s="34" t="s">
        <v>143</v>
      </c>
    </row>
    <row r="8" spans="1:9" x14ac:dyDescent="0.2">
      <c r="A8" s="35">
        <v>2</v>
      </c>
      <c r="B8" s="36" t="s">
        <v>14</v>
      </c>
      <c r="C8" s="36" t="s">
        <v>15</v>
      </c>
      <c r="D8" s="36" t="s">
        <v>16</v>
      </c>
      <c r="E8" s="37">
        <v>2295600</v>
      </c>
      <c r="F8" s="38">
        <v>34447.7736</v>
      </c>
      <c r="G8" s="39">
        <v>5.3585960000000002E-2</v>
      </c>
      <c r="H8" s="34" t="s">
        <v>143</v>
      </c>
    </row>
    <row r="9" spans="1:9" x14ac:dyDescent="0.2">
      <c r="A9" s="35">
        <v>3</v>
      </c>
      <c r="B9" s="36" t="s">
        <v>31</v>
      </c>
      <c r="C9" s="36" t="s">
        <v>32</v>
      </c>
      <c r="D9" s="36" t="s">
        <v>33</v>
      </c>
      <c r="E9" s="37">
        <v>2365280</v>
      </c>
      <c r="F9" s="38">
        <v>34197.218240000002</v>
      </c>
      <c r="G9" s="39">
        <v>5.3196210000000001E-2</v>
      </c>
      <c r="H9" s="34" t="s">
        <v>143</v>
      </c>
    </row>
    <row r="10" spans="1:9" x14ac:dyDescent="0.2">
      <c r="A10" s="35">
        <v>4</v>
      </c>
      <c r="B10" s="36" t="s">
        <v>11</v>
      </c>
      <c r="C10" s="36" t="s">
        <v>12</v>
      </c>
      <c r="D10" s="36" t="s">
        <v>13</v>
      </c>
      <c r="E10" s="37">
        <v>1083260</v>
      </c>
      <c r="F10" s="38">
        <v>21769.19296</v>
      </c>
      <c r="G10" s="39">
        <v>3.3863530000000003E-2</v>
      </c>
      <c r="H10" s="34" t="s">
        <v>143</v>
      </c>
    </row>
    <row r="11" spans="1:9" x14ac:dyDescent="0.2">
      <c r="A11" s="35">
        <v>5</v>
      </c>
      <c r="B11" s="36" t="s">
        <v>46</v>
      </c>
      <c r="C11" s="36" t="s">
        <v>47</v>
      </c>
      <c r="D11" s="36" t="s">
        <v>33</v>
      </c>
      <c r="E11" s="37">
        <v>2238510</v>
      </c>
      <c r="F11" s="38">
        <v>18363.616784999998</v>
      </c>
      <c r="G11" s="39">
        <v>2.856591E-2</v>
      </c>
      <c r="H11" s="34" t="s">
        <v>143</v>
      </c>
    </row>
    <row r="12" spans="1:9" x14ac:dyDescent="0.2">
      <c r="A12" s="35">
        <v>6</v>
      </c>
      <c r="B12" s="36" t="s">
        <v>326</v>
      </c>
      <c r="C12" s="36" t="s">
        <v>327</v>
      </c>
      <c r="D12" s="36" t="s">
        <v>33</v>
      </c>
      <c r="E12" s="37">
        <v>698011</v>
      </c>
      <c r="F12" s="38">
        <v>15101.467984999999</v>
      </c>
      <c r="G12" s="39">
        <v>2.3491410000000001E-2</v>
      </c>
      <c r="H12" s="34" t="s">
        <v>143</v>
      </c>
    </row>
    <row r="13" spans="1:9" x14ac:dyDescent="0.2">
      <c r="A13" s="35">
        <v>7</v>
      </c>
      <c r="B13" s="36" t="s">
        <v>328</v>
      </c>
      <c r="C13" s="36" t="s">
        <v>329</v>
      </c>
      <c r="D13" s="36" t="s">
        <v>198</v>
      </c>
      <c r="E13" s="37">
        <v>909035</v>
      </c>
      <c r="F13" s="38">
        <v>14560.922629999999</v>
      </c>
      <c r="G13" s="39">
        <v>2.2650549999999998E-2</v>
      </c>
      <c r="H13" s="34" t="s">
        <v>143</v>
      </c>
    </row>
    <row r="14" spans="1:9" x14ac:dyDescent="0.2">
      <c r="A14" s="35">
        <v>8</v>
      </c>
      <c r="B14" s="36" t="s">
        <v>324</v>
      </c>
      <c r="C14" s="36" t="s">
        <v>325</v>
      </c>
      <c r="D14" s="36" t="s">
        <v>33</v>
      </c>
      <c r="E14" s="37">
        <v>1173644</v>
      </c>
      <c r="F14" s="38">
        <v>14074.338847999999</v>
      </c>
      <c r="G14" s="39">
        <v>2.1893639999999999E-2</v>
      </c>
      <c r="H14" s="34" t="s">
        <v>143</v>
      </c>
    </row>
    <row r="15" spans="1:9" x14ac:dyDescent="0.2">
      <c r="A15" s="35">
        <v>9</v>
      </c>
      <c r="B15" s="36" t="s">
        <v>338</v>
      </c>
      <c r="C15" s="36" t="s">
        <v>339</v>
      </c>
      <c r="D15" s="36" t="s">
        <v>251</v>
      </c>
      <c r="E15" s="37">
        <v>384400</v>
      </c>
      <c r="F15" s="38">
        <v>12236.220799999999</v>
      </c>
      <c r="G15" s="39">
        <v>1.9034309999999999E-2</v>
      </c>
      <c r="H15" s="34" t="s">
        <v>143</v>
      </c>
    </row>
    <row r="16" spans="1:9" x14ac:dyDescent="0.2">
      <c r="A16" s="35">
        <v>10</v>
      </c>
      <c r="B16" s="36" t="s">
        <v>17</v>
      </c>
      <c r="C16" s="36" t="s">
        <v>18</v>
      </c>
      <c r="D16" s="36" t="s">
        <v>19</v>
      </c>
      <c r="E16" s="37">
        <v>311149</v>
      </c>
      <c r="F16" s="38">
        <v>11418.546001999999</v>
      </c>
      <c r="G16" s="39">
        <v>1.7762360000000001E-2</v>
      </c>
      <c r="H16" s="34" t="s">
        <v>143</v>
      </c>
    </row>
    <row r="17" spans="1:8" x14ac:dyDescent="0.2">
      <c r="A17" s="35">
        <v>11</v>
      </c>
      <c r="B17" s="36" t="s">
        <v>188</v>
      </c>
      <c r="C17" s="36" t="s">
        <v>189</v>
      </c>
      <c r="D17" s="36" t="s">
        <v>55</v>
      </c>
      <c r="E17" s="37">
        <v>1850000</v>
      </c>
      <c r="F17" s="38">
        <v>10283.225</v>
      </c>
      <c r="G17" s="39">
        <v>1.599629E-2</v>
      </c>
      <c r="H17" s="34" t="s">
        <v>143</v>
      </c>
    </row>
    <row r="18" spans="1:8" x14ac:dyDescent="0.2">
      <c r="A18" s="35">
        <v>12</v>
      </c>
      <c r="B18" s="36" t="s">
        <v>429</v>
      </c>
      <c r="C18" s="36" t="s">
        <v>430</v>
      </c>
      <c r="D18" s="36" t="s">
        <v>198</v>
      </c>
      <c r="E18" s="37">
        <v>563630</v>
      </c>
      <c r="F18" s="38">
        <v>9742.9081800000004</v>
      </c>
      <c r="G18" s="39">
        <v>1.5155790000000001E-2</v>
      </c>
      <c r="H18" s="34" t="s">
        <v>143</v>
      </c>
    </row>
    <row r="19" spans="1:8" x14ac:dyDescent="0.2">
      <c r="A19" s="35">
        <v>13</v>
      </c>
      <c r="B19" s="36" t="s">
        <v>277</v>
      </c>
      <c r="C19" s="36" t="s">
        <v>278</v>
      </c>
      <c r="D19" s="36" t="s">
        <v>192</v>
      </c>
      <c r="E19" s="37">
        <v>1372500</v>
      </c>
      <c r="F19" s="38">
        <v>9701.5162500000006</v>
      </c>
      <c r="G19" s="39">
        <v>1.50914E-2</v>
      </c>
      <c r="H19" s="34" t="s">
        <v>143</v>
      </c>
    </row>
    <row r="20" spans="1:8" x14ac:dyDescent="0.2">
      <c r="A20" s="35">
        <v>14</v>
      </c>
      <c r="B20" s="36" t="s">
        <v>332</v>
      </c>
      <c r="C20" s="36" t="s">
        <v>333</v>
      </c>
      <c r="D20" s="36" t="s">
        <v>192</v>
      </c>
      <c r="E20" s="37">
        <v>1013640</v>
      </c>
      <c r="F20" s="38">
        <v>9492.7386000000006</v>
      </c>
      <c r="G20" s="39">
        <v>1.4766629999999999E-2</v>
      </c>
      <c r="H20" s="34" t="s">
        <v>143</v>
      </c>
    </row>
    <row r="21" spans="1:8" x14ac:dyDescent="0.2">
      <c r="A21" s="35">
        <v>15</v>
      </c>
      <c r="B21" s="36" t="s">
        <v>53</v>
      </c>
      <c r="C21" s="36" t="s">
        <v>54</v>
      </c>
      <c r="D21" s="36" t="s">
        <v>55</v>
      </c>
      <c r="E21" s="37">
        <v>123705</v>
      </c>
      <c r="F21" s="38">
        <v>8374.2099749999998</v>
      </c>
      <c r="G21" s="39">
        <v>1.3026680000000001E-2</v>
      </c>
      <c r="H21" s="34" t="s">
        <v>143</v>
      </c>
    </row>
    <row r="22" spans="1:8" ht="25.5" x14ac:dyDescent="0.2">
      <c r="A22" s="35">
        <v>16</v>
      </c>
      <c r="B22" s="36" t="s">
        <v>183</v>
      </c>
      <c r="C22" s="36" t="s">
        <v>184</v>
      </c>
      <c r="D22" s="36" t="s">
        <v>185</v>
      </c>
      <c r="E22" s="37">
        <v>330000</v>
      </c>
      <c r="F22" s="38">
        <v>8267.16</v>
      </c>
      <c r="G22" s="39">
        <v>1.2860160000000001E-2</v>
      </c>
      <c r="H22" s="34" t="s">
        <v>143</v>
      </c>
    </row>
    <row r="23" spans="1:8" x14ac:dyDescent="0.2">
      <c r="A23" s="35">
        <v>17</v>
      </c>
      <c r="B23" s="36" t="s">
        <v>444</v>
      </c>
      <c r="C23" s="36" t="s">
        <v>445</v>
      </c>
      <c r="D23" s="36" t="s">
        <v>354</v>
      </c>
      <c r="E23" s="37">
        <v>349853</v>
      </c>
      <c r="F23" s="38">
        <v>8027.7269379999998</v>
      </c>
      <c r="G23" s="39">
        <v>1.2487699999999999E-2</v>
      </c>
      <c r="H23" s="34" t="s">
        <v>143</v>
      </c>
    </row>
    <row r="24" spans="1:8" x14ac:dyDescent="0.2">
      <c r="A24" s="35">
        <v>18</v>
      </c>
      <c r="B24" s="36" t="s">
        <v>37</v>
      </c>
      <c r="C24" s="36" t="s">
        <v>38</v>
      </c>
      <c r="D24" s="36" t="s">
        <v>16</v>
      </c>
      <c r="E24" s="37">
        <v>2056236</v>
      </c>
      <c r="F24" s="38">
        <v>6825.6754019999998</v>
      </c>
      <c r="G24" s="39">
        <v>1.061782E-2</v>
      </c>
      <c r="H24" s="34" t="s">
        <v>143</v>
      </c>
    </row>
    <row r="25" spans="1:8" x14ac:dyDescent="0.2">
      <c r="A25" s="35">
        <v>19</v>
      </c>
      <c r="B25" s="36" t="s">
        <v>503</v>
      </c>
      <c r="C25" s="36" t="s">
        <v>504</v>
      </c>
      <c r="D25" s="36" t="s">
        <v>251</v>
      </c>
      <c r="E25" s="37">
        <v>53768</v>
      </c>
      <c r="F25" s="38">
        <v>6667.232</v>
      </c>
      <c r="G25" s="39">
        <v>1.037135E-2</v>
      </c>
      <c r="H25" s="34" t="s">
        <v>143</v>
      </c>
    </row>
    <row r="26" spans="1:8" ht="25.5" x14ac:dyDescent="0.2">
      <c r="A26" s="35">
        <v>20</v>
      </c>
      <c r="B26" s="36" t="s">
        <v>438</v>
      </c>
      <c r="C26" s="36" t="s">
        <v>439</v>
      </c>
      <c r="D26" s="36" t="s">
        <v>209</v>
      </c>
      <c r="E26" s="37">
        <v>600530</v>
      </c>
      <c r="F26" s="38">
        <v>6599.2241700000004</v>
      </c>
      <c r="G26" s="39">
        <v>1.026556E-2</v>
      </c>
      <c r="H26" s="34" t="s">
        <v>143</v>
      </c>
    </row>
    <row r="27" spans="1:8" x14ac:dyDescent="0.2">
      <c r="A27" s="35">
        <v>21</v>
      </c>
      <c r="B27" s="36" t="s">
        <v>97</v>
      </c>
      <c r="C27" s="36" t="s">
        <v>98</v>
      </c>
      <c r="D27" s="36" t="s">
        <v>73</v>
      </c>
      <c r="E27" s="37">
        <v>166909</v>
      </c>
      <c r="F27" s="38">
        <v>5673.9045459999998</v>
      </c>
      <c r="G27" s="39">
        <v>8.8261599999999996E-3</v>
      </c>
      <c r="H27" s="34" t="s">
        <v>143</v>
      </c>
    </row>
    <row r="28" spans="1:8" x14ac:dyDescent="0.2">
      <c r="A28" s="35">
        <v>22</v>
      </c>
      <c r="B28" s="36" t="s">
        <v>39</v>
      </c>
      <c r="C28" s="36" t="s">
        <v>40</v>
      </c>
      <c r="D28" s="36" t="s">
        <v>22</v>
      </c>
      <c r="E28" s="37">
        <v>1393000</v>
      </c>
      <c r="F28" s="38">
        <v>5647.9184999999998</v>
      </c>
      <c r="G28" s="39">
        <v>8.7857400000000002E-3</v>
      </c>
      <c r="H28" s="34" t="s">
        <v>143</v>
      </c>
    </row>
    <row r="29" spans="1:8" x14ac:dyDescent="0.2">
      <c r="A29" s="35">
        <v>23</v>
      </c>
      <c r="B29" s="36" t="s">
        <v>433</v>
      </c>
      <c r="C29" s="36" t="s">
        <v>434</v>
      </c>
      <c r="D29" s="36" t="s">
        <v>198</v>
      </c>
      <c r="E29" s="37">
        <v>160788</v>
      </c>
      <c r="F29" s="38">
        <v>5566.48056</v>
      </c>
      <c r="G29" s="39">
        <v>8.6590599999999997E-3</v>
      </c>
      <c r="H29" s="34" t="s">
        <v>143</v>
      </c>
    </row>
    <row r="30" spans="1:8" ht="25.5" x14ac:dyDescent="0.2">
      <c r="A30" s="35">
        <v>24</v>
      </c>
      <c r="B30" s="36" t="s">
        <v>342</v>
      </c>
      <c r="C30" s="36" t="s">
        <v>343</v>
      </c>
      <c r="D30" s="36" t="s">
        <v>25</v>
      </c>
      <c r="E30" s="37">
        <v>193610</v>
      </c>
      <c r="F30" s="38">
        <v>5507.2364500000003</v>
      </c>
      <c r="G30" s="39">
        <v>8.5669000000000006E-3</v>
      </c>
      <c r="H30" s="34" t="s">
        <v>143</v>
      </c>
    </row>
    <row r="31" spans="1:8" ht="25.5" x14ac:dyDescent="0.2">
      <c r="A31" s="35">
        <v>25</v>
      </c>
      <c r="B31" s="36" t="s">
        <v>23</v>
      </c>
      <c r="C31" s="36" t="s">
        <v>24</v>
      </c>
      <c r="D31" s="36" t="s">
        <v>25</v>
      </c>
      <c r="E31" s="37">
        <v>45290</v>
      </c>
      <c r="F31" s="38">
        <v>5476.9197000000004</v>
      </c>
      <c r="G31" s="39">
        <v>8.5197399999999996E-3</v>
      </c>
      <c r="H31" s="34" t="s">
        <v>143</v>
      </c>
    </row>
    <row r="32" spans="1:8" x14ac:dyDescent="0.2">
      <c r="A32" s="35">
        <v>26</v>
      </c>
      <c r="B32" s="36" t="s">
        <v>26</v>
      </c>
      <c r="C32" s="36" t="s">
        <v>27</v>
      </c>
      <c r="D32" s="36" t="s">
        <v>28</v>
      </c>
      <c r="E32" s="37">
        <v>1213159</v>
      </c>
      <c r="F32" s="38">
        <v>5113.465185</v>
      </c>
      <c r="G32" s="39">
        <v>7.9543600000000006E-3</v>
      </c>
      <c r="H32" s="34" t="s">
        <v>143</v>
      </c>
    </row>
    <row r="33" spans="1:8" x14ac:dyDescent="0.2">
      <c r="A33" s="35">
        <v>27</v>
      </c>
      <c r="B33" s="36" t="s">
        <v>505</v>
      </c>
      <c r="C33" s="36" t="s">
        <v>506</v>
      </c>
      <c r="D33" s="36" t="s">
        <v>192</v>
      </c>
      <c r="E33" s="37">
        <v>365785</v>
      </c>
      <c r="F33" s="38">
        <v>5042.3462250000002</v>
      </c>
      <c r="G33" s="39">
        <v>7.8437300000000001E-3</v>
      </c>
      <c r="H33" s="34" t="s">
        <v>143</v>
      </c>
    </row>
    <row r="34" spans="1:8" x14ac:dyDescent="0.2">
      <c r="A34" s="35">
        <v>28</v>
      </c>
      <c r="B34" s="36" t="s">
        <v>219</v>
      </c>
      <c r="C34" s="36" t="s">
        <v>220</v>
      </c>
      <c r="D34" s="36" t="s">
        <v>221</v>
      </c>
      <c r="E34" s="37">
        <v>715733</v>
      </c>
      <c r="F34" s="38">
        <v>5023.0141940000003</v>
      </c>
      <c r="G34" s="39">
        <v>7.81366E-3</v>
      </c>
      <c r="H34" s="34" t="s">
        <v>143</v>
      </c>
    </row>
    <row r="35" spans="1:8" ht="25.5" x14ac:dyDescent="0.2">
      <c r="A35" s="35">
        <v>29</v>
      </c>
      <c r="B35" s="36" t="s">
        <v>348</v>
      </c>
      <c r="C35" s="36" t="s">
        <v>349</v>
      </c>
      <c r="D35" s="36" t="s">
        <v>201</v>
      </c>
      <c r="E35" s="37">
        <v>294800</v>
      </c>
      <c r="F35" s="38">
        <v>4939.9636</v>
      </c>
      <c r="G35" s="39">
        <v>7.6844699999999997E-3</v>
      </c>
      <c r="H35" s="34" t="s">
        <v>143</v>
      </c>
    </row>
    <row r="36" spans="1:8" x14ac:dyDescent="0.2">
      <c r="A36" s="35">
        <v>30</v>
      </c>
      <c r="B36" s="36" t="s">
        <v>507</v>
      </c>
      <c r="C36" s="36" t="s">
        <v>508</v>
      </c>
      <c r="D36" s="36" t="s">
        <v>226</v>
      </c>
      <c r="E36" s="37">
        <v>345030</v>
      </c>
      <c r="F36" s="38">
        <v>4927.3734299999996</v>
      </c>
      <c r="G36" s="39">
        <v>7.6648799999999998E-3</v>
      </c>
      <c r="H36" s="34" t="s">
        <v>143</v>
      </c>
    </row>
    <row r="37" spans="1:8" x14ac:dyDescent="0.2">
      <c r="A37" s="35">
        <v>31</v>
      </c>
      <c r="B37" s="36" t="s">
        <v>271</v>
      </c>
      <c r="C37" s="36" t="s">
        <v>272</v>
      </c>
      <c r="D37" s="36" t="s">
        <v>43</v>
      </c>
      <c r="E37" s="37">
        <v>427474</v>
      </c>
      <c r="F37" s="38">
        <v>4720.5953820000004</v>
      </c>
      <c r="G37" s="39">
        <v>7.3432200000000001E-3</v>
      </c>
      <c r="H37" s="34" t="s">
        <v>143</v>
      </c>
    </row>
    <row r="38" spans="1:8" x14ac:dyDescent="0.2">
      <c r="A38" s="35">
        <v>32</v>
      </c>
      <c r="B38" s="36" t="s">
        <v>509</v>
      </c>
      <c r="C38" s="36" t="s">
        <v>510</v>
      </c>
      <c r="D38" s="36" t="s">
        <v>251</v>
      </c>
      <c r="E38" s="37">
        <v>110700</v>
      </c>
      <c r="F38" s="38">
        <v>4690.4696999999996</v>
      </c>
      <c r="G38" s="39">
        <v>7.29636E-3</v>
      </c>
      <c r="H38" s="34" t="s">
        <v>143</v>
      </c>
    </row>
    <row r="39" spans="1:8" x14ac:dyDescent="0.2">
      <c r="A39" s="35">
        <v>33</v>
      </c>
      <c r="B39" s="36" t="s">
        <v>50</v>
      </c>
      <c r="C39" s="36" t="s">
        <v>51</v>
      </c>
      <c r="D39" s="36" t="s">
        <v>52</v>
      </c>
      <c r="E39" s="37">
        <v>77600</v>
      </c>
      <c r="F39" s="38">
        <v>4637.7640000000001</v>
      </c>
      <c r="G39" s="39">
        <v>7.2143700000000003E-3</v>
      </c>
      <c r="H39" s="34" t="s">
        <v>143</v>
      </c>
    </row>
    <row r="40" spans="1:8" x14ac:dyDescent="0.2">
      <c r="A40" s="35">
        <v>34</v>
      </c>
      <c r="B40" s="36" t="s">
        <v>470</v>
      </c>
      <c r="C40" s="36" t="s">
        <v>471</v>
      </c>
      <c r="D40" s="36" t="s">
        <v>43</v>
      </c>
      <c r="E40" s="37">
        <v>125217</v>
      </c>
      <c r="F40" s="38">
        <v>4612.9942799999999</v>
      </c>
      <c r="G40" s="39">
        <v>7.1758400000000002E-3</v>
      </c>
      <c r="H40" s="34" t="s">
        <v>143</v>
      </c>
    </row>
    <row r="41" spans="1:8" ht="25.5" x14ac:dyDescent="0.2">
      <c r="A41" s="35">
        <v>35</v>
      </c>
      <c r="B41" s="36" t="s">
        <v>261</v>
      </c>
      <c r="C41" s="36" t="s">
        <v>262</v>
      </c>
      <c r="D41" s="36" t="s">
        <v>201</v>
      </c>
      <c r="E41" s="37">
        <v>198000</v>
      </c>
      <c r="F41" s="38">
        <v>4593.2039999999997</v>
      </c>
      <c r="G41" s="39">
        <v>7.14506E-3</v>
      </c>
      <c r="H41" s="34" t="s">
        <v>143</v>
      </c>
    </row>
    <row r="42" spans="1:8" x14ac:dyDescent="0.2">
      <c r="A42" s="35">
        <v>36</v>
      </c>
      <c r="B42" s="36" t="s">
        <v>309</v>
      </c>
      <c r="C42" s="36" t="s">
        <v>310</v>
      </c>
      <c r="D42" s="36" t="s">
        <v>206</v>
      </c>
      <c r="E42" s="37">
        <v>102375</v>
      </c>
      <c r="F42" s="38">
        <v>4392.0922499999997</v>
      </c>
      <c r="G42" s="39">
        <v>6.83221E-3</v>
      </c>
      <c r="H42" s="34" t="s">
        <v>143</v>
      </c>
    </row>
    <row r="43" spans="1:8" ht="25.5" x14ac:dyDescent="0.2">
      <c r="A43" s="35">
        <v>37</v>
      </c>
      <c r="B43" s="36" t="s">
        <v>207</v>
      </c>
      <c r="C43" s="36" t="s">
        <v>208</v>
      </c>
      <c r="D43" s="36" t="s">
        <v>209</v>
      </c>
      <c r="E43" s="37">
        <v>605000</v>
      </c>
      <c r="F43" s="38">
        <v>4370.2174999999997</v>
      </c>
      <c r="G43" s="39">
        <v>6.79818E-3</v>
      </c>
      <c r="H43" s="34" t="s">
        <v>143</v>
      </c>
    </row>
    <row r="44" spans="1:8" x14ac:dyDescent="0.2">
      <c r="A44" s="35">
        <v>38</v>
      </c>
      <c r="B44" s="36" t="s">
        <v>352</v>
      </c>
      <c r="C44" s="36" t="s">
        <v>353</v>
      </c>
      <c r="D44" s="36" t="s">
        <v>354</v>
      </c>
      <c r="E44" s="37">
        <v>1044325</v>
      </c>
      <c r="F44" s="38">
        <v>4349.0914624999996</v>
      </c>
      <c r="G44" s="39">
        <v>6.76532E-3</v>
      </c>
      <c r="H44" s="34" t="s">
        <v>143</v>
      </c>
    </row>
    <row r="45" spans="1:8" x14ac:dyDescent="0.2">
      <c r="A45" s="35">
        <v>39</v>
      </c>
      <c r="B45" s="36" t="s">
        <v>511</v>
      </c>
      <c r="C45" s="36" t="s">
        <v>512</v>
      </c>
      <c r="D45" s="36" t="s">
        <v>251</v>
      </c>
      <c r="E45" s="37">
        <v>51823</v>
      </c>
      <c r="F45" s="38">
        <v>4340.6944800000001</v>
      </c>
      <c r="G45" s="39">
        <v>6.7522600000000004E-3</v>
      </c>
      <c r="H45" s="34" t="s">
        <v>143</v>
      </c>
    </row>
    <row r="46" spans="1:8" ht="25.5" x14ac:dyDescent="0.2">
      <c r="A46" s="35">
        <v>40</v>
      </c>
      <c r="B46" s="36" t="s">
        <v>281</v>
      </c>
      <c r="C46" s="36" t="s">
        <v>282</v>
      </c>
      <c r="D46" s="36" t="s">
        <v>201</v>
      </c>
      <c r="E46" s="37">
        <v>436510</v>
      </c>
      <c r="F46" s="38">
        <v>4321.2307449999998</v>
      </c>
      <c r="G46" s="39">
        <v>6.7219799999999998E-3</v>
      </c>
      <c r="H46" s="34" t="s">
        <v>143</v>
      </c>
    </row>
    <row r="47" spans="1:8" x14ac:dyDescent="0.2">
      <c r="A47" s="35">
        <v>41</v>
      </c>
      <c r="B47" s="36" t="s">
        <v>204</v>
      </c>
      <c r="C47" s="36" t="s">
        <v>205</v>
      </c>
      <c r="D47" s="36" t="s">
        <v>206</v>
      </c>
      <c r="E47" s="37">
        <v>154710</v>
      </c>
      <c r="F47" s="38">
        <v>4285.6217100000003</v>
      </c>
      <c r="G47" s="39">
        <v>6.66659E-3</v>
      </c>
      <c r="H47" s="34" t="s">
        <v>143</v>
      </c>
    </row>
    <row r="48" spans="1:8" x14ac:dyDescent="0.2">
      <c r="A48" s="35">
        <v>42</v>
      </c>
      <c r="B48" s="36" t="s">
        <v>431</v>
      </c>
      <c r="C48" s="36" t="s">
        <v>432</v>
      </c>
      <c r="D48" s="36" t="s">
        <v>256</v>
      </c>
      <c r="E48" s="37">
        <v>226875</v>
      </c>
      <c r="F48" s="38">
        <v>4170.6431249999996</v>
      </c>
      <c r="G48" s="39">
        <v>6.4877299999999997E-3</v>
      </c>
      <c r="H48" s="34" t="s">
        <v>143</v>
      </c>
    </row>
    <row r="49" spans="1:8" x14ac:dyDescent="0.2">
      <c r="A49" s="35">
        <v>43</v>
      </c>
      <c r="B49" s="36" t="s">
        <v>513</v>
      </c>
      <c r="C49" s="36" t="s">
        <v>514</v>
      </c>
      <c r="D49" s="36" t="s">
        <v>198</v>
      </c>
      <c r="E49" s="37">
        <v>242537</v>
      </c>
      <c r="F49" s="38">
        <v>4091.5991899999999</v>
      </c>
      <c r="G49" s="39">
        <v>6.3647699999999996E-3</v>
      </c>
      <c r="H49" s="34" t="s">
        <v>143</v>
      </c>
    </row>
    <row r="50" spans="1:8" x14ac:dyDescent="0.2">
      <c r="A50" s="35">
        <v>44</v>
      </c>
      <c r="B50" s="36" t="s">
        <v>193</v>
      </c>
      <c r="C50" s="36" t="s">
        <v>194</v>
      </c>
      <c r="D50" s="36" t="s">
        <v>195</v>
      </c>
      <c r="E50" s="37">
        <v>500000</v>
      </c>
      <c r="F50" s="38">
        <v>3972.5</v>
      </c>
      <c r="G50" s="39">
        <v>6.17951E-3</v>
      </c>
      <c r="H50" s="34" t="s">
        <v>143</v>
      </c>
    </row>
    <row r="51" spans="1:8" ht="25.5" x14ac:dyDescent="0.2">
      <c r="A51" s="35">
        <v>45</v>
      </c>
      <c r="B51" s="36" t="s">
        <v>48</v>
      </c>
      <c r="C51" s="36" t="s">
        <v>49</v>
      </c>
      <c r="D51" s="36" t="s">
        <v>25</v>
      </c>
      <c r="E51" s="37">
        <v>63210</v>
      </c>
      <c r="F51" s="38">
        <v>3887.415</v>
      </c>
      <c r="G51" s="39">
        <v>6.0471500000000003E-3</v>
      </c>
      <c r="H51" s="34" t="s">
        <v>143</v>
      </c>
    </row>
    <row r="52" spans="1:8" ht="25.5" x14ac:dyDescent="0.2">
      <c r="A52" s="35">
        <v>46</v>
      </c>
      <c r="B52" s="36" t="s">
        <v>199</v>
      </c>
      <c r="C52" s="36" t="s">
        <v>200</v>
      </c>
      <c r="D52" s="36" t="s">
        <v>201</v>
      </c>
      <c r="E52" s="37">
        <v>195000</v>
      </c>
      <c r="F52" s="38">
        <v>3779.1</v>
      </c>
      <c r="G52" s="39">
        <v>5.87866E-3</v>
      </c>
      <c r="H52" s="34" t="s">
        <v>143</v>
      </c>
    </row>
    <row r="53" spans="1:8" x14ac:dyDescent="0.2">
      <c r="A53" s="35">
        <v>47</v>
      </c>
      <c r="B53" s="36" t="s">
        <v>357</v>
      </c>
      <c r="C53" s="36" t="s">
        <v>358</v>
      </c>
      <c r="D53" s="36" t="s">
        <v>226</v>
      </c>
      <c r="E53" s="37">
        <v>806385</v>
      </c>
      <c r="F53" s="38">
        <v>3689.6145674999998</v>
      </c>
      <c r="G53" s="39">
        <v>5.73946E-3</v>
      </c>
      <c r="H53" s="34" t="s">
        <v>143</v>
      </c>
    </row>
    <row r="54" spans="1:8" x14ac:dyDescent="0.2">
      <c r="A54" s="35">
        <v>48</v>
      </c>
      <c r="B54" s="36" t="s">
        <v>62</v>
      </c>
      <c r="C54" s="36" t="s">
        <v>63</v>
      </c>
      <c r="D54" s="36" t="s">
        <v>13</v>
      </c>
      <c r="E54" s="37">
        <v>748686</v>
      </c>
      <c r="F54" s="38">
        <v>3152.7167460000001</v>
      </c>
      <c r="G54" s="39">
        <v>4.9042799999999996E-3</v>
      </c>
      <c r="H54" s="34" t="s">
        <v>143</v>
      </c>
    </row>
    <row r="55" spans="1:8" x14ac:dyDescent="0.2">
      <c r="A55" s="35">
        <v>49</v>
      </c>
      <c r="B55" s="36" t="s">
        <v>515</v>
      </c>
      <c r="C55" s="36" t="s">
        <v>516</v>
      </c>
      <c r="D55" s="36" t="s">
        <v>43</v>
      </c>
      <c r="E55" s="37">
        <v>289043</v>
      </c>
      <c r="F55" s="38">
        <v>2788.397821</v>
      </c>
      <c r="G55" s="39">
        <v>4.3375499999999999E-3</v>
      </c>
      <c r="H55" s="34" t="s">
        <v>143</v>
      </c>
    </row>
    <row r="56" spans="1:8" x14ac:dyDescent="0.2">
      <c r="A56" s="35">
        <v>50</v>
      </c>
      <c r="B56" s="36" t="s">
        <v>137</v>
      </c>
      <c r="C56" s="36" t="s">
        <v>138</v>
      </c>
      <c r="D56" s="36" t="s">
        <v>73</v>
      </c>
      <c r="E56" s="37">
        <v>157518</v>
      </c>
      <c r="F56" s="38">
        <v>2723.8012560000002</v>
      </c>
      <c r="G56" s="39">
        <v>4.2370699999999999E-3</v>
      </c>
      <c r="H56" s="34" t="s">
        <v>143</v>
      </c>
    </row>
    <row r="57" spans="1:8" x14ac:dyDescent="0.2">
      <c r="A57" s="35">
        <v>51</v>
      </c>
      <c r="B57" s="36" t="s">
        <v>245</v>
      </c>
      <c r="C57" s="36" t="s">
        <v>246</v>
      </c>
      <c r="D57" s="36" t="s">
        <v>61</v>
      </c>
      <c r="E57" s="37">
        <v>159500</v>
      </c>
      <c r="F57" s="38">
        <v>2643.5529999999999</v>
      </c>
      <c r="G57" s="39">
        <v>4.1122399999999996E-3</v>
      </c>
      <c r="H57" s="34" t="s">
        <v>143</v>
      </c>
    </row>
    <row r="58" spans="1:8" x14ac:dyDescent="0.2">
      <c r="A58" s="35">
        <v>52</v>
      </c>
      <c r="B58" s="36" t="s">
        <v>233</v>
      </c>
      <c r="C58" s="36" t="s">
        <v>234</v>
      </c>
      <c r="D58" s="36" t="s">
        <v>73</v>
      </c>
      <c r="E58" s="37">
        <v>37500</v>
      </c>
      <c r="F58" s="38">
        <v>2456.625</v>
      </c>
      <c r="G58" s="39">
        <v>3.82146E-3</v>
      </c>
      <c r="H58" s="34" t="s">
        <v>143</v>
      </c>
    </row>
    <row r="59" spans="1:8" x14ac:dyDescent="0.2">
      <c r="A59" s="35">
        <v>53</v>
      </c>
      <c r="B59" s="36" t="s">
        <v>311</v>
      </c>
      <c r="C59" s="36" t="s">
        <v>312</v>
      </c>
      <c r="D59" s="36" t="s">
        <v>221</v>
      </c>
      <c r="E59" s="37">
        <v>300000</v>
      </c>
      <c r="F59" s="38">
        <v>2280.9</v>
      </c>
      <c r="G59" s="39">
        <v>3.5481000000000002E-3</v>
      </c>
      <c r="H59" s="34" t="s">
        <v>143</v>
      </c>
    </row>
    <row r="60" spans="1:8" x14ac:dyDescent="0.2">
      <c r="A60" s="35">
        <v>54</v>
      </c>
      <c r="B60" s="36" t="s">
        <v>485</v>
      </c>
      <c r="C60" s="36" t="s">
        <v>486</v>
      </c>
      <c r="D60" s="36" t="s">
        <v>206</v>
      </c>
      <c r="E60" s="37">
        <v>78363</v>
      </c>
      <c r="F60" s="38">
        <v>2123.0103960000001</v>
      </c>
      <c r="G60" s="39">
        <v>3.3024899999999999E-3</v>
      </c>
      <c r="H60" s="34" t="s">
        <v>143</v>
      </c>
    </row>
    <row r="61" spans="1:8" x14ac:dyDescent="0.2">
      <c r="A61" s="35">
        <v>55</v>
      </c>
      <c r="B61" s="36" t="s">
        <v>92</v>
      </c>
      <c r="C61" s="36" t="s">
        <v>93</v>
      </c>
      <c r="D61" s="36" t="s">
        <v>94</v>
      </c>
      <c r="E61" s="37">
        <v>1100000</v>
      </c>
      <c r="F61" s="38">
        <v>2099.2399999999998</v>
      </c>
      <c r="G61" s="39">
        <v>3.2655200000000001E-3</v>
      </c>
      <c r="H61" s="34" t="s">
        <v>143</v>
      </c>
    </row>
    <row r="62" spans="1:8" x14ac:dyDescent="0.2">
      <c r="A62" s="35">
        <v>56</v>
      </c>
      <c r="B62" s="36" t="s">
        <v>305</v>
      </c>
      <c r="C62" s="36" t="s">
        <v>306</v>
      </c>
      <c r="D62" s="36" t="s">
        <v>195</v>
      </c>
      <c r="E62" s="37">
        <v>327500</v>
      </c>
      <c r="F62" s="38">
        <v>1881.97875</v>
      </c>
      <c r="G62" s="39">
        <v>2.9275500000000001E-3</v>
      </c>
      <c r="H62" s="34" t="s">
        <v>143</v>
      </c>
    </row>
    <row r="63" spans="1:8" x14ac:dyDescent="0.2">
      <c r="A63" s="35">
        <v>57</v>
      </c>
      <c r="B63" s="36" t="s">
        <v>517</v>
      </c>
      <c r="C63" s="36" t="s">
        <v>518</v>
      </c>
      <c r="D63" s="36" t="s">
        <v>33</v>
      </c>
      <c r="E63" s="37">
        <v>203200</v>
      </c>
      <c r="F63" s="38">
        <v>504.91136</v>
      </c>
      <c r="G63" s="39">
        <v>7.8543000000000005E-4</v>
      </c>
      <c r="H63" s="34" t="s">
        <v>143</v>
      </c>
    </row>
    <row r="64" spans="1:8" x14ac:dyDescent="0.2">
      <c r="A64" s="35">
        <v>58</v>
      </c>
      <c r="B64" s="36" t="s">
        <v>20</v>
      </c>
      <c r="C64" s="36" t="s">
        <v>21</v>
      </c>
      <c r="D64" s="36" t="s">
        <v>22</v>
      </c>
      <c r="E64" s="37">
        <v>87000</v>
      </c>
      <c r="F64" s="38">
        <v>291.363</v>
      </c>
      <c r="G64" s="39">
        <v>4.5323999999999999E-4</v>
      </c>
      <c r="H64" s="34" t="s">
        <v>143</v>
      </c>
    </row>
    <row r="65" spans="1:9" x14ac:dyDescent="0.2">
      <c r="A65" s="35">
        <v>59</v>
      </c>
      <c r="B65" s="36" t="s">
        <v>252</v>
      </c>
      <c r="C65" s="36" t="s">
        <v>253</v>
      </c>
      <c r="D65" s="36" t="s">
        <v>33</v>
      </c>
      <c r="E65" s="37">
        <v>259700</v>
      </c>
      <c r="F65" s="38">
        <v>189.16548</v>
      </c>
      <c r="G65" s="39">
        <v>2.9426000000000002E-4</v>
      </c>
      <c r="H65" s="34" t="s">
        <v>143</v>
      </c>
    </row>
    <row r="66" spans="1:9" x14ac:dyDescent="0.2">
      <c r="A66" s="35">
        <v>60</v>
      </c>
      <c r="B66" s="36" t="s">
        <v>519</v>
      </c>
      <c r="C66" s="36" t="s">
        <v>520</v>
      </c>
      <c r="D66" s="36" t="s">
        <v>192</v>
      </c>
      <c r="E66" s="37">
        <v>4500</v>
      </c>
      <c r="F66" s="38">
        <v>92.52</v>
      </c>
      <c r="G66" s="39">
        <v>1.4391999999999999E-4</v>
      </c>
      <c r="H66" s="34" t="s">
        <v>143</v>
      </c>
    </row>
    <row r="67" spans="1:9" x14ac:dyDescent="0.2">
      <c r="A67" s="35">
        <v>61</v>
      </c>
      <c r="B67" s="36" t="s">
        <v>521</v>
      </c>
      <c r="C67" s="36" t="s">
        <v>522</v>
      </c>
      <c r="D67" s="36" t="s">
        <v>256</v>
      </c>
      <c r="E67" s="37">
        <v>7700</v>
      </c>
      <c r="F67" s="38">
        <v>62.701099999999997</v>
      </c>
      <c r="G67" s="39">
        <v>9.7540000000000005E-5</v>
      </c>
      <c r="H67" s="34" t="s">
        <v>143</v>
      </c>
    </row>
    <row r="68" spans="1:9" x14ac:dyDescent="0.2">
      <c r="A68" s="35">
        <v>62</v>
      </c>
      <c r="B68" s="36" t="s">
        <v>29</v>
      </c>
      <c r="C68" s="36" t="s">
        <v>30</v>
      </c>
      <c r="D68" s="36" t="s">
        <v>22</v>
      </c>
      <c r="E68" s="37">
        <v>19000</v>
      </c>
      <c r="F68" s="38">
        <v>56.981000000000002</v>
      </c>
      <c r="G68" s="39">
        <v>8.8640000000000005E-5</v>
      </c>
      <c r="H68" s="34" t="s">
        <v>143</v>
      </c>
    </row>
    <row r="69" spans="1:9" ht="25.5" x14ac:dyDescent="0.2">
      <c r="A69" s="35">
        <v>63</v>
      </c>
      <c r="B69" s="36" t="s">
        <v>523</v>
      </c>
      <c r="C69" s="36" t="s">
        <v>524</v>
      </c>
      <c r="D69" s="36" t="s">
        <v>201</v>
      </c>
      <c r="E69" s="37">
        <v>10000</v>
      </c>
      <c r="F69" s="38">
        <v>35.57</v>
      </c>
      <c r="G69" s="39">
        <v>5.533E-5</v>
      </c>
      <c r="H69" s="34" t="s">
        <v>143</v>
      </c>
    </row>
    <row r="70" spans="1:9" x14ac:dyDescent="0.2">
      <c r="A70" s="35">
        <v>64</v>
      </c>
      <c r="B70" s="36" t="s">
        <v>336</v>
      </c>
      <c r="C70" s="36" t="s">
        <v>337</v>
      </c>
      <c r="D70" s="36" t="s">
        <v>28</v>
      </c>
      <c r="E70" s="37">
        <v>600</v>
      </c>
      <c r="F70" s="38">
        <v>29.218800000000002</v>
      </c>
      <c r="G70" s="39">
        <v>4.545E-5</v>
      </c>
      <c r="H70" s="34" t="s">
        <v>143</v>
      </c>
    </row>
    <row r="71" spans="1:9" ht="25.5" x14ac:dyDescent="0.2">
      <c r="A71" s="35">
        <v>65</v>
      </c>
      <c r="B71" s="36" t="s">
        <v>525</v>
      </c>
      <c r="C71" s="36" t="s">
        <v>526</v>
      </c>
      <c r="D71" s="36" t="s">
        <v>201</v>
      </c>
      <c r="E71" s="37">
        <v>100</v>
      </c>
      <c r="F71" s="38">
        <v>6.8094999999999999</v>
      </c>
      <c r="G71" s="39">
        <v>1.059E-5</v>
      </c>
      <c r="H71" s="34" t="s">
        <v>143</v>
      </c>
    </row>
    <row r="72" spans="1:9" x14ac:dyDescent="0.2">
      <c r="A72" s="35">
        <v>66</v>
      </c>
      <c r="B72" s="36" t="s">
        <v>527</v>
      </c>
      <c r="C72" s="36" t="s">
        <v>528</v>
      </c>
      <c r="D72" s="36" t="s">
        <v>294</v>
      </c>
      <c r="E72" s="37">
        <v>1250</v>
      </c>
      <c r="F72" s="38">
        <v>6.0656249999999998</v>
      </c>
      <c r="G72" s="39">
        <v>9.4399999999999994E-6</v>
      </c>
      <c r="H72" s="34" t="s">
        <v>143</v>
      </c>
    </row>
    <row r="73" spans="1:9" x14ac:dyDescent="0.2">
      <c r="A73" s="35">
        <v>67</v>
      </c>
      <c r="B73" s="36" t="s">
        <v>499</v>
      </c>
      <c r="C73" s="36" t="s">
        <v>500</v>
      </c>
      <c r="D73" s="36" t="s">
        <v>192</v>
      </c>
      <c r="E73" s="37">
        <v>1275</v>
      </c>
      <c r="F73" s="38">
        <v>5.1306000000000003</v>
      </c>
      <c r="G73" s="39">
        <v>7.9799999999999998E-6</v>
      </c>
      <c r="H73" s="34" t="s">
        <v>143</v>
      </c>
    </row>
    <row r="74" spans="1:9" x14ac:dyDescent="0.2">
      <c r="A74" s="102">
        <v>60</v>
      </c>
      <c r="B74" s="50" t="s">
        <v>947</v>
      </c>
      <c r="C74" s="50" t="s">
        <v>948</v>
      </c>
      <c r="D74" s="50" t="s">
        <v>949</v>
      </c>
      <c r="E74" s="103">
        <v>26667</v>
      </c>
      <c r="F74" s="104">
        <v>0.03</v>
      </c>
      <c r="G74" s="105" t="s">
        <v>141</v>
      </c>
      <c r="H74" s="34" t="s">
        <v>143</v>
      </c>
      <c r="I74" s="116"/>
    </row>
    <row r="75" spans="1:9" x14ac:dyDescent="0.2">
      <c r="A75" s="41"/>
      <c r="B75" s="41"/>
      <c r="C75" s="42" t="s">
        <v>142</v>
      </c>
      <c r="D75" s="41"/>
      <c r="E75" s="41" t="s">
        <v>143</v>
      </c>
      <c r="F75" s="43">
        <f>SUM(F7:F74)</f>
        <v>456142.06005100009</v>
      </c>
      <c r="G75" s="44">
        <f>SUM(G7:G74)</f>
        <v>0.70956142000000055</v>
      </c>
      <c r="H75" s="34" t="s">
        <v>143</v>
      </c>
    </row>
    <row r="76" spans="1:9" x14ac:dyDescent="0.2">
      <c r="A76" s="41"/>
      <c r="B76" s="41"/>
      <c r="C76" s="45"/>
      <c r="D76" s="41"/>
      <c r="E76" s="41"/>
      <c r="F76" s="46"/>
      <c r="G76" s="46"/>
      <c r="H76" s="34" t="s">
        <v>143</v>
      </c>
    </row>
    <row r="77" spans="1:9" x14ac:dyDescent="0.2">
      <c r="A77" s="41"/>
      <c r="B77" s="41"/>
      <c r="C77" s="42" t="s">
        <v>144</v>
      </c>
      <c r="D77" s="41"/>
      <c r="E77" s="41"/>
      <c r="F77" s="41"/>
      <c r="G77" s="41"/>
      <c r="H77" s="34" t="s">
        <v>143</v>
      </c>
    </row>
    <row r="78" spans="1:9" x14ac:dyDescent="0.2">
      <c r="A78" s="41"/>
      <c r="B78" s="41"/>
      <c r="C78" s="42" t="s">
        <v>142</v>
      </c>
      <c r="D78" s="41"/>
      <c r="E78" s="41" t="s">
        <v>143</v>
      </c>
      <c r="F78" s="47" t="s">
        <v>145</v>
      </c>
      <c r="G78" s="44">
        <v>0</v>
      </c>
      <c r="H78" s="34" t="s">
        <v>143</v>
      </c>
    </row>
    <row r="79" spans="1:9" x14ac:dyDescent="0.2">
      <c r="A79" s="41"/>
      <c r="B79" s="41"/>
      <c r="C79" s="45"/>
      <c r="D79" s="41"/>
      <c r="E79" s="41"/>
      <c r="F79" s="46"/>
      <c r="G79" s="46"/>
      <c r="H79" s="34" t="s">
        <v>143</v>
      </c>
    </row>
    <row r="80" spans="1:9" x14ac:dyDescent="0.2">
      <c r="A80" s="41"/>
      <c r="B80" s="41"/>
      <c r="C80" s="42" t="s">
        <v>146</v>
      </c>
      <c r="D80" s="41"/>
      <c r="E80" s="41"/>
      <c r="F80" s="41"/>
      <c r="G80" s="41"/>
      <c r="H80" s="34" t="s">
        <v>143</v>
      </c>
    </row>
    <row r="81" spans="1:8" x14ac:dyDescent="0.2">
      <c r="A81" s="35">
        <v>1</v>
      </c>
      <c r="B81" s="36" t="s">
        <v>529</v>
      </c>
      <c r="C81" s="50" t="s">
        <v>950</v>
      </c>
      <c r="D81" s="36" t="s">
        <v>221</v>
      </c>
      <c r="E81" s="37">
        <v>30579</v>
      </c>
      <c r="F81" s="38">
        <v>5.0088401999999999</v>
      </c>
      <c r="G81" s="105" t="s">
        <v>141</v>
      </c>
      <c r="H81" s="34" t="s">
        <v>143</v>
      </c>
    </row>
    <row r="82" spans="1:8" x14ac:dyDescent="0.2">
      <c r="A82" s="41"/>
      <c r="B82" s="41"/>
      <c r="C82" s="42" t="s">
        <v>142</v>
      </c>
      <c r="D82" s="41"/>
      <c r="E82" s="41" t="s">
        <v>143</v>
      </c>
      <c r="F82" s="43">
        <f>SUM(F81)</f>
        <v>5.0088401999999999</v>
      </c>
      <c r="G82" s="44">
        <v>0</v>
      </c>
      <c r="H82" s="34" t="s">
        <v>143</v>
      </c>
    </row>
    <row r="83" spans="1:8" x14ac:dyDescent="0.2">
      <c r="A83" s="41"/>
      <c r="B83" s="41"/>
      <c r="C83" s="45"/>
      <c r="D83" s="41"/>
      <c r="E83" s="41"/>
      <c r="F83" s="46"/>
      <c r="G83" s="46"/>
      <c r="H83" s="34" t="s">
        <v>143</v>
      </c>
    </row>
    <row r="84" spans="1:8" x14ac:dyDescent="0.2">
      <c r="A84" s="41"/>
      <c r="B84" s="41"/>
      <c r="C84" s="42" t="s">
        <v>147</v>
      </c>
      <c r="D84" s="41"/>
      <c r="E84" s="41"/>
      <c r="F84" s="41"/>
      <c r="G84" s="41"/>
      <c r="H84" s="34" t="s">
        <v>143</v>
      </c>
    </row>
    <row r="85" spans="1:8" x14ac:dyDescent="0.2">
      <c r="A85" s="41"/>
      <c r="B85" s="41"/>
      <c r="C85" s="42" t="s">
        <v>142</v>
      </c>
      <c r="D85" s="41"/>
      <c r="E85" s="41" t="s">
        <v>143</v>
      </c>
      <c r="F85" s="47" t="s">
        <v>145</v>
      </c>
      <c r="G85" s="44">
        <v>0</v>
      </c>
      <c r="H85" s="34" t="s">
        <v>143</v>
      </c>
    </row>
    <row r="86" spans="1:8" x14ac:dyDescent="0.2">
      <c r="A86" s="41"/>
      <c r="B86" s="41"/>
      <c r="C86" s="45"/>
      <c r="D86" s="41"/>
      <c r="E86" s="41"/>
      <c r="F86" s="46"/>
      <c r="G86" s="46"/>
      <c r="H86" s="34" t="s">
        <v>143</v>
      </c>
    </row>
    <row r="87" spans="1:8" x14ac:dyDescent="0.2">
      <c r="A87" s="41"/>
      <c r="B87" s="41"/>
      <c r="C87" s="42" t="s">
        <v>148</v>
      </c>
      <c r="D87" s="41"/>
      <c r="E87" s="41"/>
      <c r="F87" s="46"/>
      <c r="G87" s="46"/>
      <c r="H87" s="34" t="s">
        <v>143</v>
      </c>
    </row>
    <row r="88" spans="1:8" x14ac:dyDescent="0.2">
      <c r="A88" s="41"/>
      <c r="B88" s="41"/>
      <c r="C88" s="42" t="s">
        <v>142</v>
      </c>
      <c r="D88" s="41"/>
      <c r="E88" s="41" t="s">
        <v>143</v>
      </c>
      <c r="F88" s="47" t="s">
        <v>145</v>
      </c>
      <c r="G88" s="44">
        <v>0</v>
      </c>
      <c r="H88" s="34" t="s">
        <v>143</v>
      </c>
    </row>
    <row r="89" spans="1:8" x14ac:dyDescent="0.2">
      <c r="A89" s="32"/>
      <c r="B89" s="32"/>
      <c r="C89" s="33"/>
      <c r="D89" s="32"/>
      <c r="E89" s="32"/>
      <c r="F89" s="131"/>
      <c r="G89" s="115"/>
      <c r="H89" s="34" t="s">
        <v>143</v>
      </c>
    </row>
    <row r="90" spans="1:8" x14ac:dyDescent="0.2">
      <c r="A90" s="32"/>
      <c r="B90" s="32"/>
      <c r="C90" s="33" t="s">
        <v>951</v>
      </c>
      <c r="D90" s="32"/>
      <c r="E90" s="32"/>
      <c r="F90" s="32"/>
      <c r="G90" s="32"/>
      <c r="H90" s="34" t="s">
        <v>143</v>
      </c>
    </row>
    <row r="91" spans="1:8" ht="25.5" x14ac:dyDescent="0.2">
      <c r="A91" s="102">
        <v>1</v>
      </c>
      <c r="B91" s="50" t="s">
        <v>952</v>
      </c>
      <c r="C91" s="50" t="s">
        <v>953</v>
      </c>
      <c r="D91" s="50" t="s">
        <v>954</v>
      </c>
      <c r="E91" s="103">
        <v>1750</v>
      </c>
      <c r="F91" s="104">
        <f>201201698.95/10^5</f>
        <v>2012.0169894999999</v>
      </c>
      <c r="G91" s="40">
        <f>F91/F220</f>
        <v>3.1298355946368576E-3</v>
      </c>
      <c r="H91" s="34">
        <v>7.26</v>
      </c>
    </row>
    <row r="92" spans="1:8" x14ac:dyDescent="0.2">
      <c r="A92" s="32"/>
      <c r="B92" s="32"/>
      <c r="C92" s="33" t="s">
        <v>142</v>
      </c>
      <c r="D92" s="32"/>
      <c r="E92" s="32" t="s">
        <v>143</v>
      </c>
      <c r="F92" s="114">
        <f>SUM(F91)</f>
        <v>2012.0169894999999</v>
      </c>
      <c r="G92" s="115">
        <f>SUM(G91)</f>
        <v>3.1298355946368576E-3</v>
      </c>
      <c r="H92" s="34" t="s">
        <v>143</v>
      </c>
    </row>
    <row r="93" spans="1:8" x14ac:dyDescent="0.2">
      <c r="A93" s="41"/>
      <c r="B93" s="41"/>
      <c r="C93" s="45"/>
      <c r="D93" s="41"/>
      <c r="E93" s="41"/>
      <c r="F93" s="46"/>
      <c r="G93" s="46"/>
      <c r="H93" s="34" t="s">
        <v>143</v>
      </c>
    </row>
    <row r="94" spans="1:8" x14ac:dyDescent="0.2">
      <c r="A94" s="41"/>
      <c r="B94" s="41"/>
      <c r="C94" s="42" t="s">
        <v>149</v>
      </c>
      <c r="D94" s="41"/>
      <c r="E94" s="41"/>
      <c r="F94" s="46"/>
      <c r="G94" s="46"/>
      <c r="H94" s="34" t="s">
        <v>143</v>
      </c>
    </row>
    <row r="95" spans="1:8" x14ac:dyDescent="0.2">
      <c r="A95" s="35">
        <v>1</v>
      </c>
      <c r="B95" s="36"/>
      <c r="C95" s="36" t="s">
        <v>955</v>
      </c>
      <c r="D95" s="36" t="s">
        <v>530</v>
      </c>
      <c r="E95" s="37">
        <v>-1275</v>
      </c>
      <c r="F95" s="38">
        <v>-5.1503625</v>
      </c>
      <c r="G95" s="39">
        <f>F95/$F$220</f>
        <v>-8.0117553489390516E-6</v>
      </c>
      <c r="H95" s="34" t="s">
        <v>143</v>
      </c>
    </row>
    <row r="96" spans="1:8" x14ac:dyDescent="0.2">
      <c r="A96" s="35">
        <v>2</v>
      </c>
      <c r="B96" s="36"/>
      <c r="C96" s="36" t="s">
        <v>956</v>
      </c>
      <c r="D96" s="36" t="s">
        <v>530</v>
      </c>
      <c r="E96" s="37">
        <v>-1250</v>
      </c>
      <c r="F96" s="38">
        <v>-6.0318750000000003</v>
      </c>
      <c r="G96" s="39">
        <f t="shared" ref="G96:G123" si="0">F96/$F$220</f>
        <v>-9.3830107677628019E-6</v>
      </c>
      <c r="H96" s="34" t="s">
        <v>143</v>
      </c>
    </row>
    <row r="97" spans="1:8" x14ac:dyDescent="0.2">
      <c r="A97" s="35">
        <v>3</v>
      </c>
      <c r="B97" s="36"/>
      <c r="C97" s="36" t="s">
        <v>957</v>
      </c>
      <c r="D97" s="36" t="s">
        <v>530</v>
      </c>
      <c r="E97" s="37">
        <v>-50</v>
      </c>
      <c r="F97" s="38">
        <v>-6.0415000000000001</v>
      </c>
      <c r="G97" s="39">
        <f t="shared" si="0"/>
        <v>-9.3979831401411613E-6</v>
      </c>
      <c r="H97" s="34" t="s">
        <v>143</v>
      </c>
    </row>
    <row r="98" spans="1:8" x14ac:dyDescent="0.2">
      <c r="A98" s="35">
        <v>4</v>
      </c>
      <c r="B98" s="36"/>
      <c r="C98" s="36" t="s">
        <v>958</v>
      </c>
      <c r="D98" s="36" t="s">
        <v>530</v>
      </c>
      <c r="E98" s="37">
        <v>-100</v>
      </c>
      <c r="F98" s="38">
        <v>-6.8079999999999998</v>
      </c>
      <c r="G98" s="39">
        <f t="shared" si="0"/>
        <v>-1.0590328431363242E-5</v>
      </c>
      <c r="H98" s="34" t="s">
        <v>143</v>
      </c>
    </row>
    <row r="99" spans="1:8" x14ac:dyDescent="0.2">
      <c r="A99" s="35">
        <v>5</v>
      </c>
      <c r="B99" s="36"/>
      <c r="C99" s="36" t="s">
        <v>959</v>
      </c>
      <c r="D99" s="36" t="s">
        <v>530</v>
      </c>
      <c r="E99" s="37">
        <v>-375</v>
      </c>
      <c r="F99" s="38">
        <v>-6.9375</v>
      </c>
      <c r="G99" s="39">
        <f t="shared" si="0"/>
        <v>-1.0791774896090261E-5</v>
      </c>
      <c r="H99" s="34" t="s">
        <v>143</v>
      </c>
    </row>
    <row r="100" spans="1:8" x14ac:dyDescent="0.2">
      <c r="A100" s="35">
        <v>6</v>
      </c>
      <c r="B100" s="36"/>
      <c r="C100" s="36" t="s">
        <v>960</v>
      </c>
      <c r="D100" s="36" t="s">
        <v>530</v>
      </c>
      <c r="E100" s="37">
        <v>-600</v>
      </c>
      <c r="F100" s="38">
        <v>-29.401199999999999</v>
      </c>
      <c r="G100" s="39">
        <f t="shared" si="0"/>
        <v>-4.5735658677467232E-5</v>
      </c>
      <c r="H100" s="34" t="s">
        <v>143</v>
      </c>
    </row>
    <row r="101" spans="1:8" x14ac:dyDescent="0.2">
      <c r="A101" s="35">
        <v>7</v>
      </c>
      <c r="B101" s="36"/>
      <c r="C101" s="36" t="s">
        <v>961</v>
      </c>
      <c r="D101" s="36" t="s">
        <v>530</v>
      </c>
      <c r="E101" s="37">
        <v>-10000</v>
      </c>
      <c r="F101" s="38">
        <v>-35.755000000000003</v>
      </c>
      <c r="G101" s="39">
        <f t="shared" si="0"/>
        <v>-5.5619446689687535E-5</v>
      </c>
      <c r="H101" s="34" t="s">
        <v>143</v>
      </c>
    </row>
    <row r="102" spans="1:8" x14ac:dyDescent="0.2">
      <c r="A102" s="35">
        <v>8</v>
      </c>
      <c r="B102" s="36"/>
      <c r="C102" s="36" t="s">
        <v>962</v>
      </c>
      <c r="D102" s="36" t="s">
        <v>530</v>
      </c>
      <c r="E102" s="37">
        <v>-2450</v>
      </c>
      <c r="F102" s="38">
        <v>-42.362949999999998</v>
      </c>
      <c r="G102" s="39">
        <f t="shared" si="0"/>
        <v>-6.5898583111254321E-5</v>
      </c>
      <c r="H102" s="34" t="s">
        <v>143</v>
      </c>
    </row>
    <row r="103" spans="1:8" x14ac:dyDescent="0.2">
      <c r="A103" s="35">
        <v>9</v>
      </c>
      <c r="B103" s="36"/>
      <c r="C103" s="36" t="s">
        <v>963</v>
      </c>
      <c r="D103" s="36" t="s">
        <v>530</v>
      </c>
      <c r="E103" s="37">
        <v>-4500</v>
      </c>
      <c r="F103" s="38">
        <v>-44.221499999999999</v>
      </c>
      <c r="G103" s="39">
        <f t="shared" si="0"/>
        <v>-6.8789689883597184E-5</v>
      </c>
      <c r="H103" s="34" t="s">
        <v>143</v>
      </c>
    </row>
    <row r="104" spans="1:8" x14ac:dyDescent="0.2">
      <c r="A104" s="35">
        <v>10</v>
      </c>
      <c r="B104" s="36"/>
      <c r="C104" s="36" t="s">
        <v>964</v>
      </c>
      <c r="D104" s="36" t="s">
        <v>530</v>
      </c>
      <c r="E104" s="37">
        <v>-19000</v>
      </c>
      <c r="F104" s="38">
        <v>-57.047499999999999</v>
      </c>
      <c r="G104" s="39">
        <f t="shared" si="0"/>
        <v>-8.8741445532931047E-5</v>
      </c>
      <c r="H104" s="34" t="s">
        <v>143</v>
      </c>
    </row>
    <row r="105" spans="1:8" x14ac:dyDescent="0.2">
      <c r="A105" s="35">
        <v>11</v>
      </c>
      <c r="B105" s="36"/>
      <c r="C105" s="36" t="s">
        <v>965</v>
      </c>
      <c r="D105" s="36" t="s">
        <v>530</v>
      </c>
      <c r="E105" s="37">
        <v>-1800</v>
      </c>
      <c r="F105" s="38">
        <v>-57.121200000000002</v>
      </c>
      <c r="G105" s="39">
        <f t="shared" si="0"/>
        <v>-8.8856091127142485E-5</v>
      </c>
      <c r="H105" s="34" t="s">
        <v>143</v>
      </c>
    </row>
    <row r="106" spans="1:8" x14ac:dyDescent="0.2">
      <c r="A106" s="35">
        <v>12</v>
      </c>
      <c r="B106" s="36"/>
      <c r="C106" s="36" t="s">
        <v>966</v>
      </c>
      <c r="D106" s="36" t="s">
        <v>530</v>
      </c>
      <c r="E106" s="37">
        <v>-4200</v>
      </c>
      <c r="F106" s="38">
        <v>-61.017600000000002</v>
      </c>
      <c r="G106" s="39">
        <f t="shared" si="0"/>
        <v>-9.4917218580133634E-5</v>
      </c>
      <c r="H106" s="34" t="s">
        <v>143</v>
      </c>
    </row>
    <row r="107" spans="1:8" x14ac:dyDescent="0.2">
      <c r="A107" s="35">
        <v>13</v>
      </c>
      <c r="B107" s="36"/>
      <c r="C107" s="36" t="s">
        <v>967</v>
      </c>
      <c r="D107" s="36" t="s">
        <v>530</v>
      </c>
      <c r="E107" s="37">
        <v>-7700</v>
      </c>
      <c r="F107" s="38">
        <v>-62.88205</v>
      </c>
      <c r="G107" s="39">
        <f t="shared" si="0"/>
        <v>-9.7817503222298022E-5</v>
      </c>
      <c r="H107" s="34" t="s">
        <v>143</v>
      </c>
    </row>
    <row r="108" spans="1:8" x14ac:dyDescent="0.2">
      <c r="A108" s="35">
        <v>14</v>
      </c>
      <c r="B108" s="36"/>
      <c r="C108" s="36" t="s">
        <v>968</v>
      </c>
      <c r="D108" s="36" t="s">
        <v>530</v>
      </c>
      <c r="E108" s="37">
        <v>-4500</v>
      </c>
      <c r="F108" s="38">
        <v>-92.978999999999999</v>
      </c>
      <c r="G108" s="39">
        <f t="shared" si="0"/>
        <v>-1.4463545053168666E-4</v>
      </c>
      <c r="H108" s="34" t="s">
        <v>143</v>
      </c>
    </row>
    <row r="109" spans="1:8" x14ac:dyDescent="0.2">
      <c r="A109" s="35">
        <v>15</v>
      </c>
      <c r="B109" s="36"/>
      <c r="C109" s="36" t="s">
        <v>969</v>
      </c>
      <c r="D109" s="36" t="s">
        <v>530</v>
      </c>
      <c r="E109" s="37">
        <v>-2800</v>
      </c>
      <c r="F109" s="38">
        <v>-103.3116</v>
      </c>
      <c r="G109" s="39">
        <f t="shared" si="0"/>
        <v>-1.6070854506016843E-4</v>
      </c>
      <c r="H109" s="34" t="s">
        <v>143</v>
      </c>
    </row>
    <row r="110" spans="1:8" x14ac:dyDescent="0.2">
      <c r="A110" s="35">
        <v>16</v>
      </c>
      <c r="B110" s="36"/>
      <c r="C110" s="36" t="s">
        <v>970</v>
      </c>
      <c r="D110" s="36" t="s">
        <v>530</v>
      </c>
      <c r="E110" s="37">
        <v>-9100</v>
      </c>
      <c r="F110" s="38">
        <v>-152.87090000000001</v>
      </c>
      <c r="G110" s="39">
        <f t="shared" si="0"/>
        <v>-2.3780156266129364E-4</v>
      </c>
      <c r="H110" s="34" t="s">
        <v>143</v>
      </c>
    </row>
    <row r="111" spans="1:8" x14ac:dyDescent="0.2">
      <c r="A111" s="35">
        <v>17</v>
      </c>
      <c r="B111" s="36"/>
      <c r="C111" s="36" t="s">
        <v>971</v>
      </c>
      <c r="D111" s="36" t="s">
        <v>530</v>
      </c>
      <c r="E111" s="37">
        <v>-4725</v>
      </c>
      <c r="F111" s="38">
        <v>-163.73070000000001</v>
      </c>
      <c r="G111" s="39">
        <f t="shared" si="0"/>
        <v>-2.5469475430332046E-4</v>
      </c>
      <c r="H111" s="34" t="s">
        <v>143</v>
      </c>
    </row>
    <row r="112" spans="1:8" x14ac:dyDescent="0.2">
      <c r="A112" s="35">
        <v>18</v>
      </c>
      <c r="B112" s="36"/>
      <c r="C112" s="36" t="s">
        <v>972</v>
      </c>
      <c r="D112" s="36" t="s">
        <v>530</v>
      </c>
      <c r="E112" s="37">
        <v>-259700</v>
      </c>
      <c r="F112" s="38">
        <v>-190.38606999999999</v>
      </c>
      <c r="G112" s="39">
        <f t="shared" si="0"/>
        <v>-2.9615907903297769E-4</v>
      </c>
      <c r="H112" s="34" t="s">
        <v>143</v>
      </c>
    </row>
    <row r="113" spans="1:8" x14ac:dyDescent="0.2">
      <c r="A113" s="35">
        <v>19</v>
      </c>
      <c r="B113" s="36"/>
      <c r="C113" s="36" t="s">
        <v>973</v>
      </c>
      <c r="D113" s="36" t="s">
        <v>530</v>
      </c>
      <c r="E113" s="37">
        <v>-6750</v>
      </c>
      <c r="F113" s="38">
        <v>-193.2525</v>
      </c>
      <c r="G113" s="39">
        <f t="shared" si="0"/>
        <v>-3.0061801486222457E-4</v>
      </c>
      <c r="H113" s="34" t="s">
        <v>143</v>
      </c>
    </row>
    <row r="114" spans="1:8" x14ac:dyDescent="0.2">
      <c r="A114" s="35">
        <v>20</v>
      </c>
      <c r="B114" s="36"/>
      <c r="C114" s="36" t="s">
        <v>974</v>
      </c>
      <c r="D114" s="36" t="s">
        <v>530</v>
      </c>
      <c r="E114" s="37">
        <v>-9000</v>
      </c>
      <c r="F114" s="38">
        <v>-207.792</v>
      </c>
      <c r="G114" s="39">
        <f t="shared" si="0"/>
        <v>-3.2323524168769547E-4</v>
      </c>
      <c r="H114" s="34" t="s">
        <v>143</v>
      </c>
    </row>
    <row r="115" spans="1:8" x14ac:dyDescent="0.2">
      <c r="A115" s="35">
        <v>21</v>
      </c>
      <c r="B115" s="36"/>
      <c r="C115" s="36" t="s">
        <v>975</v>
      </c>
      <c r="D115" s="36" t="s">
        <v>530</v>
      </c>
      <c r="E115" s="37">
        <v>-51300</v>
      </c>
      <c r="F115" s="38">
        <v>-217.58895000000001</v>
      </c>
      <c r="G115" s="39">
        <f t="shared" si="0"/>
        <v>-3.3847509452636235E-4</v>
      </c>
      <c r="H115" s="34" t="s">
        <v>143</v>
      </c>
    </row>
    <row r="116" spans="1:8" x14ac:dyDescent="0.2">
      <c r="A116" s="35">
        <v>22</v>
      </c>
      <c r="B116" s="36"/>
      <c r="C116" s="36" t="s">
        <v>976</v>
      </c>
      <c r="D116" s="36" t="s">
        <v>530</v>
      </c>
      <c r="E116" s="37">
        <v>-87000</v>
      </c>
      <c r="F116" s="38">
        <v>-292.92899999999997</v>
      </c>
      <c r="G116" s="39">
        <f t="shared" si="0"/>
        <v>-4.5567190321251508E-4</v>
      </c>
      <c r="H116" s="34" t="s">
        <v>143</v>
      </c>
    </row>
    <row r="117" spans="1:8" x14ac:dyDescent="0.2">
      <c r="A117" s="35">
        <v>23</v>
      </c>
      <c r="B117" s="36"/>
      <c r="C117" s="36" t="s">
        <v>977</v>
      </c>
      <c r="D117" s="36" t="s">
        <v>530</v>
      </c>
      <c r="E117" s="37">
        <v>-203200</v>
      </c>
      <c r="F117" s="38">
        <v>-507.12624</v>
      </c>
      <c r="G117" s="39">
        <f t="shared" si="0"/>
        <v>-7.8887095149270548E-4</v>
      </c>
      <c r="H117" s="34" t="s">
        <v>143</v>
      </c>
    </row>
    <row r="118" spans="1:8" x14ac:dyDescent="0.2">
      <c r="A118" s="35">
        <v>24</v>
      </c>
      <c r="B118" s="36"/>
      <c r="C118" s="36" t="s">
        <v>978</v>
      </c>
      <c r="D118" s="36" t="s">
        <v>530</v>
      </c>
      <c r="E118" s="37">
        <v>-46550</v>
      </c>
      <c r="F118" s="38">
        <v>-933.79300000000001</v>
      </c>
      <c r="G118" s="39">
        <f t="shared" si="0"/>
        <v>-1.4525814566551081E-3</v>
      </c>
      <c r="H118" s="34" t="s">
        <v>143</v>
      </c>
    </row>
    <row r="119" spans="1:8" x14ac:dyDescent="0.2">
      <c r="A119" s="35">
        <v>25</v>
      </c>
      <c r="B119" s="36"/>
      <c r="C119" s="36" t="s">
        <v>979</v>
      </c>
      <c r="D119" s="36" t="s">
        <v>530</v>
      </c>
      <c r="E119" s="37">
        <v>-108800</v>
      </c>
      <c r="F119" s="38">
        <v>-1750.2655999999999</v>
      </c>
      <c r="G119" s="39">
        <f t="shared" si="0"/>
        <v>-2.7226626830371683E-3</v>
      </c>
      <c r="H119" s="34" t="s">
        <v>143</v>
      </c>
    </row>
    <row r="120" spans="1:8" x14ac:dyDescent="0.2">
      <c r="A120" s="35">
        <v>26</v>
      </c>
      <c r="B120" s="36"/>
      <c r="C120" s="36" t="s">
        <v>980</v>
      </c>
      <c r="D120" s="36" t="s">
        <v>530</v>
      </c>
      <c r="E120" s="37">
        <v>-81600</v>
      </c>
      <c r="F120" s="38">
        <v>-1776.0239999999999</v>
      </c>
      <c r="G120" s="39">
        <f t="shared" si="0"/>
        <v>-2.7627317071068549E-3</v>
      </c>
      <c r="H120" s="34" t="s">
        <v>143</v>
      </c>
    </row>
    <row r="121" spans="1:8" x14ac:dyDescent="0.2">
      <c r="A121" s="35">
        <v>27</v>
      </c>
      <c r="B121" s="36"/>
      <c r="C121" s="36" t="s">
        <v>981</v>
      </c>
      <c r="D121" s="36" t="s">
        <v>530</v>
      </c>
      <c r="E121" s="37">
        <v>-342000</v>
      </c>
      <c r="F121" s="38">
        <v>-2820.1320000000001</v>
      </c>
      <c r="G121" s="39">
        <f t="shared" si="0"/>
        <v>-4.3869159958574155E-3</v>
      </c>
      <c r="H121" s="34" t="s">
        <v>143</v>
      </c>
    </row>
    <row r="122" spans="1:8" x14ac:dyDescent="0.2">
      <c r="A122" s="35">
        <v>28</v>
      </c>
      <c r="B122" s="36"/>
      <c r="C122" s="36" t="s">
        <v>982</v>
      </c>
      <c r="D122" s="36" t="s">
        <v>530</v>
      </c>
      <c r="E122" s="37">
        <v>-200000</v>
      </c>
      <c r="F122" s="38">
        <v>-3017.4</v>
      </c>
      <c r="G122" s="39">
        <f t="shared" si="0"/>
        <v>-4.6937804066973336E-3</v>
      </c>
      <c r="H122" s="34" t="s">
        <v>143</v>
      </c>
    </row>
    <row r="123" spans="1:8" x14ac:dyDescent="0.2">
      <c r="A123" s="35">
        <v>29</v>
      </c>
      <c r="B123" s="36"/>
      <c r="C123" s="36" t="s">
        <v>983</v>
      </c>
      <c r="D123" s="36" t="s">
        <v>530</v>
      </c>
      <c r="E123" s="37">
        <v>-526900</v>
      </c>
      <c r="F123" s="38">
        <v>-10585.421</v>
      </c>
      <c r="G123" s="39">
        <f t="shared" si="0"/>
        <v>-1.646637558376168E-2</v>
      </c>
      <c r="H123" s="34" t="s">
        <v>143</v>
      </c>
    </row>
    <row r="124" spans="1:8" x14ac:dyDescent="0.2">
      <c r="A124" s="41"/>
      <c r="B124" s="41"/>
      <c r="C124" s="42" t="s">
        <v>142</v>
      </c>
      <c r="D124" s="41"/>
      <c r="E124" s="41" t="s">
        <v>143</v>
      </c>
      <c r="F124" s="43">
        <f>SUM(F95:F123)</f>
        <v>-23425.7807975</v>
      </c>
      <c r="G124" s="44">
        <f>SUM(G95:G123)</f>
        <v>-3.6440468919895316E-2</v>
      </c>
      <c r="H124" s="34" t="s">
        <v>143</v>
      </c>
    </row>
    <row r="125" spans="1:8" x14ac:dyDescent="0.2">
      <c r="A125" s="41"/>
      <c r="B125" s="41"/>
      <c r="C125" s="45"/>
      <c r="D125" s="41"/>
      <c r="E125" s="41"/>
      <c r="F125" s="46"/>
      <c r="G125" s="46"/>
      <c r="H125" s="34" t="s">
        <v>143</v>
      </c>
    </row>
    <row r="126" spans="1:8" x14ac:dyDescent="0.2">
      <c r="A126" s="41"/>
      <c r="B126" s="41"/>
      <c r="C126" s="42" t="s">
        <v>150</v>
      </c>
      <c r="D126" s="41"/>
      <c r="E126" s="41"/>
      <c r="F126" s="43">
        <f>F75+F82+F92</f>
        <v>458159.08588070015</v>
      </c>
      <c r="G126" s="44">
        <f>G75+G82+G92</f>
        <v>0.71269125559463742</v>
      </c>
      <c r="H126" s="34" t="s">
        <v>143</v>
      </c>
    </row>
    <row r="127" spans="1:8" x14ac:dyDescent="0.2">
      <c r="A127" s="41"/>
      <c r="B127" s="41"/>
      <c r="C127" s="45"/>
      <c r="D127" s="41"/>
      <c r="E127" s="41"/>
      <c r="F127" s="46"/>
      <c r="G127" s="46"/>
      <c r="H127" s="34" t="s">
        <v>143</v>
      </c>
    </row>
    <row r="128" spans="1:8" x14ac:dyDescent="0.2">
      <c r="A128" s="41"/>
      <c r="B128" s="41"/>
      <c r="C128" s="42" t="s">
        <v>151</v>
      </c>
      <c r="D128" s="41"/>
      <c r="E128" s="41"/>
      <c r="F128" s="46"/>
      <c r="G128" s="46"/>
      <c r="H128" s="34" t="s">
        <v>143</v>
      </c>
    </row>
    <row r="129" spans="1:8" x14ac:dyDescent="0.2">
      <c r="A129" s="41"/>
      <c r="B129" s="41"/>
      <c r="C129" s="42" t="s">
        <v>10</v>
      </c>
      <c r="D129" s="41"/>
      <c r="E129" s="41"/>
      <c r="F129" s="46"/>
      <c r="G129" s="46"/>
      <c r="H129" s="34" t="s">
        <v>143</v>
      </c>
    </row>
    <row r="130" spans="1:8" ht="25.5" x14ac:dyDescent="0.2">
      <c r="A130" s="35">
        <v>1</v>
      </c>
      <c r="B130" s="36" t="s">
        <v>531</v>
      </c>
      <c r="C130" s="36" t="s">
        <v>532</v>
      </c>
      <c r="D130" s="36" t="s">
        <v>533</v>
      </c>
      <c r="E130" s="37">
        <v>6000</v>
      </c>
      <c r="F130" s="38">
        <v>6107.0820000000003</v>
      </c>
      <c r="G130" s="39">
        <v>9.4999999999999998E-3</v>
      </c>
      <c r="H130" s="34">
        <v>6.625</v>
      </c>
    </row>
    <row r="131" spans="1:8" ht="25.5" x14ac:dyDescent="0.2">
      <c r="A131" s="35">
        <v>2</v>
      </c>
      <c r="B131" s="36" t="s">
        <v>534</v>
      </c>
      <c r="C131" s="36" t="s">
        <v>535</v>
      </c>
      <c r="D131" s="36" t="s">
        <v>536</v>
      </c>
      <c r="E131" s="37">
        <v>3500</v>
      </c>
      <c r="F131" s="38">
        <v>3534.0864999999999</v>
      </c>
      <c r="G131" s="39">
        <v>5.4975199999999997E-3</v>
      </c>
      <c r="H131" s="34">
        <v>6.6</v>
      </c>
    </row>
    <row r="132" spans="1:8" ht="25.5" x14ac:dyDescent="0.2">
      <c r="A132" s="35">
        <v>3</v>
      </c>
      <c r="B132" s="36" t="s">
        <v>537</v>
      </c>
      <c r="C132" s="36" t="s">
        <v>538</v>
      </c>
      <c r="D132" s="36" t="s">
        <v>539</v>
      </c>
      <c r="E132" s="37">
        <v>3000</v>
      </c>
      <c r="F132" s="38">
        <v>3079.1550000000002</v>
      </c>
      <c r="G132" s="39">
        <v>4.78985E-3</v>
      </c>
      <c r="H132" s="34">
        <v>7.6924999999999999</v>
      </c>
    </row>
    <row r="133" spans="1:8" x14ac:dyDescent="0.2">
      <c r="A133" s="35">
        <v>4</v>
      </c>
      <c r="B133" s="36" t="s">
        <v>540</v>
      </c>
      <c r="C133" s="36" t="s">
        <v>541</v>
      </c>
      <c r="D133" s="36" t="s">
        <v>536</v>
      </c>
      <c r="E133" s="37">
        <v>3000</v>
      </c>
      <c r="F133" s="38">
        <v>3052.6109999999999</v>
      </c>
      <c r="G133" s="39">
        <v>4.7485499999999998E-3</v>
      </c>
      <c r="H133" s="34">
        <v>7.5250000000000004</v>
      </c>
    </row>
    <row r="134" spans="1:8" ht="25.5" x14ac:dyDescent="0.2">
      <c r="A134" s="35">
        <v>5</v>
      </c>
      <c r="B134" s="36" t="s">
        <v>542</v>
      </c>
      <c r="C134" s="36" t="s">
        <v>543</v>
      </c>
      <c r="D134" s="36" t="s">
        <v>536</v>
      </c>
      <c r="E134" s="37">
        <v>2500</v>
      </c>
      <c r="F134" s="38">
        <v>2660.2575000000002</v>
      </c>
      <c r="G134" s="39">
        <v>4.1382199999999997E-3</v>
      </c>
      <c r="H134" s="34">
        <v>7.0324999999999998</v>
      </c>
    </row>
    <row r="135" spans="1:8" ht="25.5" x14ac:dyDescent="0.2">
      <c r="A135" s="35">
        <v>6</v>
      </c>
      <c r="B135" s="36" t="s">
        <v>544</v>
      </c>
      <c r="C135" s="36" t="s">
        <v>545</v>
      </c>
      <c r="D135" s="36" t="s">
        <v>536</v>
      </c>
      <c r="E135" s="37">
        <v>2500</v>
      </c>
      <c r="F135" s="38">
        <v>2606.4299999999998</v>
      </c>
      <c r="G135" s="39">
        <v>4.05449E-3</v>
      </c>
      <c r="H135" s="34">
        <v>7.14</v>
      </c>
    </row>
    <row r="136" spans="1:8" x14ac:dyDescent="0.2">
      <c r="A136" s="35">
        <v>7</v>
      </c>
      <c r="B136" s="36" t="s">
        <v>546</v>
      </c>
      <c r="C136" s="36" t="s">
        <v>547</v>
      </c>
      <c r="D136" s="36" t="s">
        <v>536</v>
      </c>
      <c r="E136" s="37">
        <v>250</v>
      </c>
      <c r="F136" s="38">
        <v>2602.0925000000002</v>
      </c>
      <c r="G136" s="39">
        <v>4.0477400000000002E-3</v>
      </c>
      <c r="H136" s="34">
        <v>7.3049999999999997</v>
      </c>
    </row>
    <row r="137" spans="1:8" ht="25.5" x14ac:dyDescent="0.2">
      <c r="A137" s="35">
        <v>8</v>
      </c>
      <c r="B137" s="36" t="s">
        <v>548</v>
      </c>
      <c r="C137" s="36" t="s">
        <v>549</v>
      </c>
      <c r="D137" s="36" t="s">
        <v>536</v>
      </c>
      <c r="E137" s="37">
        <v>2500</v>
      </c>
      <c r="F137" s="38">
        <v>2566.4124999999999</v>
      </c>
      <c r="G137" s="39">
        <v>3.9922400000000002E-3</v>
      </c>
      <c r="H137" s="34">
        <v>6.7702999999999998</v>
      </c>
    </row>
    <row r="138" spans="1:8" ht="25.5" x14ac:dyDescent="0.2">
      <c r="A138" s="35">
        <v>9</v>
      </c>
      <c r="B138" s="36" t="s">
        <v>550</v>
      </c>
      <c r="C138" s="36" t="s">
        <v>551</v>
      </c>
      <c r="D138" s="36" t="s">
        <v>533</v>
      </c>
      <c r="E138" s="37">
        <v>2500</v>
      </c>
      <c r="F138" s="38">
        <v>2549.4899999999998</v>
      </c>
      <c r="G138" s="39">
        <v>3.9659099999999996E-3</v>
      </c>
      <c r="H138" s="34">
        <v>6.73</v>
      </c>
    </row>
    <row r="139" spans="1:8" ht="25.5" x14ac:dyDescent="0.2">
      <c r="A139" s="35">
        <v>10</v>
      </c>
      <c r="B139" s="36" t="s">
        <v>552</v>
      </c>
      <c r="C139" s="36" t="s">
        <v>553</v>
      </c>
      <c r="D139" s="36" t="s">
        <v>536</v>
      </c>
      <c r="E139" s="37">
        <v>2500</v>
      </c>
      <c r="F139" s="38">
        <v>2547.25</v>
      </c>
      <c r="G139" s="39">
        <v>3.9624300000000003E-3</v>
      </c>
      <c r="H139" s="34">
        <v>6.6749999999999998</v>
      </c>
    </row>
    <row r="140" spans="1:8" x14ac:dyDescent="0.2">
      <c r="A140" s="35">
        <v>11</v>
      </c>
      <c r="B140" s="36" t="s">
        <v>554</v>
      </c>
      <c r="C140" s="36" t="s">
        <v>555</v>
      </c>
      <c r="D140" s="36" t="s">
        <v>536</v>
      </c>
      <c r="E140" s="37">
        <v>2500</v>
      </c>
      <c r="F140" s="38">
        <v>2546.67</v>
      </c>
      <c r="G140" s="39">
        <v>3.9615300000000004E-3</v>
      </c>
      <c r="H140" s="34">
        <v>6.95</v>
      </c>
    </row>
    <row r="141" spans="1:8" x14ac:dyDescent="0.2">
      <c r="A141" s="35">
        <v>12</v>
      </c>
      <c r="B141" s="36" t="s">
        <v>556</v>
      </c>
      <c r="C141" s="36" t="s">
        <v>557</v>
      </c>
      <c r="D141" s="36" t="s">
        <v>558</v>
      </c>
      <c r="E141" s="37">
        <v>2500</v>
      </c>
      <c r="F141" s="38">
        <v>2525.4974999999999</v>
      </c>
      <c r="G141" s="39">
        <v>3.92859E-3</v>
      </c>
      <c r="H141" s="34">
        <v>7.5925000000000002</v>
      </c>
    </row>
    <row r="142" spans="1:8" ht="25.5" x14ac:dyDescent="0.2">
      <c r="A142" s="35">
        <v>13</v>
      </c>
      <c r="B142" s="36" t="s">
        <v>559</v>
      </c>
      <c r="C142" s="36" t="s">
        <v>560</v>
      </c>
      <c r="D142" s="36" t="s">
        <v>536</v>
      </c>
      <c r="E142" s="37">
        <v>2500</v>
      </c>
      <c r="F142" s="38">
        <v>2522.3175000000001</v>
      </c>
      <c r="G142" s="39">
        <v>3.9236399999999999E-3</v>
      </c>
      <c r="H142" s="34">
        <v>6.58</v>
      </c>
    </row>
    <row r="143" spans="1:8" x14ac:dyDescent="0.2">
      <c r="A143" s="35">
        <v>14</v>
      </c>
      <c r="B143" s="36" t="s">
        <v>561</v>
      </c>
      <c r="C143" s="36" t="s">
        <v>562</v>
      </c>
      <c r="D143" s="36" t="s">
        <v>536</v>
      </c>
      <c r="E143" s="37">
        <v>2000</v>
      </c>
      <c r="F143" s="38">
        <v>2043.1179999999999</v>
      </c>
      <c r="G143" s="39">
        <v>3.1782199999999998E-3</v>
      </c>
      <c r="H143" s="34">
        <v>7.51</v>
      </c>
    </row>
    <row r="144" spans="1:8" ht="25.5" x14ac:dyDescent="0.2">
      <c r="A144" s="35">
        <v>15</v>
      </c>
      <c r="B144" s="36" t="s">
        <v>563</v>
      </c>
      <c r="C144" s="36" t="s">
        <v>564</v>
      </c>
      <c r="D144" s="36" t="s">
        <v>536</v>
      </c>
      <c r="E144" s="37">
        <v>2000</v>
      </c>
      <c r="F144" s="38">
        <v>2041.68</v>
      </c>
      <c r="G144" s="39">
        <v>3.1759800000000001E-3</v>
      </c>
      <c r="H144" s="34">
        <v>6.74</v>
      </c>
    </row>
    <row r="145" spans="1:8" x14ac:dyDescent="0.2">
      <c r="A145" s="35">
        <v>16</v>
      </c>
      <c r="B145" s="36" t="s">
        <v>565</v>
      </c>
      <c r="C145" s="36" t="s">
        <v>566</v>
      </c>
      <c r="D145" s="36" t="s">
        <v>533</v>
      </c>
      <c r="E145" s="37">
        <v>2000</v>
      </c>
      <c r="F145" s="38">
        <v>2037.748</v>
      </c>
      <c r="G145" s="39">
        <v>3.16986E-3</v>
      </c>
      <c r="H145" s="34">
        <v>6.58</v>
      </c>
    </row>
    <row r="146" spans="1:8" ht="25.5" x14ac:dyDescent="0.2">
      <c r="A146" s="35">
        <v>17</v>
      </c>
      <c r="B146" s="36" t="s">
        <v>567</v>
      </c>
      <c r="C146" s="36" t="s">
        <v>568</v>
      </c>
      <c r="D146" s="36" t="s">
        <v>536</v>
      </c>
      <c r="E146" s="37">
        <v>2000</v>
      </c>
      <c r="F146" s="38">
        <v>2036.2360000000001</v>
      </c>
      <c r="G146" s="39">
        <v>3.1675100000000001E-3</v>
      </c>
      <c r="H146" s="34">
        <v>7.15</v>
      </c>
    </row>
    <row r="147" spans="1:8" ht="25.5" x14ac:dyDescent="0.2">
      <c r="A147" s="35">
        <v>18</v>
      </c>
      <c r="B147" s="36" t="s">
        <v>569</v>
      </c>
      <c r="C147" s="36" t="s">
        <v>570</v>
      </c>
      <c r="D147" s="36" t="s">
        <v>536</v>
      </c>
      <c r="E147" s="37">
        <v>2000</v>
      </c>
      <c r="F147" s="38">
        <v>2030.4639999999999</v>
      </c>
      <c r="G147" s="39">
        <v>3.1585300000000001E-3</v>
      </c>
      <c r="H147" s="34">
        <v>6.4850000000000003</v>
      </c>
    </row>
    <row r="148" spans="1:8" ht="25.5" x14ac:dyDescent="0.2">
      <c r="A148" s="35">
        <v>19</v>
      </c>
      <c r="B148" s="36" t="s">
        <v>571</v>
      </c>
      <c r="C148" s="36" t="s">
        <v>572</v>
      </c>
      <c r="D148" s="36" t="s">
        <v>536</v>
      </c>
      <c r="E148" s="37">
        <v>1500</v>
      </c>
      <c r="F148" s="38">
        <v>1587.5564999999999</v>
      </c>
      <c r="G148" s="39">
        <v>2.46956E-3</v>
      </c>
      <c r="H148" s="34">
        <v>7.03</v>
      </c>
    </row>
    <row r="149" spans="1:8" ht="25.5" x14ac:dyDescent="0.2">
      <c r="A149" s="35">
        <v>20</v>
      </c>
      <c r="B149" s="36" t="s">
        <v>573</v>
      </c>
      <c r="C149" s="36" t="s">
        <v>574</v>
      </c>
      <c r="D149" s="36" t="s">
        <v>536</v>
      </c>
      <c r="E149" s="37">
        <v>1500</v>
      </c>
      <c r="F149" s="38">
        <v>1557.8130000000001</v>
      </c>
      <c r="G149" s="39">
        <v>2.4232899999999998E-3</v>
      </c>
      <c r="H149" s="34">
        <v>7.1349999999999998</v>
      </c>
    </row>
    <row r="150" spans="1:8" ht="25.5" x14ac:dyDescent="0.2">
      <c r="A150" s="35">
        <v>21</v>
      </c>
      <c r="B150" s="36" t="s">
        <v>575</v>
      </c>
      <c r="C150" s="36" t="s">
        <v>576</v>
      </c>
      <c r="D150" s="36" t="s">
        <v>536</v>
      </c>
      <c r="E150" s="37">
        <v>1500</v>
      </c>
      <c r="F150" s="38">
        <v>1542.6224999999999</v>
      </c>
      <c r="G150" s="39">
        <v>2.3996600000000001E-3</v>
      </c>
      <c r="H150" s="34">
        <v>6.9</v>
      </c>
    </row>
    <row r="151" spans="1:8" ht="25.5" x14ac:dyDescent="0.2">
      <c r="A151" s="35">
        <v>22</v>
      </c>
      <c r="B151" s="36" t="s">
        <v>577</v>
      </c>
      <c r="C151" s="36" t="s">
        <v>578</v>
      </c>
      <c r="D151" s="36" t="s">
        <v>536</v>
      </c>
      <c r="E151" s="37">
        <v>1500</v>
      </c>
      <c r="F151" s="38">
        <v>1539.153</v>
      </c>
      <c r="G151" s="39">
        <v>2.3942600000000001E-3</v>
      </c>
      <c r="H151" s="34">
        <v>6.6973000000000003</v>
      </c>
    </row>
    <row r="152" spans="1:8" ht="25.5" x14ac:dyDescent="0.2">
      <c r="A152" s="35">
        <v>23</v>
      </c>
      <c r="B152" s="36" t="s">
        <v>579</v>
      </c>
      <c r="C152" s="36" t="s">
        <v>580</v>
      </c>
      <c r="D152" s="36" t="s">
        <v>533</v>
      </c>
      <c r="E152" s="37">
        <v>1500</v>
      </c>
      <c r="F152" s="38">
        <v>1528.3109999999999</v>
      </c>
      <c r="G152" s="39">
        <v>2.3774E-3</v>
      </c>
      <c r="H152" s="34">
        <v>6.73</v>
      </c>
    </row>
    <row r="153" spans="1:8" ht="25.5" x14ac:dyDescent="0.2">
      <c r="A153" s="35">
        <v>24</v>
      </c>
      <c r="B153" s="36" t="s">
        <v>581</v>
      </c>
      <c r="C153" s="36" t="s">
        <v>582</v>
      </c>
      <c r="D153" s="36" t="s">
        <v>536</v>
      </c>
      <c r="E153" s="37">
        <v>1500</v>
      </c>
      <c r="F153" s="38">
        <v>1517.3685</v>
      </c>
      <c r="G153" s="39">
        <v>2.36038E-3</v>
      </c>
      <c r="H153" s="34">
        <v>6.58</v>
      </c>
    </row>
    <row r="154" spans="1:8" x14ac:dyDescent="0.2">
      <c r="A154" s="35">
        <v>25</v>
      </c>
      <c r="B154" s="36" t="s">
        <v>583</v>
      </c>
      <c r="C154" s="36" t="s">
        <v>584</v>
      </c>
      <c r="D154" s="36" t="s">
        <v>558</v>
      </c>
      <c r="E154" s="37">
        <v>1500</v>
      </c>
      <c r="F154" s="38">
        <v>1510.6859999999999</v>
      </c>
      <c r="G154" s="39">
        <v>2.3499800000000002E-3</v>
      </c>
      <c r="H154" s="34">
        <v>8.1189</v>
      </c>
    </row>
    <row r="155" spans="1:8" x14ac:dyDescent="0.2">
      <c r="A155" s="35">
        <v>26</v>
      </c>
      <c r="B155" s="36" t="s">
        <v>585</v>
      </c>
      <c r="C155" s="36" t="s">
        <v>586</v>
      </c>
      <c r="D155" s="36" t="s">
        <v>536</v>
      </c>
      <c r="E155" s="37">
        <v>150</v>
      </c>
      <c r="F155" s="38">
        <v>1489.7070000000001</v>
      </c>
      <c r="G155" s="39">
        <v>2.3173500000000001E-3</v>
      </c>
      <c r="H155" s="34">
        <v>6.77</v>
      </c>
    </row>
    <row r="156" spans="1:8" ht="25.5" x14ac:dyDescent="0.2">
      <c r="A156" s="35">
        <v>27</v>
      </c>
      <c r="B156" s="36" t="s">
        <v>587</v>
      </c>
      <c r="C156" s="36" t="s">
        <v>588</v>
      </c>
      <c r="D156" s="36" t="s">
        <v>536</v>
      </c>
      <c r="E156" s="37">
        <v>1000</v>
      </c>
      <c r="F156" s="38">
        <v>1019.889</v>
      </c>
      <c r="G156" s="39">
        <v>1.58651E-3</v>
      </c>
      <c r="H156" s="34">
        <v>6.64</v>
      </c>
    </row>
    <row r="157" spans="1:8" x14ac:dyDescent="0.2">
      <c r="A157" s="35">
        <v>28</v>
      </c>
      <c r="B157" s="36" t="s">
        <v>589</v>
      </c>
      <c r="C157" s="36" t="s">
        <v>590</v>
      </c>
      <c r="D157" s="36" t="s">
        <v>591</v>
      </c>
      <c r="E157" s="37">
        <v>1000</v>
      </c>
      <c r="F157" s="38">
        <v>1013.634</v>
      </c>
      <c r="G157" s="39">
        <v>1.5767800000000001E-3</v>
      </c>
      <c r="H157" s="34">
        <v>7.4116</v>
      </c>
    </row>
    <row r="158" spans="1:8" x14ac:dyDescent="0.2">
      <c r="A158" s="35">
        <v>29</v>
      </c>
      <c r="B158" s="36" t="s">
        <v>592</v>
      </c>
      <c r="C158" s="36" t="s">
        <v>593</v>
      </c>
      <c r="D158" s="36" t="s">
        <v>533</v>
      </c>
      <c r="E158" s="37">
        <v>1000</v>
      </c>
      <c r="F158" s="38">
        <v>1012.444</v>
      </c>
      <c r="G158" s="39">
        <v>1.57493E-3</v>
      </c>
      <c r="H158" s="34">
        <v>7.1749999999999998</v>
      </c>
    </row>
    <row r="159" spans="1:8" x14ac:dyDescent="0.2">
      <c r="A159" s="35">
        <v>30</v>
      </c>
      <c r="B159" s="36" t="s">
        <v>594</v>
      </c>
      <c r="C159" s="36" t="s">
        <v>595</v>
      </c>
      <c r="D159" s="36" t="s">
        <v>536</v>
      </c>
      <c r="E159" s="37">
        <v>1000</v>
      </c>
      <c r="F159" s="38">
        <v>1010.057</v>
      </c>
      <c r="G159" s="39">
        <v>1.5712199999999999E-3</v>
      </c>
      <c r="H159" s="34">
        <v>6.5</v>
      </c>
    </row>
    <row r="160" spans="1:8" ht="25.5" x14ac:dyDescent="0.2">
      <c r="A160" s="35">
        <v>31</v>
      </c>
      <c r="B160" s="36" t="s">
        <v>596</v>
      </c>
      <c r="C160" s="36" t="s">
        <v>597</v>
      </c>
      <c r="D160" s="36" t="s">
        <v>536</v>
      </c>
      <c r="E160" s="37">
        <v>100</v>
      </c>
      <c r="F160" s="38">
        <v>1008.077</v>
      </c>
      <c r="G160" s="39">
        <v>1.56814E-3</v>
      </c>
      <c r="H160" s="34">
        <v>6.9950000000000001</v>
      </c>
    </row>
    <row r="161" spans="1:8" x14ac:dyDescent="0.2">
      <c r="A161" s="35">
        <v>32</v>
      </c>
      <c r="B161" s="36" t="s">
        <v>598</v>
      </c>
      <c r="C161" s="36" t="s">
        <v>599</v>
      </c>
      <c r="D161" s="36" t="s">
        <v>536</v>
      </c>
      <c r="E161" s="37">
        <v>1000</v>
      </c>
      <c r="F161" s="38">
        <v>1007.736</v>
      </c>
      <c r="G161" s="39">
        <v>1.5676100000000001E-3</v>
      </c>
      <c r="H161" s="34">
        <v>6.4500999999999999</v>
      </c>
    </row>
    <row r="162" spans="1:8" x14ac:dyDescent="0.2">
      <c r="A162" s="35">
        <v>33</v>
      </c>
      <c r="B162" s="36" t="s">
        <v>600</v>
      </c>
      <c r="C162" s="36" t="s">
        <v>601</v>
      </c>
      <c r="D162" s="36" t="s">
        <v>536</v>
      </c>
      <c r="E162" s="37">
        <v>1000</v>
      </c>
      <c r="F162" s="38">
        <v>1007.553</v>
      </c>
      <c r="G162" s="39">
        <v>1.5673200000000001E-3</v>
      </c>
      <c r="H162" s="34">
        <v>6.48</v>
      </c>
    </row>
    <row r="163" spans="1:8" ht="25.5" x14ac:dyDescent="0.2">
      <c r="A163" s="35">
        <v>34</v>
      </c>
      <c r="B163" s="36" t="s">
        <v>602</v>
      </c>
      <c r="C163" s="36" t="s">
        <v>603</v>
      </c>
      <c r="D163" s="36" t="s">
        <v>536</v>
      </c>
      <c r="E163" s="37">
        <v>1000</v>
      </c>
      <c r="F163" s="38">
        <v>1003.2569999999999</v>
      </c>
      <c r="G163" s="39">
        <v>1.5606400000000001E-3</v>
      </c>
      <c r="H163" s="34">
        <v>7.27</v>
      </c>
    </row>
    <row r="164" spans="1:8" ht="25.5" x14ac:dyDescent="0.2">
      <c r="A164" s="35">
        <v>35</v>
      </c>
      <c r="B164" s="36" t="s">
        <v>604</v>
      </c>
      <c r="C164" s="36" t="s">
        <v>605</v>
      </c>
      <c r="D164" s="36" t="s">
        <v>539</v>
      </c>
      <c r="E164" s="37">
        <v>1000</v>
      </c>
      <c r="F164" s="38">
        <v>998.05899999999997</v>
      </c>
      <c r="G164" s="39">
        <v>1.55255E-3</v>
      </c>
      <c r="H164" s="34">
        <v>7.48</v>
      </c>
    </row>
    <row r="165" spans="1:8" ht="25.5" x14ac:dyDescent="0.2">
      <c r="A165" s="35">
        <v>36</v>
      </c>
      <c r="B165" s="36" t="s">
        <v>606</v>
      </c>
      <c r="C165" s="36" t="s">
        <v>607</v>
      </c>
      <c r="D165" s="36" t="s">
        <v>536</v>
      </c>
      <c r="E165" s="37">
        <v>1000</v>
      </c>
      <c r="F165" s="38">
        <v>991.904</v>
      </c>
      <c r="G165" s="39">
        <v>1.54298E-3</v>
      </c>
      <c r="H165" s="34">
        <v>7.1517999999999997</v>
      </c>
    </row>
    <row r="166" spans="1:8" x14ac:dyDescent="0.2">
      <c r="A166" s="41"/>
      <c r="B166" s="41"/>
      <c r="C166" s="42" t="s">
        <v>142</v>
      </c>
      <c r="D166" s="41"/>
      <c r="E166" s="41" t="s">
        <v>143</v>
      </c>
      <c r="F166" s="43">
        <v>71434.425499999998</v>
      </c>
      <c r="G166" s="44">
        <v>0.11112137</v>
      </c>
      <c r="H166" s="34" t="s">
        <v>143</v>
      </c>
    </row>
    <row r="167" spans="1:8" x14ac:dyDescent="0.2">
      <c r="A167" s="41"/>
      <c r="B167" s="41"/>
      <c r="C167" s="45"/>
      <c r="D167" s="41"/>
      <c r="E167" s="41"/>
      <c r="F167" s="46"/>
      <c r="G167" s="46"/>
      <c r="H167" s="34" t="s">
        <v>143</v>
      </c>
    </row>
    <row r="168" spans="1:8" x14ac:dyDescent="0.2">
      <c r="A168" s="41"/>
      <c r="B168" s="41"/>
      <c r="C168" s="42" t="s">
        <v>152</v>
      </c>
      <c r="D168" s="41"/>
      <c r="E168" s="41"/>
      <c r="F168" s="41"/>
      <c r="G168" s="41"/>
      <c r="H168" s="34" t="s">
        <v>143</v>
      </c>
    </row>
    <row r="169" spans="1:8" x14ac:dyDescent="0.2">
      <c r="A169" s="41"/>
      <c r="B169" s="41"/>
      <c r="C169" s="42" t="s">
        <v>142</v>
      </c>
      <c r="D169" s="41"/>
      <c r="E169" s="41" t="s">
        <v>143</v>
      </c>
      <c r="F169" s="47" t="s">
        <v>145</v>
      </c>
      <c r="G169" s="44">
        <v>0</v>
      </c>
      <c r="H169" s="34" t="s">
        <v>143</v>
      </c>
    </row>
    <row r="170" spans="1:8" x14ac:dyDescent="0.2">
      <c r="A170" s="41"/>
      <c r="B170" s="41"/>
      <c r="C170" s="45"/>
      <c r="D170" s="41"/>
      <c r="E170" s="41"/>
      <c r="F170" s="46"/>
      <c r="G170" s="46"/>
      <c r="H170" s="34" t="s">
        <v>143</v>
      </c>
    </row>
    <row r="171" spans="1:8" x14ac:dyDescent="0.2">
      <c r="A171" s="41"/>
      <c r="B171" s="41"/>
      <c r="C171" s="42" t="s">
        <v>153</v>
      </c>
      <c r="D171" s="41"/>
      <c r="E171" s="41"/>
      <c r="F171" s="41"/>
      <c r="G171" s="41"/>
      <c r="H171" s="34" t="s">
        <v>143</v>
      </c>
    </row>
    <row r="172" spans="1:8" x14ac:dyDescent="0.2">
      <c r="A172" s="35">
        <v>1</v>
      </c>
      <c r="B172" s="36" t="s">
        <v>608</v>
      </c>
      <c r="C172" s="36" t="s">
        <v>609</v>
      </c>
      <c r="D172" s="36" t="s">
        <v>610</v>
      </c>
      <c r="E172" s="37">
        <v>30000000</v>
      </c>
      <c r="F172" s="38">
        <v>31362.720000000001</v>
      </c>
      <c r="G172" s="39">
        <v>4.8786940000000001E-2</v>
      </c>
      <c r="H172" s="34">
        <v>6.5155000000000003</v>
      </c>
    </row>
    <row r="173" spans="1:8" ht="25.5" x14ac:dyDescent="0.2">
      <c r="A173" s="35">
        <v>2</v>
      </c>
      <c r="B173" s="36" t="s">
        <v>611</v>
      </c>
      <c r="C173" s="36" t="s">
        <v>1090</v>
      </c>
      <c r="D173" s="36" t="s">
        <v>610</v>
      </c>
      <c r="E173" s="37">
        <v>10000000</v>
      </c>
      <c r="F173" s="38">
        <v>10490.83</v>
      </c>
      <c r="G173" s="39">
        <v>1.6319230000000001E-2</v>
      </c>
      <c r="H173" s="34">
        <v>6.7896999999999998</v>
      </c>
    </row>
    <row r="174" spans="1:8" x14ac:dyDescent="0.2">
      <c r="A174" s="35">
        <v>3</v>
      </c>
      <c r="B174" s="36" t="s">
        <v>612</v>
      </c>
      <c r="C174" s="36" t="s">
        <v>613</v>
      </c>
      <c r="D174" s="36" t="s">
        <v>610</v>
      </c>
      <c r="E174" s="37">
        <v>3000000</v>
      </c>
      <c r="F174" s="38">
        <v>3136.056</v>
      </c>
      <c r="G174" s="39">
        <v>4.87836E-3</v>
      </c>
      <c r="H174" s="34">
        <v>6.7370999999999999</v>
      </c>
    </row>
    <row r="175" spans="1:8" ht="25.5" x14ac:dyDescent="0.2">
      <c r="A175" s="35">
        <v>4</v>
      </c>
      <c r="B175" s="36" t="s">
        <v>614</v>
      </c>
      <c r="C175" s="36" t="s">
        <v>1089</v>
      </c>
      <c r="D175" s="36" t="s">
        <v>610</v>
      </c>
      <c r="E175" s="37">
        <v>2500000</v>
      </c>
      <c r="F175" s="38">
        <v>2592.415</v>
      </c>
      <c r="G175" s="39">
        <v>4.0326900000000002E-3</v>
      </c>
      <c r="H175" s="34">
        <v>6.0831</v>
      </c>
    </row>
    <row r="176" spans="1:8" x14ac:dyDescent="0.2">
      <c r="A176" s="35">
        <v>5</v>
      </c>
      <c r="B176" s="36" t="s">
        <v>615</v>
      </c>
      <c r="C176" s="36" t="s">
        <v>616</v>
      </c>
      <c r="D176" s="36" t="s">
        <v>610</v>
      </c>
      <c r="E176" s="37">
        <v>2500000</v>
      </c>
      <c r="F176" s="38">
        <v>2577.54</v>
      </c>
      <c r="G176" s="39">
        <v>4.0095499999999997E-3</v>
      </c>
      <c r="H176" s="34">
        <v>7.1684999999999999</v>
      </c>
    </row>
    <row r="177" spans="1:8" x14ac:dyDescent="0.2">
      <c r="A177" s="35">
        <v>6</v>
      </c>
      <c r="B177" s="36" t="s">
        <v>617</v>
      </c>
      <c r="C177" s="36" t="s">
        <v>618</v>
      </c>
      <c r="D177" s="36" t="s">
        <v>610</v>
      </c>
      <c r="E177" s="37">
        <v>2500000</v>
      </c>
      <c r="F177" s="38">
        <v>2575.0949999999998</v>
      </c>
      <c r="G177" s="39">
        <v>4.0057399999999998E-3</v>
      </c>
      <c r="H177" s="34">
        <v>7.2365000000000004</v>
      </c>
    </row>
    <row r="178" spans="1:8" x14ac:dyDescent="0.2">
      <c r="A178" s="35">
        <v>7</v>
      </c>
      <c r="B178" s="36" t="s">
        <v>619</v>
      </c>
      <c r="C178" s="36" t="s">
        <v>620</v>
      </c>
      <c r="D178" s="36" t="s">
        <v>610</v>
      </c>
      <c r="E178" s="37">
        <v>1500000</v>
      </c>
      <c r="F178" s="38">
        <v>1558.7114999999999</v>
      </c>
      <c r="G178" s="39">
        <v>2.4246900000000002E-3</v>
      </c>
      <c r="H178" s="34">
        <v>6.3204000000000002</v>
      </c>
    </row>
    <row r="179" spans="1:8" ht="25.5" x14ac:dyDescent="0.2">
      <c r="A179" s="35">
        <v>8</v>
      </c>
      <c r="B179" s="36" t="s">
        <v>621</v>
      </c>
      <c r="C179" s="50" t="s">
        <v>984</v>
      </c>
      <c r="D179" s="36" t="s">
        <v>610</v>
      </c>
      <c r="E179" s="37">
        <v>1500000</v>
      </c>
      <c r="F179" s="38">
        <v>1519.2750000000001</v>
      </c>
      <c r="G179" s="39">
        <v>2.3633399999999998E-3</v>
      </c>
      <c r="H179" s="34">
        <v>6.9026948178819598</v>
      </c>
    </row>
    <row r="180" spans="1:8" ht="25.5" x14ac:dyDescent="0.2">
      <c r="A180" s="35">
        <v>9</v>
      </c>
      <c r="B180" s="36" t="s">
        <v>622</v>
      </c>
      <c r="C180" s="36" t="s">
        <v>623</v>
      </c>
      <c r="D180" s="36" t="s">
        <v>610</v>
      </c>
      <c r="E180" s="37">
        <v>1270000</v>
      </c>
      <c r="F180" s="38">
        <v>1328.1342500000001</v>
      </c>
      <c r="G180" s="39">
        <v>2.0660100000000001E-3</v>
      </c>
      <c r="H180" s="34">
        <v>6.8483999999999998</v>
      </c>
    </row>
    <row r="181" spans="1:8" x14ac:dyDescent="0.2">
      <c r="A181" s="41"/>
      <c r="B181" s="41"/>
      <c r="C181" s="42" t="s">
        <v>142</v>
      </c>
      <c r="D181" s="41"/>
      <c r="E181" s="41" t="s">
        <v>143</v>
      </c>
      <c r="F181" s="43">
        <v>57140.776749999997</v>
      </c>
      <c r="G181" s="44">
        <v>8.8886549999999995E-2</v>
      </c>
      <c r="H181" s="34" t="s">
        <v>143</v>
      </c>
    </row>
    <row r="182" spans="1:8" x14ac:dyDescent="0.2">
      <c r="A182" s="41"/>
      <c r="B182" s="41"/>
      <c r="C182" s="45"/>
      <c r="D182" s="41"/>
      <c r="E182" s="41"/>
      <c r="F182" s="46"/>
      <c r="G182" s="46"/>
      <c r="H182" s="34" t="s">
        <v>143</v>
      </c>
    </row>
    <row r="183" spans="1:8" x14ac:dyDescent="0.2">
      <c r="A183" s="41"/>
      <c r="B183" s="41"/>
      <c r="C183" s="42" t="s">
        <v>154</v>
      </c>
      <c r="D183" s="41"/>
      <c r="E183" s="41"/>
      <c r="F183" s="46"/>
      <c r="G183" s="46"/>
      <c r="H183" s="34" t="s">
        <v>143</v>
      </c>
    </row>
    <row r="184" spans="1:8" x14ac:dyDescent="0.2">
      <c r="A184" s="41"/>
      <c r="B184" s="41"/>
      <c r="C184" s="42" t="s">
        <v>142</v>
      </c>
      <c r="D184" s="41"/>
      <c r="E184" s="41" t="s">
        <v>143</v>
      </c>
      <c r="F184" s="47" t="s">
        <v>145</v>
      </c>
      <c r="G184" s="44">
        <v>0</v>
      </c>
      <c r="H184" s="34" t="s">
        <v>143</v>
      </c>
    </row>
    <row r="185" spans="1:8" x14ac:dyDescent="0.2">
      <c r="A185" s="41"/>
      <c r="B185" s="41"/>
      <c r="C185" s="45"/>
      <c r="D185" s="41"/>
      <c r="E185" s="41"/>
      <c r="F185" s="46"/>
      <c r="G185" s="46"/>
      <c r="H185" s="34" t="s">
        <v>143</v>
      </c>
    </row>
    <row r="186" spans="1:8" x14ac:dyDescent="0.2">
      <c r="A186" s="41"/>
      <c r="B186" s="41"/>
      <c r="C186" s="42" t="s">
        <v>155</v>
      </c>
      <c r="D186" s="41"/>
      <c r="E186" s="41"/>
      <c r="F186" s="43">
        <v>128575.20225</v>
      </c>
      <c r="G186" s="44">
        <v>0.20000792000000001</v>
      </c>
      <c r="H186" s="34" t="s">
        <v>143</v>
      </c>
    </row>
    <row r="187" spans="1:8" x14ac:dyDescent="0.2">
      <c r="A187" s="41"/>
      <c r="B187" s="41"/>
      <c r="C187" s="45"/>
      <c r="D187" s="41"/>
      <c r="E187" s="41"/>
      <c r="F187" s="46"/>
      <c r="G187" s="46"/>
      <c r="H187" s="34" t="s">
        <v>143</v>
      </c>
    </row>
    <row r="188" spans="1:8" x14ac:dyDescent="0.2">
      <c r="A188" s="41"/>
      <c r="B188" s="41"/>
      <c r="C188" s="42" t="s">
        <v>156</v>
      </c>
      <c r="D188" s="41"/>
      <c r="E188" s="41"/>
      <c r="F188" s="46"/>
      <c r="G188" s="46"/>
      <c r="H188" s="34" t="s">
        <v>143</v>
      </c>
    </row>
    <row r="189" spans="1:8" x14ac:dyDescent="0.2">
      <c r="A189" s="41"/>
      <c r="B189" s="41"/>
      <c r="C189" s="42" t="s">
        <v>157</v>
      </c>
      <c r="D189" s="41"/>
      <c r="E189" s="41"/>
      <c r="F189" s="46"/>
      <c r="G189" s="46"/>
      <c r="H189" s="34" t="s">
        <v>143</v>
      </c>
    </row>
    <row r="190" spans="1:8" x14ac:dyDescent="0.2">
      <c r="A190" s="35">
        <v>1</v>
      </c>
      <c r="B190" s="36" t="s">
        <v>624</v>
      </c>
      <c r="C190" s="36" t="s">
        <v>625</v>
      </c>
      <c r="D190" s="36" t="s">
        <v>626</v>
      </c>
      <c r="E190" s="37">
        <v>100</v>
      </c>
      <c r="F190" s="38">
        <v>482.06299999999999</v>
      </c>
      <c r="G190" s="39">
        <v>7.4987999999999997E-4</v>
      </c>
      <c r="H190" s="34">
        <v>6.23</v>
      </c>
    </row>
    <row r="191" spans="1:8" x14ac:dyDescent="0.2">
      <c r="A191" s="41"/>
      <c r="B191" s="41"/>
      <c r="C191" s="42" t="s">
        <v>142</v>
      </c>
      <c r="D191" s="41"/>
      <c r="E191" s="41" t="s">
        <v>143</v>
      </c>
      <c r="F191" s="43">
        <v>482.06299999999999</v>
      </c>
      <c r="G191" s="44">
        <v>7.4987999999999997E-4</v>
      </c>
      <c r="H191" s="34" t="s">
        <v>143</v>
      </c>
    </row>
    <row r="192" spans="1:8" x14ac:dyDescent="0.2">
      <c r="A192" s="41"/>
      <c r="B192" s="41"/>
      <c r="C192" s="45"/>
      <c r="D192" s="41"/>
      <c r="E192" s="41"/>
      <c r="F192" s="46"/>
      <c r="G192" s="46"/>
      <c r="H192" s="34" t="s">
        <v>143</v>
      </c>
    </row>
    <row r="193" spans="1:8" x14ac:dyDescent="0.2">
      <c r="A193" s="41"/>
      <c r="B193" s="41"/>
      <c r="C193" s="42" t="s">
        <v>158</v>
      </c>
      <c r="D193" s="41"/>
      <c r="E193" s="41"/>
      <c r="F193" s="46"/>
      <c r="G193" s="46"/>
      <c r="H193" s="34" t="s">
        <v>143</v>
      </c>
    </row>
    <row r="194" spans="1:8" x14ac:dyDescent="0.2">
      <c r="A194" s="41"/>
      <c r="B194" s="41"/>
      <c r="C194" s="42" t="s">
        <v>142</v>
      </c>
      <c r="D194" s="41"/>
      <c r="E194" s="41" t="s">
        <v>143</v>
      </c>
      <c r="F194" s="47" t="s">
        <v>145</v>
      </c>
      <c r="G194" s="44">
        <v>0</v>
      </c>
      <c r="H194" s="34" t="s">
        <v>143</v>
      </c>
    </row>
    <row r="195" spans="1:8" x14ac:dyDescent="0.2">
      <c r="A195" s="41"/>
      <c r="B195" s="41"/>
      <c r="C195" s="45"/>
      <c r="D195" s="41"/>
      <c r="E195" s="41"/>
      <c r="F195" s="46"/>
      <c r="G195" s="46"/>
      <c r="H195" s="34" t="s">
        <v>143</v>
      </c>
    </row>
    <row r="196" spans="1:8" x14ac:dyDescent="0.2">
      <c r="A196" s="41"/>
      <c r="B196" s="41"/>
      <c r="C196" s="42" t="s">
        <v>159</v>
      </c>
      <c r="D196" s="41"/>
      <c r="E196" s="41"/>
      <c r="F196" s="46"/>
      <c r="G196" s="46"/>
      <c r="H196" s="34" t="s">
        <v>143</v>
      </c>
    </row>
    <row r="197" spans="1:8" x14ac:dyDescent="0.2">
      <c r="A197" s="41"/>
      <c r="B197" s="41"/>
      <c r="C197" s="42" t="s">
        <v>142</v>
      </c>
      <c r="D197" s="41"/>
      <c r="E197" s="41" t="s">
        <v>143</v>
      </c>
      <c r="F197" s="47" t="s">
        <v>145</v>
      </c>
      <c r="G197" s="44">
        <v>0</v>
      </c>
      <c r="H197" s="34" t="s">
        <v>143</v>
      </c>
    </row>
    <row r="198" spans="1:8" x14ac:dyDescent="0.2">
      <c r="A198" s="41"/>
      <c r="B198" s="41"/>
      <c r="C198" s="45"/>
      <c r="D198" s="41"/>
      <c r="E198" s="41"/>
      <c r="F198" s="46"/>
      <c r="G198" s="46"/>
      <c r="H198" s="34" t="s">
        <v>143</v>
      </c>
    </row>
    <row r="199" spans="1:8" x14ac:dyDescent="0.2">
      <c r="A199" s="41"/>
      <c r="B199" s="41"/>
      <c r="C199" s="42" t="s">
        <v>160</v>
      </c>
      <c r="D199" s="41"/>
      <c r="E199" s="41"/>
      <c r="F199" s="46"/>
      <c r="G199" s="46"/>
      <c r="H199" s="34" t="s">
        <v>143</v>
      </c>
    </row>
    <row r="200" spans="1:8" x14ac:dyDescent="0.2">
      <c r="A200" s="35">
        <v>1</v>
      </c>
      <c r="B200" s="36"/>
      <c r="C200" s="36" t="s">
        <v>161</v>
      </c>
      <c r="D200" s="36"/>
      <c r="E200" s="48"/>
      <c r="F200" s="38">
        <v>19960.264393014</v>
      </c>
      <c r="G200" s="39">
        <v>3.1049609999999998E-2</v>
      </c>
      <c r="H200" s="34">
        <v>5.47</v>
      </c>
    </row>
    <row r="201" spans="1:8" x14ac:dyDescent="0.2">
      <c r="A201" s="41"/>
      <c r="B201" s="41"/>
      <c r="C201" s="42" t="s">
        <v>142</v>
      </c>
      <c r="D201" s="41"/>
      <c r="E201" s="41" t="s">
        <v>143</v>
      </c>
      <c r="F201" s="43">
        <v>19960.264393014</v>
      </c>
      <c r="G201" s="44">
        <v>3.1049609999999998E-2</v>
      </c>
      <c r="H201" s="34" t="s">
        <v>143</v>
      </c>
    </row>
    <row r="202" spans="1:8" x14ac:dyDescent="0.2">
      <c r="A202" s="41"/>
      <c r="B202" s="41"/>
      <c r="C202" s="45"/>
      <c r="D202" s="41"/>
      <c r="E202" s="41"/>
      <c r="F202" s="46"/>
      <c r="G202" s="46"/>
      <c r="H202" s="34" t="s">
        <v>143</v>
      </c>
    </row>
    <row r="203" spans="1:8" x14ac:dyDescent="0.2">
      <c r="A203" s="41"/>
      <c r="B203" s="41"/>
      <c r="C203" s="42" t="s">
        <v>162</v>
      </c>
      <c r="D203" s="41"/>
      <c r="E203" s="41"/>
      <c r="F203" s="43">
        <v>20442.327393013999</v>
      </c>
      <c r="G203" s="44">
        <v>3.179949E-2</v>
      </c>
      <c r="H203" s="34" t="s">
        <v>143</v>
      </c>
    </row>
    <row r="204" spans="1:8" x14ac:dyDescent="0.2">
      <c r="A204" s="41"/>
      <c r="B204" s="41"/>
      <c r="C204" s="46"/>
      <c r="D204" s="41"/>
      <c r="E204" s="41"/>
      <c r="F204" s="41"/>
      <c r="G204" s="41"/>
      <c r="H204" s="34" t="s">
        <v>143</v>
      </c>
    </row>
    <row r="205" spans="1:8" x14ac:dyDescent="0.2">
      <c r="A205" s="41"/>
      <c r="B205" s="41"/>
      <c r="C205" s="42" t="s">
        <v>163</v>
      </c>
      <c r="D205" s="41"/>
      <c r="E205" s="41"/>
      <c r="F205" s="41"/>
      <c r="G205" s="41"/>
      <c r="H205" s="34" t="s">
        <v>143</v>
      </c>
    </row>
    <row r="206" spans="1:8" x14ac:dyDescent="0.2">
      <c r="A206" s="41"/>
      <c r="B206" s="41"/>
      <c r="C206" s="42" t="s">
        <v>164</v>
      </c>
      <c r="D206" s="41"/>
      <c r="E206" s="41"/>
      <c r="F206" s="41"/>
      <c r="G206" s="41"/>
      <c r="H206" s="34" t="s">
        <v>143</v>
      </c>
    </row>
    <row r="207" spans="1:8" x14ac:dyDescent="0.2">
      <c r="A207" s="35">
        <v>1</v>
      </c>
      <c r="B207" s="36" t="s">
        <v>319</v>
      </c>
      <c r="C207" s="36" t="s">
        <v>320</v>
      </c>
      <c r="D207" s="36"/>
      <c r="E207" s="49">
        <v>537035.10699999996</v>
      </c>
      <c r="F207" s="38">
        <v>12513.482954032999</v>
      </c>
      <c r="G207" s="39">
        <v>1.9465610000000001E-2</v>
      </c>
      <c r="H207" s="34" t="s">
        <v>143</v>
      </c>
    </row>
    <row r="208" spans="1:8" ht="25.5" x14ac:dyDescent="0.2">
      <c r="A208" s="35">
        <v>2</v>
      </c>
      <c r="B208" s="36" t="s">
        <v>501</v>
      </c>
      <c r="C208" s="36" t="s">
        <v>1088</v>
      </c>
      <c r="D208" s="36"/>
      <c r="E208" s="49">
        <v>69857221.264300004</v>
      </c>
      <c r="F208" s="38">
        <v>10568.140147306</v>
      </c>
      <c r="G208" s="39">
        <v>1.6439490000000001E-2</v>
      </c>
      <c r="H208" s="34" t="s">
        <v>143</v>
      </c>
    </row>
    <row r="209" spans="1:10" x14ac:dyDescent="0.2">
      <c r="A209" s="41"/>
      <c r="B209" s="41"/>
      <c r="C209" s="42" t="s">
        <v>142</v>
      </c>
      <c r="D209" s="41"/>
      <c r="E209" s="41" t="s">
        <v>143</v>
      </c>
      <c r="F209" s="43">
        <v>23081.623101338999</v>
      </c>
      <c r="G209" s="44">
        <v>3.5905100000000002E-2</v>
      </c>
      <c r="H209" s="34" t="s">
        <v>143</v>
      </c>
    </row>
    <row r="210" spans="1:10" x14ac:dyDescent="0.2">
      <c r="A210" s="41"/>
      <c r="B210" s="41"/>
      <c r="C210" s="45"/>
      <c r="D210" s="41"/>
      <c r="E210" s="41"/>
      <c r="F210" s="46"/>
      <c r="G210" s="46"/>
      <c r="H210" s="34" t="s">
        <v>143</v>
      </c>
    </row>
    <row r="211" spans="1:10" x14ac:dyDescent="0.2">
      <c r="A211" s="41"/>
      <c r="B211" s="41"/>
      <c r="C211" s="42" t="s">
        <v>165</v>
      </c>
      <c r="D211" s="41"/>
      <c r="E211" s="41"/>
      <c r="F211" s="41"/>
      <c r="G211" s="41"/>
      <c r="H211" s="34" t="s">
        <v>143</v>
      </c>
    </row>
    <row r="212" spans="1:10" x14ac:dyDescent="0.2">
      <c r="A212" s="41"/>
      <c r="B212" s="41"/>
      <c r="C212" s="42" t="s">
        <v>166</v>
      </c>
      <c r="D212" s="41"/>
      <c r="E212" s="41"/>
      <c r="F212" s="41"/>
      <c r="G212" s="41"/>
      <c r="H212" s="34" t="s">
        <v>143</v>
      </c>
    </row>
    <row r="213" spans="1:10" x14ac:dyDescent="0.2">
      <c r="A213" s="41"/>
      <c r="B213" s="41"/>
      <c r="C213" s="42" t="s">
        <v>142</v>
      </c>
      <c r="D213" s="41"/>
      <c r="E213" s="41" t="s">
        <v>143</v>
      </c>
      <c r="F213" s="47" t="s">
        <v>145</v>
      </c>
      <c r="G213" s="44">
        <v>0</v>
      </c>
      <c r="H213" s="34" t="s">
        <v>143</v>
      </c>
    </row>
    <row r="214" spans="1:10" x14ac:dyDescent="0.2">
      <c r="A214" s="41"/>
      <c r="B214" s="41"/>
      <c r="C214" s="45"/>
      <c r="D214" s="41"/>
      <c r="E214" s="41"/>
      <c r="F214" s="46"/>
      <c r="G214" s="46"/>
      <c r="H214" s="34" t="s">
        <v>143</v>
      </c>
    </row>
    <row r="215" spans="1:10" x14ac:dyDescent="0.2">
      <c r="A215" s="41"/>
      <c r="B215" s="41"/>
      <c r="C215" s="42" t="s">
        <v>167</v>
      </c>
      <c r="D215" s="41"/>
      <c r="E215" s="41"/>
      <c r="F215" s="46"/>
      <c r="G215" s="46"/>
      <c r="H215" s="34" t="s">
        <v>143</v>
      </c>
    </row>
    <row r="216" spans="1:10" x14ac:dyDescent="0.2">
      <c r="A216" s="41"/>
      <c r="B216" s="41"/>
      <c r="C216" s="42" t="s">
        <v>142</v>
      </c>
      <c r="D216" s="41"/>
      <c r="E216" s="41" t="s">
        <v>143</v>
      </c>
      <c r="F216" s="47" t="s">
        <v>145</v>
      </c>
      <c r="G216" s="44">
        <v>0</v>
      </c>
      <c r="H216" s="34" t="s">
        <v>143</v>
      </c>
    </row>
    <row r="217" spans="1:10" x14ac:dyDescent="0.2">
      <c r="A217" s="41"/>
      <c r="B217" s="41"/>
      <c r="C217" s="45"/>
      <c r="D217" s="41"/>
      <c r="E217" s="41"/>
      <c r="F217" s="46"/>
      <c r="G217" s="46"/>
      <c r="H217" s="34" t="s">
        <v>143</v>
      </c>
    </row>
    <row r="218" spans="1:10" x14ac:dyDescent="0.2">
      <c r="A218" s="48"/>
      <c r="B218" s="36"/>
      <c r="C218" s="36" t="s">
        <v>627</v>
      </c>
      <c r="D218" s="36"/>
      <c r="E218" s="48"/>
      <c r="F218" s="38">
        <v>7604.5017959999996</v>
      </c>
      <c r="G218" s="39">
        <v>1.1829340000000001E-2</v>
      </c>
      <c r="H218" s="34" t="s">
        <v>143</v>
      </c>
    </row>
    <row r="219" spans="1:10" x14ac:dyDescent="0.2">
      <c r="A219" s="48"/>
      <c r="B219" s="36"/>
      <c r="C219" s="50" t="s">
        <v>985</v>
      </c>
      <c r="D219" s="36"/>
      <c r="E219" s="48"/>
      <c r="F219" s="38">
        <f>28413.76609596+F124-F74</f>
        <v>4987.9552984600004</v>
      </c>
      <c r="G219" s="39">
        <f>F219/F220</f>
        <v>7.7591193906653743E-3</v>
      </c>
      <c r="H219" s="34" t="s">
        <v>143</v>
      </c>
    </row>
    <row r="220" spans="1:10" x14ac:dyDescent="0.2">
      <c r="A220" s="45"/>
      <c r="B220" s="45"/>
      <c r="C220" s="42" t="s">
        <v>169</v>
      </c>
      <c r="D220" s="46"/>
      <c r="E220" s="46"/>
      <c r="F220" s="43">
        <f>F219+F218+F209+F203+F186+F126</f>
        <v>642850.69571951311</v>
      </c>
      <c r="G220" s="51">
        <f>G219+G218+G209+G203+G186+G126</f>
        <v>0.99999222498530282</v>
      </c>
      <c r="H220" s="34" t="s">
        <v>143</v>
      </c>
    </row>
    <row r="221" spans="1:10" x14ac:dyDescent="0.2">
      <c r="A221" s="52"/>
      <c r="B221" s="52"/>
      <c r="C221" s="52"/>
      <c r="D221" s="53"/>
      <c r="E221" s="53"/>
      <c r="F221" s="53"/>
      <c r="G221" s="53"/>
    </row>
    <row r="222" spans="1:10" x14ac:dyDescent="0.2">
      <c r="A222" s="54"/>
      <c r="B222" s="158" t="s">
        <v>852</v>
      </c>
      <c r="C222" s="158"/>
      <c r="D222" s="158"/>
      <c r="E222" s="158"/>
      <c r="F222" s="158"/>
      <c r="G222" s="158"/>
      <c r="H222" s="158"/>
      <c r="J222" s="56"/>
    </row>
    <row r="223" spans="1:10" x14ac:dyDescent="0.2">
      <c r="A223" s="54"/>
      <c r="B223" s="158" t="s">
        <v>853</v>
      </c>
      <c r="C223" s="158"/>
      <c r="D223" s="158"/>
      <c r="E223" s="158"/>
      <c r="F223" s="158"/>
      <c r="G223" s="158"/>
      <c r="H223" s="158"/>
      <c r="J223" s="56"/>
    </row>
    <row r="224" spans="1:10" x14ac:dyDescent="0.2">
      <c r="A224" s="54"/>
      <c r="B224" s="158" t="s">
        <v>854</v>
      </c>
      <c r="C224" s="158"/>
      <c r="D224" s="158"/>
      <c r="E224" s="158"/>
      <c r="F224" s="158"/>
      <c r="G224" s="158"/>
      <c r="H224" s="158"/>
      <c r="J224" s="56"/>
    </row>
    <row r="225" spans="1:17" s="58" customFormat="1" ht="52.5" customHeight="1" x14ac:dyDescent="0.25">
      <c r="A225" s="57"/>
      <c r="B225" s="159" t="s">
        <v>855</v>
      </c>
      <c r="C225" s="159"/>
      <c r="D225" s="159"/>
      <c r="E225" s="159"/>
      <c r="F225" s="159"/>
      <c r="G225" s="159"/>
      <c r="H225" s="159"/>
      <c r="I225"/>
      <c r="J225" s="56"/>
      <c r="K225"/>
      <c r="L225"/>
      <c r="M225"/>
      <c r="N225"/>
      <c r="O225"/>
      <c r="P225"/>
      <c r="Q225"/>
    </row>
    <row r="226" spans="1:17" x14ac:dyDescent="0.2">
      <c r="A226" s="54"/>
      <c r="B226" s="158" t="s">
        <v>856</v>
      </c>
      <c r="C226" s="158"/>
      <c r="D226" s="158"/>
      <c r="E226" s="158"/>
      <c r="F226" s="158"/>
      <c r="G226" s="158"/>
      <c r="H226" s="158"/>
      <c r="J226" s="56"/>
    </row>
    <row r="227" spans="1:17" x14ac:dyDescent="0.2">
      <c r="A227" s="54"/>
      <c r="B227" s="54"/>
      <c r="C227" s="54"/>
      <c r="D227" s="59"/>
      <c r="E227" s="59"/>
      <c r="F227" s="59"/>
      <c r="G227" s="59"/>
    </row>
    <row r="228" spans="1:17" x14ac:dyDescent="0.2">
      <c r="A228" s="54"/>
      <c r="B228" s="160" t="s">
        <v>170</v>
      </c>
      <c r="C228" s="161"/>
      <c r="D228" s="162"/>
      <c r="E228" s="60"/>
      <c r="F228" s="59"/>
      <c r="G228" s="59"/>
    </row>
    <row r="229" spans="1:17" ht="27.75" customHeight="1" x14ac:dyDescent="0.2">
      <c r="A229" s="54"/>
      <c r="B229" s="154" t="s">
        <v>171</v>
      </c>
      <c r="C229" s="155"/>
      <c r="D229" s="33" t="s">
        <v>986</v>
      </c>
      <c r="E229" s="60"/>
      <c r="F229" s="59"/>
      <c r="G229" s="59"/>
    </row>
    <row r="230" spans="1:17" ht="12.75" customHeight="1" x14ac:dyDescent="0.2">
      <c r="A230" s="54"/>
      <c r="B230" s="154" t="s">
        <v>857</v>
      </c>
      <c r="C230" s="155"/>
      <c r="D230" s="33" t="str">
        <f>"Rs. "&amp;TEXT(F82,"0.00")&amp;" lacs/ #"</f>
        <v>Rs. 5.01 lacs/ #</v>
      </c>
      <c r="E230" s="60"/>
      <c r="F230" s="59"/>
      <c r="G230" s="59"/>
    </row>
    <row r="231" spans="1:17" x14ac:dyDescent="0.2">
      <c r="A231" s="54"/>
      <c r="B231" s="154" t="s">
        <v>173</v>
      </c>
      <c r="C231" s="155"/>
      <c r="D231" s="61" t="s">
        <v>143</v>
      </c>
      <c r="E231" s="60"/>
      <c r="F231" s="59"/>
      <c r="G231" s="59"/>
    </row>
    <row r="232" spans="1:17" x14ac:dyDescent="0.2">
      <c r="A232" s="62"/>
      <c r="B232" s="63" t="s">
        <v>143</v>
      </c>
      <c r="C232" s="63" t="s">
        <v>858</v>
      </c>
      <c r="D232" s="63" t="s">
        <v>174</v>
      </c>
      <c r="E232" s="62"/>
      <c r="F232" s="62"/>
      <c r="G232" s="62"/>
      <c r="H232" s="62"/>
      <c r="J232" s="56"/>
    </row>
    <row r="233" spans="1:17" x14ac:dyDescent="0.2">
      <c r="A233" s="62"/>
      <c r="B233" s="64" t="s">
        <v>175</v>
      </c>
      <c r="C233" s="65">
        <v>45808</v>
      </c>
      <c r="D233" s="65">
        <v>45838</v>
      </c>
      <c r="E233" s="62"/>
      <c r="F233" s="62"/>
      <c r="G233" s="62"/>
      <c r="J233" s="56"/>
    </row>
    <row r="234" spans="1:17" x14ac:dyDescent="0.2">
      <c r="A234" s="66"/>
      <c r="B234" s="50" t="s">
        <v>176</v>
      </c>
      <c r="C234" s="67">
        <v>182.70779999999999</v>
      </c>
      <c r="D234" s="67">
        <v>186.452</v>
      </c>
      <c r="E234" s="66"/>
      <c r="F234" s="68"/>
      <c r="G234" s="69"/>
    </row>
    <row r="235" spans="1:17" ht="25.5" x14ac:dyDescent="0.2">
      <c r="A235" s="66"/>
      <c r="B235" s="50" t="s">
        <v>987</v>
      </c>
      <c r="C235" s="67">
        <v>43.100999999999999</v>
      </c>
      <c r="D235" s="67">
        <v>43.627299999999998</v>
      </c>
      <c r="E235" s="66"/>
      <c r="F235" s="68"/>
      <c r="G235" s="69"/>
    </row>
    <row r="236" spans="1:17" x14ac:dyDescent="0.2">
      <c r="A236" s="66"/>
      <c r="B236" s="50" t="s">
        <v>177</v>
      </c>
      <c r="C236" s="67">
        <v>159.6369</v>
      </c>
      <c r="D236" s="67">
        <v>162.75970000000001</v>
      </c>
      <c r="E236" s="66"/>
      <c r="F236" s="68"/>
      <c r="G236" s="69"/>
    </row>
    <row r="237" spans="1:17" ht="25.5" x14ac:dyDescent="0.2">
      <c r="A237" s="66"/>
      <c r="B237" s="50" t="s">
        <v>988</v>
      </c>
      <c r="C237" s="67">
        <v>28.0961</v>
      </c>
      <c r="D237" s="67">
        <v>28.390799999999999</v>
      </c>
      <c r="E237" s="66"/>
      <c r="F237" s="68"/>
      <c r="G237" s="69"/>
    </row>
    <row r="238" spans="1:17" x14ac:dyDescent="0.2">
      <c r="A238" s="66"/>
      <c r="B238" s="66"/>
      <c r="C238" s="66"/>
      <c r="D238" s="66"/>
      <c r="E238" s="66"/>
      <c r="F238" s="66"/>
      <c r="G238" s="66"/>
    </row>
    <row r="239" spans="1:17" x14ac:dyDescent="0.2">
      <c r="A239" s="66"/>
      <c r="B239" s="163" t="s">
        <v>860</v>
      </c>
      <c r="C239" s="164"/>
      <c r="D239" s="42" t="s">
        <v>143</v>
      </c>
      <c r="E239" s="66"/>
      <c r="F239" s="66"/>
      <c r="G239" s="66"/>
    </row>
    <row r="240" spans="1:17" x14ac:dyDescent="0.2">
      <c r="A240" s="66"/>
      <c r="B240" s="81" t="s">
        <v>175</v>
      </c>
      <c r="C240" s="82" t="s">
        <v>628</v>
      </c>
      <c r="D240" s="82" t="s">
        <v>629</v>
      </c>
      <c r="E240" s="66"/>
      <c r="F240" s="66"/>
      <c r="G240" s="66"/>
    </row>
    <row r="241" spans="1:16" ht="25.5" x14ac:dyDescent="0.2">
      <c r="A241" s="66"/>
      <c r="B241" s="50" t="s">
        <v>987</v>
      </c>
      <c r="C241" s="83">
        <v>0.35</v>
      </c>
      <c r="D241" s="83">
        <v>0.35</v>
      </c>
      <c r="E241" s="66"/>
      <c r="F241" s="68"/>
      <c r="G241" s="69"/>
    </row>
    <row r="242" spans="1:16" ht="25.5" x14ac:dyDescent="0.2">
      <c r="A242" s="66"/>
      <c r="B242" s="50" t="s">
        <v>988</v>
      </c>
      <c r="C242" s="83">
        <v>0.25</v>
      </c>
      <c r="D242" s="83">
        <v>0.25</v>
      </c>
      <c r="E242" s="66"/>
      <c r="F242" s="68"/>
      <c r="G242" s="69"/>
    </row>
    <row r="243" spans="1:16" x14ac:dyDescent="0.2">
      <c r="A243" s="66"/>
      <c r="B243" s="99"/>
      <c r="C243" s="99"/>
      <c r="D243" s="100"/>
      <c r="E243" s="66"/>
      <c r="F243" s="68"/>
      <c r="G243" s="69"/>
    </row>
    <row r="244" spans="1:16" ht="24.75" customHeight="1" x14ac:dyDescent="0.2">
      <c r="A244" s="62"/>
      <c r="B244" s="154" t="s">
        <v>178</v>
      </c>
      <c r="C244" s="155"/>
      <c r="D244" s="33" t="s">
        <v>913</v>
      </c>
      <c r="E244" s="71"/>
      <c r="F244" s="62"/>
      <c r="G244" s="62"/>
    </row>
    <row r="245" spans="1:16" ht="24" customHeight="1" x14ac:dyDescent="0.2">
      <c r="A245" s="62"/>
      <c r="B245" s="154" t="s">
        <v>179</v>
      </c>
      <c r="C245" s="155"/>
      <c r="D245" s="33" t="s">
        <v>172</v>
      </c>
      <c r="E245" s="71"/>
      <c r="F245" s="62"/>
      <c r="G245" s="62"/>
    </row>
    <row r="246" spans="1:16" x14ac:dyDescent="0.2">
      <c r="A246" s="62"/>
      <c r="B246" s="154" t="s">
        <v>180</v>
      </c>
      <c r="C246" s="155"/>
      <c r="D246" s="33" t="s">
        <v>172</v>
      </c>
      <c r="E246" s="71"/>
      <c r="F246" s="62"/>
      <c r="G246" s="62"/>
    </row>
    <row r="247" spans="1:16" x14ac:dyDescent="0.2">
      <c r="A247" s="62"/>
      <c r="B247" s="154" t="s">
        <v>181</v>
      </c>
      <c r="C247" s="155"/>
      <c r="D247" s="72">
        <v>1.4487928630169549</v>
      </c>
      <c r="E247" s="62"/>
      <c r="F247" s="55"/>
      <c r="G247" s="73"/>
    </row>
    <row r="249" spans="1:16" s="106" customFormat="1" x14ac:dyDescent="0.2">
      <c r="B249" s="132" t="s">
        <v>942</v>
      </c>
      <c r="C249" s="125"/>
      <c r="D249" s="125"/>
      <c r="E249" s="125"/>
      <c r="F249" s="125"/>
      <c r="G249" s="125"/>
      <c r="I249"/>
      <c r="J249"/>
      <c r="K249"/>
      <c r="L249"/>
      <c r="M249"/>
      <c r="N249"/>
      <c r="O249"/>
    </row>
    <row r="250" spans="1:16" ht="13.5" customHeight="1" x14ac:dyDescent="0.2">
      <c r="B250" s="165" t="s">
        <v>878</v>
      </c>
      <c r="C250" s="165" t="s">
        <v>879</v>
      </c>
      <c r="D250" s="168" t="s">
        <v>880</v>
      </c>
      <c r="E250" s="169"/>
      <c r="F250" s="170"/>
      <c r="G250" s="171" t="s">
        <v>881</v>
      </c>
      <c r="H250" s="172"/>
      <c r="I250" s="173"/>
      <c r="J250" s="119"/>
      <c r="K250" s="119"/>
      <c r="L250" s="119"/>
      <c r="M250" s="119"/>
      <c r="N250" s="119"/>
      <c r="O250" s="119"/>
    </row>
    <row r="251" spans="1:16" ht="46.5" customHeight="1" x14ac:dyDescent="0.2">
      <c r="B251" s="166"/>
      <c r="C251" s="166"/>
      <c r="D251" s="174" t="s">
        <v>882</v>
      </c>
      <c r="E251" s="174" t="s">
        <v>883</v>
      </c>
      <c r="F251" s="174" t="s">
        <v>884</v>
      </c>
      <c r="G251" s="176" t="s">
        <v>885</v>
      </c>
      <c r="H251" s="177"/>
      <c r="I251" s="174" t="s">
        <v>886</v>
      </c>
      <c r="J251" s="119"/>
      <c r="K251" s="119"/>
      <c r="L251" s="119"/>
      <c r="M251" s="119"/>
      <c r="N251" s="119"/>
      <c r="O251" s="119"/>
    </row>
    <row r="252" spans="1:16" ht="21" customHeight="1" x14ac:dyDescent="0.2">
      <c r="B252" s="167"/>
      <c r="C252" s="167"/>
      <c r="D252" s="175"/>
      <c r="E252" s="175"/>
      <c r="F252" s="175"/>
      <c r="G252" s="120" t="s">
        <v>887</v>
      </c>
      <c r="H252" s="120" t="s">
        <v>888</v>
      </c>
      <c r="I252" s="175"/>
      <c r="J252" s="119"/>
      <c r="K252" s="119"/>
      <c r="L252" s="119"/>
      <c r="M252" s="119"/>
      <c r="N252" s="119"/>
      <c r="O252" s="119"/>
    </row>
    <row r="253" spans="1:16" ht="13.5" x14ac:dyDescent="0.25">
      <c r="B253" s="121" t="s">
        <v>889</v>
      </c>
      <c r="C253" s="122" t="s">
        <v>890</v>
      </c>
      <c r="D253" s="123">
        <v>977.7</v>
      </c>
      <c r="E253" s="2">
        <v>22.3</v>
      </c>
      <c r="F253" s="124">
        <f>D253+E253</f>
        <v>1000</v>
      </c>
      <c r="G253" s="3">
        <v>42.319693431000005</v>
      </c>
      <c r="H253" s="3">
        <v>26.66</v>
      </c>
      <c r="I253" s="3">
        <f>G253+H253</f>
        <v>68.979693431000001</v>
      </c>
      <c r="J253" s="119"/>
      <c r="K253" s="119"/>
      <c r="L253" s="119"/>
      <c r="M253" s="119"/>
      <c r="N253" s="119"/>
      <c r="O253" s="119"/>
    </row>
    <row r="254" spans="1:16" ht="42" customHeight="1" x14ac:dyDescent="0.2">
      <c r="B254" s="178" t="s">
        <v>891</v>
      </c>
      <c r="C254" s="178"/>
      <c r="D254" s="178"/>
      <c r="E254" s="178"/>
      <c r="F254" s="178"/>
      <c r="G254" s="178"/>
      <c r="H254" s="178"/>
      <c r="I254" s="178"/>
      <c r="J254" s="129"/>
      <c r="K254" s="119"/>
      <c r="L254" s="119"/>
      <c r="M254" s="119"/>
      <c r="N254" s="119"/>
      <c r="O254" s="119"/>
    </row>
    <row r="255" spans="1:16" ht="13.5" x14ac:dyDescent="0.25">
      <c r="B255" s="130" t="s">
        <v>892</v>
      </c>
      <c r="I255" s="119"/>
      <c r="J255" s="31"/>
      <c r="K255" s="119"/>
      <c r="L255" s="119"/>
      <c r="M255" s="119"/>
      <c r="N255" s="119"/>
      <c r="O255" s="119"/>
      <c r="P255" s="119"/>
    </row>
    <row r="256" spans="1:16" x14ac:dyDescent="0.2">
      <c r="B256" s="4" t="s">
        <v>893</v>
      </c>
      <c r="J256" s="31"/>
      <c r="K256" s="119"/>
      <c r="L256" s="119"/>
      <c r="M256" s="119"/>
      <c r="N256" s="119"/>
      <c r="O256" s="119"/>
    </row>
    <row r="257" spans="2:15" s="106" customFormat="1" x14ac:dyDescent="0.2">
      <c r="B257" s="132"/>
      <c r="C257" s="125"/>
      <c r="D257" s="125"/>
      <c r="E257" s="125"/>
      <c r="F257" s="125"/>
      <c r="G257" s="125"/>
      <c r="I257"/>
      <c r="J257"/>
      <c r="K257"/>
      <c r="L257"/>
      <c r="M257"/>
      <c r="N257"/>
      <c r="O257"/>
    </row>
    <row r="258" spans="2:15" s="106" customFormat="1" x14ac:dyDescent="0.2">
      <c r="B258" s="133" t="s">
        <v>878</v>
      </c>
      <c r="C258" s="133" t="s">
        <v>879</v>
      </c>
      <c r="D258" s="179" t="s">
        <v>894</v>
      </c>
      <c r="E258" s="180"/>
      <c r="F258" s="181" t="s">
        <v>895</v>
      </c>
      <c r="G258" s="181"/>
      <c r="I258"/>
      <c r="J258"/>
      <c r="K258"/>
      <c r="L258"/>
      <c r="M258"/>
      <c r="N258"/>
      <c r="O258"/>
    </row>
    <row r="259" spans="2:15" s="106" customFormat="1" ht="25.5" x14ac:dyDescent="0.2">
      <c r="B259" s="134" t="s">
        <v>896</v>
      </c>
      <c r="C259" s="135" t="s">
        <v>897</v>
      </c>
      <c r="D259" s="182">
        <v>0</v>
      </c>
      <c r="E259" s="183"/>
      <c r="F259" s="182">
        <v>0</v>
      </c>
      <c r="G259" s="183"/>
      <c r="I259"/>
      <c r="J259"/>
      <c r="K259"/>
      <c r="L259"/>
      <c r="M259"/>
      <c r="N259"/>
      <c r="O259"/>
    </row>
    <row r="260" spans="2:15" s="106" customFormat="1" x14ac:dyDescent="0.2">
      <c r="B260" s="184" t="s">
        <v>898</v>
      </c>
      <c r="C260" s="185"/>
      <c r="D260" s="185"/>
      <c r="E260" s="185"/>
      <c r="F260" s="185"/>
      <c r="G260" s="186"/>
      <c r="I260"/>
      <c r="J260"/>
      <c r="K260"/>
      <c r="L260"/>
      <c r="M260"/>
      <c r="N260"/>
      <c r="O260"/>
    </row>
    <row r="261" spans="2:15" s="106" customFormat="1" x14ac:dyDescent="0.2">
      <c r="B261" s="181" t="s">
        <v>878</v>
      </c>
      <c r="C261" s="181" t="s">
        <v>879</v>
      </c>
      <c r="D261" s="184" t="s">
        <v>899</v>
      </c>
      <c r="E261" s="185"/>
      <c r="F261" s="186"/>
      <c r="G261" s="134"/>
      <c r="I261"/>
      <c r="J261"/>
      <c r="K261"/>
      <c r="L261"/>
      <c r="M261"/>
      <c r="N261"/>
      <c r="O261"/>
    </row>
    <row r="262" spans="2:15" s="106" customFormat="1" ht="38.25" x14ac:dyDescent="0.2">
      <c r="B262" s="181"/>
      <c r="C262" s="181"/>
      <c r="D262" s="136" t="s">
        <v>900</v>
      </c>
      <c r="E262" s="136" t="s">
        <v>901</v>
      </c>
      <c r="F262" s="136" t="s">
        <v>902</v>
      </c>
      <c r="G262" s="136" t="s">
        <v>943</v>
      </c>
      <c r="H262" s="137"/>
      <c r="I262"/>
      <c r="J262"/>
      <c r="K262"/>
      <c r="L262"/>
      <c r="M262"/>
      <c r="N262"/>
      <c r="O262"/>
    </row>
    <row r="263" spans="2:15" s="106" customFormat="1" ht="25.5" x14ac:dyDescent="0.2">
      <c r="B263" s="138" t="s">
        <v>896</v>
      </c>
      <c r="C263" s="135" t="s">
        <v>897</v>
      </c>
      <c r="D263" s="139">
        <v>700</v>
      </c>
      <c r="E263" s="139">
        <v>24.098357999999998</v>
      </c>
      <c r="F263" s="140">
        <v>724.09835799999996</v>
      </c>
      <c r="G263" s="141">
        <f>F263/F220</f>
        <v>1.1263865199516508E-3</v>
      </c>
      <c r="H263" s="142"/>
      <c r="I263"/>
      <c r="J263"/>
      <c r="K263"/>
      <c r="L263"/>
      <c r="M263"/>
      <c r="N263"/>
      <c r="O263"/>
    </row>
    <row r="264" spans="2:15" s="106" customFormat="1" ht="29.25" customHeight="1" x14ac:dyDescent="0.2">
      <c r="B264" s="187" t="s">
        <v>903</v>
      </c>
      <c r="C264" s="188"/>
      <c r="D264" s="188"/>
      <c r="E264" s="188"/>
      <c r="F264" s="188"/>
      <c r="G264" s="189"/>
      <c r="I264"/>
      <c r="J264"/>
      <c r="K264"/>
      <c r="L264"/>
      <c r="M264"/>
      <c r="N264"/>
      <c r="O264"/>
    </row>
    <row r="265" spans="2:15" s="106" customFormat="1" x14ac:dyDescent="0.2">
      <c r="I265"/>
      <c r="J265"/>
      <c r="K265"/>
      <c r="L265"/>
      <c r="M265"/>
      <c r="N265"/>
      <c r="O265"/>
    </row>
    <row r="266" spans="2:15" s="106" customFormat="1" x14ac:dyDescent="0.2">
      <c r="B266" s="190" t="s">
        <v>904</v>
      </c>
      <c r="C266" s="191"/>
      <c r="D266" s="192"/>
      <c r="I266"/>
      <c r="J266"/>
      <c r="K266"/>
      <c r="L266"/>
      <c r="M266"/>
      <c r="N266"/>
      <c r="O266"/>
    </row>
    <row r="267" spans="2:15" s="106" customFormat="1" ht="38.25" x14ac:dyDescent="0.2">
      <c r="B267" s="193" t="s">
        <v>905</v>
      </c>
      <c r="C267" s="193"/>
      <c r="D267" s="101" t="s">
        <v>502</v>
      </c>
      <c r="I267"/>
      <c r="J267"/>
      <c r="K267"/>
      <c r="L267"/>
      <c r="M267"/>
      <c r="N267"/>
      <c r="O267"/>
    </row>
    <row r="268" spans="2:15" s="106" customFormat="1" x14ac:dyDescent="0.2">
      <c r="B268" s="193" t="s">
        <v>906</v>
      </c>
      <c r="C268" s="193"/>
      <c r="D268" s="101"/>
      <c r="I268"/>
      <c r="J268"/>
      <c r="K268"/>
      <c r="L268"/>
      <c r="M268"/>
      <c r="N268"/>
      <c r="O268"/>
    </row>
    <row r="269" spans="2:15" s="106" customFormat="1" x14ac:dyDescent="0.2">
      <c r="B269" s="194"/>
      <c r="C269" s="195"/>
      <c r="D269" s="76"/>
      <c r="I269"/>
      <c r="J269"/>
      <c r="K269"/>
      <c r="L269"/>
      <c r="M269"/>
      <c r="N269"/>
      <c r="O269"/>
    </row>
    <row r="270" spans="2:15" s="106" customFormat="1" x14ac:dyDescent="0.2">
      <c r="B270" s="193" t="s">
        <v>907</v>
      </c>
      <c r="C270" s="193"/>
      <c r="D270" s="77">
        <v>6.1536438031074239</v>
      </c>
      <c r="I270"/>
      <c r="J270"/>
      <c r="K270"/>
      <c r="L270"/>
      <c r="M270"/>
      <c r="N270"/>
      <c r="O270"/>
    </row>
    <row r="271" spans="2:15" s="106" customFormat="1" x14ac:dyDescent="0.2">
      <c r="B271" s="194"/>
      <c r="C271" s="195"/>
      <c r="D271" s="143"/>
      <c r="I271"/>
      <c r="J271"/>
      <c r="K271"/>
      <c r="L271"/>
      <c r="M271"/>
      <c r="N271"/>
      <c r="O271"/>
    </row>
    <row r="272" spans="2:15" s="106" customFormat="1" x14ac:dyDescent="0.2">
      <c r="B272" s="193" t="s">
        <v>908</v>
      </c>
      <c r="C272" s="193"/>
      <c r="D272" s="77">
        <v>3.6358025325121606</v>
      </c>
      <c r="I272"/>
      <c r="J272"/>
      <c r="K272"/>
      <c r="L272"/>
      <c r="M272"/>
      <c r="N272"/>
      <c r="O272"/>
    </row>
    <row r="273" spans="2:15" s="106" customFormat="1" x14ac:dyDescent="0.2">
      <c r="B273" s="193" t="s">
        <v>909</v>
      </c>
      <c r="C273" s="193"/>
      <c r="D273" s="77">
        <v>5.3569328559208751</v>
      </c>
      <c r="I273"/>
      <c r="J273"/>
      <c r="K273"/>
      <c r="L273"/>
      <c r="M273"/>
      <c r="N273"/>
      <c r="O273"/>
    </row>
    <row r="274" spans="2:15" s="106" customFormat="1" x14ac:dyDescent="0.2">
      <c r="B274" s="194"/>
      <c r="C274" s="195"/>
      <c r="D274" s="76"/>
      <c r="I274"/>
      <c r="J274"/>
      <c r="K274"/>
      <c r="L274"/>
      <c r="M274"/>
      <c r="N274"/>
      <c r="O274"/>
    </row>
    <row r="275" spans="2:15" s="106" customFormat="1" x14ac:dyDescent="0.2">
      <c r="B275" s="193" t="s">
        <v>910</v>
      </c>
      <c r="C275" s="193"/>
      <c r="D275" s="78" t="s">
        <v>944</v>
      </c>
      <c r="I275"/>
      <c r="J275"/>
      <c r="K275"/>
      <c r="L275"/>
      <c r="M275"/>
      <c r="N275"/>
      <c r="O275"/>
    </row>
    <row r="276" spans="2:15" s="106" customFormat="1" x14ac:dyDescent="0.2">
      <c r="B276" s="194" t="s">
        <v>911</v>
      </c>
      <c r="C276" s="196"/>
      <c r="D276" s="195"/>
      <c r="I276"/>
      <c r="J276"/>
      <c r="K276"/>
      <c r="L276"/>
      <c r="M276"/>
      <c r="N276"/>
      <c r="O276"/>
    </row>
    <row r="278" spans="2:15" x14ac:dyDescent="0.2">
      <c r="B278" s="156" t="s">
        <v>861</v>
      </c>
      <c r="C278" s="156"/>
    </row>
    <row r="280" spans="2:15" ht="153.75" customHeight="1" x14ac:dyDescent="0.2"/>
    <row r="283" spans="2:15" x14ac:dyDescent="0.2">
      <c r="B283" s="79" t="s">
        <v>862</v>
      </c>
      <c r="C283" s="80"/>
      <c r="D283" s="79"/>
    </row>
    <row r="284" spans="2:15" x14ac:dyDescent="0.2">
      <c r="B284" s="79" t="s">
        <v>912</v>
      </c>
      <c r="D284" s="79"/>
    </row>
    <row r="285" spans="2:15" ht="165" customHeight="1" x14ac:dyDescent="0.2"/>
  </sheetData>
  <mergeCells count="48">
    <mergeCell ref="B276:D276"/>
    <mergeCell ref="B278:C278"/>
    <mergeCell ref="B271:C271"/>
    <mergeCell ref="B272:C272"/>
    <mergeCell ref="B273:C273"/>
    <mergeCell ref="B274:C274"/>
    <mergeCell ref="B275:C275"/>
    <mergeCell ref="B266:D266"/>
    <mergeCell ref="B267:C267"/>
    <mergeCell ref="B268:C268"/>
    <mergeCell ref="B269:C269"/>
    <mergeCell ref="B270:C270"/>
    <mergeCell ref="B260:G260"/>
    <mergeCell ref="B261:B262"/>
    <mergeCell ref="C261:C262"/>
    <mergeCell ref="D261:F261"/>
    <mergeCell ref="B264:G264"/>
    <mergeCell ref="B254:I254"/>
    <mergeCell ref="D258:E258"/>
    <mergeCell ref="F258:G258"/>
    <mergeCell ref="D259:E259"/>
    <mergeCell ref="F259:G259"/>
    <mergeCell ref="B250:B252"/>
    <mergeCell ref="C250:C252"/>
    <mergeCell ref="D250:F250"/>
    <mergeCell ref="G250:I250"/>
    <mergeCell ref="D251:D252"/>
    <mergeCell ref="E251:E252"/>
    <mergeCell ref="F251:F252"/>
    <mergeCell ref="G251:H251"/>
    <mergeCell ref="I251:I252"/>
    <mergeCell ref="A1:H1"/>
    <mergeCell ref="A2:H2"/>
    <mergeCell ref="A3:H3"/>
    <mergeCell ref="B222:H222"/>
    <mergeCell ref="B223:H223"/>
    <mergeCell ref="B224:H224"/>
    <mergeCell ref="B225:H225"/>
    <mergeCell ref="B226:H226"/>
    <mergeCell ref="B228:D228"/>
    <mergeCell ref="B229:C229"/>
    <mergeCell ref="B247:C247"/>
    <mergeCell ref="B244:C244"/>
    <mergeCell ref="B230:C230"/>
    <mergeCell ref="B231:C231"/>
    <mergeCell ref="B239:C239"/>
    <mergeCell ref="B245:C245"/>
    <mergeCell ref="B246:C246"/>
  </mergeCells>
  <hyperlinks>
    <hyperlink ref="I1" location="Index!B2" display="Index" xr:uid="{32DF418F-E727-4334-961A-8DEC2926EDBA}"/>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8BFA4-AAA9-428D-B470-9E9412D358CF}">
  <sheetPr>
    <outlinePr summaryBelow="0" summaryRight="0"/>
  </sheetPr>
  <dimension ref="A1:Q204"/>
  <sheetViews>
    <sheetView showGridLines="0" workbookViewId="0">
      <selection sqref="A1:H1"/>
    </sheetView>
  </sheetViews>
  <sheetFormatPr defaultRowHeight="12.75" x14ac:dyDescent="0.2"/>
  <cols>
    <col min="1" max="1" width="6.85546875" customWidth="1"/>
    <col min="2" max="2" width="20.5703125" customWidth="1"/>
    <col min="3" max="3" width="42.14062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630</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1046</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31</v>
      </c>
      <c r="C7" s="36" t="s">
        <v>32</v>
      </c>
      <c r="D7" s="36" t="s">
        <v>33</v>
      </c>
      <c r="E7" s="37">
        <v>155400</v>
      </c>
      <c r="F7" s="38">
        <v>2246.7732000000001</v>
      </c>
      <c r="G7" s="39">
        <v>8.8270319999999999E-2</v>
      </c>
      <c r="H7" s="34" t="s">
        <v>143</v>
      </c>
    </row>
    <row r="8" spans="1:9" x14ac:dyDescent="0.2">
      <c r="A8" s="35">
        <v>2</v>
      </c>
      <c r="B8" s="36" t="s">
        <v>352</v>
      </c>
      <c r="C8" s="36" t="s">
        <v>353</v>
      </c>
      <c r="D8" s="36" t="s">
        <v>354</v>
      </c>
      <c r="E8" s="37">
        <v>467200</v>
      </c>
      <c r="F8" s="38">
        <v>1945.6543999999999</v>
      </c>
      <c r="G8" s="39">
        <v>7.6440090000000002E-2</v>
      </c>
      <c r="H8" s="34" t="s">
        <v>143</v>
      </c>
    </row>
    <row r="9" spans="1:9" x14ac:dyDescent="0.2">
      <c r="A9" s="35">
        <v>3</v>
      </c>
      <c r="B9" s="36" t="s">
        <v>14</v>
      </c>
      <c r="C9" s="36" t="s">
        <v>15</v>
      </c>
      <c r="D9" s="36" t="s">
        <v>16</v>
      </c>
      <c r="E9" s="37">
        <v>121500</v>
      </c>
      <c r="F9" s="38">
        <v>1823.229</v>
      </c>
      <c r="G9" s="39">
        <v>7.1630289999999999E-2</v>
      </c>
      <c r="H9" s="34" t="s">
        <v>143</v>
      </c>
    </row>
    <row r="10" spans="1:9" x14ac:dyDescent="0.2">
      <c r="A10" s="35">
        <v>4</v>
      </c>
      <c r="B10" s="36" t="s">
        <v>324</v>
      </c>
      <c r="C10" s="36" t="s">
        <v>325</v>
      </c>
      <c r="D10" s="36" t="s">
        <v>33</v>
      </c>
      <c r="E10" s="37">
        <v>91875</v>
      </c>
      <c r="F10" s="38">
        <v>1101.7650000000001</v>
      </c>
      <c r="G10" s="39">
        <v>4.3285700000000003E-2</v>
      </c>
      <c r="H10" s="34" t="s">
        <v>143</v>
      </c>
    </row>
    <row r="11" spans="1:9" x14ac:dyDescent="0.2">
      <c r="A11" s="35">
        <v>5</v>
      </c>
      <c r="B11" s="36" t="s">
        <v>322</v>
      </c>
      <c r="C11" s="36" t="s">
        <v>323</v>
      </c>
      <c r="D11" s="36" t="s">
        <v>33</v>
      </c>
      <c r="E11" s="37">
        <v>50050</v>
      </c>
      <c r="F11" s="38">
        <v>1001.75075</v>
      </c>
      <c r="G11" s="39">
        <v>3.9356380000000003E-2</v>
      </c>
      <c r="H11" s="34" t="s">
        <v>143</v>
      </c>
    </row>
    <row r="12" spans="1:9" ht="25.5" x14ac:dyDescent="0.2">
      <c r="A12" s="35">
        <v>6</v>
      </c>
      <c r="B12" s="36" t="s">
        <v>101</v>
      </c>
      <c r="C12" s="36" t="s">
        <v>102</v>
      </c>
      <c r="D12" s="36" t="s">
        <v>25</v>
      </c>
      <c r="E12" s="37">
        <v>143850</v>
      </c>
      <c r="F12" s="38">
        <v>830.66182500000002</v>
      </c>
      <c r="G12" s="39">
        <v>3.2634709999999997E-2</v>
      </c>
      <c r="H12" s="34" t="s">
        <v>143</v>
      </c>
    </row>
    <row r="13" spans="1:9" ht="25.5" x14ac:dyDescent="0.2">
      <c r="A13" s="35">
        <v>7</v>
      </c>
      <c r="B13" s="36" t="s">
        <v>631</v>
      </c>
      <c r="C13" s="36" t="s">
        <v>632</v>
      </c>
      <c r="D13" s="36" t="s">
        <v>633</v>
      </c>
      <c r="E13" s="37">
        <v>27600</v>
      </c>
      <c r="F13" s="38">
        <v>722.95439999999996</v>
      </c>
      <c r="G13" s="39">
        <v>2.840314E-2</v>
      </c>
      <c r="H13" s="34" t="s">
        <v>143</v>
      </c>
    </row>
    <row r="14" spans="1:9" x14ac:dyDescent="0.2">
      <c r="A14" s="35">
        <v>8</v>
      </c>
      <c r="B14" s="36" t="s">
        <v>332</v>
      </c>
      <c r="C14" s="36" t="s">
        <v>333</v>
      </c>
      <c r="D14" s="36" t="s">
        <v>192</v>
      </c>
      <c r="E14" s="37">
        <v>76500</v>
      </c>
      <c r="F14" s="38">
        <v>716.42250000000001</v>
      </c>
      <c r="G14" s="39">
        <v>2.8146520000000001E-2</v>
      </c>
      <c r="H14" s="34" t="s">
        <v>143</v>
      </c>
    </row>
    <row r="15" spans="1:9" x14ac:dyDescent="0.2">
      <c r="A15" s="35">
        <v>9</v>
      </c>
      <c r="B15" s="36" t="s">
        <v>433</v>
      </c>
      <c r="C15" s="36" t="s">
        <v>434</v>
      </c>
      <c r="D15" s="36" t="s">
        <v>198</v>
      </c>
      <c r="E15" s="37">
        <v>19950</v>
      </c>
      <c r="F15" s="38">
        <v>690.66899999999998</v>
      </c>
      <c r="G15" s="39">
        <v>2.7134729999999999E-2</v>
      </c>
      <c r="H15" s="34" t="s">
        <v>143</v>
      </c>
    </row>
    <row r="16" spans="1:9" x14ac:dyDescent="0.2">
      <c r="A16" s="35">
        <v>10</v>
      </c>
      <c r="B16" s="36" t="s">
        <v>17</v>
      </c>
      <c r="C16" s="36" t="s">
        <v>18</v>
      </c>
      <c r="D16" s="36" t="s">
        <v>19</v>
      </c>
      <c r="E16" s="37">
        <v>18725</v>
      </c>
      <c r="F16" s="38">
        <v>687.17004999999995</v>
      </c>
      <c r="G16" s="39">
        <v>2.6997259999999999E-2</v>
      </c>
      <c r="H16" s="34" t="s">
        <v>143</v>
      </c>
    </row>
    <row r="17" spans="1:8" x14ac:dyDescent="0.2">
      <c r="A17" s="35">
        <v>11</v>
      </c>
      <c r="B17" s="36" t="s">
        <v>435</v>
      </c>
      <c r="C17" s="36" t="s">
        <v>436</v>
      </c>
      <c r="D17" s="36" t="s">
        <v>437</v>
      </c>
      <c r="E17" s="37">
        <v>81200</v>
      </c>
      <c r="F17" s="38">
        <v>562.5942</v>
      </c>
      <c r="G17" s="39">
        <v>2.2102980000000001E-2</v>
      </c>
      <c r="H17" s="34" t="s">
        <v>143</v>
      </c>
    </row>
    <row r="18" spans="1:8" ht="25.5" x14ac:dyDescent="0.2">
      <c r="A18" s="35">
        <v>12</v>
      </c>
      <c r="B18" s="36" t="s">
        <v>348</v>
      </c>
      <c r="C18" s="36" t="s">
        <v>349</v>
      </c>
      <c r="D18" s="36" t="s">
        <v>201</v>
      </c>
      <c r="E18" s="37">
        <v>32900</v>
      </c>
      <c r="F18" s="38">
        <v>551.30529999999999</v>
      </c>
      <c r="G18" s="39">
        <v>2.1659459999999998E-2</v>
      </c>
      <c r="H18" s="34" t="s">
        <v>143</v>
      </c>
    </row>
    <row r="19" spans="1:8" x14ac:dyDescent="0.2">
      <c r="A19" s="35">
        <v>13</v>
      </c>
      <c r="B19" s="36" t="s">
        <v>11</v>
      </c>
      <c r="C19" s="36" t="s">
        <v>12</v>
      </c>
      <c r="D19" s="36" t="s">
        <v>13</v>
      </c>
      <c r="E19" s="37">
        <v>22800</v>
      </c>
      <c r="F19" s="38">
        <v>458.18880000000001</v>
      </c>
      <c r="G19" s="39">
        <v>1.8001139999999999E-2</v>
      </c>
      <c r="H19" s="34" t="s">
        <v>143</v>
      </c>
    </row>
    <row r="20" spans="1:8" x14ac:dyDescent="0.2">
      <c r="A20" s="35">
        <v>14</v>
      </c>
      <c r="B20" s="36" t="s">
        <v>311</v>
      </c>
      <c r="C20" s="36" t="s">
        <v>312</v>
      </c>
      <c r="D20" s="36" t="s">
        <v>221</v>
      </c>
      <c r="E20" s="37">
        <v>58000</v>
      </c>
      <c r="F20" s="38">
        <v>440.97399999999999</v>
      </c>
      <c r="G20" s="39">
        <v>1.732481E-2</v>
      </c>
      <c r="H20" s="34" t="s">
        <v>143</v>
      </c>
    </row>
    <row r="21" spans="1:8" x14ac:dyDescent="0.2">
      <c r="A21" s="35">
        <v>15</v>
      </c>
      <c r="B21" s="36" t="s">
        <v>334</v>
      </c>
      <c r="C21" s="36" t="s">
        <v>335</v>
      </c>
      <c r="D21" s="36" t="s">
        <v>33</v>
      </c>
      <c r="E21" s="37">
        <v>157950</v>
      </c>
      <c r="F21" s="38">
        <v>392.94801000000001</v>
      </c>
      <c r="G21" s="39">
        <v>1.543798E-2</v>
      </c>
      <c r="H21" s="34" t="s">
        <v>143</v>
      </c>
    </row>
    <row r="22" spans="1:8" x14ac:dyDescent="0.2">
      <c r="A22" s="35">
        <v>16</v>
      </c>
      <c r="B22" s="36" t="s">
        <v>427</v>
      </c>
      <c r="C22" s="36" t="s">
        <v>428</v>
      </c>
      <c r="D22" s="36" t="s">
        <v>251</v>
      </c>
      <c r="E22" s="37">
        <v>52000</v>
      </c>
      <c r="F22" s="38">
        <v>357.76</v>
      </c>
      <c r="G22" s="39">
        <v>1.405553E-2</v>
      </c>
      <c r="H22" s="34" t="s">
        <v>143</v>
      </c>
    </row>
    <row r="23" spans="1:8" x14ac:dyDescent="0.2">
      <c r="A23" s="35">
        <v>17</v>
      </c>
      <c r="B23" s="36" t="s">
        <v>444</v>
      </c>
      <c r="C23" s="36" t="s">
        <v>445</v>
      </c>
      <c r="D23" s="36" t="s">
        <v>354</v>
      </c>
      <c r="E23" s="37">
        <v>12600</v>
      </c>
      <c r="F23" s="38">
        <v>289.11959999999999</v>
      </c>
      <c r="G23" s="39">
        <v>1.135882E-2</v>
      </c>
      <c r="H23" s="34" t="s">
        <v>143</v>
      </c>
    </row>
    <row r="24" spans="1:8" x14ac:dyDescent="0.2">
      <c r="A24" s="35">
        <v>18</v>
      </c>
      <c r="B24" s="36" t="s">
        <v>39</v>
      </c>
      <c r="C24" s="36" t="s">
        <v>40</v>
      </c>
      <c r="D24" s="36" t="s">
        <v>22</v>
      </c>
      <c r="E24" s="37">
        <v>69600</v>
      </c>
      <c r="F24" s="38">
        <v>282.19319999999999</v>
      </c>
      <c r="G24" s="39">
        <v>1.108669E-2</v>
      </c>
      <c r="H24" s="34" t="s">
        <v>143</v>
      </c>
    </row>
    <row r="25" spans="1:8" x14ac:dyDescent="0.2">
      <c r="A25" s="35">
        <v>19</v>
      </c>
      <c r="B25" s="36" t="s">
        <v>46</v>
      </c>
      <c r="C25" s="36" t="s">
        <v>47</v>
      </c>
      <c r="D25" s="36" t="s">
        <v>33</v>
      </c>
      <c r="E25" s="37">
        <v>31500</v>
      </c>
      <c r="F25" s="38">
        <v>258.41025000000002</v>
      </c>
      <c r="G25" s="39">
        <v>1.0152319999999999E-2</v>
      </c>
      <c r="H25" s="34" t="s">
        <v>143</v>
      </c>
    </row>
    <row r="26" spans="1:8" x14ac:dyDescent="0.2">
      <c r="A26" s="35">
        <v>20</v>
      </c>
      <c r="B26" s="36" t="s">
        <v>62</v>
      </c>
      <c r="C26" s="36" t="s">
        <v>63</v>
      </c>
      <c r="D26" s="36" t="s">
        <v>13</v>
      </c>
      <c r="E26" s="37">
        <v>61200</v>
      </c>
      <c r="F26" s="38">
        <v>257.71319999999997</v>
      </c>
      <c r="G26" s="39">
        <v>1.0124930000000001E-2</v>
      </c>
      <c r="H26" s="34" t="s">
        <v>143</v>
      </c>
    </row>
    <row r="27" spans="1:8" ht="25.5" x14ac:dyDescent="0.2">
      <c r="A27" s="35">
        <v>21</v>
      </c>
      <c r="B27" s="36" t="s">
        <v>440</v>
      </c>
      <c r="C27" s="36" t="s">
        <v>441</v>
      </c>
      <c r="D27" s="36" t="s">
        <v>201</v>
      </c>
      <c r="E27" s="37">
        <v>15750</v>
      </c>
      <c r="F27" s="38">
        <v>237.17925</v>
      </c>
      <c r="G27" s="39">
        <v>9.3182000000000004E-3</v>
      </c>
      <c r="H27" s="34" t="s">
        <v>143</v>
      </c>
    </row>
    <row r="28" spans="1:8" x14ac:dyDescent="0.2">
      <c r="A28" s="35">
        <v>22</v>
      </c>
      <c r="B28" s="36" t="s">
        <v>431</v>
      </c>
      <c r="C28" s="36" t="s">
        <v>432</v>
      </c>
      <c r="D28" s="36" t="s">
        <v>256</v>
      </c>
      <c r="E28" s="37">
        <v>12375</v>
      </c>
      <c r="F28" s="38">
        <v>227.48962499999999</v>
      </c>
      <c r="G28" s="39">
        <v>8.9375199999999991E-3</v>
      </c>
      <c r="H28" s="34" t="s">
        <v>143</v>
      </c>
    </row>
    <row r="29" spans="1:8" x14ac:dyDescent="0.2">
      <c r="A29" s="35">
        <v>23</v>
      </c>
      <c r="B29" s="36" t="s">
        <v>415</v>
      </c>
      <c r="C29" s="36" t="s">
        <v>416</v>
      </c>
      <c r="D29" s="36" t="s">
        <v>136</v>
      </c>
      <c r="E29" s="37">
        <v>137500</v>
      </c>
      <c r="F29" s="38">
        <v>219.67</v>
      </c>
      <c r="G29" s="39">
        <v>8.6303100000000004E-3</v>
      </c>
      <c r="H29" s="34" t="s">
        <v>143</v>
      </c>
    </row>
    <row r="30" spans="1:8" x14ac:dyDescent="0.2">
      <c r="A30" s="35">
        <v>24</v>
      </c>
      <c r="B30" s="36" t="s">
        <v>634</v>
      </c>
      <c r="C30" s="36" t="s">
        <v>635</v>
      </c>
      <c r="D30" s="36" t="s">
        <v>33</v>
      </c>
      <c r="E30" s="37">
        <v>192000</v>
      </c>
      <c r="F30" s="38">
        <v>212.16</v>
      </c>
      <c r="G30" s="39">
        <v>8.3352600000000006E-3</v>
      </c>
      <c r="H30" s="34" t="s">
        <v>143</v>
      </c>
    </row>
    <row r="31" spans="1:8" x14ac:dyDescent="0.2">
      <c r="A31" s="35">
        <v>25</v>
      </c>
      <c r="B31" s="36" t="s">
        <v>517</v>
      </c>
      <c r="C31" s="36" t="s">
        <v>518</v>
      </c>
      <c r="D31" s="36" t="s">
        <v>33</v>
      </c>
      <c r="E31" s="37">
        <v>79375</v>
      </c>
      <c r="F31" s="38">
        <v>197.23099999999999</v>
      </c>
      <c r="G31" s="39">
        <v>7.7487299999999997E-3</v>
      </c>
      <c r="H31" s="34" t="s">
        <v>143</v>
      </c>
    </row>
    <row r="32" spans="1:8" x14ac:dyDescent="0.2">
      <c r="A32" s="35">
        <v>26</v>
      </c>
      <c r="B32" s="36" t="s">
        <v>636</v>
      </c>
      <c r="C32" s="36" t="s">
        <v>637</v>
      </c>
      <c r="D32" s="36" t="s">
        <v>33</v>
      </c>
      <c r="E32" s="37">
        <v>168750</v>
      </c>
      <c r="F32" s="38">
        <v>192.71250000000001</v>
      </c>
      <c r="G32" s="39">
        <v>7.5712100000000001E-3</v>
      </c>
      <c r="H32" s="34" t="s">
        <v>143</v>
      </c>
    </row>
    <row r="33" spans="1:9" ht="25.5" x14ac:dyDescent="0.2">
      <c r="A33" s="35">
        <v>27</v>
      </c>
      <c r="B33" s="36" t="s">
        <v>438</v>
      </c>
      <c r="C33" s="36" t="s">
        <v>439</v>
      </c>
      <c r="D33" s="36" t="s">
        <v>209</v>
      </c>
      <c r="E33" s="37">
        <v>17050</v>
      </c>
      <c r="F33" s="38">
        <v>187.36245</v>
      </c>
      <c r="G33" s="39">
        <v>7.3610200000000002E-3</v>
      </c>
      <c r="H33" s="34" t="s">
        <v>143</v>
      </c>
    </row>
    <row r="34" spans="1:9" ht="25.5" x14ac:dyDescent="0.2">
      <c r="A34" s="35">
        <v>28</v>
      </c>
      <c r="B34" s="36" t="s">
        <v>638</v>
      </c>
      <c r="C34" s="36" t="s">
        <v>639</v>
      </c>
      <c r="D34" s="36" t="s">
        <v>201</v>
      </c>
      <c r="E34" s="37">
        <v>13200</v>
      </c>
      <c r="F34" s="38">
        <v>149.7936</v>
      </c>
      <c r="G34" s="39">
        <v>5.8850300000000003E-3</v>
      </c>
      <c r="H34" s="34" t="s">
        <v>143</v>
      </c>
    </row>
    <row r="35" spans="1:9" x14ac:dyDescent="0.2">
      <c r="A35" s="35">
        <v>29</v>
      </c>
      <c r="B35" s="36" t="s">
        <v>338</v>
      </c>
      <c r="C35" s="36" t="s">
        <v>339</v>
      </c>
      <c r="D35" s="36" t="s">
        <v>251</v>
      </c>
      <c r="E35" s="37">
        <v>3800</v>
      </c>
      <c r="F35" s="38">
        <v>120.9616</v>
      </c>
      <c r="G35" s="39">
        <v>4.7522900000000002E-3</v>
      </c>
      <c r="H35" s="34" t="s">
        <v>143</v>
      </c>
    </row>
    <row r="36" spans="1:9" x14ac:dyDescent="0.2">
      <c r="A36" s="35">
        <v>30</v>
      </c>
      <c r="B36" s="36" t="s">
        <v>640</v>
      </c>
      <c r="C36" s="36" t="s">
        <v>641</v>
      </c>
      <c r="D36" s="36" t="s">
        <v>22</v>
      </c>
      <c r="E36" s="37">
        <v>18000</v>
      </c>
      <c r="F36" s="38">
        <v>93.977999999999994</v>
      </c>
      <c r="G36" s="39">
        <v>3.6921699999999998E-3</v>
      </c>
      <c r="H36" s="34" t="s">
        <v>143</v>
      </c>
    </row>
    <row r="37" spans="1:9" x14ac:dyDescent="0.2">
      <c r="A37" s="35">
        <v>31</v>
      </c>
      <c r="B37" s="36" t="s">
        <v>519</v>
      </c>
      <c r="C37" s="36" t="s">
        <v>520</v>
      </c>
      <c r="D37" s="36" t="s">
        <v>192</v>
      </c>
      <c r="E37" s="37">
        <v>3500</v>
      </c>
      <c r="F37" s="38">
        <v>71.959999999999994</v>
      </c>
      <c r="G37" s="39">
        <v>2.8271400000000001E-3</v>
      </c>
      <c r="H37" s="34" t="s">
        <v>143</v>
      </c>
    </row>
    <row r="38" spans="1:9" x14ac:dyDescent="0.2">
      <c r="A38" s="35">
        <v>32</v>
      </c>
      <c r="B38" s="36" t="s">
        <v>642</v>
      </c>
      <c r="C38" s="36" t="s">
        <v>643</v>
      </c>
      <c r="D38" s="36" t="s">
        <v>61</v>
      </c>
      <c r="E38" s="37">
        <v>7425</v>
      </c>
      <c r="F38" s="38">
        <v>62.206650000000003</v>
      </c>
      <c r="G38" s="39">
        <v>2.4439499999999999E-3</v>
      </c>
      <c r="H38" s="34" t="s">
        <v>143</v>
      </c>
    </row>
    <row r="39" spans="1:9" x14ac:dyDescent="0.2">
      <c r="A39" s="35">
        <v>33</v>
      </c>
      <c r="B39" s="36" t="s">
        <v>644</v>
      </c>
      <c r="C39" s="36" t="s">
        <v>645</v>
      </c>
      <c r="D39" s="36" t="s">
        <v>16</v>
      </c>
      <c r="E39" s="37">
        <v>19500</v>
      </c>
      <c r="F39" s="38">
        <v>28.6572</v>
      </c>
      <c r="G39" s="39">
        <v>1.12587E-3</v>
      </c>
      <c r="H39" s="34" t="s">
        <v>143</v>
      </c>
    </row>
    <row r="40" spans="1:9" x14ac:dyDescent="0.2">
      <c r="A40" s="35">
        <v>34</v>
      </c>
      <c r="B40" s="36" t="s">
        <v>20</v>
      </c>
      <c r="C40" s="36" t="s">
        <v>21</v>
      </c>
      <c r="D40" s="36" t="s">
        <v>22</v>
      </c>
      <c r="E40" s="37">
        <v>6000</v>
      </c>
      <c r="F40" s="38">
        <v>20.094000000000001</v>
      </c>
      <c r="G40" s="39">
        <v>7.8945000000000003E-4</v>
      </c>
      <c r="H40" s="34" t="s">
        <v>143</v>
      </c>
    </row>
    <row r="41" spans="1:9" ht="25.5" x14ac:dyDescent="0.2">
      <c r="A41" s="35">
        <v>35</v>
      </c>
      <c r="B41" s="36" t="s">
        <v>646</v>
      </c>
      <c r="C41" s="36" t="s">
        <v>647</v>
      </c>
      <c r="D41" s="36" t="s">
        <v>270</v>
      </c>
      <c r="E41" s="37">
        <v>2650</v>
      </c>
      <c r="F41" s="38">
        <v>12.705425</v>
      </c>
      <c r="G41" s="39">
        <v>4.9916999999999995E-4</v>
      </c>
      <c r="H41" s="34" t="s">
        <v>143</v>
      </c>
    </row>
    <row r="42" spans="1:9" x14ac:dyDescent="0.2">
      <c r="A42" s="102">
        <v>39</v>
      </c>
      <c r="B42" s="50" t="s">
        <v>947</v>
      </c>
      <c r="C42" s="50" t="s">
        <v>948</v>
      </c>
      <c r="D42" s="50" t="s">
        <v>949</v>
      </c>
      <c r="E42" s="103">
        <v>1333</v>
      </c>
      <c r="F42" s="104">
        <v>0.01</v>
      </c>
      <c r="G42" s="105" t="s">
        <v>141</v>
      </c>
      <c r="H42" s="34" t="s">
        <v>143</v>
      </c>
      <c r="I42" s="116"/>
    </row>
    <row r="43" spans="1:9" x14ac:dyDescent="0.2">
      <c r="A43" s="41"/>
      <c r="B43" s="41"/>
      <c r="C43" s="42" t="s">
        <v>142</v>
      </c>
      <c r="D43" s="41"/>
      <c r="E43" s="41" t="s">
        <v>143</v>
      </c>
      <c r="F43" s="43">
        <f>SUM(F7:F42)</f>
        <v>17652.427985000002</v>
      </c>
      <c r="G43" s="44">
        <v>0.69352111999999999</v>
      </c>
      <c r="H43" s="34" t="s">
        <v>143</v>
      </c>
    </row>
    <row r="44" spans="1:9" x14ac:dyDescent="0.2">
      <c r="A44" s="41"/>
      <c r="B44" s="41"/>
      <c r="C44" s="45"/>
      <c r="D44" s="41"/>
      <c r="E44" s="41"/>
      <c r="F44" s="46"/>
      <c r="G44" s="46"/>
      <c r="H44" s="34" t="s">
        <v>143</v>
      </c>
    </row>
    <row r="45" spans="1:9" x14ac:dyDescent="0.2">
      <c r="A45" s="41"/>
      <c r="B45" s="41"/>
      <c r="C45" s="42" t="s">
        <v>144</v>
      </c>
      <c r="D45" s="41"/>
      <c r="E45" s="41"/>
      <c r="F45" s="41"/>
      <c r="G45" s="41"/>
      <c r="H45" s="34" t="s">
        <v>143</v>
      </c>
    </row>
    <row r="46" spans="1:9" x14ac:dyDescent="0.2">
      <c r="A46" s="41"/>
      <c r="B46" s="41"/>
      <c r="C46" s="42" t="s">
        <v>142</v>
      </c>
      <c r="D46" s="41"/>
      <c r="E46" s="41" t="s">
        <v>143</v>
      </c>
      <c r="F46" s="47" t="s">
        <v>145</v>
      </c>
      <c r="G46" s="44">
        <v>0</v>
      </c>
      <c r="H46" s="34" t="s">
        <v>143</v>
      </c>
    </row>
    <row r="47" spans="1:9" x14ac:dyDescent="0.2">
      <c r="A47" s="41"/>
      <c r="B47" s="41"/>
      <c r="C47" s="45"/>
      <c r="D47" s="41"/>
      <c r="E47" s="41"/>
      <c r="F47" s="46"/>
      <c r="G47" s="46"/>
      <c r="H47" s="34" t="s">
        <v>143</v>
      </c>
    </row>
    <row r="48" spans="1:9" x14ac:dyDescent="0.2">
      <c r="A48" s="41"/>
      <c r="B48" s="41"/>
      <c r="C48" s="42" t="s">
        <v>146</v>
      </c>
      <c r="D48" s="41"/>
      <c r="E48" s="41"/>
      <c r="F48" s="41"/>
      <c r="G48" s="41"/>
      <c r="H48" s="34" t="s">
        <v>143</v>
      </c>
    </row>
    <row r="49" spans="1:8" x14ac:dyDescent="0.2">
      <c r="A49" s="41"/>
      <c r="B49" s="41"/>
      <c r="C49" s="42" t="s">
        <v>142</v>
      </c>
      <c r="D49" s="41"/>
      <c r="E49" s="41" t="s">
        <v>143</v>
      </c>
      <c r="F49" s="47" t="s">
        <v>145</v>
      </c>
      <c r="G49" s="44">
        <v>0</v>
      </c>
      <c r="H49" s="34" t="s">
        <v>143</v>
      </c>
    </row>
    <row r="50" spans="1:8" x14ac:dyDescent="0.2">
      <c r="A50" s="41"/>
      <c r="B50" s="41"/>
      <c r="C50" s="45"/>
      <c r="D50" s="41"/>
      <c r="E50" s="41"/>
      <c r="F50" s="46"/>
      <c r="G50" s="46"/>
      <c r="H50" s="34" t="s">
        <v>143</v>
      </c>
    </row>
    <row r="51" spans="1:8" x14ac:dyDescent="0.2">
      <c r="A51" s="41"/>
      <c r="B51" s="41"/>
      <c r="C51" s="42" t="s">
        <v>147</v>
      </c>
      <c r="D51" s="41"/>
      <c r="E51" s="41"/>
      <c r="F51" s="41"/>
      <c r="G51" s="41"/>
      <c r="H51" s="34" t="s">
        <v>143</v>
      </c>
    </row>
    <row r="52" spans="1:8" x14ac:dyDescent="0.2">
      <c r="A52" s="41"/>
      <c r="B52" s="41"/>
      <c r="C52" s="42" t="s">
        <v>142</v>
      </c>
      <c r="D52" s="41"/>
      <c r="E52" s="41" t="s">
        <v>143</v>
      </c>
      <c r="F52" s="47" t="s">
        <v>145</v>
      </c>
      <c r="G52" s="44">
        <v>0</v>
      </c>
      <c r="H52" s="34" t="s">
        <v>143</v>
      </c>
    </row>
    <row r="53" spans="1:8" x14ac:dyDescent="0.2">
      <c r="A53" s="41"/>
      <c r="B53" s="41"/>
      <c r="C53" s="45"/>
      <c r="D53" s="41"/>
      <c r="E53" s="41"/>
      <c r="F53" s="46"/>
      <c r="G53" s="46"/>
      <c r="H53" s="34" t="s">
        <v>143</v>
      </c>
    </row>
    <row r="54" spans="1:8" x14ac:dyDescent="0.2">
      <c r="A54" s="41"/>
      <c r="B54" s="41"/>
      <c r="C54" s="42" t="s">
        <v>148</v>
      </c>
      <c r="D54" s="41"/>
      <c r="E54" s="41"/>
      <c r="F54" s="46"/>
      <c r="G54" s="46"/>
      <c r="H54" s="34" t="s">
        <v>143</v>
      </c>
    </row>
    <row r="55" spans="1:8" x14ac:dyDescent="0.2">
      <c r="A55" s="41"/>
      <c r="B55" s="41"/>
      <c r="C55" s="42" t="s">
        <v>142</v>
      </c>
      <c r="D55" s="41"/>
      <c r="E55" s="41" t="s">
        <v>143</v>
      </c>
      <c r="F55" s="47" t="s">
        <v>145</v>
      </c>
      <c r="G55" s="44">
        <v>0</v>
      </c>
      <c r="H55" s="34" t="s">
        <v>143</v>
      </c>
    </row>
    <row r="56" spans="1:8" x14ac:dyDescent="0.2">
      <c r="A56" s="41"/>
      <c r="B56" s="41"/>
      <c r="C56" s="45"/>
      <c r="D56" s="41"/>
      <c r="E56" s="41"/>
      <c r="F56" s="46"/>
      <c r="G56" s="46"/>
      <c r="H56" s="34" t="s">
        <v>143</v>
      </c>
    </row>
    <row r="57" spans="1:8" x14ac:dyDescent="0.2">
      <c r="A57" s="41"/>
      <c r="B57" s="41"/>
      <c r="C57" s="42" t="s">
        <v>149</v>
      </c>
      <c r="D57" s="41"/>
      <c r="E57" s="41"/>
      <c r="F57" s="46"/>
      <c r="G57" s="46"/>
      <c r="H57" s="34" t="s">
        <v>143</v>
      </c>
    </row>
    <row r="58" spans="1:8" x14ac:dyDescent="0.2">
      <c r="A58" s="35">
        <v>1</v>
      </c>
      <c r="B58" s="36"/>
      <c r="C58" s="36" t="s">
        <v>989</v>
      </c>
      <c r="D58" s="36" t="s">
        <v>530</v>
      </c>
      <c r="E58" s="37">
        <v>-2650</v>
      </c>
      <c r="F58" s="38">
        <v>-12.7836</v>
      </c>
      <c r="G58" s="39">
        <f>F58/$F$147</f>
        <v>-5.0223694145710247E-4</v>
      </c>
      <c r="H58" s="34" t="s">
        <v>143</v>
      </c>
    </row>
    <row r="59" spans="1:8" x14ac:dyDescent="0.2">
      <c r="A59" s="35">
        <v>2</v>
      </c>
      <c r="B59" s="36"/>
      <c r="C59" s="36" t="s">
        <v>976</v>
      </c>
      <c r="D59" s="36" t="s">
        <v>530</v>
      </c>
      <c r="E59" s="37">
        <v>-6000</v>
      </c>
      <c r="F59" s="38">
        <v>-20.202000000000002</v>
      </c>
      <c r="G59" s="39">
        <f t="shared" ref="G59:G92" si="0">F59/$F$147</f>
        <v>-7.9368806058671942E-4</v>
      </c>
      <c r="H59" s="34" t="s">
        <v>143</v>
      </c>
    </row>
    <row r="60" spans="1:8" x14ac:dyDescent="0.2">
      <c r="A60" s="35">
        <v>3</v>
      </c>
      <c r="B60" s="36"/>
      <c r="C60" s="36" t="s">
        <v>990</v>
      </c>
      <c r="D60" s="36" t="s">
        <v>530</v>
      </c>
      <c r="E60" s="37">
        <v>-19500</v>
      </c>
      <c r="F60" s="38">
        <v>-28.840499999999999</v>
      </c>
      <c r="G60" s="39">
        <f t="shared" si="0"/>
        <v>-1.1330739783858665E-3</v>
      </c>
      <c r="H60" s="34" t="s">
        <v>143</v>
      </c>
    </row>
    <row r="61" spans="1:8" x14ac:dyDescent="0.2">
      <c r="A61" s="35">
        <v>4</v>
      </c>
      <c r="B61" s="36"/>
      <c r="C61" s="36" t="s">
        <v>991</v>
      </c>
      <c r="D61" s="36" t="s">
        <v>530</v>
      </c>
      <c r="E61" s="37">
        <v>-7425</v>
      </c>
      <c r="F61" s="38">
        <v>-62.518500000000003</v>
      </c>
      <c r="G61" s="39">
        <f t="shared" si="0"/>
        <v>-2.4562017134833586E-3</v>
      </c>
      <c r="H61" s="34" t="s">
        <v>143</v>
      </c>
    </row>
    <row r="62" spans="1:8" x14ac:dyDescent="0.2">
      <c r="A62" s="35">
        <v>5</v>
      </c>
      <c r="B62" s="36"/>
      <c r="C62" s="36" t="s">
        <v>968</v>
      </c>
      <c r="D62" s="36" t="s">
        <v>530</v>
      </c>
      <c r="E62" s="37">
        <v>-3500</v>
      </c>
      <c r="F62" s="38">
        <v>-72.316999999999993</v>
      </c>
      <c r="G62" s="39">
        <f t="shared" si="0"/>
        <v>-2.8411612452950092E-3</v>
      </c>
      <c r="H62" s="34" t="s">
        <v>143</v>
      </c>
    </row>
    <row r="63" spans="1:8" x14ac:dyDescent="0.2">
      <c r="A63" s="35">
        <v>6</v>
      </c>
      <c r="B63" s="36"/>
      <c r="C63" s="36" t="s">
        <v>1009</v>
      </c>
      <c r="D63" s="36" t="s">
        <v>530</v>
      </c>
      <c r="E63" s="37">
        <v>-18000</v>
      </c>
      <c r="F63" s="38">
        <v>-94.364999999999995</v>
      </c>
      <c r="G63" s="39">
        <f t="shared" si="0"/>
        <v>-3.7073742123188676E-3</v>
      </c>
      <c r="H63" s="34" t="s">
        <v>143</v>
      </c>
    </row>
    <row r="64" spans="1:8" x14ac:dyDescent="0.2">
      <c r="A64" s="35">
        <v>7</v>
      </c>
      <c r="B64" s="36"/>
      <c r="C64" s="36" t="s">
        <v>965</v>
      </c>
      <c r="D64" s="36" t="s">
        <v>530</v>
      </c>
      <c r="E64" s="37">
        <v>-3800</v>
      </c>
      <c r="F64" s="38">
        <v>-120.58920000000001</v>
      </c>
      <c r="G64" s="39">
        <f t="shared" si="0"/>
        <v>-4.7376600473073962E-3</v>
      </c>
      <c r="H64" s="34" t="s">
        <v>143</v>
      </c>
    </row>
    <row r="65" spans="1:8" x14ac:dyDescent="0.2">
      <c r="A65" s="35">
        <v>8</v>
      </c>
      <c r="B65" s="36"/>
      <c r="C65" s="36" t="s">
        <v>992</v>
      </c>
      <c r="D65" s="36" t="s">
        <v>530</v>
      </c>
      <c r="E65" s="37">
        <v>-13200</v>
      </c>
      <c r="F65" s="38">
        <v>-150.6516</v>
      </c>
      <c r="G65" s="39">
        <f t="shared" si="0"/>
        <v>-5.9187395420397092E-3</v>
      </c>
      <c r="H65" s="34" t="s">
        <v>143</v>
      </c>
    </row>
    <row r="66" spans="1:8" x14ac:dyDescent="0.2">
      <c r="A66" s="35">
        <v>9</v>
      </c>
      <c r="B66" s="36"/>
      <c r="C66" s="36" t="s">
        <v>993</v>
      </c>
      <c r="D66" s="36" t="s">
        <v>530</v>
      </c>
      <c r="E66" s="37">
        <v>-17050</v>
      </c>
      <c r="F66" s="38">
        <v>-188.07855000000001</v>
      </c>
      <c r="G66" s="39">
        <f t="shared" si="0"/>
        <v>-7.3891545187339033E-3</v>
      </c>
      <c r="H66" s="34" t="s">
        <v>143</v>
      </c>
    </row>
    <row r="67" spans="1:8" x14ac:dyDescent="0.2">
      <c r="A67" s="35">
        <v>10</v>
      </c>
      <c r="B67" s="36"/>
      <c r="C67" s="36" t="s">
        <v>994</v>
      </c>
      <c r="D67" s="36" t="s">
        <v>530</v>
      </c>
      <c r="E67" s="37">
        <v>-168750</v>
      </c>
      <c r="F67" s="38">
        <v>-193.47187500000001</v>
      </c>
      <c r="G67" s="39">
        <f t="shared" si="0"/>
        <v>-7.6010453047632015E-3</v>
      </c>
      <c r="H67" s="34" t="s">
        <v>143</v>
      </c>
    </row>
    <row r="68" spans="1:8" x14ac:dyDescent="0.2">
      <c r="A68" s="35">
        <v>11</v>
      </c>
      <c r="B68" s="36"/>
      <c r="C68" s="36" t="s">
        <v>977</v>
      </c>
      <c r="D68" s="36" t="s">
        <v>530</v>
      </c>
      <c r="E68" s="37">
        <v>-79375</v>
      </c>
      <c r="F68" s="38">
        <v>-198.09618750000001</v>
      </c>
      <c r="G68" s="39">
        <f t="shared" si="0"/>
        <v>-7.7827234366150931E-3</v>
      </c>
      <c r="H68" s="34" t="s">
        <v>143</v>
      </c>
    </row>
    <row r="69" spans="1:8" x14ac:dyDescent="0.2">
      <c r="A69" s="35">
        <v>12</v>
      </c>
      <c r="B69" s="36"/>
      <c r="C69" s="36" t="s">
        <v>995</v>
      </c>
      <c r="D69" s="36" t="s">
        <v>530</v>
      </c>
      <c r="E69" s="37">
        <v>-192000</v>
      </c>
      <c r="F69" s="38">
        <v>-213.31200000000001</v>
      </c>
      <c r="G69" s="39">
        <f t="shared" si="0"/>
        <v>-8.3805161657199423E-3</v>
      </c>
      <c r="H69" s="34" t="s">
        <v>143</v>
      </c>
    </row>
    <row r="70" spans="1:8" x14ac:dyDescent="0.2">
      <c r="A70" s="35">
        <v>13</v>
      </c>
      <c r="B70" s="36"/>
      <c r="C70" s="36" t="s">
        <v>996</v>
      </c>
      <c r="D70" s="36" t="s">
        <v>530</v>
      </c>
      <c r="E70" s="37">
        <v>-137500</v>
      </c>
      <c r="F70" s="38">
        <v>-220.86625000000001</v>
      </c>
      <c r="G70" s="39">
        <f t="shared" si="0"/>
        <v>-8.6773045050768001E-3</v>
      </c>
      <c r="H70" s="34" t="s">
        <v>143</v>
      </c>
    </row>
    <row r="71" spans="1:8" x14ac:dyDescent="0.2">
      <c r="A71" s="35">
        <v>14</v>
      </c>
      <c r="B71" s="36"/>
      <c r="C71" s="36" t="s">
        <v>959</v>
      </c>
      <c r="D71" s="36" t="s">
        <v>530</v>
      </c>
      <c r="E71" s="37">
        <v>-12375</v>
      </c>
      <c r="F71" s="38">
        <v>-228.9375</v>
      </c>
      <c r="G71" s="39">
        <f t="shared" si="0"/>
        <v>-8.9944045327478486E-3</v>
      </c>
      <c r="H71" s="34" t="s">
        <v>143</v>
      </c>
    </row>
    <row r="72" spans="1:8" x14ac:dyDescent="0.2">
      <c r="A72" s="35">
        <v>15</v>
      </c>
      <c r="B72" s="36"/>
      <c r="C72" s="36" t="s">
        <v>997</v>
      </c>
      <c r="D72" s="36" t="s">
        <v>530</v>
      </c>
      <c r="E72" s="37">
        <v>-15750</v>
      </c>
      <c r="F72" s="38">
        <v>-238.077</v>
      </c>
      <c r="G72" s="39">
        <f t="shared" si="0"/>
        <v>-9.3534735372886035E-3</v>
      </c>
      <c r="H72" s="34" t="s">
        <v>143</v>
      </c>
    </row>
    <row r="73" spans="1:8" x14ac:dyDescent="0.2">
      <c r="A73" s="35">
        <v>16</v>
      </c>
      <c r="B73" s="36"/>
      <c r="C73" s="36" t="s">
        <v>998</v>
      </c>
      <c r="D73" s="36" t="s">
        <v>530</v>
      </c>
      <c r="E73" s="37">
        <v>-61200</v>
      </c>
      <c r="F73" s="38">
        <v>-258.26400000000001</v>
      </c>
      <c r="G73" s="39">
        <f t="shared" si="0"/>
        <v>-1.0146572283901024E-2</v>
      </c>
      <c r="H73" s="34" t="s">
        <v>143</v>
      </c>
    </row>
    <row r="74" spans="1:8" x14ac:dyDescent="0.2">
      <c r="A74" s="35">
        <v>17</v>
      </c>
      <c r="B74" s="36"/>
      <c r="C74" s="36" t="s">
        <v>981</v>
      </c>
      <c r="D74" s="36" t="s">
        <v>530</v>
      </c>
      <c r="E74" s="37">
        <v>-31500</v>
      </c>
      <c r="F74" s="38">
        <v>-259.74900000000002</v>
      </c>
      <c r="G74" s="39">
        <f t="shared" si="0"/>
        <v>-1.0204914367356686E-2</v>
      </c>
      <c r="H74" s="34" t="s">
        <v>143</v>
      </c>
    </row>
    <row r="75" spans="1:8" x14ac:dyDescent="0.2">
      <c r="A75" s="35">
        <v>18</v>
      </c>
      <c r="B75" s="36"/>
      <c r="C75" s="36" t="s">
        <v>999</v>
      </c>
      <c r="D75" s="36" t="s">
        <v>530</v>
      </c>
      <c r="E75" s="37">
        <v>-69600</v>
      </c>
      <c r="F75" s="38">
        <v>-283.62</v>
      </c>
      <c r="G75" s="39">
        <f t="shared" si="0"/>
        <v>-1.1142748626057091E-2</v>
      </c>
      <c r="H75" s="34" t="s">
        <v>143</v>
      </c>
    </row>
    <row r="76" spans="1:8" x14ac:dyDescent="0.2">
      <c r="A76" s="35">
        <v>19</v>
      </c>
      <c r="B76" s="36"/>
      <c r="C76" s="36" t="s">
        <v>974</v>
      </c>
      <c r="D76" s="36" t="s">
        <v>530</v>
      </c>
      <c r="E76" s="37">
        <v>-12600</v>
      </c>
      <c r="F76" s="38">
        <v>-290.90879999999999</v>
      </c>
      <c r="G76" s="39">
        <f t="shared" si="0"/>
        <v>-1.1429108072448757E-2</v>
      </c>
      <c r="H76" s="34" t="s">
        <v>143</v>
      </c>
    </row>
    <row r="77" spans="1:8" x14ac:dyDescent="0.2">
      <c r="A77" s="35">
        <v>20</v>
      </c>
      <c r="B77" s="36"/>
      <c r="C77" s="36" t="s">
        <v>1000</v>
      </c>
      <c r="D77" s="36" t="s">
        <v>530</v>
      </c>
      <c r="E77" s="37">
        <v>-52000</v>
      </c>
      <c r="F77" s="38">
        <v>-359.97</v>
      </c>
      <c r="G77" s="39">
        <f t="shared" si="0"/>
        <v>-1.4142356755242122E-2</v>
      </c>
      <c r="H77" s="34" t="s">
        <v>143</v>
      </c>
    </row>
    <row r="78" spans="1:8" x14ac:dyDescent="0.2">
      <c r="A78" s="35">
        <v>21</v>
      </c>
      <c r="B78" s="36"/>
      <c r="C78" s="36" t="s">
        <v>1001</v>
      </c>
      <c r="D78" s="36" t="s">
        <v>530</v>
      </c>
      <c r="E78" s="37">
        <v>-157950</v>
      </c>
      <c r="F78" s="38">
        <v>-395.00135999999998</v>
      </c>
      <c r="G78" s="39">
        <f t="shared" si="0"/>
        <v>-1.5518654754356822E-2</v>
      </c>
      <c r="H78" s="34" t="s">
        <v>143</v>
      </c>
    </row>
    <row r="79" spans="1:8" x14ac:dyDescent="0.2">
      <c r="A79" s="35">
        <v>22</v>
      </c>
      <c r="B79" s="36"/>
      <c r="C79" s="36" t="s">
        <v>1002</v>
      </c>
      <c r="D79" s="36" t="s">
        <v>530</v>
      </c>
      <c r="E79" s="37">
        <v>-58000</v>
      </c>
      <c r="F79" s="38">
        <v>-443.87400000000002</v>
      </c>
      <c r="G79" s="39">
        <f t="shared" si="0"/>
        <v>-1.7438743401884442E-2</v>
      </c>
      <c r="H79" s="34" t="s">
        <v>143</v>
      </c>
    </row>
    <row r="80" spans="1:8" x14ac:dyDescent="0.2">
      <c r="A80" s="35">
        <v>23</v>
      </c>
      <c r="B80" s="36"/>
      <c r="C80" s="36" t="s">
        <v>978</v>
      </c>
      <c r="D80" s="36" t="s">
        <v>530</v>
      </c>
      <c r="E80" s="37">
        <v>-22800</v>
      </c>
      <c r="F80" s="38">
        <v>-457.36799999999999</v>
      </c>
      <c r="G80" s="39">
        <f t="shared" si="0"/>
        <v>-1.7968890253164373E-2</v>
      </c>
      <c r="H80" s="34" t="s">
        <v>143</v>
      </c>
    </row>
    <row r="81" spans="1:8" x14ac:dyDescent="0.2">
      <c r="A81" s="35">
        <v>24</v>
      </c>
      <c r="B81" s="36"/>
      <c r="C81" s="36" t="s">
        <v>970</v>
      </c>
      <c r="D81" s="36" t="s">
        <v>530</v>
      </c>
      <c r="E81" s="37">
        <v>-32900</v>
      </c>
      <c r="F81" s="38">
        <v>-552.68709999999999</v>
      </c>
      <c r="G81" s="39">
        <f t="shared" si="0"/>
        <v>-2.1713748763008522E-2</v>
      </c>
      <c r="H81" s="34" t="s">
        <v>143</v>
      </c>
    </row>
    <row r="82" spans="1:8" x14ac:dyDescent="0.2">
      <c r="A82" s="35">
        <v>25</v>
      </c>
      <c r="B82" s="36"/>
      <c r="C82" s="36" t="s">
        <v>1003</v>
      </c>
      <c r="D82" s="36" t="s">
        <v>530</v>
      </c>
      <c r="E82" s="37">
        <v>-81200</v>
      </c>
      <c r="F82" s="38">
        <v>-565.31439999999998</v>
      </c>
      <c r="G82" s="39">
        <f t="shared" si="0"/>
        <v>-2.2209845052853422E-2</v>
      </c>
      <c r="H82" s="34" t="s">
        <v>143</v>
      </c>
    </row>
    <row r="83" spans="1:8" x14ac:dyDescent="0.2">
      <c r="A83" s="35">
        <v>26</v>
      </c>
      <c r="B83" s="36"/>
      <c r="C83" s="36" t="s">
        <v>969</v>
      </c>
      <c r="D83" s="36" t="s">
        <v>530</v>
      </c>
      <c r="E83" s="37">
        <v>-18725</v>
      </c>
      <c r="F83" s="38">
        <v>-690.89632500000005</v>
      </c>
      <c r="G83" s="39">
        <f t="shared" si="0"/>
        <v>-2.7143657274316491E-2</v>
      </c>
      <c r="H83" s="34" t="s">
        <v>143</v>
      </c>
    </row>
    <row r="84" spans="1:8" x14ac:dyDescent="0.2">
      <c r="A84" s="35">
        <v>27</v>
      </c>
      <c r="B84" s="36"/>
      <c r="C84" s="36" t="s">
        <v>971</v>
      </c>
      <c r="D84" s="36" t="s">
        <v>530</v>
      </c>
      <c r="E84" s="37">
        <v>-19950</v>
      </c>
      <c r="F84" s="38">
        <v>-691.30740000000003</v>
      </c>
      <c r="G84" s="39">
        <f t="shared" si="0"/>
        <v>-2.715980742378217E-2</v>
      </c>
      <c r="H84" s="34" t="s">
        <v>143</v>
      </c>
    </row>
    <row r="85" spans="1:8" x14ac:dyDescent="0.2">
      <c r="A85" s="35">
        <v>28</v>
      </c>
      <c r="B85" s="36"/>
      <c r="C85" s="36" t="s">
        <v>1004</v>
      </c>
      <c r="D85" s="36" t="s">
        <v>530</v>
      </c>
      <c r="E85" s="37">
        <v>-76500</v>
      </c>
      <c r="F85" s="38">
        <v>-720.63</v>
      </c>
      <c r="G85" s="39">
        <f t="shared" si="0"/>
        <v>-2.8311821953302025E-2</v>
      </c>
      <c r="H85" s="34" t="s">
        <v>143</v>
      </c>
    </row>
    <row r="86" spans="1:8" x14ac:dyDescent="0.2">
      <c r="A86" s="35">
        <v>29</v>
      </c>
      <c r="B86" s="36"/>
      <c r="C86" s="36" t="s">
        <v>1005</v>
      </c>
      <c r="D86" s="36" t="s">
        <v>530</v>
      </c>
      <c r="E86" s="37">
        <v>-27600</v>
      </c>
      <c r="F86" s="38">
        <v>-726.3492</v>
      </c>
      <c r="G86" s="39">
        <f t="shared" si="0"/>
        <v>-2.8536515585422983E-2</v>
      </c>
      <c r="H86" s="34" t="s">
        <v>143</v>
      </c>
    </row>
    <row r="87" spans="1:8" x14ac:dyDescent="0.2">
      <c r="A87" s="35">
        <v>30</v>
      </c>
      <c r="B87" s="36"/>
      <c r="C87" s="36" t="s">
        <v>1006</v>
      </c>
      <c r="D87" s="36" t="s">
        <v>530</v>
      </c>
      <c r="E87" s="37">
        <v>-143850</v>
      </c>
      <c r="F87" s="38">
        <v>-834.25807499999996</v>
      </c>
      <c r="G87" s="39">
        <f t="shared" si="0"/>
        <v>-3.2775996117986331E-2</v>
      </c>
      <c r="H87" s="34" t="s">
        <v>143</v>
      </c>
    </row>
    <row r="88" spans="1:8" x14ac:dyDescent="0.2">
      <c r="A88" s="35">
        <v>31</v>
      </c>
      <c r="B88" s="36"/>
      <c r="C88" s="36" t="s">
        <v>983</v>
      </c>
      <c r="D88" s="36" t="s">
        <v>530</v>
      </c>
      <c r="E88" s="37">
        <v>-50050</v>
      </c>
      <c r="F88" s="38">
        <v>-1005.5045</v>
      </c>
      <c r="G88" s="39">
        <f t="shared" si="0"/>
        <v>-3.9503856871409705E-2</v>
      </c>
      <c r="H88" s="34" t="s">
        <v>143</v>
      </c>
    </row>
    <row r="89" spans="1:8" x14ac:dyDescent="0.2">
      <c r="A89" s="35">
        <v>32</v>
      </c>
      <c r="B89" s="36"/>
      <c r="C89" s="36" t="s">
        <v>1007</v>
      </c>
      <c r="D89" s="36" t="s">
        <v>530</v>
      </c>
      <c r="E89" s="37">
        <v>-91875</v>
      </c>
      <c r="F89" s="38">
        <v>-1107.7368750000001</v>
      </c>
      <c r="G89" s="39">
        <f t="shared" si="0"/>
        <v>-4.3520321352298941E-2</v>
      </c>
      <c r="H89" s="34" t="s">
        <v>143</v>
      </c>
    </row>
    <row r="90" spans="1:8" x14ac:dyDescent="0.2">
      <c r="A90" s="35">
        <v>33</v>
      </c>
      <c r="B90" s="36"/>
      <c r="C90" s="36" t="s">
        <v>982</v>
      </c>
      <c r="D90" s="36" t="s">
        <v>530</v>
      </c>
      <c r="E90" s="37">
        <v>-121500</v>
      </c>
      <c r="F90" s="38">
        <v>-1833.0705</v>
      </c>
      <c r="G90" s="39">
        <f t="shared" si="0"/>
        <v>-7.2016937435091966E-2</v>
      </c>
      <c r="H90" s="34" t="s">
        <v>143</v>
      </c>
    </row>
    <row r="91" spans="1:8" x14ac:dyDescent="0.2">
      <c r="A91" s="35">
        <v>34</v>
      </c>
      <c r="B91" s="36"/>
      <c r="C91" s="36" t="s">
        <v>1008</v>
      </c>
      <c r="D91" s="36" t="s">
        <v>530</v>
      </c>
      <c r="E91" s="37">
        <v>-467200</v>
      </c>
      <c r="F91" s="38">
        <v>-1957.3344</v>
      </c>
      <c r="G91" s="39">
        <f t="shared" si="0"/>
        <v>-7.6898967619823275E-2</v>
      </c>
      <c r="H91" s="34" t="s">
        <v>143</v>
      </c>
    </row>
    <row r="92" spans="1:8" x14ac:dyDescent="0.2">
      <c r="A92" s="35">
        <v>35</v>
      </c>
      <c r="B92" s="36"/>
      <c r="C92" s="50" t="s">
        <v>1014</v>
      </c>
      <c r="D92" s="36" t="s">
        <v>530</v>
      </c>
      <c r="E92" s="37">
        <v>-155400</v>
      </c>
      <c r="F92" s="38">
        <v>-2252.2121999999999</v>
      </c>
      <c r="G92" s="39">
        <f t="shared" si="0"/>
        <v>-8.8484008169871717E-2</v>
      </c>
      <c r="H92" s="34" t="s">
        <v>143</v>
      </c>
    </row>
    <row r="93" spans="1:8" x14ac:dyDescent="0.2">
      <c r="A93" s="41"/>
      <c r="B93" s="41"/>
      <c r="C93" s="42" t="s">
        <v>142</v>
      </c>
      <c r="D93" s="41"/>
      <c r="E93" s="41" t="s">
        <v>143</v>
      </c>
      <c r="F93" s="43">
        <f>SUM(F58:F92)</f>
        <v>-17729.162897499999</v>
      </c>
      <c r="G93" s="44">
        <f>SUM(G58:G92)</f>
        <v>-0.69653622987539821</v>
      </c>
      <c r="H93" s="34" t="s">
        <v>143</v>
      </c>
    </row>
    <row r="94" spans="1:8" x14ac:dyDescent="0.2">
      <c r="A94" s="41"/>
      <c r="B94" s="41"/>
      <c r="C94" s="45"/>
      <c r="D94" s="41"/>
      <c r="E94" s="41"/>
      <c r="F94" s="46"/>
      <c r="G94" s="46"/>
      <c r="H94" s="34" t="s">
        <v>143</v>
      </c>
    </row>
    <row r="95" spans="1:8" x14ac:dyDescent="0.2">
      <c r="A95" s="41"/>
      <c r="B95" s="41"/>
      <c r="C95" s="42" t="s">
        <v>150</v>
      </c>
      <c r="D95" s="41"/>
      <c r="E95" s="41"/>
      <c r="F95" s="43">
        <f>F43</f>
        <v>17652.427985000002</v>
      </c>
      <c r="G95" s="44">
        <f>G43</f>
        <v>0.69352111999999999</v>
      </c>
      <c r="H95" s="34" t="s">
        <v>143</v>
      </c>
    </row>
    <row r="96" spans="1:8" x14ac:dyDescent="0.2">
      <c r="A96" s="41"/>
      <c r="B96" s="41"/>
      <c r="C96" s="45"/>
      <c r="D96" s="41"/>
      <c r="E96" s="41"/>
      <c r="F96" s="46"/>
      <c r="G96" s="46"/>
      <c r="H96" s="34" t="s">
        <v>143</v>
      </c>
    </row>
    <row r="97" spans="1:8" x14ac:dyDescent="0.2">
      <c r="A97" s="41"/>
      <c r="B97" s="41"/>
      <c r="C97" s="42" t="s">
        <v>151</v>
      </c>
      <c r="D97" s="41"/>
      <c r="E97" s="41"/>
      <c r="F97" s="46"/>
      <c r="G97" s="46"/>
      <c r="H97" s="34" t="s">
        <v>143</v>
      </c>
    </row>
    <row r="98" spans="1:8" x14ac:dyDescent="0.2">
      <c r="A98" s="41"/>
      <c r="B98" s="41"/>
      <c r="C98" s="42" t="s">
        <v>10</v>
      </c>
      <c r="D98" s="41"/>
      <c r="E98" s="41"/>
      <c r="F98" s="46"/>
      <c r="G98" s="46"/>
      <c r="H98" s="34" t="s">
        <v>143</v>
      </c>
    </row>
    <row r="99" spans="1:8" x14ac:dyDescent="0.2">
      <c r="A99" s="41"/>
      <c r="B99" s="41"/>
      <c r="C99" s="42" t="s">
        <v>142</v>
      </c>
      <c r="D99" s="41"/>
      <c r="E99" s="41" t="s">
        <v>143</v>
      </c>
      <c r="F99" s="47" t="s">
        <v>145</v>
      </c>
      <c r="G99" s="44">
        <v>0</v>
      </c>
      <c r="H99" s="34" t="s">
        <v>143</v>
      </c>
    </row>
    <row r="100" spans="1:8" x14ac:dyDescent="0.2">
      <c r="A100" s="41"/>
      <c r="B100" s="41"/>
      <c r="C100" s="45"/>
      <c r="D100" s="41"/>
      <c r="E100" s="41"/>
      <c r="F100" s="46"/>
      <c r="G100" s="46"/>
      <c r="H100" s="34" t="s">
        <v>143</v>
      </c>
    </row>
    <row r="101" spans="1:8" x14ac:dyDescent="0.2">
      <c r="A101" s="41"/>
      <c r="B101" s="41"/>
      <c r="C101" s="42" t="s">
        <v>152</v>
      </c>
      <c r="D101" s="41"/>
      <c r="E101" s="41"/>
      <c r="F101" s="41"/>
      <c r="G101" s="41"/>
      <c r="H101" s="34" t="s">
        <v>143</v>
      </c>
    </row>
    <row r="102" spans="1:8" x14ac:dyDescent="0.2">
      <c r="A102" s="41"/>
      <c r="B102" s="41"/>
      <c r="C102" s="42" t="s">
        <v>142</v>
      </c>
      <c r="D102" s="41"/>
      <c r="E102" s="41" t="s">
        <v>143</v>
      </c>
      <c r="F102" s="47" t="s">
        <v>145</v>
      </c>
      <c r="G102" s="44">
        <v>0</v>
      </c>
      <c r="H102" s="34" t="s">
        <v>143</v>
      </c>
    </row>
    <row r="103" spans="1:8" x14ac:dyDescent="0.2">
      <c r="A103" s="41"/>
      <c r="B103" s="41"/>
      <c r="C103" s="45"/>
      <c r="D103" s="41"/>
      <c r="E103" s="41"/>
      <c r="F103" s="46"/>
      <c r="G103" s="46"/>
      <c r="H103" s="34" t="s">
        <v>143</v>
      </c>
    </row>
    <row r="104" spans="1:8" x14ac:dyDescent="0.2">
      <c r="A104" s="41"/>
      <c r="B104" s="41"/>
      <c r="C104" s="42" t="s">
        <v>153</v>
      </c>
      <c r="D104" s="41"/>
      <c r="E104" s="41"/>
      <c r="F104" s="41"/>
      <c r="G104" s="41"/>
      <c r="H104" s="34" t="s">
        <v>143</v>
      </c>
    </row>
    <row r="105" spans="1:8" x14ac:dyDescent="0.2">
      <c r="A105" s="35">
        <v>1</v>
      </c>
      <c r="B105" s="36" t="s">
        <v>648</v>
      </c>
      <c r="C105" s="36" t="s">
        <v>1091</v>
      </c>
      <c r="D105" s="36" t="s">
        <v>610</v>
      </c>
      <c r="E105" s="37">
        <v>1000000</v>
      </c>
      <c r="F105" s="38">
        <v>1029.5999999999999</v>
      </c>
      <c r="G105" s="39">
        <v>4.0450510000000002E-2</v>
      </c>
      <c r="H105" s="34">
        <v>5.85</v>
      </c>
    </row>
    <row r="106" spans="1:8" x14ac:dyDescent="0.2">
      <c r="A106" s="41"/>
      <c r="B106" s="41"/>
      <c r="C106" s="42" t="s">
        <v>142</v>
      </c>
      <c r="D106" s="41"/>
      <c r="E106" s="41" t="s">
        <v>143</v>
      </c>
      <c r="F106" s="43">
        <v>1029.5999999999999</v>
      </c>
      <c r="G106" s="44">
        <v>4.0450510000000002E-2</v>
      </c>
      <c r="H106" s="34" t="s">
        <v>143</v>
      </c>
    </row>
    <row r="107" spans="1:8" x14ac:dyDescent="0.2">
      <c r="A107" s="41"/>
      <c r="B107" s="41"/>
      <c r="C107" s="45"/>
      <c r="D107" s="41"/>
      <c r="E107" s="41"/>
      <c r="F107" s="46"/>
      <c r="G107" s="46"/>
      <c r="H107" s="34" t="s">
        <v>143</v>
      </c>
    </row>
    <row r="108" spans="1:8" x14ac:dyDescent="0.2">
      <c r="A108" s="41"/>
      <c r="B108" s="41"/>
      <c r="C108" s="42" t="s">
        <v>154</v>
      </c>
      <c r="D108" s="41"/>
      <c r="E108" s="41"/>
      <c r="F108" s="46"/>
      <c r="G108" s="46"/>
      <c r="H108" s="34" t="s">
        <v>143</v>
      </c>
    </row>
    <row r="109" spans="1:8" x14ac:dyDescent="0.2">
      <c r="A109" s="41"/>
      <c r="B109" s="41"/>
      <c r="C109" s="42" t="s">
        <v>142</v>
      </c>
      <c r="D109" s="41"/>
      <c r="E109" s="41" t="s">
        <v>143</v>
      </c>
      <c r="F109" s="47" t="s">
        <v>145</v>
      </c>
      <c r="G109" s="44">
        <v>0</v>
      </c>
      <c r="H109" s="34" t="s">
        <v>143</v>
      </c>
    </row>
    <row r="110" spans="1:8" x14ac:dyDescent="0.2">
      <c r="A110" s="41"/>
      <c r="B110" s="41"/>
      <c r="C110" s="45"/>
      <c r="D110" s="41"/>
      <c r="E110" s="41"/>
      <c r="F110" s="46"/>
      <c r="G110" s="46"/>
      <c r="H110" s="34" t="s">
        <v>143</v>
      </c>
    </row>
    <row r="111" spans="1:8" x14ac:dyDescent="0.2">
      <c r="A111" s="41"/>
      <c r="B111" s="41"/>
      <c r="C111" s="42" t="s">
        <v>155</v>
      </c>
      <c r="D111" s="41"/>
      <c r="E111" s="41"/>
      <c r="F111" s="43">
        <v>1029.5999999999999</v>
      </c>
      <c r="G111" s="44">
        <v>4.0450510000000002E-2</v>
      </c>
      <c r="H111" s="34" t="s">
        <v>143</v>
      </c>
    </row>
    <row r="112" spans="1:8" x14ac:dyDescent="0.2">
      <c r="A112" s="41"/>
      <c r="B112" s="41"/>
      <c r="C112" s="45"/>
      <c r="D112" s="41"/>
      <c r="E112" s="41"/>
      <c r="F112" s="46"/>
      <c r="G112" s="46"/>
      <c r="H112" s="34" t="s">
        <v>143</v>
      </c>
    </row>
    <row r="113" spans="1:8" x14ac:dyDescent="0.2">
      <c r="A113" s="41"/>
      <c r="B113" s="41"/>
      <c r="C113" s="42" t="s">
        <v>156</v>
      </c>
      <c r="D113" s="41"/>
      <c r="E113" s="41"/>
      <c r="F113" s="46"/>
      <c r="G113" s="46"/>
      <c r="H113" s="34" t="s">
        <v>143</v>
      </c>
    </row>
    <row r="114" spans="1:8" x14ac:dyDescent="0.2">
      <c r="A114" s="41"/>
      <c r="B114" s="41"/>
      <c r="C114" s="42" t="s">
        <v>157</v>
      </c>
      <c r="D114" s="41"/>
      <c r="E114" s="41"/>
      <c r="F114" s="46"/>
      <c r="G114" s="46"/>
      <c r="H114" s="34" t="s">
        <v>143</v>
      </c>
    </row>
    <row r="115" spans="1:8" x14ac:dyDescent="0.2">
      <c r="A115" s="41"/>
      <c r="B115" s="41"/>
      <c r="C115" s="42" t="s">
        <v>142</v>
      </c>
      <c r="D115" s="41"/>
      <c r="E115" s="41" t="s">
        <v>143</v>
      </c>
      <c r="F115" s="47" t="s">
        <v>145</v>
      </c>
      <c r="G115" s="44">
        <v>0</v>
      </c>
      <c r="H115" s="34" t="s">
        <v>143</v>
      </c>
    </row>
    <row r="116" spans="1:8" x14ac:dyDescent="0.2">
      <c r="A116" s="41"/>
      <c r="B116" s="41"/>
      <c r="C116" s="45"/>
      <c r="D116" s="41"/>
      <c r="E116" s="41"/>
      <c r="F116" s="46"/>
      <c r="G116" s="46"/>
      <c r="H116" s="34" t="s">
        <v>143</v>
      </c>
    </row>
    <row r="117" spans="1:8" x14ac:dyDescent="0.2">
      <c r="A117" s="41"/>
      <c r="B117" s="41"/>
      <c r="C117" s="42" t="s">
        <v>158</v>
      </c>
      <c r="D117" s="41"/>
      <c r="E117" s="41"/>
      <c r="F117" s="46"/>
      <c r="G117" s="46"/>
      <c r="H117" s="34" t="s">
        <v>143</v>
      </c>
    </row>
    <row r="118" spans="1:8" x14ac:dyDescent="0.2">
      <c r="A118" s="41"/>
      <c r="B118" s="41"/>
      <c r="C118" s="42" t="s">
        <v>142</v>
      </c>
      <c r="D118" s="41"/>
      <c r="E118" s="41" t="s">
        <v>143</v>
      </c>
      <c r="F118" s="47" t="s">
        <v>145</v>
      </c>
      <c r="G118" s="44">
        <v>0</v>
      </c>
      <c r="H118" s="34" t="s">
        <v>143</v>
      </c>
    </row>
    <row r="119" spans="1:8" x14ac:dyDescent="0.2">
      <c r="A119" s="41"/>
      <c r="B119" s="41"/>
      <c r="C119" s="45"/>
      <c r="D119" s="41"/>
      <c r="E119" s="41"/>
      <c r="F119" s="46"/>
      <c r="G119" s="46"/>
      <c r="H119" s="34" t="s">
        <v>143</v>
      </c>
    </row>
    <row r="120" spans="1:8" x14ac:dyDescent="0.2">
      <c r="A120" s="41"/>
      <c r="B120" s="41"/>
      <c r="C120" s="42" t="s">
        <v>159</v>
      </c>
      <c r="D120" s="41"/>
      <c r="E120" s="41"/>
      <c r="F120" s="46"/>
      <c r="G120" s="46"/>
      <c r="H120" s="34" t="s">
        <v>143</v>
      </c>
    </row>
    <row r="121" spans="1:8" x14ac:dyDescent="0.2">
      <c r="A121" s="35">
        <v>1</v>
      </c>
      <c r="B121" s="36" t="s">
        <v>650</v>
      </c>
      <c r="C121" s="36" t="s">
        <v>1093</v>
      </c>
      <c r="D121" s="36" t="s">
        <v>610</v>
      </c>
      <c r="E121" s="37">
        <v>1000000</v>
      </c>
      <c r="F121" s="38">
        <v>977.01300000000003</v>
      </c>
      <c r="G121" s="39">
        <v>3.838449E-2</v>
      </c>
      <c r="H121" s="34">
        <v>5.5049999999999999</v>
      </c>
    </row>
    <row r="122" spans="1:8" x14ac:dyDescent="0.2">
      <c r="A122" s="35">
        <v>2</v>
      </c>
      <c r="B122" s="36" t="s">
        <v>651</v>
      </c>
      <c r="C122" s="36" t="s">
        <v>1092</v>
      </c>
      <c r="D122" s="36" t="s">
        <v>610</v>
      </c>
      <c r="E122" s="37">
        <v>500000</v>
      </c>
      <c r="F122" s="38">
        <v>494.76150000000001</v>
      </c>
      <c r="G122" s="39">
        <v>1.9437989999999999E-2</v>
      </c>
      <c r="H122" s="34">
        <v>5.3677000000000001</v>
      </c>
    </row>
    <row r="123" spans="1:8" x14ac:dyDescent="0.2">
      <c r="A123" s="35">
        <v>3</v>
      </c>
      <c r="B123" s="36" t="s">
        <v>652</v>
      </c>
      <c r="C123" s="36" t="s">
        <v>1094</v>
      </c>
      <c r="D123" s="36" t="s">
        <v>610</v>
      </c>
      <c r="E123" s="37">
        <v>500000</v>
      </c>
      <c r="F123" s="38">
        <v>484.99099999999999</v>
      </c>
      <c r="G123" s="39">
        <v>1.9054129999999999E-2</v>
      </c>
      <c r="H123" s="34">
        <v>5.51</v>
      </c>
    </row>
    <row r="124" spans="1:8" x14ac:dyDescent="0.2">
      <c r="A124" s="41"/>
      <c r="B124" s="41"/>
      <c r="C124" s="42" t="s">
        <v>142</v>
      </c>
      <c r="D124" s="41"/>
      <c r="E124" s="41" t="s">
        <v>143</v>
      </c>
      <c r="F124" s="43">
        <v>1956.7655</v>
      </c>
      <c r="G124" s="44">
        <v>7.6876609999999998E-2</v>
      </c>
      <c r="H124" s="34" t="s">
        <v>143</v>
      </c>
    </row>
    <row r="125" spans="1:8" x14ac:dyDescent="0.2">
      <c r="A125" s="41"/>
      <c r="B125" s="41"/>
      <c r="C125" s="45"/>
      <c r="D125" s="41"/>
      <c r="E125" s="41"/>
      <c r="F125" s="46"/>
      <c r="G125" s="46"/>
      <c r="H125" s="34" t="s">
        <v>143</v>
      </c>
    </row>
    <row r="126" spans="1:8" x14ac:dyDescent="0.2">
      <c r="A126" s="41"/>
      <c r="B126" s="41"/>
      <c r="C126" s="42" t="s">
        <v>160</v>
      </c>
      <c r="D126" s="41"/>
      <c r="E126" s="41"/>
      <c r="F126" s="46"/>
      <c r="G126" s="46"/>
      <c r="H126" s="34" t="s">
        <v>143</v>
      </c>
    </row>
    <row r="127" spans="1:8" x14ac:dyDescent="0.2">
      <c r="A127" s="35">
        <v>1</v>
      </c>
      <c r="B127" s="36"/>
      <c r="C127" s="36" t="s">
        <v>161</v>
      </c>
      <c r="D127" s="36"/>
      <c r="E127" s="48"/>
      <c r="F127" s="38">
        <v>2691.2442219869999</v>
      </c>
      <c r="G127" s="39">
        <v>0.10573252</v>
      </c>
      <c r="H127" s="34">
        <v>5.47</v>
      </c>
    </row>
    <row r="128" spans="1:8" x14ac:dyDescent="0.2">
      <c r="A128" s="41"/>
      <c r="B128" s="41"/>
      <c r="C128" s="42" t="s">
        <v>142</v>
      </c>
      <c r="D128" s="41"/>
      <c r="E128" s="41" t="s">
        <v>143</v>
      </c>
      <c r="F128" s="43">
        <v>2691.2442219869999</v>
      </c>
      <c r="G128" s="44">
        <v>0.10573252</v>
      </c>
      <c r="H128" s="34" t="s">
        <v>143</v>
      </c>
    </row>
    <row r="129" spans="1:8" x14ac:dyDescent="0.2">
      <c r="A129" s="41"/>
      <c r="B129" s="41"/>
      <c r="C129" s="45"/>
      <c r="D129" s="41"/>
      <c r="E129" s="41"/>
      <c r="F129" s="46"/>
      <c r="G129" s="46"/>
      <c r="H129" s="34" t="s">
        <v>143</v>
      </c>
    </row>
    <row r="130" spans="1:8" x14ac:dyDescent="0.2">
      <c r="A130" s="41"/>
      <c r="B130" s="41"/>
      <c r="C130" s="42" t="s">
        <v>162</v>
      </c>
      <c r="D130" s="41"/>
      <c r="E130" s="41"/>
      <c r="F130" s="43">
        <v>4648.0097219870004</v>
      </c>
      <c r="G130" s="44">
        <v>0.18260913000000001</v>
      </c>
      <c r="H130" s="34" t="s">
        <v>143</v>
      </c>
    </row>
    <row r="131" spans="1:8" x14ac:dyDescent="0.2">
      <c r="A131" s="41"/>
      <c r="B131" s="41"/>
      <c r="C131" s="46"/>
      <c r="D131" s="41"/>
      <c r="E131" s="41"/>
      <c r="F131" s="41"/>
      <c r="G131" s="41"/>
      <c r="H131" s="34" t="s">
        <v>143</v>
      </c>
    </row>
    <row r="132" spans="1:8" x14ac:dyDescent="0.2">
      <c r="A132" s="41"/>
      <c r="B132" s="41"/>
      <c r="C132" s="42" t="s">
        <v>163</v>
      </c>
      <c r="D132" s="41"/>
      <c r="E132" s="41"/>
      <c r="F132" s="41"/>
      <c r="G132" s="41"/>
      <c r="H132" s="34" t="s">
        <v>143</v>
      </c>
    </row>
    <row r="133" spans="1:8" x14ac:dyDescent="0.2">
      <c r="A133" s="41"/>
      <c r="B133" s="41"/>
      <c r="C133" s="42" t="s">
        <v>164</v>
      </c>
      <c r="D133" s="41"/>
      <c r="E133" s="41"/>
      <c r="F133" s="41"/>
      <c r="G133" s="41"/>
      <c r="H133" s="34" t="s">
        <v>143</v>
      </c>
    </row>
    <row r="134" spans="1:8" ht="25.5" x14ac:dyDescent="0.2">
      <c r="A134" s="35">
        <v>1</v>
      </c>
      <c r="B134" s="36" t="s">
        <v>501</v>
      </c>
      <c r="C134" s="36" t="s">
        <v>1088</v>
      </c>
      <c r="D134" s="36"/>
      <c r="E134" s="49">
        <v>6936582.7697000001</v>
      </c>
      <c r="F134" s="38">
        <v>1049.380114566</v>
      </c>
      <c r="G134" s="39">
        <v>4.122762E-2</v>
      </c>
      <c r="H134" s="34" t="s">
        <v>143</v>
      </c>
    </row>
    <row r="135" spans="1:8" x14ac:dyDescent="0.2">
      <c r="A135" s="35">
        <v>2</v>
      </c>
      <c r="B135" s="36" t="s">
        <v>319</v>
      </c>
      <c r="C135" s="36" t="s">
        <v>946</v>
      </c>
      <c r="D135" s="36"/>
      <c r="E135" s="49">
        <v>39454.165000000001</v>
      </c>
      <c r="F135" s="38">
        <v>919.32355028200004</v>
      </c>
      <c r="G135" s="39">
        <v>3.6118009999999999E-2</v>
      </c>
      <c r="H135" s="34" t="s">
        <v>143</v>
      </c>
    </row>
    <row r="136" spans="1:8" x14ac:dyDescent="0.2">
      <c r="A136" s="41"/>
      <c r="B136" s="41"/>
      <c r="C136" s="42" t="s">
        <v>142</v>
      </c>
      <c r="D136" s="41"/>
      <c r="E136" s="41" t="s">
        <v>143</v>
      </c>
      <c r="F136" s="43">
        <v>1968.703664848</v>
      </c>
      <c r="G136" s="44">
        <v>7.7345629999999999E-2</v>
      </c>
      <c r="H136" s="34" t="s">
        <v>143</v>
      </c>
    </row>
    <row r="137" spans="1:8" x14ac:dyDescent="0.2">
      <c r="A137" s="41"/>
      <c r="B137" s="41"/>
      <c r="C137" s="45"/>
      <c r="D137" s="41"/>
      <c r="E137" s="41"/>
      <c r="F137" s="46"/>
      <c r="G137" s="46"/>
      <c r="H137" s="34" t="s">
        <v>143</v>
      </c>
    </row>
    <row r="138" spans="1:8" x14ac:dyDescent="0.2">
      <c r="A138" s="41"/>
      <c r="B138" s="41"/>
      <c r="C138" s="42" t="s">
        <v>165</v>
      </c>
      <c r="D138" s="41"/>
      <c r="E138" s="41"/>
      <c r="F138" s="41"/>
      <c r="G138" s="41"/>
      <c r="H138" s="34" t="s">
        <v>143</v>
      </c>
    </row>
    <row r="139" spans="1:8" x14ac:dyDescent="0.2">
      <c r="A139" s="41"/>
      <c r="B139" s="41"/>
      <c r="C139" s="42" t="s">
        <v>166</v>
      </c>
      <c r="D139" s="41"/>
      <c r="E139" s="41"/>
      <c r="F139" s="41"/>
      <c r="G139" s="41"/>
      <c r="H139" s="34" t="s">
        <v>143</v>
      </c>
    </row>
    <row r="140" spans="1:8" x14ac:dyDescent="0.2">
      <c r="A140" s="41"/>
      <c r="B140" s="41"/>
      <c r="C140" s="42" t="s">
        <v>142</v>
      </c>
      <c r="D140" s="41"/>
      <c r="E140" s="41" t="s">
        <v>143</v>
      </c>
      <c r="F140" s="47" t="s">
        <v>145</v>
      </c>
      <c r="G140" s="44">
        <v>0</v>
      </c>
      <c r="H140" s="34" t="s">
        <v>143</v>
      </c>
    </row>
    <row r="141" spans="1:8" x14ac:dyDescent="0.2">
      <c r="A141" s="41"/>
      <c r="B141" s="41"/>
      <c r="C141" s="45"/>
      <c r="D141" s="41"/>
      <c r="E141" s="41"/>
      <c r="F141" s="46"/>
      <c r="G141" s="46"/>
      <c r="H141" s="34" t="s">
        <v>143</v>
      </c>
    </row>
    <row r="142" spans="1:8" x14ac:dyDescent="0.2">
      <c r="A142" s="41"/>
      <c r="B142" s="41"/>
      <c r="C142" s="42" t="s">
        <v>167</v>
      </c>
      <c r="D142" s="41"/>
      <c r="E142" s="41"/>
      <c r="F142" s="46"/>
      <c r="G142" s="46"/>
      <c r="H142" s="34" t="s">
        <v>143</v>
      </c>
    </row>
    <row r="143" spans="1:8" x14ac:dyDescent="0.2">
      <c r="A143" s="41"/>
      <c r="B143" s="41"/>
      <c r="C143" s="42" t="s">
        <v>142</v>
      </c>
      <c r="D143" s="41"/>
      <c r="E143" s="41" t="s">
        <v>143</v>
      </c>
      <c r="F143" s="47" t="s">
        <v>145</v>
      </c>
      <c r="G143" s="44">
        <v>0</v>
      </c>
      <c r="H143" s="34" t="s">
        <v>143</v>
      </c>
    </row>
    <row r="144" spans="1:8" x14ac:dyDescent="0.2">
      <c r="A144" s="41"/>
      <c r="B144" s="41"/>
      <c r="C144" s="45"/>
      <c r="D144" s="41"/>
      <c r="E144" s="41"/>
      <c r="F144" s="46"/>
      <c r="G144" s="46"/>
      <c r="H144" s="34" t="s">
        <v>143</v>
      </c>
    </row>
    <row r="145" spans="1:17" x14ac:dyDescent="0.2">
      <c r="A145" s="48"/>
      <c r="B145" s="36"/>
      <c r="C145" s="36" t="s">
        <v>627</v>
      </c>
      <c r="D145" s="36"/>
      <c r="E145" s="48"/>
      <c r="F145" s="38">
        <v>102.1048437</v>
      </c>
      <c r="G145" s="39">
        <v>4.0114499999999997E-3</v>
      </c>
      <c r="H145" s="34" t="s">
        <v>143</v>
      </c>
    </row>
    <row r="146" spans="1:17" x14ac:dyDescent="0.2">
      <c r="A146" s="48"/>
      <c r="B146" s="36"/>
      <c r="C146" s="50" t="s">
        <v>985</v>
      </c>
      <c r="D146" s="36"/>
      <c r="E146" s="48"/>
      <c r="F146" s="38">
        <f>17781.65148701+F93</f>
        <v>52.488589510001475</v>
      </c>
      <c r="G146" s="39">
        <f>F146/F147</f>
        <v>2.0621506193013311E-3</v>
      </c>
      <c r="H146" s="34" t="s">
        <v>143</v>
      </c>
    </row>
    <row r="147" spans="1:17" x14ac:dyDescent="0.2">
      <c r="A147" s="45"/>
      <c r="B147" s="45"/>
      <c r="C147" s="42" t="s">
        <v>169</v>
      </c>
      <c r="D147" s="46"/>
      <c r="E147" s="46"/>
      <c r="F147" s="43">
        <v>25453.324805044998</v>
      </c>
      <c r="G147" s="51">
        <v>0.99999994999999997</v>
      </c>
      <c r="H147" s="34" t="s">
        <v>143</v>
      </c>
    </row>
    <row r="148" spans="1:17" x14ac:dyDescent="0.2">
      <c r="A148" s="52"/>
      <c r="B148" s="52"/>
      <c r="C148" s="52"/>
      <c r="D148" s="53"/>
      <c r="E148" s="53"/>
      <c r="F148" s="53"/>
      <c r="G148" s="53"/>
    </row>
    <row r="149" spans="1:17" x14ac:dyDescent="0.2">
      <c r="A149" s="54"/>
      <c r="B149" s="158" t="s">
        <v>852</v>
      </c>
      <c r="C149" s="158"/>
      <c r="D149" s="158"/>
      <c r="E149" s="158"/>
      <c r="F149" s="158"/>
      <c r="G149" s="158"/>
      <c r="H149" s="158"/>
      <c r="J149" s="56"/>
    </row>
    <row r="150" spans="1:17" x14ac:dyDescent="0.2">
      <c r="A150" s="54"/>
      <c r="B150" s="158" t="s">
        <v>853</v>
      </c>
      <c r="C150" s="158"/>
      <c r="D150" s="158"/>
      <c r="E150" s="158"/>
      <c r="F150" s="158"/>
      <c r="G150" s="158"/>
      <c r="H150" s="158"/>
      <c r="J150" s="56"/>
    </row>
    <row r="151" spans="1:17" x14ac:dyDescent="0.2">
      <c r="A151" s="54"/>
      <c r="B151" s="158" t="s">
        <v>854</v>
      </c>
      <c r="C151" s="158"/>
      <c r="D151" s="158"/>
      <c r="E151" s="158"/>
      <c r="F151" s="158"/>
      <c r="G151" s="158"/>
      <c r="H151" s="158"/>
      <c r="J151" s="56"/>
    </row>
    <row r="152" spans="1:17" s="58" customFormat="1" ht="66.75" customHeight="1" x14ac:dyDescent="0.25">
      <c r="A152" s="57"/>
      <c r="B152" s="159" t="s">
        <v>855</v>
      </c>
      <c r="C152" s="159"/>
      <c r="D152" s="159"/>
      <c r="E152" s="159"/>
      <c r="F152" s="159"/>
      <c r="G152" s="159"/>
      <c r="H152" s="159"/>
      <c r="I152"/>
      <c r="J152" s="56"/>
      <c r="K152"/>
      <c r="L152"/>
      <c r="M152"/>
      <c r="N152"/>
      <c r="O152"/>
      <c r="P152"/>
      <c r="Q152"/>
    </row>
    <row r="153" spans="1:17" x14ac:dyDescent="0.2">
      <c r="A153" s="54"/>
      <c r="B153" s="158" t="s">
        <v>856</v>
      </c>
      <c r="C153" s="158"/>
      <c r="D153" s="158"/>
      <c r="E153" s="158"/>
      <c r="F153" s="158"/>
      <c r="G153" s="158"/>
      <c r="H153" s="158"/>
      <c r="J153" s="56"/>
    </row>
    <row r="154" spans="1:17" x14ac:dyDescent="0.2">
      <c r="A154" s="54"/>
      <c r="B154" s="54"/>
      <c r="C154" s="54"/>
      <c r="D154" s="59"/>
      <c r="E154" s="59"/>
      <c r="F154" s="59"/>
      <c r="G154" s="59"/>
    </row>
    <row r="155" spans="1:17" x14ac:dyDescent="0.2">
      <c r="A155" s="54"/>
      <c r="B155" s="160" t="s">
        <v>170</v>
      </c>
      <c r="C155" s="161"/>
      <c r="D155" s="162"/>
      <c r="E155" s="60"/>
      <c r="F155" s="59"/>
      <c r="G155" s="59"/>
    </row>
    <row r="156" spans="1:17" ht="27.75" customHeight="1" x14ac:dyDescent="0.2">
      <c r="A156" s="54"/>
      <c r="B156" s="154" t="s">
        <v>171</v>
      </c>
      <c r="C156" s="155"/>
      <c r="D156" s="117" t="s">
        <v>986</v>
      </c>
      <c r="E156" s="60"/>
      <c r="F156" s="59"/>
      <c r="G156" s="59"/>
    </row>
    <row r="157" spans="1:17" ht="12.75" customHeight="1" x14ac:dyDescent="0.2">
      <c r="A157" s="54"/>
      <c r="B157" s="154" t="s">
        <v>857</v>
      </c>
      <c r="C157" s="155"/>
      <c r="D157" s="33" t="s">
        <v>172</v>
      </c>
      <c r="E157" s="60"/>
      <c r="F157" s="59"/>
      <c r="G157" s="59"/>
    </row>
    <row r="158" spans="1:17" x14ac:dyDescent="0.2">
      <c r="A158" s="54"/>
      <c r="B158" s="154" t="s">
        <v>173</v>
      </c>
      <c r="C158" s="155"/>
      <c r="D158" s="61" t="s">
        <v>143</v>
      </c>
      <c r="E158" s="60"/>
      <c r="F158" s="59"/>
      <c r="G158" s="59"/>
    </row>
    <row r="159" spans="1:17" x14ac:dyDescent="0.2">
      <c r="A159" s="62"/>
      <c r="B159" s="63" t="s">
        <v>143</v>
      </c>
      <c r="C159" s="63" t="s">
        <v>858</v>
      </c>
      <c r="D159" s="63" t="s">
        <v>174</v>
      </c>
      <c r="E159" s="62"/>
      <c r="F159" s="62"/>
      <c r="G159" s="62"/>
      <c r="H159" s="62"/>
      <c r="J159" s="56"/>
    </row>
    <row r="160" spans="1:17" x14ac:dyDescent="0.2">
      <c r="A160" s="62"/>
      <c r="B160" s="64" t="s">
        <v>175</v>
      </c>
      <c r="C160" s="65">
        <v>45808</v>
      </c>
      <c r="D160" s="65">
        <v>45838</v>
      </c>
      <c r="E160" s="62"/>
      <c r="F160" s="62"/>
      <c r="G160" s="62"/>
      <c r="J160" s="56"/>
    </row>
    <row r="161" spans="1:15" x14ac:dyDescent="0.2">
      <c r="A161" s="66"/>
      <c r="B161" s="50" t="s">
        <v>176</v>
      </c>
      <c r="C161" s="67">
        <v>15.1488</v>
      </c>
      <c r="D161" s="67">
        <v>15.236800000000001</v>
      </c>
      <c r="E161" s="66"/>
      <c r="F161" s="68"/>
      <c r="G161" s="69"/>
    </row>
    <row r="162" spans="1:15" ht="25.5" x14ac:dyDescent="0.2">
      <c r="A162" s="66"/>
      <c r="B162" s="50" t="s">
        <v>987</v>
      </c>
      <c r="C162" s="67">
        <v>13.098599999999999</v>
      </c>
      <c r="D162" s="67">
        <v>13.1746</v>
      </c>
      <c r="E162" s="66"/>
      <c r="F162" s="68"/>
      <c r="G162" s="69"/>
    </row>
    <row r="163" spans="1:15" x14ac:dyDescent="0.2">
      <c r="A163" s="66"/>
      <c r="B163" s="50" t="s">
        <v>177</v>
      </c>
      <c r="C163" s="67">
        <v>14.3705</v>
      </c>
      <c r="D163" s="67">
        <v>14.444000000000001</v>
      </c>
      <c r="E163" s="66"/>
      <c r="F163" s="68"/>
      <c r="G163" s="69"/>
    </row>
    <row r="164" spans="1:15" ht="25.5" x14ac:dyDescent="0.2">
      <c r="A164" s="66"/>
      <c r="B164" s="50" t="s">
        <v>988</v>
      </c>
      <c r="C164" s="67">
        <v>12.6347</v>
      </c>
      <c r="D164" s="67">
        <v>12.699299999999999</v>
      </c>
      <c r="E164" s="66"/>
      <c r="F164" s="68"/>
      <c r="G164" s="69"/>
    </row>
    <row r="165" spans="1:15" x14ac:dyDescent="0.2">
      <c r="A165" s="66"/>
      <c r="B165" s="66"/>
      <c r="C165" s="66"/>
      <c r="D165" s="66"/>
      <c r="E165" s="66"/>
      <c r="F165" s="66"/>
      <c r="G165" s="66"/>
    </row>
    <row r="166" spans="1:15" x14ac:dyDescent="0.2">
      <c r="A166" s="62"/>
      <c r="B166" s="154" t="s">
        <v>860</v>
      </c>
      <c r="C166" s="155"/>
      <c r="D166" s="33" t="s">
        <v>172</v>
      </c>
      <c r="E166" s="62"/>
      <c r="F166" s="62"/>
      <c r="G166" s="62"/>
    </row>
    <row r="167" spans="1:15" x14ac:dyDescent="0.2">
      <c r="A167" s="62"/>
      <c r="B167" s="70"/>
      <c r="C167" s="70"/>
      <c r="D167" s="70"/>
      <c r="E167" s="62"/>
      <c r="F167" s="62"/>
      <c r="G167" s="62"/>
    </row>
    <row r="168" spans="1:15" ht="29.1" customHeight="1" x14ac:dyDescent="0.2">
      <c r="A168" s="62"/>
      <c r="B168" s="154" t="s">
        <v>178</v>
      </c>
      <c r="C168" s="155"/>
      <c r="D168" s="33" t="s">
        <v>913</v>
      </c>
      <c r="E168" s="71"/>
      <c r="F168" s="62"/>
      <c r="G168" s="62"/>
    </row>
    <row r="169" spans="1:15" ht="29.1" customHeight="1" x14ac:dyDescent="0.2">
      <c r="A169" s="62"/>
      <c r="B169" s="154" t="s">
        <v>179</v>
      </c>
      <c r="C169" s="155"/>
      <c r="D169" s="33" t="s">
        <v>172</v>
      </c>
      <c r="E169" s="71"/>
      <c r="F169" s="62"/>
      <c r="G169" s="62"/>
      <c r="I169" s="118"/>
    </row>
    <row r="170" spans="1:15" ht="17.100000000000001" customHeight="1" x14ac:dyDescent="0.2">
      <c r="A170" s="62"/>
      <c r="B170" s="154" t="s">
        <v>180</v>
      </c>
      <c r="C170" s="155"/>
      <c r="D170" s="33" t="s">
        <v>172</v>
      </c>
      <c r="E170" s="71"/>
      <c r="F170" s="62"/>
      <c r="G170" s="62"/>
    </row>
    <row r="171" spans="1:15" ht="17.100000000000001" customHeight="1" x14ac:dyDescent="0.2">
      <c r="A171" s="62"/>
      <c r="B171" s="154" t="s">
        <v>181</v>
      </c>
      <c r="C171" s="155"/>
      <c r="D171" s="72">
        <v>9.5844499804352825</v>
      </c>
      <c r="E171" s="62"/>
      <c r="F171" s="55"/>
      <c r="G171" s="73"/>
    </row>
    <row r="173" spans="1:15" s="106" customFormat="1" x14ac:dyDescent="0.2">
      <c r="B173" s="107" t="s">
        <v>942</v>
      </c>
      <c r="C173" s="107"/>
      <c r="D173" s="107"/>
      <c r="E173" s="5"/>
      <c r="F173" s="6"/>
      <c r="I173"/>
      <c r="J173"/>
      <c r="K173"/>
      <c r="L173"/>
      <c r="M173"/>
      <c r="N173"/>
    </row>
    <row r="174" spans="1:15" ht="13.5" customHeight="1" x14ac:dyDescent="0.2">
      <c r="B174" s="165" t="s">
        <v>878</v>
      </c>
      <c r="C174" s="165" t="s">
        <v>879</v>
      </c>
      <c r="D174" s="168" t="s">
        <v>880</v>
      </c>
      <c r="E174" s="169"/>
      <c r="F174" s="170"/>
      <c r="G174" s="171" t="s">
        <v>881</v>
      </c>
      <c r="H174" s="172"/>
      <c r="I174" s="173"/>
      <c r="J174" s="119"/>
      <c r="K174" s="119"/>
      <c r="L174" s="119"/>
      <c r="M174" s="119"/>
      <c r="N174" s="119"/>
      <c r="O174" s="119"/>
    </row>
    <row r="175" spans="1:15" ht="46.5" customHeight="1" x14ac:dyDescent="0.2">
      <c r="B175" s="166"/>
      <c r="C175" s="166"/>
      <c r="D175" s="174" t="s">
        <v>882</v>
      </c>
      <c r="E175" s="174" t="s">
        <v>883</v>
      </c>
      <c r="F175" s="174" t="s">
        <v>884</v>
      </c>
      <c r="G175" s="176" t="s">
        <v>885</v>
      </c>
      <c r="H175" s="177"/>
      <c r="I175" s="174" t="s">
        <v>886</v>
      </c>
      <c r="J175" s="119"/>
      <c r="K175" s="119"/>
      <c r="L175" s="119"/>
      <c r="M175" s="119"/>
      <c r="N175" s="119"/>
      <c r="O175" s="119"/>
    </row>
    <row r="176" spans="1:15" ht="21" customHeight="1" x14ac:dyDescent="0.2">
      <c r="B176" s="167"/>
      <c r="C176" s="167"/>
      <c r="D176" s="175"/>
      <c r="E176" s="175"/>
      <c r="F176" s="175"/>
      <c r="G176" s="120" t="s">
        <v>887</v>
      </c>
      <c r="H176" s="120" t="s">
        <v>888</v>
      </c>
      <c r="I176" s="175"/>
      <c r="J176" s="119"/>
      <c r="K176" s="119"/>
      <c r="L176" s="119"/>
      <c r="M176" s="119"/>
      <c r="N176" s="119"/>
      <c r="O176" s="119"/>
    </row>
    <row r="177" spans="2:16" ht="13.5" x14ac:dyDescent="0.25">
      <c r="B177" s="121" t="s">
        <v>889</v>
      </c>
      <c r="C177" s="122" t="s">
        <v>890</v>
      </c>
      <c r="D177" s="123">
        <v>48.884799999999998</v>
      </c>
      <c r="E177" s="2">
        <v>1.1152</v>
      </c>
      <c r="F177" s="124">
        <f>D177+E177</f>
        <v>50</v>
      </c>
      <c r="G177" s="3">
        <v>2.1270963690000002</v>
      </c>
      <c r="H177" s="3">
        <v>1.34</v>
      </c>
      <c r="I177" s="3">
        <f>G177+H177</f>
        <v>3.4670963690000001</v>
      </c>
      <c r="J177" s="119"/>
      <c r="K177" s="119"/>
      <c r="L177" s="119"/>
      <c r="M177" s="119"/>
      <c r="N177" s="119"/>
      <c r="O177" s="119"/>
    </row>
    <row r="178" spans="2:16" s="106" customFormat="1" x14ac:dyDescent="0.2">
      <c r="B178" s="125"/>
      <c r="C178" s="126"/>
      <c r="D178" s="127"/>
      <c r="E178" s="7"/>
      <c r="F178" s="128"/>
      <c r="G178" s="125"/>
      <c r="I178"/>
      <c r="J178"/>
      <c r="K178"/>
      <c r="L178"/>
      <c r="M178"/>
      <c r="N178"/>
      <c r="O178"/>
    </row>
    <row r="179" spans="2:16" ht="42" customHeight="1" x14ac:dyDescent="0.2">
      <c r="B179" s="178" t="s">
        <v>891</v>
      </c>
      <c r="C179" s="178"/>
      <c r="D179" s="178"/>
      <c r="E179" s="178"/>
      <c r="F179" s="178"/>
      <c r="G179" s="178"/>
      <c r="H179" s="178"/>
      <c r="I179" s="178"/>
      <c r="J179" s="129"/>
      <c r="K179" s="119"/>
      <c r="L179" s="119"/>
      <c r="M179" s="119"/>
      <c r="N179" s="119"/>
      <c r="O179" s="119"/>
    </row>
    <row r="180" spans="2:16" ht="13.5" x14ac:dyDescent="0.25">
      <c r="B180" s="130" t="s">
        <v>892</v>
      </c>
      <c r="I180" s="119"/>
      <c r="J180" s="31"/>
      <c r="K180" s="119"/>
      <c r="L180" s="119"/>
      <c r="M180" s="119"/>
      <c r="N180" s="119"/>
      <c r="O180" s="119"/>
      <c r="P180" s="119"/>
    </row>
    <row r="181" spans="2:16" x14ac:dyDescent="0.2">
      <c r="B181" s="4" t="s">
        <v>893</v>
      </c>
      <c r="J181" s="31"/>
      <c r="K181" s="119"/>
      <c r="L181" s="119"/>
      <c r="M181" s="119"/>
      <c r="N181" s="119"/>
      <c r="O181" s="119"/>
    </row>
    <row r="182" spans="2:16" s="106" customFormat="1" x14ac:dyDescent="0.2">
      <c r="I182"/>
      <c r="J182"/>
      <c r="K182"/>
      <c r="L182"/>
      <c r="M182"/>
      <c r="N182"/>
      <c r="O182"/>
      <c r="P182"/>
    </row>
    <row r="183" spans="2:16" s="106" customFormat="1" x14ac:dyDescent="0.2">
      <c r="B183" s="190" t="s">
        <v>904</v>
      </c>
      <c r="C183" s="191"/>
      <c r="D183" s="192"/>
      <c r="I183"/>
      <c r="J183"/>
      <c r="K183"/>
      <c r="L183"/>
      <c r="M183"/>
      <c r="N183"/>
      <c r="O183"/>
      <c r="P183"/>
    </row>
    <row r="184" spans="2:16" s="106" customFormat="1" ht="25.5" x14ac:dyDescent="0.2">
      <c r="B184" s="193" t="s">
        <v>905</v>
      </c>
      <c r="C184" s="193"/>
      <c r="D184" s="101" t="s">
        <v>630</v>
      </c>
      <c r="I184"/>
      <c r="J184"/>
      <c r="K184"/>
      <c r="L184"/>
      <c r="M184"/>
      <c r="N184"/>
      <c r="O184"/>
      <c r="P184"/>
    </row>
    <row r="185" spans="2:16" s="106" customFormat="1" x14ac:dyDescent="0.2">
      <c r="B185" s="193" t="s">
        <v>906</v>
      </c>
      <c r="C185" s="193"/>
      <c r="D185" s="75"/>
      <c r="I185"/>
      <c r="J185"/>
      <c r="K185"/>
      <c r="L185"/>
      <c r="M185"/>
      <c r="N185"/>
      <c r="O185"/>
      <c r="P185"/>
    </row>
    <row r="186" spans="2:16" s="106" customFormat="1" x14ac:dyDescent="0.2">
      <c r="B186" s="194"/>
      <c r="C186" s="195"/>
      <c r="D186" s="76"/>
      <c r="I186"/>
      <c r="J186"/>
      <c r="K186"/>
      <c r="L186"/>
      <c r="M186"/>
      <c r="N186"/>
      <c r="O186"/>
      <c r="P186"/>
    </row>
    <row r="187" spans="2:16" s="106" customFormat="1" x14ac:dyDescent="0.2">
      <c r="B187" s="193" t="s">
        <v>907</v>
      </c>
      <c r="C187" s="193"/>
      <c r="D187" s="77">
        <v>5.5377675848187149</v>
      </c>
      <c r="I187"/>
      <c r="J187"/>
      <c r="K187"/>
      <c r="L187"/>
      <c r="M187"/>
      <c r="N187"/>
      <c r="O187"/>
      <c r="P187"/>
    </row>
    <row r="188" spans="2:16" s="106" customFormat="1" x14ac:dyDescent="0.2">
      <c r="B188" s="194"/>
      <c r="C188" s="195"/>
      <c r="D188" s="76"/>
      <c r="I188"/>
      <c r="J188"/>
      <c r="K188"/>
      <c r="L188"/>
      <c r="M188"/>
      <c r="N188"/>
      <c r="O188"/>
      <c r="P188"/>
    </row>
    <row r="189" spans="2:16" s="106" customFormat="1" x14ac:dyDescent="0.2">
      <c r="B189" s="193" t="s">
        <v>908</v>
      </c>
      <c r="C189" s="193"/>
      <c r="D189" s="77">
        <v>0.46588502881237898</v>
      </c>
      <c r="I189"/>
      <c r="J189"/>
      <c r="K189"/>
      <c r="L189"/>
      <c r="M189"/>
      <c r="N189"/>
      <c r="O189"/>
      <c r="P189"/>
    </row>
    <row r="190" spans="2:16" s="106" customFormat="1" x14ac:dyDescent="0.2">
      <c r="B190" s="193" t="s">
        <v>909</v>
      </c>
      <c r="C190" s="193"/>
      <c r="D190" s="77">
        <v>0.48410817059461259</v>
      </c>
      <c r="I190"/>
      <c r="J190"/>
      <c r="K190"/>
      <c r="L190"/>
      <c r="M190"/>
      <c r="N190"/>
      <c r="O190"/>
      <c r="P190"/>
    </row>
    <row r="191" spans="2:16" s="106" customFormat="1" x14ac:dyDescent="0.2">
      <c r="B191" s="194"/>
      <c r="C191" s="195"/>
      <c r="D191" s="76"/>
      <c r="I191"/>
      <c r="J191"/>
      <c r="K191"/>
      <c r="L191"/>
      <c r="M191"/>
      <c r="N191"/>
      <c r="O191"/>
      <c r="P191"/>
    </row>
    <row r="192" spans="2:16" s="106" customFormat="1" x14ac:dyDescent="0.2">
      <c r="B192" s="193" t="s">
        <v>910</v>
      </c>
      <c r="C192" s="193"/>
      <c r="D192" s="78" t="s">
        <v>944</v>
      </c>
      <c r="I192"/>
      <c r="J192"/>
      <c r="K192"/>
      <c r="L192"/>
      <c r="M192"/>
      <c r="N192"/>
      <c r="O192"/>
      <c r="P192"/>
    </row>
    <row r="193" spans="2:16" s="106" customFormat="1" x14ac:dyDescent="0.2">
      <c r="B193" s="194" t="s">
        <v>911</v>
      </c>
      <c r="C193" s="196"/>
      <c r="D193" s="195"/>
      <c r="I193"/>
      <c r="J193"/>
      <c r="K193"/>
      <c r="L193"/>
      <c r="M193"/>
      <c r="N193"/>
      <c r="O193"/>
      <c r="P193"/>
    </row>
    <row r="195" spans="2:16" x14ac:dyDescent="0.2">
      <c r="B195" s="156" t="s">
        <v>861</v>
      </c>
      <c r="C195" s="156"/>
    </row>
    <row r="197" spans="2:16" ht="153.75" customHeight="1" x14ac:dyDescent="0.2"/>
    <row r="200" spans="2:16" x14ac:dyDescent="0.2">
      <c r="B200" s="79" t="s">
        <v>862</v>
      </c>
      <c r="C200" s="80"/>
      <c r="D200" s="79"/>
    </row>
    <row r="201" spans="2:16" x14ac:dyDescent="0.2">
      <c r="B201" s="79" t="s">
        <v>914</v>
      </c>
      <c r="D201" s="79"/>
    </row>
    <row r="202" spans="2:16" ht="165" customHeight="1" x14ac:dyDescent="0.2"/>
    <row r="204" spans="2:16" x14ac:dyDescent="0.2">
      <c r="J204" s="31"/>
    </row>
  </sheetData>
  <mergeCells count="39">
    <mergeCell ref="B192:C192"/>
    <mergeCell ref="B193:D193"/>
    <mergeCell ref="B195:C195"/>
    <mergeCell ref="B187:C187"/>
    <mergeCell ref="B188:C188"/>
    <mergeCell ref="B189:C189"/>
    <mergeCell ref="B190:C190"/>
    <mergeCell ref="B191:C191"/>
    <mergeCell ref="B179:I179"/>
    <mergeCell ref="B183:D183"/>
    <mergeCell ref="B184:C184"/>
    <mergeCell ref="B185:C185"/>
    <mergeCell ref="B186:C186"/>
    <mergeCell ref="B174:B176"/>
    <mergeCell ref="C174:C176"/>
    <mergeCell ref="D174:F174"/>
    <mergeCell ref="G174:I174"/>
    <mergeCell ref="D175:D176"/>
    <mergeCell ref="E175:E176"/>
    <mergeCell ref="F175:F176"/>
    <mergeCell ref="G175:H175"/>
    <mergeCell ref="I175:I176"/>
    <mergeCell ref="A1:H1"/>
    <mergeCell ref="A2:H2"/>
    <mergeCell ref="A3:H3"/>
    <mergeCell ref="B149:H149"/>
    <mergeCell ref="B150:H150"/>
    <mergeCell ref="B151:H151"/>
    <mergeCell ref="B152:H152"/>
    <mergeCell ref="B153:H153"/>
    <mergeCell ref="B155:D155"/>
    <mergeCell ref="B156:C156"/>
    <mergeCell ref="B157:C157"/>
    <mergeCell ref="B158:C158"/>
    <mergeCell ref="B171:C171"/>
    <mergeCell ref="B168:C168"/>
    <mergeCell ref="B169:C169"/>
    <mergeCell ref="B170:C170"/>
    <mergeCell ref="B166:C166"/>
  </mergeCells>
  <hyperlinks>
    <hyperlink ref="I1" location="Index!B2" display="Index" xr:uid="{C61F7156-E816-4457-8641-953EFA020D26}"/>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35E78-7C02-4AC6-911B-1B83A44D3D98}">
  <sheetPr>
    <outlinePr summaryBelow="0" summaryRight="0"/>
  </sheetPr>
  <dimension ref="A1:Q228"/>
  <sheetViews>
    <sheetView showGridLines="0" workbookViewId="0">
      <selection sqref="A1:H1"/>
    </sheetView>
  </sheetViews>
  <sheetFormatPr defaultRowHeight="12.75" x14ac:dyDescent="0.2"/>
  <cols>
    <col min="1" max="1" width="6.85546875" customWidth="1"/>
    <col min="2" max="2" width="20.5703125" customWidth="1"/>
    <col min="3" max="3" width="43.14062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653</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1046</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14</v>
      </c>
      <c r="C7" s="36" t="s">
        <v>15</v>
      </c>
      <c r="D7" s="36" t="s">
        <v>16</v>
      </c>
      <c r="E7" s="37">
        <v>596837</v>
      </c>
      <c r="F7" s="38">
        <v>8956.1360220000006</v>
      </c>
      <c r="G7" s="39">
        <v>5.6089590000000002E-2</v>
      </c>
      <c r="H7" s="34" t="s">
        <v>143</v>
      </c>
    </row>
    <row r="8" spans="1:9" x14ac:dyDescent="0.2">
      <c r="A8" s="35">
        <v>2</v>
      </c>
      <c r="B8" s="36" t="s">
        <v>31</v>
      </c>
      <c r="C8" s="36" t="s">
        <v>32</v>
      </c>
      <c r="D8" s="36" t="s">
        <v>33</v>
      </c>
      <c r="E8" s="37">
        <v>605913</v>
      </c>
      <c r="F8" s="38">
        <v>8760.2901540000003</v>
      </c>
      <c r="G8" s="39">
        <v>5.486307E-2</v>
      </c>
      <c r="H8" s="34" t="s">
        <v>143</v>
      </c>
    </row>
    <row r="9" spans="1:9" x14ac:dyDescent="0.2">
      <c r="A9" s="35">
        <v>3</v>
      </c>
      <c r="B9" s="36" t="s">
        <v>322</v>
      </c>
      <c r="C9" s="36" t="s">
        <v>323</v>
      </c>
      <c r="D9" s="36" t="s">
        <v>33</v>
      </c>
      <c r="E9" s="37">
        <v>400052</v>
      </c>
      <c r="F9" s="38">
        <v>8007.0407800000003</v>
      </c>
      <c r="G9" s="39">
        <v>5.014569E-2</v>
      </c>
      <c r="H9" s="34" t="s">
        <v>143</v>
      </c>
    </row>
    <row r="10" spans="1:9" x14ac:dyDescent="0.2">
      <c r="A10" s="35">
        <v>4</v>
      </c>
      <c r="B10" s="36" t="s">
        <v>11</v>
      </c>
      <c r="C10" s="36" t="s">
        <v>12</v>
      </c>
      <c r="D10" s="36" t="s">
        <v>13</v>
      </c>
      <c r="E10" s="37">
        <v>342510</v>
      </c>
      <c r="F10" s="38">
        <v>6883.0809600000002</v>
      </c>
      <c r="G10" s="39">
        <v>4.310667E-2</v>
      </c>
      <c r="H10" s="34" t="s">
        <v>143</v>
      </c>
    </row>
    <row r="11" spans="1:9" x14ac:dyDescent="0.2">
      <c r="A11" s="35">
        <v>5</v>
      </c>
      <c r="B11" s="36" t="s">
        <v>326</v>
      </c>
      <c r="C11" s="36" t="s">
        <v>327</v>
      </c>
      <c r="D11" s="36" t="s">
        <v>33</v>
      </c>
      <c r="E11" s="37">
        <v>251441</v>
      </c>
      <c r="F11" s="38">
        <v>5439.9260350000004</v>
      </c>
      <c r="G11" s="39">
        <v>3.4068630000000003E-2</v>
      </c>
      <c r="H11" s="34" t="s">
        <v>143</v>
      </c>
    </row>
    <row r="12" spans="1:9" x14ac:dyDescent="0.2">
      <c r="A12" s="35">
        <v>6</v>
      </c>
      <c r="B12" s="36" t="s">
        <v>328</v>
      </c>
      <c r="C12" s="36" t="s">
        <v>329</v>
      </c>
      <c r="D12" s="36" t="s">
        <v>198</v>
      </c>
      <c r="E12" s="37">
        <v>214375</v>
      </c>
      <c r="F12" s="38">
        <v>3433.8587499999999</v>
      </c>
      <c r="G12" s="39">
        <v>2.150523E-2</v>
      </c>
      <c r="H12" s="34" t="s">
        <v>143</v>
      </c>
    </row>
    <row r="13" spans="1:9" x14ac:dyDescent="0.2">
      <c r="A13" s="35">
        <v>7</v>
      </c>
      <c r="B13" s="36" t="s">
        <v>46</v>
      </c>
      <c r="C13" s="36" t="s">
        <v>47</v>
      </c>
      <c r="D13" s="36" t="s">
        <v>33</v>
      </c>
      <c r="E13" s="37">
        <v>394485</v>
      </c>
      <c r="F13" s="38">
        <v>3236.1576974999998</v>
      </c>
      <c r="G13" s="39">
        <v>2.0267090000000001E-2</v>
      </c>
      <c r="H13" s="34" t="s">
        <v>143</v>
      </c>
    </row>
    <row r="14" spans="1:9" x14ac:dyDescent="0.2">
      <c r="A14" s="35">
        <v>8</v>
      </c>
      <c r="B14" s="36" t="s">
        <v>324</v>
      </c>
      <c r="C14" s="36" t="s">
        <v>325</v>
      </c>
      <c r="D14" s="36" t="s">
        <v>33</v>
      </c>
      <c r="E14" s="37">
        <v>247104</v>
      </c>
      <c r="F14" s="38">
        <v>2963.2711680000002</v>
      </c>
      <c r="G14" s="39">
        <v>1.8558080000000001E-2</v>
      </c>
      <c r="H14" s="34" t="s">
        <v>143</v>
      </c>
    </row>
    <row r="15" spans="1:9" x14ac:dyDescent="0.2">
      <c r="A15" s="102">
        <v>9</v>
      </c>
      <c r="B15" s="50" t="s">
        <v>1010</v>
      </c>
      <c r="C15" s="50" t="s">
        <v>1011</v>
      </c>
      <c r="D15" s="50" t="s">
        <v>61</v>
      </c>
      <c r="E15" s="103">
        <v>700000</v>
      </c>
      <c r="F15" s="104">
        <f>272650000/10^5</f>
        <v>2726.5</v>
      </c>
      <c r="G15" s="105">
        <f>F15/F178</f>
        <v>1.7075251599218688E-2</v>
      </c>
      <c r="H15" s="34" t="s">
        <v>143</v>
      </c>
    </row>
    <row r="16" spans="1:9" x14ac:dyDescent="0.2">
      <c r="A16" s="35">
        <v>10</v>
      </c>
      <c r="B16" s="36" t="s">
        <v>338</v>
      </c>
      <c r="C16" s="36" t="s">
        <v>339</v>
      </c>
      <c r="D16" s="36" t="s">
        <v>251</v>
      </c>
      <c r="E16" s="37">
        <v>79750</v>
      </c>
      <c r="F16" s="38">
        <v>2538.6019999999999</v>
      </c>
      <c r="G16" s="39">
        <v>1.5898499999999999E-2</v>
      </c>
      <c r="H16" s="34" t="s">
        <v>143</v>
      </c>
    </row>
    <row r="17" spans="1:8" x14ac:dyDescent="0.2">
      <c r="A17" s="35">
        <v>11</v>
      </c>
      <c r="B17" s="36" t="s">
        <v>17</v>
      </c>
      <c r="C17" s="36" t="s">
        <v>18</v>
      </c>
      <c r="D17" s="36" t="s">
        <v>19</v>
      </c>
      <c r="E17" s="37">
        <v>64350</v>
      </c>
      <c r="F17" s="38">
        <v>2361.5162999999998</v>
      </c>
      <c r="G17" s="39">
        <v>1.4789470000000001E-2</v>
      </c>
      <c r="H17" s="34" t="s">
        <v>143</v>
      </c>
    </row>
    <row r="18" spans="1:8" x14ac:dyDescent="0.2">
      <c r="A18" s="35">
        <v>12</v>
      </c>
      <c r="B18" s="36" t="s">
        <v>334</v>
      </c>
      <c r="C18" s="36" t="s">
        <v>335</v>
      </c>
      <c r="D18" s="36" t="s">
        <v>33</v>
      </c>
      <c r="E18" s="37">
        <v>930150</v>
      </c>
      <c r="F18" s="38">
        <v>2314.0271699999998</v>
      </c>
      <c r="G18" s="39">
        <v>1.4492059999999999E-2</v>
      </c>
      <c r="H18" s="34" t="s">
        <v>143</v>
      </c>
    </row>
    <row r="19" spans="1:8" x14ac:dyDescent="0.2">
      <c r="A19" s="35">
        <v>13</v>
      </c>
      <c r="B19" s="36" t="s">
        <v>636</v>
      </c>
      <c r="C19" s="36" t="s">
        <v>637</v>
      </c>
      <c r="D19" s="36" t="s">
        <v>33</v>
      </c>
      <c r="E19" s="37">
        <v>1917000</v>
      </c>
      <c r="F19" s="38">
        <v>2189.2139999999999</v>
      </c>
      <c r="G19" s="39">
        <v>1.3710389999999999E-2</v>
      </c>
      <c r="H19" s="34" t="s">
        <v>143</v>
      </c>
    </row>
    <row r="20" spans="1:8" x14ac:dyDescent="0.2">
      <c r="A20" s="35">
        <v>14</v>
      </c>
      <c r="B20" s="36" t="s">
        <v>188</v>
      </c>
      <c r="C20" s="36" t="s">
        <v>189</v>
      </c>
      <c r="D20" s="36" t="s">
        <v>55</v>
      </c>
      <c r="E20" s="37">
        <v>375000</v>
      </c>
      <c r="F20" s="38">
        <v>2084.4375</v>
      </c>
      <c r="G20" s="39">
        <v>1.305421E-2</v>
      </c>
      <c r="H20" s="34" t="s">
        <v>143</v>
      </c>
    </row>
    <row r="21" spans="1:8" x14ac:dyDescent="0.2">
      <c r="A21" s="35">
        <v>15</v>
      </c>
      <c r="B21" s="36" t="s">
        <v>277</v>
      </c>
      <c r="C21" s="36" t="s">
        <v>278</v>
      </c>
      <c r="D21" s="36" t="s">
        <v>192</v>
      </c>
      <c r="E21" s="37">
        <v>288000</v>
      </c>
      <c r="F21" s="38">
        <v>2035.7280000000001</v>
      </c>
      <c r="G21" s="39">
        <v>1.2749150000000001E-2</v>
      </c>
      <c r="H21" s="34" t="s">
        <v>143</v>
      </c>
    </row>
    <row r="22" spans="1:8" x14ac:dyDescent="0.2">
      <c r="A22" s="35">
        <v>16</v>
      </c>
      <c r="B22" s="36" t="s">
        <v>429</v>
      </c>
      <c r="C22" s="36" t="s">
        <v>430</v>
      </c>
      <c r="D22" s="36" t="s">
        <v>198</v>
      </c>
      <c r="E22" s="37">
        <v>115789</v>
      </c>
      <c r="F22" s="38">
        <v>2001.528654</v>
      </c>
      <c r="G22" s="39">
        <v>1.2534969999999999E-2</v>
      </c>
      <c r="H22" s="34" t="s">
        <v>143</v>
      </c>
    </row>
    <row r="23" spans="1:8" x14ac:dyDescent="0.2">
      <c r="A23" s="35">
        <v>17</v>
      </c>
      <c r="B23" s="36" t="s">
        <v>332</v>
      </c>
      <c r="C23" s="36" t="s">
        <v>333</v>
      </c>
      <c r="D23" s="36" t="s">
        <v>192</v>
      </c>
      <c r="E23" s="37">
        <v>211400</v>
      </c>
      <c r="F23" s="38">
        <v>1979.761</v>
      </c>
      <c r="G23" s="39">
        <v>1.2398650000000001E-2</v>
      </c>
      <c r="H23" s="34" t="s">
        <v>143</v>
      </c>
    </row>
    <row r="24" spans="1:8" ht="25.5" x14ac:dyDescent="0.2">
      <c r="A24" s="35">
        <v>18</v>
      </c>
      <c r="B24" s="36" t="s">
        <v>440</v>
      </c>
      <c r="C24" s="36" t="s">
        <v>441</v>
      </c>
      <c r="D24" s="36" t="s">
        <v>201</v>
      </c>
      <c r="E24" s="37">
        <v>128800</v>
      </c>
      <c r="F24" s="38">
        <v>1939.5992000000001</v>
      </c>
      <c r="G24" s="39">
        <v>1.2147130000000001E-2</v>
      </c>
      <c r="H24" s="34" t="s">
        <v>143</v>
      </c>
    </row>
    <row r="25" spans="1:8" x14ac:dyDescent="0.2">
      <c r="A25" s="35">
        <v>19</v>
      </c>
      <c r="B25" s="36" t="s">
        <v>444</v>
      </c>
      <c r="C25" s="36" t="s">
        <v>445</v>
      </c>
      <c r="D25" s="36" t="s">
        <v>354</v>
      </c>
      <c r="E25" s="37">
        <v>82061</v>
      </c>
      <c r="F25" s="38">
        <v>1882.971706</v>
      </c>
      <c r="G25" s="39">
        <v>1.1792489999999999E-2</v>
      </c>
      <c r="H25" s="34" t="s">
        <v>143</v>
      </c>
    </row>
    <row r="26" spans="1:8" x14ac:dyDescent="0.2">
      <c r="A26" s="35">
        <v>20</v>
      </c>
      <c r="B26" s="36" t="s">
        <v>53</v>
      </c>
      <c r="C26" s="36" t="s">
        <v>54</v>
      </c>
      <c r="D26" s="36" t="s">
        <v>55</v>
      </c>
      <c r="E26" s="37">
        <v>25796</v>
      </c>
      <c r="F26" s="38">
        <v>1746.2602199999999</v>
      </c>
      <c r="G26" s="39">
        <v>1.0936299999999999E-2</v>
      </c>
      <c r="H26" s="34" t="s">
        <v>143</v>
      </c>
    </row>
    <row r="27" spans="1:8" ht="25.5" x14ac:dyDescent="0.2">
      <c r="A27" s="35">
        <v>21</v>
      </c>
      <c r="B27" s="36" t="s">
        <v>183</v>
      </c>
      <c r="C27" s="36" t="s">
        <v>184</v>
      </c>
      <c r="D27" s="36" t="s">
        <v>185</v>
      </c>
      <c r="E27" s="37">
        <v>68500</v>
      </c>
      <c r="F27" s="38">
        <v>1716.0619999999999</v>
      </c>
      <c r="G27" s="39">
        <v>1.074718E-2</v>
      </c>
      <c r="H27" s="34" t="s">
        <v>143</v>
      </c>
    </row>
    <row r="28" spans="1:8" x14ac:dyDescent="0.2">
      <c r="A28" s="35">
        <v>22</v>
      </c>
      <c r="B28" s="36" t="s">
        <v>519</v>
      </c>
      <c r="C28" s="36" t="s">
        <v>520</v>
      </c>
      <c r="D28" s="36" t="s">
        <v>192</v>
      </c>
      <c r="E28" s="37">
        <v>76000</v>
      </c>
      <c r="F28" s="38">
        <v>1562.56</v>
      </c>
      <c r="G28" s="39">
        <v>9.7858500000000005E-3</v>
      </c>
      <c r="H28" s="34" t="s">
        <v>143</v>
      </c>
    </row>
    <row r="29" spans="1:8" x14ac:dyDescent="0.2">
      <c r="A29" s="35">
        <v>23</v>
      </c>
      <c r="B29" s="36" t="s">
        <v>37</v>
      </c>
      <c r="C29" s="36" t="s">
        <v>38</v>
      </c>
      <c r="D29" s="36" t="s">
        <v>16</v>
      </c>
      <c r="E29" s="37">
        <v>429151</v>
      </c>
      <c r="F29" s="38">
        <v>1424.5667444999999</v>
      </c>
      <c r="G29" s="39">
        <v>8.9216299999999998E-3</v>
      </c>
      <c r="H29" s="34" t="s">
        <v>143</v>
      </c>
    </row>
    <row r="30" spans="1:8" x14ac:dyDescent="0.2">
      <c r="A30" s="35">
        <v>24</v>
      </c>
      <c r="B30" s="36" t="s">
        <v>433</v>
      </c>
      <c r="C30" s="36" t="s">
        <v>434</v>
      </c>
      <c r="D30" s="36" t="s">
        <v>198</v>
      </c>
      <c r="E30" s="37">
        <v>40643</v>
      </c>
      <c r="F30" s="38">
        <v>1407.0606600000001</v>
      </c>
      <c r="G30" s="39">
        <v>8.8120000000000004E-3</v>
      </c>
      <c r="H30" s="34" t="s">
        <v>143</v>
      </c>
    </row>
    <row r="31" spans="1:8" x14ac:dyDescent="0.2">
      <c r="A31" s="35">
        <v>25</v>
      </c>
      <c r="B31" s="36" t="s">
        <v>503</v>
      </c>
      <c r="C31" s="36" t="s">
        <v>504</v>
      </c>
      <c r="D31" s="36" t="s">
        <v>251</v>
      </c>
      <c r="E31" s="37">
        <v>11177</v>
      </c>
      <c r="F31" s="38">
        <v>1385.9480000000001</v>
      </c>
      <c r="G31" s="39">
        <v>8.6797799999999998E-3</v>
      </c>
      <c r="H31" s="34" t="s">
        <v>143</v>
      </c>
    </row>
    <row r="32" spans="1:8" ht="25.5" x14ac:dyDescent="0.2">
      <c r="A32" s="35">
        <v>26</v>
      </c>
      <c r="B32" s="36" t="s">
        <v>438</v>
      </c>
      <c r="C32" s="36" t="s">
        <v>439</v>
      </c>
      <c r="D32" s="36" t="s">
        <v>209</v>
      </c>
      <c r="E32" s="37">
        <v>124750</v>
      </c>
      <c r="F32" s="38">
        <v>1370.8777500000001</v>
      </c>
      <c r="G32" s="39">
        <v>8.5854E-3</v>
      </c>
      <c r="H32" s="34" t="s">
        <v>143</v>
      </c>
    </row>
    <row r="33" spans="1:8" x14ac:dyDescent="0.2">
      <c r="A33" s="35">
        <v>27</v>
      </c>
      <c r="B33" s="36" t="s">
        <v>97</v>
      </c>
      <c r="C33" s="36" t="s">
        <v>98</v>
      </c>
      <c r="D33" s="36" t="s">
        <v>73</v>
      </c>
      <c r="E33" s="37">
        <v>34871</v>
      </c>
      <c r="F33" s="38">
        <v>1185.4047740000001</v>
      </c>
      <c r="G33" s="39">
        <v>7.4238300000000002E-3</v>
      </c>
      <c r="H33" s="34" t="s">
        <v>143</v>
      </c>
    </row>
    <row r="34" spans="1:8" x14ac:dyDescent="0.2">
      <c r="A34" s="35">
        <v>28</v>
      </c>
      <c r="B34" s="36" t="s">
        <v>39</v>
      </c>
      <c r="C34" s="36" t="s">
        <v>40</v>
      </c>
      <c r="D34" s="36" t="s">
        <v>22</v>
      </c>
      <c r="E34" s="37">
        <v>289000</v>
      </c>
      <c r="F34" s="38">
        <v>1171.7505000000001</v>
      </c>
      <c r="G34" s="39">
        <v>7.3383199999999997E-3</v>
      </c>
      <c r="H34" s="34" t="s">
        <v>143</v>
      </c>
    </row>
    <row r="35" spans="1:8" ht="25.5" x14ac:dyDescent="0.2">
      <c r="A35" s="35">
        <v>29</v>
      </c>
      <c r="B35" s="36" t="s">
        <v>342</v>
      </c>
      <c r="C35" s="36" t="s">
        <v>343</v>
      </c>
      <c r="D35" s="36" t="s">
        <v>25</v>
      </c>
      <c r="E35" s="37">
        <v>40900</v>
      </c>
      <c r="F35" s="38">
        <v>1163.4005</v>
      </c>
      <c r="G35" s="39">
        <v>7.2860299999999998E-3</v>
      </c>
      <c r="H35" s="34" t="s">
        <v>143</v>
      </c>
    </row>
    <row r="36" spans="1:8" ht="25.5" x14ac:dyDescent="0.2">
      <c r="A36" s="35">
        <v>30</v>
      </c>
      <c r="B36" s="36" t="s">
        <v>23</v>
      </c>
      <c r="C36" s="36" t="s">
        <v>24</v>
      </c>
      <c r="D36" s="36" t="s">
        <v>25</v>
      </c>
      <c r="E36" s="37">
        <v>9450</v>
      </c>
      <c r="F36" s="38">
        <v>1142.7885000000001</v>
      </c>
      <c r="G36" s="39">
        <v>7.1569399999999997E-3</v>
      </c>
      <c r="H36" s="34" t="s">
        <v>143</v>
      </c>
    </row>
    <row r="37" spans="1:8" x14ac:dyDescent="0.2">
      <c r="A37" s="35">
        <v>31</v>
      </c>
      <c r="B37" s="36" t="s">
        <v>352</v>
      </c>
      <c r="C37" s="36" t="s">
        <v>353</v>
      </c>
      <c r="D37" s="36" t="s">
        <v>354</v>
      </c>
      <c r="E37" s="37">
        <v>262520</v>
      </c>
      <c r="F37" s="38">
        <v>1093.2645399999999</v>
      </c>
      <c r="G37" s="39">
        <v>6.8467900000000002E-3</v>
      </c>
      <c r="H37" s="34" t="s">
        <v>143</v>
      </c>
    </row>
    <row r="38" spans="1:8" x14ac:dyDescent="0.2">
      <c r="A38" s="35">
        <v>32</v>
      </c>
      <c r="B38" s="36" t="s">
        <v>219</v>
      </c>
      <c r="C38" s="36" t="s">
        <v>220</v>
      </c>
      <c r="D38" s="36" t="s">
        <v>221</v>
      </c>
      <c r="E38" s="37">
        <v>149401</v>
      </c>
      <c r="F38" s="38">
        <v>1048.496218</v>
      </c>
      <c r="G38" s="39">
        <v>6.5664199999999999E-3</v>
      </c>
      <c r="H38" s="34" t="s">
        <v>143</v>
      </c>
    </row>
    <row r="39" spans="1:8" x14ac:dyDescent="0.2">
      <c r="A39" s="35">
        <v>33</v>
      </c>
      <c r="B39" s="36" t="s">
        <v>505</v>
      </c>
      <c r="C39" s="36" t="s">
        <v>506</v>
      </c>
      <c r="D39" s="36" t="s">
        <v>192</v>
      </c>
      <c r="E39" s="37">
        <v>75500</v>
      </c>
      <c r="F39" s="38">
        <v>1040.7674999999999</v>
      </c>
      <c r="G39" s="39">
        <v>6.5180200000000002E-3</v>
      </c>
      <c r="H39" s="34" t="s">
        <v>143</v>
      </c>
    </row>
    <row r="40" spans="1:8" x14ac:dyDescent="0.2">
      <c r="A40" s="35">
        <v>34</v>
      </c>
      <c r="B40" s="36" t="s">
        <v>507</v>
      </c>
      <c r="C40" s="36" t="s">
        <v>508</v>
      </c>
      <c r="D40" s="36" t="s">
        <v>226</v>
      </c>
      <c r="E40" s="37">
        <v>71815</v>
      </c>
      <c r="F40" s="38">
        <v>1025.590015</v>
      </c>
      <c r="G40" s="39">
        <v>6.4229600000000001E-3</v>
      </c>
      <c r="H40" s="34" t="s">
        <v>143</v>
      </c>
    </row>
    <row r="41" spans="1:8" x14ac:dyDescent="0.2">
      <c r="A41" s="35">
        <v>35</v>
      </c>
      <c r="B41" s="36" t="s">
        <v>26</v>
      </c>
      <c r="C41" s="36" t="s">
        <v>27</v>
      </c>
      <c r="D41" s="36" t="s">
        <v>28</v>
      </c>
      <c r="E41" s="37">
        <v>242100</v>
      </c>
      <c r="F41" s="38">
        <v>1020.4515</v>
      </c>
      <c r="G41" s="39">
        <v>6.3907800000000004E-3</v>
      </c>
      <c r="H41" s="34" t="s">
        <v>143</v>
      </c>
    </row>
    <row r="42" spans="1:8" ht="25.5" x14ac:dyDescent="0.2">
      <c r="A42" s="35">
        <v>36</v>
      </c>
      <c r="B42" s="36" t="s">
        <v>348</v>
      </c>
      <c r="C42" s="36" t="s">
        <v>349</v>
      </c>
      <c r="D42" s="36" t="s">
        <v>201</v>
      </c>
      <c r="E42" s="37">
        <v>59500</v>
      </c>
      <c r="F42" s="38">
        <v>997.04150000000004</v>
      </c>
      <c r="G42" s="39">
        <v>6.2441700000000003E-3</v>
      </c>
      <c r="H42" s="34" t="s">
        <v>143</v>
      </c>
    </row>
    <row r="43" spans="1:8" x14ac:dyDescent="0.2">
      <c r="A43" s="35">
        <v>37</v>
      </c>
      <c r="B43" s="36" t="s">
        <v>509</v>
      </c>
      <c r="C43" s="36" t="s">
        <v>510</v>
      </c>
      <c r="D43" s="36" t="s">
        <v>251</v>
      </c>
      <c r="E43" s="37">
        <v>23500</v>
      </c>
      <c r="F43" s="38">
        <v>995.71849999999995</v>
      </c>
      <c r="G43" s="39">
        <v>6.23589E-3</v>
      </c>
      <c r="H43" s="34" t="s">
        <v>143</v>
      </c>
    </row>
    <row r="44" spans="1:8" x14ac:dyDescent="0.2">
      <c r="A44" s="35">
        <v>38</v>
      </c>
      <c r="B44" s="36" t="s">
        <v>271</v>
      </c>
      <c r="C44" s="36" t="s">
        <v>272</v>
      </c>
      <c r="D44" s="36" t="s">
        <v>43</v>
      </c>
      <c r="E44" s="37">
        <v>88045</v>
      </c>
      <c r="F44" s="38">
        <v>972.280935</v>
      </c>
      <c r="G44" s="39">
        <v>6.0891000000000001E-3</v>
      </c>
      <c r="H44" s="34" t="s">
        <v>143</v>
      </c>
    </row>
    <row r="45" spans="1:8" x14ac:dyDescent="0.2">
      <c r="A45" s="35">
        <v>39</v>
      </c>
      <c r="B45" s="36" t="s">
        <v>50</v>
      </c>
      <c r="C45" s="36" t="s">
        <v>51</v>
      </c>
      <c r="D45" s="36" t="s">
        <v>52</v>
      </c>
      <c r="E45" s="37">
        <v>16180</v>
      </c>
      <c r="F45" s="38">
        <v>966.99770000000001</v>
      </c>
      <c r="G45" s="39">
        <v>6.0560199999999996E-3</v>
      </c>
      <c r="H45" s="34" t="s">
        <v>143</v>
      </c>
    </row>
    <row r="46" spans="1:8" x14ac:dyDescent="0.2">
      <c r="A46" s="35">
        <v>40</v>
      </c>
      <c r="B46" s="36" t="s">
        <v>470</v>
      </c>
      <c r="C46" s="36" t="s">
        <v>471</v>
      </c>
      <c r="D46" s="36" t="s">
        <v>43</v>
      </c>
      <c r="E46" s="37">
        <v>26079</v>
      </c>
      <c r="F46" s="38">
        <v>960.75036</v>
      </c>
      <c r="G46" s="39">
        <v>6.0168900000000004E-3</v>
      </c>
      <c r="H46" s="34" t="s">
        <v>143</v>
      </c>
    </row>
    <row r="47" spans="1:8" ht="25.5" x14ac:dyDescent="0.2">
      <c r="A47" s="35">
        <v>41</v>
      </c>
      <c r="B47" s="36" t="s">
        <v>261</v>
      </c>
      <c r="C47" s="36" t="s">
        <v>262</v>
      </c>
      <c r="D47" s="36" t="s">
        <v>201</v>
      </c>
      <c r="E47" s="37">
        <v>41000</v>
      </c>
      <c r="F47" s="38">
        <v>951.11800000000005</v>
      </c>
      <c r="G47" s="39">
        <v>5.9565699999999996E-3</v>
      </c>
      <c r="H47" s="34" t="s">
        <v>143</v>
      </c>
    </row>
    <row r="48" spans="1:8" ht="25.5" x14ac:dyDescent="0.2">
      <c r="A48" s="35">
        <v>42</v>
      </c>
      <c r="B48" s="36" t="s">
        <v>207</v>
      </c>
      <c r="C48" s="36" t="s">
        <v>208</v>
      </c>
      <c r="D48" s="36" t="s">
        <v>209</v>
      </c>
      <c r="E48" s="37">
        <v>129000</v>
      </c>
      <c r="F48" s="38">
        <v>931.83150000000001</v>
      </c>
      <c r="G48" s="39">
        <v>5.8357799999999996E-3</v>
      </c>
      <c r="H48" s="34" t="s">
        <v>143</v>
      </c>
    </row>
    <row r="49" spans="1:8" x14ac:dyDescent="0.2">
      <c r="A49" s="35">
        <v>43</v>
      </c>
      <c r="B49" s="36" t="s">
        <v>309</v>
      </c>
      <c r="C49" s="36" t="s">
        <v>310</v>
      </c>
      <c r="D49" s="36" t="s">
        <v>206</v>
      </c>
      <c r="E49" s="37">
        <v>21400</v>
      </c>
      <c r="F49" s="38">
        <v>918.1028</v>
      </c>
      <c r="G49" s="39">
        <v>5.7498000000000002E-3</v>
      </c>
      <c r="H49" s="34" t="s">
        <v>143</v>
      </c>
    </row>
    <row r="50" spans="1:8" ht="25.5" x14ac:dyDescent="0.2">
      <c r="A50" s="35">
        <v>44</v>
      </c>
      <c r="B50" s="36" t="s">
        <v>281</v>
      </c>
      <c r="C50" s="36" t="s">
        <v>282</v>
      </c>
      <c r="D50" s="36" t="s">
        <v>201</v>
      </c>
      <c r="E50" s="37">
        <v>92306</v>
      </c>
      <c r="F50" s="38">
        <v>913.78324699999996</v>
      </c>
      <c r="G50" s="39">
        <v>5.7227500000000004E-3</v>
      </c>
      <c r="H50" s="34" t="s">
        <v>143</v>
      </c>
    </row>
    <row r="51" spans="1:8" x14ac:dyDescent="0.2">
      <c r="A51" s="35">
        <v>45</v>
      </c>
      <c r="B51" s="36" t="s">
        <v>511</v>
      </c>
      <c r="C51" s="36" t="s">
        <v>512</v>
      </c>
      <c r="D51" s="36" t="s">
        <v>251</v>
      </c>
      <c r="E51" s="37">
        <v>10860</v>
      </c>
      <c r="F51" s="38">
        <v>909.6336</v>
      </c>
      <c r="G51" s="39">
        <v>5.6967600000000004E-3</v>
      </c>
      <c r="H51" s="34" t="s">
        <v>143</v>
      </c>
    </row>
    <row r="52" spans="1:8" x14ac:dyDescent="0.2">
      <c r="A52" s="102">
        <v>46</v>
      </c>
      <c r="B52" s="50" t="s">
        <v>1012</v>
      </c>
      <c r="C52" s="50" t="s">
        <v>1013</v>
      </c>
      <c r="D52" s="50" t="s">
        <v>22</v>
      </c>
      <c r="E52" s="103">
        <v>998132</v>
      </c>
      <c r="F52" s="104">
        <f>90440740.52/10^5</f>
        <v>904.40740519999997</v>
      </c>
      <c r="G52" s="105">
        <f>F52/F178</f>
        <v>5.6640322728723725E-3</v>
      </c>
      <c r="H52" s="34" t="s">
        <v>143</v>
      </c>
    </row>
    <row r="53" spans="1:8" x14ac:dyDescent="0.2">
      <c r="A53" s="35">
        <v>47</v>
      </c>
      <c r="B53" s="36" t="s">
        <v>204</v>
      </c>
      <c r="C53" s="36" t="s">
        <v>205</v>
      </c>
      <c r="D53" s="36" t="s">
        <v>206</v>
      </c>
      <c r="E53" s="37">
        <v>32225</v>
      </c>
      <c r="F53" s="38">
        <v>892.66472499999998</v>
      </c>
      <c r="G53" s="39">
        <v>5.59049E-3</v>
      </c>
      <c r="H53" s="34" t="s">
        <v>143</v>
      </c>
    </row>
    <row r="54" spans="1:8" ht="25.5" x14ac:dyDescent="0.2">
      <c r="A54" s="35">
        <v>48</v>
      </c>
      <c r="B54" s="36" t="s">
        <v>48</v>
      </c>
      <c r="C54" s="36" t="s">
        <v>49</v>
      </c>
      <c r="D54" s="36" t="s">
        <v>25</v>
      </c>
      <c r="E54" s="37">
        <v>14127</v>
      </c>
      <c r="F54" s="38">
        <v>868.81050000000005</v>
      </c>
      <c r="G54" s="39">
        <v>5.4410999999999999E-3</v>
      </c>
      <c r="H54" s="34" t="s">
        <v>143</v>
      </c>
    </row>
    <row r="55" spans="1:8" x14ac:dyDescent="0.2">
      <c r="A55" s="35">
        <v>49</v>
      </c>
      <c r="B55" s="36" t="s">
        <v>431</v>
      </c>
      <c r="C55" s="36" t="s">
        <v>432</v>
      </c>
      <c r="D55" s="36" t="s">
        <v>256</v>
      </c>
      <c r="E55" s="37">
        <v>47100</v>
      </c>
      <c r="F55" s="38">
        <v>865.83929999999998</v>
      </c>
      <c r="G55" s="39">
        <v>5.4224900000000003E-3</v>
      </c>
      <c r="H55" s="34" t="s">
        <v>143</v>
      </c>
    </row>
    <row r="56" spans="1:8" x14ac:dyDescent="0.2">
      <c r="A56" s="35">
        <v>50</v>
      </c>
      <c r="B56" s="36" t="s">
        <v>513</v>
      </c>
      <c r="C56" s="36" t="s">
        <v>514</v>
      </c>
      <c r="D56" s="36" t="s">
        <v>198</v>
      </c>
      <c r="E56" s="37">
        <v>50616</v>
      </c>
      <c r="F56" s="38">
        <v>853.89192000000003</v>
      </c>
      <c r="G56" s="39">
        <v>5.3476699999999997E-3</v>
      </c>
      <c r="H56" s="34" t="s">
        <v>143</v>
      </c>
    </row>
    <row r="57" spans="1:8" x14ac:dyDescent="0.2">
      <c r="A57" s="35">
        <v>51</v>
      </c>
      <c r="B57" s="36" t="s">
        <v>193</v>
      </c>
      <c r="C57" s="36" t="s">
        <v>194</v>
      </c>
      <c r="D57" s="36" t="s">
        <v>195</v>
      </c>
      <c r="E57" s="37">
        <v>100000</v>
      </c>
      <c r="F57" s="38">
        <v>794.5</v>
      </c>
      <c r="G57" s="39">
        <v>4.9757200000000003E-3</v>
      </c>
      <c r="H57" s="34" t="s">
        <v>143</v>
      </c>
    </row>
    <row r="58" spans="1:8" ht="25.5" x14ac:dyDescent="0.2">
      <c r="A58" s="35">
        <v>52</v>
      </c>
      <c r="B58" s="36" t="s">
        <v>199</v>
      </c>
      <c r="C58" s="36" t="s">
        <v>200</v>
      </c>
      <c r="D58" s="36" t="s">
        <v>201</v>
      </c>
      <c r="E58" s="37">
        <v>40000</v>
      </c>
      <c r="F58" s="38">
        <v>775.2</v>
      </c>
      <c r="G58" s="39">
        <v>4.85485E-3</v>
      </c>
      <c r="H58" s="34" t="s">
        <v>143</v>
      </c>
    </row>
    <row r="59" spans="1:8" x14ac:dyDescent="0.2">
      <c r="A59" s="35">
        <v>53</v>
      </c>
      <c r="B59" s="36" t="s">
        <v>357</v>
      </c>
      <c r="C59" s="36" t="s">
        <v>358</v>
      </c>
      <c r="D59" s="36" t="s">
        <v>226</v>
      </c>
      <c r="E59" s="37">
        <v>167550</v>
      </c>
      <c r="F59" s="38">
        <v>766.62502500000005</v>
      </c>
      <c r="G59" s="39">
        <v>4.8011399999999997E-3</v>
      </c>
      <c r="H59" s="34" t="s">
        <v>143</v>
      </c>
    </row>
    <row r="60" spans="1:8" x14ac:dyDescent="0.2">
      <c r="A60" s="35">
        <v>54</v>
      </c>
      <c r="B60" s="36" t="s">
        <v>435</v>
      </c>
      <c r="C60" s="36" t="s">
        <v>436</v>
      </c>
      <c r="D60" s="36" t="s">
        <v>437</v>
      </c>
      <c r="E60" s="37">
        <v>98000</v>
      </c>
      <c r="F60" s="38">
        <v>678.99300000000005</v>
      </c>
      <c r="G60" s="39">
        <v>4.2523300000000003E-3</v>
      </c>
      <c r="H60" s="34" t="s">
        <v>143</v>
      </c>
    </row>
    <row r="61" spans="1:8" x14ac:dyDescent="0.2">
      <c r="A61" s="35">
        <v>55</v>
      </c>
      <c r="B61" s="36" t="s">
        <v>62</v>
      </c>
      <c r="C61" s="36" t="s">
        <v>63</v>
      </c>
      <c r="D61" s="36" t="s">
        <v>13</v>
      </c>
      <c r="E61" s="37">
        <v>159020</v>
      </c>
      <c r="F61" s="38">
        <v>669.63322000000005</v>
      </c>
      <c r="G61" s="39">
        <v>4.1937099999999998E-3</v>
      </c>
      <c r="H61" s="34" t="s">
        <v>143</v>
      </c>
    </row>
    <row r="62" spans="1:8" x14ac:dyDescent="0.2">
      <c r="A62" s="35">
        <v>56</v>
      </c>
      <c r="B62" s="36" t="s">
        <v>515</v>
      </c>
      <c r="C62" s="36" t="s">
        <v>516</v>
      </c>
      <c r="D62" s="36" t="s">
        <v>43</v>
      </c>
      <c r="E62" s="37">
        <v>63209</v>
      </c>
      <c r="F62" s="38">
        <v>609.77722300000005</v>
      </c>
      <c r="G62" s="39">
        <v>3.8188499999999999E-3</v>
      </c>
      <c r="H62" s="34" t="s">
        <v>143</v>
      </c>
    </row>
    <row r="63" spans="1:8" x14ac:dyDescent="0.2">
      <c r="A63" s="35">
        <v>57</v>
      </c>
      <c r="B63" s="36" t="s">
        <v>137</v>
      </c>
      <c r="C63" s="36" t="s">
        <v>138</v>
      </c>
      <c r="D63" s="36" t="s">
        <v>73</v>
      </c>
      <c r="E63" s="37">
        <v>33388</v>
      </c>
      <c r="F63" s="38">
        <v>577.34529599999996</v>
      </c>
      <c r="G63" s="39">
        <v>3.6157400000000001E-3</v>
      </c>
      <c r="H63" s="34" t="s">
        <v>143</v>
      </c>
    </row>
    <row r="64" spans="1:8" x14ac:dyDescent="0.2">
      <c r="A64" s="35">
        <v>58</v>
      </c>
      <c r="B64" s="36" t="s">
        <v>92</v>
      </c>
      <c r="C64" s="36" t="s">
        <v>93</v>
      </c>
      <c r="D64" s="36" t="s">
        <v>94</v>
      </c>
      <c r="E64" s="37">
        <v>295375</v>
      </c>
      <c r="F64" s="38">
        <v>563.69365000000005</v>
      </c>
      <c r="G64" s="39">
        <v>3.53024E-3</v>
      </c>
      <c r="H64" s="34" t="s">
        <v>143</v>
      </c>
    </row>
    <row r="65" spans="1:8" x14ac:dyDescent="0.2">
      <c r="A65" s="35">
        <v>59</v>
      </c>
      <c r="B65" s="36" t="s">
        <v>245</v>
      </c>
      <c r="C65" s="36" t="s">
        <v>246</v>
      </c>
      <c r="D65" s="36" t="s">
        <v>61</v>
      </c>
      <c r="E65" s="37">
        <v>33500</v>
      </c>
      <c r="F65" s="38">
        <v>555.22900000000004</v>
      </c>
      <c r="G65" s="39">
        <v>3.47723E-3</v>
      </c>
      <c r="H65" s="34" t="s">
        <v>143</v>
      </c>
    </row>
    <row r="66" spans="1:8" x14ac:dyDescent="0.2">
      <c r="A66" s="35">
        <v>60</v>
      </c>
      <c r="B66" s="36" t="s">
        <v>233</v>
      </c>
      <c r="C66" s="36" t="s">
        <v>234</v>
      </c>
      <c r="D66" s="36" t="s">
        <v>73</v>
      </c>
      <c r="E66" s="37">
        <v>7500</v>
      </c>
      <c r="F66" s="38">
        <v>491.32499999999999</v>
      </c>
      <c r="G66" s="39">
        <v>3.0770200000000002E-3</v>
      </c>
      <c r="H66" s="34" t="s">
        <v>143</v>
      </c>
    </row>
    <row r="67" spans="1:8" x14ac:dyDescent="0.2">
      <c r="A67" s="35">
        <v>61</v>
      </c>
      <c r="B67" s="36" t="s">
        <v>311</v>
      </c>
      <c r="C67" s="36" t="s">
        <v>312</v>
      </c>
      <c r="D67" s="36" t="s">
        <v>221</v>
      </c>
      <c r="E67" s="37">
        <v>60937</v>
      </c>
      <c r="F67" s="38">
        <v>463.304011</v>
      </c>
      <c r="G67" s="39">
        <v>2.9015299999999998E-3</v>
      </c>
      <c r="H67" s="34" t="s">
        <v>143</v>
      </c>
    </row>
    <row r="68" spans="1:8" x14ac:dyDescent="0.2">
      <c r="A68" s="35">
        <v>62</v>
      </c>
      <c r="B68" s="36" t="s">
        <v>427</v>
      </c>
      <c r="C68" s="36" t="s">
        <v>428</v>
      </c>
      <c r="D68" s="36" t="s">
        <v>251</v>
      </c>
      <c r="E68" s="37">
        <v>63200</v>
      </c>
      <c r="F68" s="38">
        <v>434.81599999999997</v>
      </c>
      <c r="G68" s="39">
        <v>2.7231199999999999E-3</v>
      </c>
      <c r="H68" s="34" t="s">
        <v>143</v>
      </c>
    </row>
    <row r="69" spans="1:8" x14ac:dyDescent="0.2">
      <c r="A69" s="35">
        <v>63</v>
      </c>
      <c r="B69" s="36" t="s">
        <v>485</v>
      </c>
      <c r="C69" s="36" t="s">
        <v>486</v>
      </c>
      <c r="D69" s="36" t="s">
        <v>206</v>
      </c>
      <c r="E69" s="37">
        <v>15673</v>
      </c>
      <c r="F69" s="38">
        <v>424.61291599999998</v>
      </c>
      <c r="G69" s="39">
        <v>2.6592199999999999E-3</v>
      </c>
      <c r="H69" s="34" t="s">
        <v>143</v>
      </c>
    </row>
    <row r="70" spans="1:8" x14ac:dyDescent="0.2">
      <c r="A70" s="35">
        <v>64</v>
      </c>
      <c r="B70" s="36" t="s">
        <v>305</v>
      </c>
      <c r="C70" s="36" t="s">
        <v>306</v>
      </c>
      <c r="D70" s="36" t="s">
        <v>195</v>
      </c>
      <c r="E70" s="37">
        <v>68330</v>
      </c>
      <c r="F70" s="38">
        <v>392.658345</v>
      </c>
      <c r="G70" s="39">
        <v>2.4591000000000001E-3</v>
      </c>
      <c r="H70" s="34" t="s">
        <v>143</v>
      </c>
    </row>
    <row r="71" spans="1:8" x14ac:dyDescent="0.2">
      <c r="A71" s="35">
        <v>64</v>
      </c>
      <c r="B71" s="36" t="s">
        <v>359</v>
      </c>
      <c r="C71" s="36" t="s">
        <v>360</v>
      </c>
      <c r="D71" s="36" t="s">
        <v>55</v>
      </c>
      <c r="E71" s="37">
        <v>3500</v>
      </c>
      <c r="F71" s="38">
        <v>129.15700000000001</v>
      </c>
      <c r="G71" s="39">
        <v>8.0887000000000005E-4</v>
      </c>
      <c r="H71" s="34" t="s">
        <v>143</v>
      </c>
    </row>
    <row r="72" spans="1:8" x14ac:dyDescent="0.2">
      <c r="A72" s="35">
        <v>64</v>
      </c>
      <c r="B72" s="36" t="s">
        <v>654</v>
      </c>
      <c r="C72" s="36" t="s">
        <v>655</v>
      </c>
      <c r="D72" s="36" t="s">
        <v>94</v>
      </c>
      <c r="E72" s="37">
        <v>4400</v>
      </c>
      <c r="F72" s="38">
        <v>65.260800000000003</v>
      </c>
      <c r="G72" s="39">
        <v>4.0871000000000001E-4</v>
      </c>
      <c r="H72" s="34" t="s">
        <v>143</v>
      </c>
    </row>
    <row r="73" spans="1:8" x14ac:dyDescent="0.2">
      <c r="A73" s="41"/>
      <c r="B73" s="41"/>
      <c r="C73" s="42" t="s">
        <v>142</v>
      </c>
      <c r="D73" s="41"/>
      <c r="E73" s="41" t="s">
        <v>143</v>
      </c>
      <c r="F73" s="43">
        <f>SUM(F7:F72)</f>
        <v>114533.89899620003</v>
      </c>
      <c r="G73" s="44">
        <f>SUM(G7:G72)</f>
        <v>0.71729144387209109</v>
      </c>
      <c r="H73" s="34" t="s">
        <v>143</v>
      </c>
    </row>
    <row r="74" spans="1:8" x14ac:dyDescent="0.2">
      <c r="A74" s="41"/>
      <c r="B74" s="41"/>
      <c r="C74" s="45"/>
      <c r="D74" s="41"/>
      <c r="E74" s="41"/>
      <c r="F74" s="46"/>
      <c r="G74" s="46"/>
      <c r="H74" s="34" t="s">
        <v>143</v>
      </c>
    </row>
    <row r="75" spans="1:8" x14ac:dyDescent="0.2">
      <c r="A75" s="41"/>
      <c r="B75" s="41"/>
      <c r="C75" s="42" t="s">
        <v>144</v>
      </c>
      <c r="D75" s="41"/>
      <c r="E75" s="41"/>
      <c r="F75" s="41"/>
      <c r="G75" s="41"/>
      <c r="H75" s="34" t="s">
        <v>143</v>
      </c>
    </row>
    <row r="76" spans="1:8" x14ac:dyDescent="0.2">
      <c r="A76" s="41"/>
      <c r="B76" s="41"/>
      <c r="C76" s="42" t="s">
        <v>142</v>
      </c>
      <c r="D76" s="41"/>
      <c r="E76" s="41" t="s">
        <v>143</v>
      </c>
      <c r="F76" s="47" t="s">
        <v>145</v>
      </c>
      <c r="G76" s="44">
        <v>0</v>
      </c>
      <c r="H76" s="34" t="s">
        <v>143</v>
      </c>
    </row>
    <row r="77" spans="1:8" x14ac:dyDescent="0.2">
      <c r="A77" s="41"/>
      <c r="B77" s="41"/>
      <c r="C77" s="45"/>
      <c r="D77" s="41"/>
      <c r="E77" s="41"/>
      <c r="F77" s="46"/>
      <c r="G77" s="46"/>
      <c r="H77" s="34" t="s">
        <v>143</v>
      </c>
    </row>
    <row r="78" spans="1:8" x14ac:dyDescent="0.2">
      <c r="A78" s="41"/>
      <c r="B78" s="41"/>
      <c r="C78" s="42" t="s">
        <v>146</v>
      </c>
      <c r="D78" s="41"/>
      <c r="E78" s="41"/>
      <c r="F78" s="41"/>
      <c r="G78" s="41"/>
      <c r="H78" s="34" t="s">
        <v>143</v>
      </c>
    </row>
    <row r="79" spans="1:8" x14ac:dyDescent="0.2">
      <c r="A79" s="41"/>
      <c r="B79" s="41"/>
      <c r="C79" s="42" t="s">
        <v>142</v>
      </c>
      <c r="D79" s="41"/>
      <c r="E79" s="41" t="s">
        <v>143</v>
      </c>
      <c r="F79" s="47" t="s">
        <v>145</v>
      </c>
      <c r="G79" s="44">
        <v>0</v>
      </c>
      <c r="H79" s="34" t="s">
        <v>143</v>
      </c>
    </row>
    <row r="80" spans="1:8" x14ac:dyDescent="0.2">
      <c r="A80" s="41"/>
      <c r="B80" s="41"/>
      <c r="C80" s="45"/>
      <c r="D80" s="41"/>
      <c r="E80" s="41"/>
      <c r="F80" s="46"/>
      <c r="G80" s="46"/>
      <c r="H80" s="34" t="s">
        <v>143</v>
      </c>
    </row>
    <row r="81" spans="1:8" x14ac:dyDescent="0.2">
      <c r="A81" s="41"/>
      <c r="B81" s="41"/>
      <c r="C81" s="42" t="s">
        <v>147</v>
      </c>
      <c r="D81" s="41"/>
      <c r="E81" s="41"/>
      <c r="F81" s="41"/>
      <c r="G81" s="41"/>
      <c r="H81" s="34" t="s">
        <v>143</v>
      </c>
    </row>
    <row r="82" spans="1:8" x14ac:dyDescent="0.2">
      <c r="A82" s="41"/>
      <c r="B82" s="41"/>
      <c r="C82" s="42" t="s">
        <v>142</v>
      </c>
      <c r="D82" s="41"/>
      <c r="E82" s="41" t="s">
        <v>143</v>
      </c>
      <c r="F82" s="47" t="s">
        <v>145</v>
      </c>
      <c r="G82" s="44">
        <v>0</v>
      </c>
      <c r="H82" s="34" t="s">
        <v>143</v>
      </c>
    </row>
    <row r="83" spans="1:8" x14ac:dyDescent="0.2">
      <c r="A83" s="41"/>
      <c r="B83" s="41"/>
      <c r="C83" s="45"/>
      <c r="D83" s="41"/>
      <c r="E83" s="41"/>
      <c r="F83" s="46"/>
      <c r="G83" s="46"/>
      <c r="H83" s="34" t="s">
        <v>143</v>
      </c>
    </row>
    <row r="84" spans="1:8" x14ac:dyDescent="0.2">
      <c r="A84" s="41"/>
      <c r="B84" s="41"/>
      <c r="C84" s="42" t="s">
        <v>148</v>
      </c>
      <c r="D84" s="41"/>
      <c r="E84" s="41"/>
      <c r="F84" s="46"/>
      <c r="G84" s="46"/>
      <c r="H84" s="34" t="s">
        <v>143</v>
      </c>
    </row>
    <row r="85" spans="1:8" x14ac:dyDescent="0.2">
      <c r="A85" s="41"/>
      <c r="B85" s="41"/>
      <c r="C85" s="42" t="s">
        <v>142</v>
      </c>
      <c r="D85" s="41"/>
      <c r="E85" s="41" t="s">
        <v>143</v>
      </c>
      <c r="F85" s="47" t="s">
        <v>145</v>
      </c>
      <c r="G85" s="44">
        <v>0</v>
      </c>
      <c r="H85" s="34" t="s">
        <v>143</v>
      </c>
    </row>
    <row r="86" spans="1:8" x14ac:dyDescent="0.2">
      <c r="A86" s="32"/>
      <c r="B86" s="32"/>
      <c r="C86" s="113"/>
      <c r="D86" s="32"/>
      <c r="E86" s="32"/>
      <c r="F86" s="61"/>
      <c r="G86" s="61"/>
      <c r="H86" s="34" t="s">
        <v>143</v>
      </c>
    </row>
    <row r="87" spans="1:8" x14ac:dyDescent="0.2">
      <c r="A87" s="32"/>
      <c r="B87" s="32"/>
      <c r="C87" s="33" t="s">
        <v>951</v>
      </c>
      <c r="D87" s="32"/>
      <c r="E87" s="32"/>
      <c r="F87" s="32"/>
      <c r="G87" s="32"/>
      <c r="H87" s="34" t="s">
        <v>143</v>
      </c>
    </row>
    <row r="88" spans="1:8" ht="25.5" x14ac:dyDescent="0.2">
      <c r="A88" s="102">
        <v>1</v>
      </c>
      <c r="B88" s="50" t="s">
        <v>952</v>
      </c>
      <c r="C88" s="50" t="s">
        <v>953</v>
      </c>
      <c r="D88" s="50" t="s">
        <v>954</v>
      </c>
      <c r="E88" s="103">
        <v>750</v>
      </c>
      <c r="F88" s="104">
        <f>86229299.55/10^5</f>
        <v>862.29299549999996</v>
      </c>
      <c r="G88" s="40">
        <f>F88/F178</f>
        <v>5.4002823584839345E-3</v>
      </c>
      <c r="H88" s="34">
        <v>7.26</v>
      </c>
    </row>
    <row r="89" spans="1:8" x14ac:dyDescent="0.2">
      <c r="A89" s="32"/>
      <c r="B89" s="32"/>
      <c r="C89" s="33" t="s">
        <v>142</v>
      </c>
      <c r="D89" s="32"/>
      <c r="E89" s="32" t="s">
        <v>143</v>
      </c>
      <c r="F89" s="114">
        <f>SUM(F88)</f>
        <v>862.29299549999996</v>
      </c>
      <c r="G89" s="115">
        <f>SUM(G88)</f>
        <v>5.4002823584839345E-3</v>
      </c>
      <c r="H89" s="34" t="s">
        <v>143</v>
      </c>
    </row>
    <row r="90" spans="1:8" x14ac:dyDescent="0.2">
      <c r="A90" s="41"/>
      <c r="B90" s="41"/>
      <c r="C90" s="45"/>
      <c r="D90" s="41"/>
      <c r="E90" s="41"/>
      <c r="F90" s="46"/>
      <c r="G90" s="46"/>
      <c r="H90" s="34" t="s">
        <v>143</v>
      </c>
    </row>
    <row r="91" spans="1:8" x14ac:dyDescent="0.2">
      <c r="A91" s="41"/>
      <c r="B91" s="41"/>
      <c r="C91" s="42" t="s">
        <v>149</v>
      </c>
      <c r="D91" s="41"/>
      <c r="E91" s="41"/>
      <c r="F91" s="46"/>
      <c r="G91" s="46"/>
      <c r="H91" s="34" t="s">
        <v>143</v>
      </c>
    </row>
    <row r="92" spans="1:8" x14ac:dyDescent="0.2">
      <c r="A92" s="35">
        <v>1</v>
      </c>
      <c r="B92" s="36"/>
      <c r="C92" s="36" t="s">
        <v>1007</v>
      </c>
      <c r="D92" s="36" t="s">
        <v>530</v>
      </c>
      <c r="E92" s="37">
        <v>-1250</v>
      </c>
      <c r="F92" s="38">
        <v>-15.071249999999999</v>
      </c>
      <c r="G92" s="39">
        <f>F92/$F$178</f>
        <v>-9.4386717647065702E-5</v>
      </c>
      <c r="H92" s="34" t="s">
        <v>143</v>
      </c>
    </row>
    <row r="93" spans="1:8" x14ac:dyDescent="0.2">
      <c r="A93" s="35">
        <v>2</v>
      </c>
      <c r="B93" s="36"/>
      <c r="C93" s="36" t="s">
        <v>973</v>
      </c>
      <c r="D93" s="36" t="s">
        <v>530</v>
      </c>
      <c r="E93" s="37">
        <v>-1000</v>
      </c>
      <c r="F93" s="38">
        <v>-28.63</v>
      </c>
      <c r="G93" s="39">
        <f t="shared" ref="G93:G111" si="0">F93/$F$178</f>
        <v>-1.793011015168278E-4</v>
      </c>
      <c r="H93" s="34" t="s">
        <v>143</v>
      </c>
    </row>
    <row r="94" spans="1:8" x14ac:dyDescent="0.2">
      <c r="A94" s="35">
        <v>3</v>
      </c>
      <c r="B94" s="36"/>
      <c r="C94" s="36" t="s">
        <v>1015</v>
      </c>
      <c r="D94" s="36" t="s">
        <v>530</v>
      </c>
      <c r="E94" s="37">
        <v>-4400</v>
      </c>
      <c r="F94" s="38">
        <v>-65.696399999999997</v>
      </c>
      <c r="G94" s="39">
        <f t="shared" si="0"/>
        <v>-4.114368454659492E-4</v>
      </c>
      <c r="H94" s="34" t="s">
        <v>143</v>
      </c>
    </row>
    <row r="95" spans="1:8" x14ac:dyDescent="0.2">
      <c r="A95" s="35">
        <v>4</v>
      </c>
      <c r="B95" s="36"/>
      <c r="C95" s="36" t="s">
        <v>1016</v>
      </c>
      <c r="D95" s="36" t="s">
        <v>530</v>
      </c>
      <c r="E95" s="37">
        <v>-3500</v>
      </c>
      <c r="F95" s="38">
        <v>-129.24100000000001</v>
      </c>
      <c r="G95" s="39">
        <f t="shared" si="0"/>
        <v>-8.0939761303305434E-4</v>
      </c>
      <c r="H95" s="34" t="s">
        <v>143</v>
      </c>
    </row>
    <row r="96" spans="1:8" x14ac:dyDescent="0.2">
      <c r="A96" s="35">
        <v>5</v>
      </c>
      <c r="B96" s="36"/>
      <c r="C96" s="36" t="s">
        <v>1017</v>
      </c>
      <c r="D96" s="36" t="s">
        <v>530</v>
      </c>
      <c r="E96" s="37">
        <v>-72450</v>
      </c>
      <c r="F96" s="38">
        <v>-138.29256000000001</v>
      </c>
      <c r="G96" s="39">
        <f t="shared" si="0"/>
        <v>-8.6608481800845279E-4</v>
      </c>
      <c r="H96" s="34" t="s">
        <v>143</v>
      </c>
    </row>
    <row r="97" spans="1:8" x14ac:dyDescent="0.2">
      <c r="A97" s="35">
        <v>6</v>
      </c>
      <c r="B97" s="36"/>
      <c r="C97" s="36" t="s">
        <v>1008</v>
      </c>
      <c r="D97" s="36" t="s">
        <v>530</v>
      </c>
      <c r="E97" s="37">
        <v>-44800</v>
      </c>
      <c r="F97" s="38">
        <v>-187.68960000000001</v>
      </c>
      <c r="G97" s="39">
        <f t="shared" si="0"/>
        <v>-1.1754436613081664E-3</v>
      </c>
      <c r="H97" s="34" t="s">
        <v>143</v>
      </c>
    </row>
    <row r="98" spans="1:8" x14ac:dyDescent="0.2">
      <c r="A98" s="35">
        <v>7</v>
      </c>
      <c r="B98" s="36"/>
      <c r="C98" s="36" t="s">
        <v>974</v>
      </c>
      <c r="D98" s="36" t="s">
        <v>530</v>
      </c>
      <c r="E98" s="37">
        <v>-11400</v>
      </c>
      <c r="F98" s="38">
        <v>-263.20319999999998</v>
      </c>
      <c r="G98" s="39">
        <f t="shared" si="0"/>
        <v>-1.6483626853913353E-3</v>
      </c>
      <c r="H98" s="34" t="s">
        <v>143</v>
      </c>
    </row>
    <row r="99" spans="1:8" x14ac:dyDescent="0.2">
      <c r="A99" s="35">
        <v>8</v>
      </c>
      <c r="B99" s="36"/>
      <c r="C99" s="36" t="s">
        <v>1018</v>
      </c>
      <c r="D99" s="36" t="s">
        <v>530</v>
      </c>
      <c r="E99" s="37">
        <v>-8225</v>
      </c>
      <c r="F99" s="38">
        <v>-285.0127</v>
      </c>
      <c r="G99" s="39">
        <f t="shared" si="0"/>
        <v>-1.7849490414350397E-3</v>
      </c>
      <c r="H99" s="34" t="s">
        <v>143</v>
      </c>
    </row>
    <row r="100" spans="1:8" x14ac:dyDescent="0.2">
      <c r="A100" s="35">
        <v>9</v>
      </c>
      <c r="B100" s="36"/>
      <c r="C100" s="36" t="s">
        <v>1000</v>
      </c>
      <c r="D100" s="36" t="s">
        <v>530</v>
      </c>
      <c r="E100" s="37">
        <v>-63200</v>
      </c>
      <c r="F100" s="38">
        <v>-437.50200000000001</v>
      </c>
      <c r="G100" s="39">
        <f t="shared" si="0"/>
        <v>-2.7399437832977716E-3</v>
      </c>
      <c r="H100" s="34" t="s">
        <v>143</v>
      </c>
    </row>
    <row r="101" spans="1:8" x14ac:dyDescent="0.2">
      <c r="A101" s="35">
        <v>10</v>
      </c>
      <c r="B101" s="36"/>
      <c r="C101" s="36" t="s">
        <v>983</v>
      </c>
      <c r="D101" s="36" t="s">
        <v>530</v>
      </c>
      <c r="E101" s="37">
        <v>-24750</v>
      </c>
      <c r="F101" s="38">
        <v>-497.22750000000002</v>
      </c>
      <c r="G101" s="39">
        <f t="shared" si="0"/>
        <v>-3.1139866732259342E-3</v>
      </c>
      <c r="H101" s="34" t="s">
        <v>143</v>
      </c>
    </row>
    <row r="102" spans="1:8" x14ac:dyDescent="0.2">
      <c r="A102" s="35">
        <v>11</v>
      </c>
      <c r="B102" s="36"/>
      <c r="C102" s="36" t="s">
        <v>1003</v>
      </c>
      <c r="D102" s="36" t="s">
        <v>530</v>
      </c>
      <c r="E102" s="37">
        <v>-98000</v>
      </c>
      <c r="F102" s="38">
        <v>-682.27599999999995</v>
      </c>
      <c r="G102" s="39">
        <f t="shared" si="0"/>
        <v>-4.2728899175164233E-3</v>
      </c>
      <c r="H102" s="34" t="s">
        <v>143</v>
      </c>
    </row>
    <row r="103" spans="1:8" x14ac:dyDescent="0.2">
      <c r="A103" s="35">
        <v>12</v>
      </c>
      <c r="B103" s="36"/>
      <c r="C103" s="36" t="s">
        <v>979</v>
      </c>
      <c r="D103" s="36" t="s">
        <v>530</v>
      </c>
      <c r="E103" s="37">
        <v>-48400</v>
      </c>
      <c r="F103" s="38">
        <v>-778.61080000000004</v>
      </c>
      <c r="G103" s="39">
        <f t="shared" si="0"/>
        <v>-4.8762058712154563E-3</v>
      </c>
      <c r="H103" s="34" t="s">
        <v>143</v>
      </c>
    </row>
    <row r="104" spans="1:8" x14ac:dyDescent="0.2">
      <c r="A104" s="35">
        <v>13</v>
      </c>
      <c r="B104" s="36"/>
      <c r="C104" s="36" t="s">
        <v>968</v>
      </c>
      <c r="D104" s="36" t="s">
        <v>530</v>
      </c>
      <c r="E104" s="37">
        <v>-76000</v>
      </c>
      <c r="F104" s="38">
        <v>-1570.3119999999999</v>
      </c>
      <c r="G104" s="39">
        <f t="shared" si="0"/>
        <v>-9.8343929907472195E-3</v>
      </c>
      <c r="H104" s="34" t="s">
        <v>143</v>
      </c>
    </row>
    <row r="105" spans="1:8" x14ac:dyDescent="0.2">
      <c r="A105" s="35">
        <v>14</v>
      </c>
      <c r="B105" s="36"/>
      <c r="C105" s="36" t="s">
        <v>966</v>
      </c>
      <c r="D105" s="36" t="s">
        <v>530</v>
      </c>
      <c r="E105" s="37">
        <v>-114800</v>
      </c>
      <c r="F105" s="38">
        <v>-1667.8144</v>
      </c>
      <c r="G105" s="39">
        <f t="shared" si="0"/>
        <v>-1.0445021272987329E-2</v>
      </c>
      <c r="H105" s="34" t="s">
        <v>143</v>
      </c>
    </row>
    <row r="106" spans="1:8" x14ac:dyDescent="0.2">
      <c r="A106" s="35">
        <v>15</v>
      </c>
      <c r="B106" s="36"/>
      <c r="C106" s="36" t="s">
        <v>997</v>
      </c>
      <c r="D106" s="36" t="s">
        <v>530</v>
      </c>
      <c r="E106" s="37">
        <v>-128625</v>
      </c>
      <c r="F106" s="38">
        <v>-1944.2954999999999</v>
      </c>
      <c r="G106" s="39">
        <f t="shared" si="0"/>
        <v>-1.2176539462948357E-2</v>
      </c>
      <c r="H106" s="34" t="s">
        <v>143</v>
      </c>
    </row>
    <row r="107" spans="1:8" x14ac:dyDescent="0.2">
      <c r="A107" s="35">
        <v>16</v>
      </c>
      <c r="B107" s="36"/>
      <c r="C107" s="36" t="s">
        <v>994</v>
      </c>
      <c r="D107" s="36" t="s">
        <v>530</v>
      </c>
      <c r="E107" s="37">
        <v>-1917000</v>
      </c>
      <c r="F107" s="38">
        <v>-2197.8404999999998</v>
      </c>
      <c r="G107" s="39">
        <f t="shared" si="0"/>
        <v>-1.3764415739025343E-2</v>
      </c>
      <c r="H107" s="34" t="s">
        <v>143</v>
      </c>
    </row>
    <row r="108" spans="1:8" x14ac:dyDescent="0.2">
      <c r="A108" s="35">
        <v>17</v>
      </c>
      <c r="B108" s="36"/>
      <c r="C108" s="36" t="s">
        <v>1001</v>
      </c>
      <c r="D108" s="36" t="s">
        <v>530</v>
      </c>
      <c r="E108" s="37">
        <v>-930150</v>
      </c>
      <c r="F108" s="38">
        <v>-2326.1191199999998</v>
      </c>
      <c r="G108" s="39">
        <f t="shared" si="0"/>
        <v>-1.4567786254815024E-2</v>
      </c>
      <c r="H108" s="34" t="s">
        <v>143</v>
      </c>
    </row>
    <row r="109" spans="1:8" x14ac:dyDescent="0.2">
      <c r="A109" s="35">
        <v>18</v>
      </c>
      <c r="B109" s="36"/>
      <c r="C109" s="36" t="s">
        <v>982</v>
      </c>
      <c r="D109" s="36" t="s">
        <v>530</v>
      </c>
      <c r="E109" s="37">
        <v>-161000</v>
      </c>
      <c r="F109" s="38">
        <v>-2429.0070000000001</v>
      </c>
      <c r="G109" s="39">
        <f t="shared" si="0"/>
        <v>-1.5212142182748354E-2</v>
      </c>
      <c r="H109" s="34" t="s">
        <v>143</v>
      </c>
    </row>
    <row r="110" spans="1:8" x14ac:dyDescent="0.2">
      <c r="A110" s="35">
        <v>19</v>
      </c>
      <c r="B110" s="36"/>
      <c r="C110" s="36" t="s">
        <v>978</v>
      </c>
      <c r="D110" s="36" t="s">
        <v>530</v>
      </c>
      <c r="E110" s="37">
        <v>-126350</v>
      </c>
      <c r="F110" s="38">
        <v>-2534.5810000000001</v>
      </c>
      <c r="G110" s="39">
        <f t="shared" si="0"/>
        <v>-1.5873320474454174E-2</v>
      </c>
      <c r="H110" s="34" t="s">
        <v>143</v>
      </c>
    </row>
    <row r="111" spans="1:8" x14ac:dyDescent="0.2">
      <c r="A111" s="35">
        <v>20</v>
      </c>
      <c r="B111" s="36"/>
      <c r="C111" s="36" t="s">
        <v>980</v>
      </c>
      <c r="D111" s="36" t="s">
        <v>530</v>
      </c>
      <c r="E111" s="37">
        <v>-122800</v>
      </c>
      <c r="F111" s="38">
        <v>-2672.7420000000002</v>
      </c>
      <c r="G111" s="39">
        <f t="shared" si="0"/>
        <v>-1.6738581371648249E-2</v>
      </c>
      <c r="H111" s="34" t="s">
        <v>143</v>
      </c>
    </row>
    <row r="112" spans="1:8" x14ac:dyDescent="0.2">
      <c r="A112" s="41"/>
      <c r="B112" s="41"/>
      <c r="C112" s="42" t="s">
        <v>142</v>
      </c>
      <c r="D112" s="41"/>
      <c r="E112" s="41" t="s">
        <v>143</v>
      </c>
      <c r="F112" s="43">
        <f>SUM(F92:F111)</f>
        <v>-20851.164529999995</v>
      </c>
      <c r="G112" s="44">
        <f>SUM(G92:G111)</f>
        <v>-0.13058458847843554</v>
      </c>
      <c r="H112" s="34" t="s">
        <v>143</v>
      </c>
    </row>
    <row r="113" spans="1:8" x14ac:dyDescent="0.2">
      <c r="A113" s="41"/>
      <c r="B113" s="41"/>
      <c r="C113" s="45"/>
      <c r="D113" s="41"/>
      <c r="E113" s="41"/>
      <c r="F113" s="46"/>
      <c r="G113" s="46"/>
      <c r="H113" s="34" t="s">
        <v>143</v>
      </c>
    </row>
    <row r="114" spans="1:8" x14ac:dyDescent="0.2">
      <c r="A114" s="41"/>
      <c r="B114" s="41"/>
      <c r="C114" s="42" t="s">
        <v>150</v>
      </c>
      <c r="D114" s="41"/>
      <c r="E114" s="41"/>
      <c r="F114" s="43">
        <f>F73+F89</f>
        <v>115396.19199170003</v>
      </c>
      <c r="G114" s="44">
        <f>G89+G73</f>
        <v>0.72269172623057498</v>
      </c>
      <c r="H114" s="34" t="s">
        <v>143</v>
      </c>
    </row>
    <row r="115" spans="1:8" x14ac:dyDescent="0.2">
      <c r="A115" s="41"/>
      <c r="B115" s="41"/>
      <c r="C115" s="45"/>
      <c r="D115" s="41"/>
      <c r="E115" s="41"/>
      <c r="F115" s="46"/>
      <c r="G115" s="46"/>
      <c r="H115" s="34" t="s">
        <v>143</v>
      </c>
    </row>
    <row r="116" spans="1:8" x14ac:dyDescent="0.2">
      <c r="A116" s="41"/>
      <c r="B116" s="41"/>
      <c r="C116" s="42" t="s">
        <v>151</v>
      </c>
      <c r="D116" s="41"/>
      <c r="E116" s="41"/>
      <c r="F116" s="46"/>
      <c r="G116" s="46"/>
      <c r="H116" s="34" t="s">
        <v>143</v>
      </c>
    </row>
    <row r="117" spans="1:8" x14ac:dyDescent="0.2">
      <c r="A117" s="41"/>
      <c r="B117" s="41"/>
      <c r="C117" s="42" t="s">
        <v>10</v>
      </c>
      <c r="D117" s="41"/>
      <c r="E117" s="41"/>
      <c r="F117" s="46"/>
      <c r="G117" s="46"/>
      <c r="H117" s="34" t="s">
        <v>143</v>
      </c>
    </row>
    <row r="118" spans="1:8" x14ac:dyDescent="0.2">
      <c r="A118" s="35">
        <v>1</v>
      </c>
      <c r="B118" s="36" t="s">
        <v>656</v>
      </c>
      <c r="C118" s="36" t="s">
        <v>657</v>
      </c>
      <c r="D118" s="36" t="s">
        <v>533</v>
      </c>
      <c r="E118" s="37">
        <v>2500</v>
      </c>
      <c r="F118" s="38">
        <v>2567.5925000000002</v>
      </c>
      <c r="G118" s="39">
        <v>1.608006E-2</v>
      </c>
      <c r="H118" s="34">
        <v>6.7652999999999999</v>
      </c>
    </row>
    <row r="119" spans="1:8" x14ac:dyDescent="0.2">
      <c r="A119" s="35">
        <v>2</v>
      </c>
      <c r="B119" s="36" t="s">
        <v>546</v>
      </c>
      <c r="C119" s="36" t="s">
        <v>547</v>
      </c>
      <c r="D119" s="36" t="s">
        <v>536</v>
      </c>
      <c r="E119" s="37">
        <v>150</v>
      </c>
      <c r="F119" s="38">
        <v>1561.2555</v>
      </c>
      <c r="G119" s="39">
        <v>9.7776800000000004E-3</v>
      </c>
      <c r="H119" s="34">
        <v>7.3049999999999997</v>
      </c>
    </row>
    <row r="120" spans="1:8" ht="25.5" x14ac:dyDescent="0.2">
      <c r="A120" s="35">
        <v>3</v>
      </c>
      <c r="B120" s="36" t="s">
        <v>550</v>
      </c>
      <c r="C120" s="36" t="s">
        <v>551</v>
      </c>
      <c r="D120" s="36" t="s">
        <v>533</v>
      </c>
      <c r="E120" s="37">
        <v>1500</v>
      </c>
      <c r="F120" s="38">
        <v>1529.694</v>
      </c>
      <c r="G120" s="39">
        <v>9.5800199999999999E-3</v>
      </c>
      <c r="H120" s="34">
        <v>6.73</v>
      </c>
    </row>
    <row r="121" spans="1:8" ht="25.5" x14ac:dyDescent="0.2">
      <c r="A121" s="35">
        <v>4</v>
      </c>
      <c r="B121" s="36" t="s">
        <v>534</v>
      </c>
      <c r="C121" s="36" t="s">
        <v>535</v>
      </c>
      <c r="D121" s="36" t="s">
        <v>536</v>
      </c>
      <c r="E121" s="37">
        <v>1500</v>
      </c>
      <c r="F121" s="38">
        <v>1514.6085</v>
      </c>
      <c r="G121" s="39">
        <v>9.4855400000000006E-3</v>
      </c>
      <c r="H121" s="34">
        <v>6.6</v>
      </c>
    </row>
    <row r="122" spans="1:8" ht="25.5" x14ac:dyDescent="0.2">
      <c r="A122" s="35">
        <v>5</v>
      </c>
      <c r="B122" s="36" t="s">
        <v>571</v>
      </c>
      <c r="C122" s="36" t="s">
        <v>572</v>
      </c>
      <c r="D122" s="36" t="s">
        <v>536</v>
      </c>
      <c r="E122" s="37">
        <v>1000</v>
      </c>
      <c r="F122" s="38">
        <v>1058.3710000000001</v>
      </c>
      <c r="G122" s="39">
        <v>6.6282600000000004E-3</v>
      </c>
      <c r="H122" s="34">
        <v>7.03</v>
      </c>
    </row>
    <row r="123" spans="1:8" ht="25.5" x14ac:dyDescent="0.2">
      <c r="A123" s="35">
        <v>6</v>
      </c>
      <c r="B123" s="36" t="s">
        <v>573</v>
      </c>
      <c r="C123" s="36" t="s">
        <v>574</v>
      </c>
      <c r="D123" s="36" t="s">
        <v>536</v>
      </c>
      <c r="E123" s="37">
        <v>1000</v>
      </c>
      <c r="F123" s="38">
        <v>1038.5419999999999</v>
      </c>
      <c r="G123" s="39">
        <v>6.5040799999999998E-3</v>
      </c>
      <c r="H123" s="34">
        <v>7.1349999999999998</v>
      </c>
    </row>
    <row r="124" spans="1:8" x14ac:dyDescent="0.2">
      <c r="A124" s="35">
        <v>7</v>
      </c>
      <c r="B124" s="36" t="s">
        <v>594</v>
      </c>
      <c r="C124" s="36" t="s">
        <v>595</v>
      </c>
      <c r="D124" s="36" t="s">
        <v>536</v>
      </c>
      <c r="E124" s="37">
        <v>1000</v>
      </c>
      <c r="F124" s="38">
        <v>1010.057</v>
      </c>
      <c r="G124" s="39">
        <v>6.3256800000000002E-3</v>
      </c>
      <c r="H124" s="34">
        <v>6.5</v>
      </c>
    </row>
    <row r="125" spans="1:8" x14ac:dyDescent="0.2">
      <c r="A125" s="35">
        <v>8</v>
      </c>
      <c r="B125" s="36" t="s">
        <v>658</v>
      </c>
      <c r="C125" s="36" t="s">
        <v>659</v>
      </c>
      <c r="D125" s="36" t="s">
        <v>536</v>
      </c>
      <c r="E125" s="37">
        <v>100</v>
      </c>
      <c r="F125" s="38">
        <v>1004.19</v>
      </c>
      <c r="G125" s="39">
        <v>6.2889399999999998E-3</v>
      </c>
      <c r="H125" s="34">
        <v>6.4749999999999996</v>
      </c>
    </row>
    <row r="126" spans="1:8" x14ac:dyDescent="0.2">
      <c r="A126" s="35">
        <v>9</v>
      </c>
      <c r="B126" s="36" t="s">
        <v>585</v>
      </c>
      <c r="C126" s="36" t="s">
        <v>586</v>
      </c>
      <c r="D126" s="36" t="s">
        <v>536</v>
      </c>
      <c r="E126" s="37">
        <v>50</v>
      </c>
      <c r="F126" s="38">
        <v>496.56900000000002</v>
      </c>
      <c r="G126" s="39">
        <v>3.1098599999999999E-3</v>
      </c>
      <c r="H126" s="34">
        <v>6.77</v>
      </c>
    </row>
    <row r="127" spans="1:8" x14ac:dyDescent="0.2">
      <c r="A127" s="41"/>
      <c r="B127" s="41"/>
      <c r="C127" s="42" t="s">
        <v>142</v>
      </c>
      <c r="D127" s="41"/>
      <c r="E127" s="41" t="s">
        <v>143</v>
      </c>
      <c r="F127" s="43">
        <v>11780.879499999999</v>
      </c>
      <c r="G127" s="44">
        <v>7.3780120000000005E-2</v>
      </c>
      <c r="H127" s="34" t="s">
        <v>143</v>
      </c>
    </row>
    <row r="128" spans="1:8" x14ac:dyDescent="0.2">
      <c r="A128" s="41"/>
      <c r="B128" s="41"/>
      <c r="C128" s="45"/>
      <c r="D128" s="41"/>
      <c r="E128" s="41"/>
      <c r="F128" s="46"/>
      <c r="G128" s="46"/>
      <c r="H128" s="34" t="s">
        <v>143</v>
      </c>
    </row>
    <row r="129" spans="1:8" x14ac:dyDescent="0.2">
      <c r="A129" s="41"/>
      <c r="B129" s="41"/>
      <c r="C129" s="42" t="s">
        <v>152</v>
      </c>
      <c r="D129" s="41"/>
      <c r="E129" s="41"/>
      <c r="F129" s="41"/>
      <c r="G129" s="41"/>
      <c r="H129" s="34" t="s">
        <v>143</v>
      </c>
    </row>
    <row r="130" spans="1:8" x14ac:dyDescent="0.2">
      <c r="A130" s="41"/>
      <c r="B130" s="41"/>
      <c r="C130" s="42" t="s">
        <v>142</v>
      </c>
      <c r="D130" s="41"/>
      <c r="E130" s="41" t="s">
        <v>143</v>
      </c>
      <c r="F130" s="47" t="s">
        <v>145</v>
      </c>
      <c r="G130" s="44">
        <v>0</v>
      </c>
      <c r="H130" s="34" t="s">
        <v>143</v>
      </c>
    </row>
    <row r="131" spans="1:8" x14ac:dyDescent="0.2">
      <c r="A131" s="41"/>
      <c r="B131" s="41"/>
      <c r="C131" s="45"/>
      <c r="D131" s="41"/>
      <c r="E131" s="41"/>
      <c r="F131" s="46"/>
      <c r="G131" s="46"/>
      <c r="H131" s="34" t="s">
        <v>143</v>
      </c>
    </row>
    <row r="132" spans="1:8" x14ac:dyDescent="0.2">
      <c r="A132" s="41"/>
      <c r="B132" s="41"/>
      <c r="C132" s="42" t="s">
        <v>153</v>
      </c>
      <c r="D132" s="41"/>
      <c r="E132" s="41"/>
      <c r="F132" s="41"/>
      <c r="G132" s="41"/>
      <c r="H132" s="34" t="s">
        <v>143</v>
      </c>
    </row>
    <row r="133" spans="1:8" x14ac:dyDescent="0.2">
      <c r="A133" s="35">
        <v>1</v>
      </c>
      <c r="B133" s="36" t="s">
        <v>608</v>
      </c>
      <c r="C133" s="36" t="s">
        <v>1096</v>
      </c>
      <c r="D133" s="36" t="s">
        <v>610</v>
      </c>
      <c r="E133" s="37">
        <v>8500000</v>
      </c>
      <c r="F133" s="38">
        <v>8886.1039999999994</v>
      </c>
      <c r="G133" s="39">
        <v>5.5650999999999999E-2</v>
      </c>
      <c r="H133" s="34">
        <v>6.5155000000000003</v>
      </c>
    </row>
    <row r="134" spans="1:8" x14ac:dyDescent="0.2">
      <c r="A134" s="35">
        <v>2</v>
      </c>
      <c r="B134" s="36" t="s">
        <v>660</v>
      </c>
      <c r="C134" s="36" t="s">
        <v>1095</v>
      </c>
      <c r="D134" s="36" t="s">
        <v>610</v>
      </c>
      <c r="E134" s="37">
        <v>3000000</v>
      </c>
      <c r="F134" s="38">
        <v>3161.0039999999999</v>
      </c>
      <c r="G134" s="39">
        <v>1.9796419999999999E-2</v>
      </c>
      <c r="H134" s="34">
        <v>6.2229000000000001</v>
      </c>
    </row>
    <row r="135" spans="1:8" x14ac:dyDescent="0.2">
      <c r="A135" s="35">
        <v>3</v>
      </c>
      <c r="B135" s="36" t="s">
        <v>611</v>
      </c>
      <c r="C135" s="36" t="s">
        <v>1090</v>
      </c>
      <c r="D135" s="36" t="s">
        <v>610</v>
      </c>
      <c r="E135" s="37">
        <v>3000000</v>
      </c>
      <c r="F135" s="38">
        <v>3147.2489999999998</v>
      </c>
      <c r="G135" s="39">
        <v>1.971028E-2</v>
      </c>
      <c r="H135" s="34">
        <v>6.7896999999999998</v>
      </c>
    </row>
    <row r="136" spans="1:8" x14ac:dyDescent="0.2">
      <c r="A136" s="35">
        <v>4</v>
      </c>
      <c r="B136" s="36" t="s">
        <v>648</v>
      </c>
      <c r="C136" s="36" t="s">
        <v>649</v>
      </c>
      <c r="D136" s="36" t="s">
        <v>610</v>
      </c>
      <c r="E136" s="37">
        <v>3000000</v>
      </c>
      <c r="F136" s="38">
        <v>3088.8</v>
      </c>
      <c r="G136" s="39">
        <v>1.934423E-2</v>
      </c>
      <c r="H136" s="34">
        <v>5.85</v>
      </c>
    </row>
    <row r="137" spans="1:8" x14ac:dyDescent="0.2">
      <c r="A137" s="35">
        <v>5</v>
      </c>
      <c r="B137" s="36" t="s">
        <v>617</v>
      </c>
      <c r="C137" s="36" t="s">
        <v>618</v>
      </c>
      <c r="D137" s="36" t="s">
        <v>610</v>
      </c>
      <c r="E137" s="37">
        <v>1500000</v>
      </c>
      <c r="F137" s="38">
        <v>1545.057</v>
      </c>
      <c r="G137" s="39">
        <v>9.6762299999999992E-3</v>
      </c>
      <c r="H137" s="34">
        <v>7.2365000000000004</v>
      </c>
    </row>
    <row r="138" spans="1:8" x14ac:dyDescent="0.2">
      <c r="A138" s="35">
        <v>6</v>
      </c>
      <c r="B138" s="36" t="s">
        <v>661</v>
      </c>
      <c r="C138" s="36" t="s">
        <v>662</v>
      </c>
      <c r="D138" s="36" t="s">
        <v>610</v>
      </c>
      <c r="E138" s="37">
        <v>1000000</v>
      </c>
      <c r="F138" s="38">
        <v>1043.999</v>
      </c>
      <c r="G138" s="39">
        <v>6.5382499999999998E-3</v>
      </c>
      <c r="H138" s="34">
        <v>6.1875999999999998</v>
      </c>
    </row>
    <row r="139" spans="1:8" ht="25.5" x14ac:dyDescent="0.2">
      <c r="A139" s="35">
        <v>7</v>
      </c>
      <c r="B139" s="36" t="s">
        <v>622</v>
      </c>
      <c r="C139" s="36" t="s">
        <v>623</v>
      </c>
      <c r="D139" s="36" t="s">
        <v>610</v>
      </c>
      <c r="E139" s="37">
        <v>500000</v>
      </c>
      <c r="F139" s="38">
        <v>522.88750000000005</v>
      </c>
      <c r="G139" s="39">
        <v>3.2746899999999998E-3</v>
      </c>
      <c r="H139" s="34">
        <v>6.8483999999999998</v>
      </c>
    </row>
    <row r="140" spans="1:8" ht="25.5" x14ac:dyDescent="0.2">
      <c r="A140" s="35">
        <v>8</v>
      </c>
      <c r="B140" s="36" t="s">
        <v>621</v>
      </c>
      <c r="C140" s="50" t="s">
        <v>984</v>
      </c>
      <c r="D140" s="36" t="s">
        <v>610</v>
      </c>
      <c r="E140" s="37">
        <v>500000</v>
      </c>
      <c r="F140" s="38">
        <v>506.42500000000001</v>
      </c>
      <c r="G140" s="39">
        <v>3.1715900000000002E-3</v>
      </c>
      <c r="H140" s="34">
        <v>6.9026948178819598</v>
      </c>
    </row>
    <row r="141" spans="1:8" x14ac:dyDescent="0.2">
      <c r="A141" s="41"/>
      <c r="B141" s="41"/>
      <c r="C141" s="42" t="s">
        <v>142</v>
      </c>
      <c r="D141" s="41"/>
      <c r="E141" s="41" t="s">
        <v>143</v>
      </c>
      <c r="F141" s="43">
        <v>21901.5255</v>
      </c>
      <c r="G141" s="44">
        <v>0.13716269</v>
      </c>
      <c r="H141" s="34" t="s">
        <v>143</v>
      </c>
    </row>
    <row r="142" spans="1:8" x14ac:dyDescent="0.2">
      <c r="A142" s="41"/>
      <c r="B142" s="41"/>
      <c r="C142" s="45"/>
      <c r="D142" s="41"/>
      <c r="E142" s="41"/>
      <c r="F142" s="46"/>
      <c r="G142" s="46"/>
      <c r="H142" s="34" t="s">
        <v>143</v>
      </c>
    </row>
    <row r="143" spans="1:8" x14ac:dyDescent="0.2">
      <c r="A143" s="41"/>
      <c r="B143" s="41"/>
      <c r="C143" s="42" t="s">
        <v>154</v>
      </c>
      <c r="D143" s="41"/>
      <c r="E143" s="41"/>
      <c r="F143" s="46"/>
      <c r="G143" s="46"/>
      <c r="H143" s="34" t="s">
        <v>143</v>
      </c>
    </row>
    <row r="144" spans="1:8" x14ac:dyDescent="0.2">
      <c r="A144" s="41"/>
      <c r="B144" s="41"/>
      <c r="C144" s="42" t="s">
        <v>142</v>
      </c>
      <c r="D144" s="41"/>
      <c r="E144" s="41" t="s">
        <v>143</v>
      </c>
      <c r="F144" s="47" t="s">
        <v>145</v>
      </c>
      <c r="G144" s="44">
        <v>0</v>
      </c>
      <c r="H144" s="34" t="s">
        <v>143</v>
      </c>
    </row>
    <row r="145" spans="1:8" x14ac:dyDescent="0.2">
      <c r="A145" s="41"/>
      <c r="B145" s="41"/>
      <c r="C145" s="45"/>
      <c r="D145" s="41"/>
      <c r="E145" s="41"/>
      <c r="F145" s="46"/>
      <c r="G145" s="46"/>
      <c r="H145" s="34" t="s">
        <v>143</v>
      </c>
    </row>
    <row r="146" spans="1:8" x14ac:dyDescent="0.2">
      <c r="A146" s="41"/>
      <c r="B146" s="41"/>
      <c r="C146" s="42" t="s">
        <v>155</v>
      </c>
      <c r="D146" s="41"/>
      <c r="E146" s="41"/>
      <c r="F146" s="43">
        <v>33682.404999999999</v>
      </c>
      <c r="G146" s="44">
        <v>0.21094281000000001</v>
      </c>
      <c r="H146" s="34" t="s">
        <v>143</v>
      </c>
    </row>
    <row r="147" spans="1:8" x14ac:dyDescent="0.2">
      <c r="A147" s="41"/>
      <c r="B147" s="41"/>
      <c r="C147" s="45"/>
      <c r="D147" s="41"/>
      <c r="E147" s="41"/>
      <c r="F147" s="46"/>
      <c r="G147" s="46"/>
      <c r="H147" s="34" t="s">
        <v>143</v>
      </c>
    </row>
    <row r="148" spans="1:8" x14ac:dyDescent="0.2">
      <c r="A148" s="41"/>
      <c r="B148" s="41"/>
      <c r="C148" s="42" t="s">
        <v>156</v>
      </c>
      <c r="D148" s="41"/>
      <c r="E148" s="41"/>
      <c r="F148" s="46"/>
      <c r="G148" s="46"/>
      <c r="H148" s="34" t="s">
        <v>143</v>
      </c>
    </row>
    <row r="149" spans="1:8" x14ac:dyDescent="0.2">
      <c r="A149" s="41"/>
      <c r="B149" s="41"/>
      <c r="C149" s="42" t="s">
        <v>157</v>
      </c>
      <c r="D149" s="41"/>
      <c r="E149" s="41"/>
      <c r="F149" s="46"/>
      <c r="G149" s="46"/>
      <c r="H149" s="34" t="s">
        <v>143</v>
      </c>
    </row>
    <row r="150" spans="1:8" x14ac:dyDescent="0.2">
      <c r="A150" s="41"/>
      <c r="B150" s="41"/>
      <c r="C150" s="42" t="s">
        <v>142</v>
      </c>
      <c r="D150" s="41"/>
      <c r="E150" s="41" t="s">
        <v>143</v>
      </c>
      <c r="F150" s="47" t="s">
        <v>145</v>
      </c>
      <c r="G150" s="44">
        <v>0</v>
      </c>
      <c r="H150" s="34" t="s">
        <v>143</v>
      </c>
    </row>
    <row r="151" spans="1:8" x14ac:dyDescent="0.2">
      <c r="A151" s="41"/>
      <c r="B151" s="41"/>
      <c r="C151" s="45"/>
      <c r="D151" s="41"/>
      <c r="E151" s="41"/>
      <c r="F151" s="46"/>
      <c r="G151" s="46"/>
      <c r="H151" s="34" t="s">
        <v>143</v>
      </c>
    </row>
    <row r="152" spans="1:8" x14ac:dyDescent="0.2">
      <c r="A152" s="41"/>
      <c r="B152" s="41"/>
      <c r="C152" s="42" t="s">
        <v>158</v>
      </c>
      <c r="D152" s="41"/>
      <c r="E152" s="41"/>
      <c r="F152" s="46"/>
      <c r="G152" s="46"/>
      <c r="H152" s="34" t="s">
        <v>143</v>
      </c>
    </row>
    <row r="153" spans="1:8" x14ac:dyDescent="0.2">
      <c r="A153" s="41"/>
      <c r="B153" s="41"/>
      <c r="C153" s="42" t="s">
        <v>142</v>
      </c>
      <c r="D153" s="41"/>
      <c r="E153" s="41" t="s">
        <v>143</v>
      </c>
      <c r="F153" s="47" t="s">
        <v>145</v>
      </c>
      <c r="G153" s="44">
        <v>0</v>
      </c>
      <c r="H153" s="34" t="s">
        <v>143</v>
      </c>
    </row>
    <row r="154" spans="1:8" x14ac:dyDescent="0.2">
      <c r="A154" s="41"/>
      <c r="B154" s="41"/>
      <c r="C154" s="45"/>
      <c r="D154" s="41"/>
      <c r="E154" s="41"/>
      <c r="F154" s="46"/>
      <c r="G154" s="46"/>
      <c r="H154" s="34" t="s">
        <v>143</v>
      </c>
    </row>
    <row r="155" spans="1:8" x14ac:dyDescent="0.2">
      <c r="A155" s="41"/>
      <c r="B155" s="41"/>
      <c r="C155" s="42" t="s">
        <v>159</v>
      </c>
      <c r="D155" s="41"/>
      <c r="E155" s="41"/>
      <c r="F155" s="46"/>
      <c r="G155" s="46"/>
      <c r="H155" s="34" t="s">
        <v>143</v>
      </c>
    </row>
    <row r="156" spans="1:8" x14ac:dyDescent="0.2">
      <c r="A156" s="41"/>
      <c r="B156" s="41"/>
      <c r="C156" s="42" t="s">
        <v>142</v>
      </c>
      <c r="D156" s="41"/>
      <c r="E156" s="41" t="s">
        <v>143</v>
      </c>
      <c r="F156" s="47" t="s">
        <v>145</v>
      </c>
      <c r="G156" s="44">
        <v>0</v>
      </c>
      <c r="H156" s="34" t="s">
        <v>143</v>
      </c>
    </row>
    <row r="157" spans="1:8" x14ac:dyDescent="0.2">
      <c r="A157" s="41"/>
      <c r="B157" s="41"/>
      <c r="C157" s="45"/>
      <c r="D157" s="41"/>
      <c r="E157" s="41"/>
      <c r="F157" s="46"/>
      <c r="G157" s="46"/>
      <c r="H157" s="34" t="s">
        <v>143</v>
      </c>
    </row>
    <row r="158" spans="1:8" x14ac:dyDescent="0.2">
      <c r="A158" s="41"/>
      <c r="B158" s="41"/>
      <c r="C158" s="42" t="s">
        <v>160</v>
      </c>
      <c r="D158" s="41"/>
      <c r="E158" s="41"/>
      <c r="F158" s="46"/>
      <c r="G158" s="46"/>
      <c r="H158" s="34" t="s">
        <v>143</v>
      </c>
    </row>
    <row r="159" spans="1:8" x14ac:dyDescent="0.2">
      <c r="A159" s="35">
        <v>1</v>
      </c>
      <c r="B159" s="36"/>
      <c r="C159" s="36" t="s">
        <v>161</v>
      </c>
      <c r="D159" s="36"/>
      <c r="E159" s="48"/>
      <c r="F159" s="38">
        <v>4967.7139649780001</v>
      </c>
      <c r="G159" s="39">
        <v>3.1111300000000001E-2</v>
      </c>
      <c r="H159" s="34">
        <v>5.47</v>
      </c>
    </row>
    <row r="160" spans="1:8" x14ac:dyDescent="0.2">
      <c r="A160" s="41"/>
      <c r="B160" s="41"/>
      <c r="C160" s="42" t="s">
        <v>142</v>
      </c>
      <c r="D160" s="41"/>
      <c r="E160" s="41" t="s">
        <v>143</v>
      </c>
      <c r="F160" s="43">
        <v>4967.7139649780001</v>
      </c>
      <c r="G160" s="44">
        <v>3.1111300000000001E-2</v>
      </c>
      <c r="H160" s="34" t="s">
        <v>143</v>
      </c>
    </row>
    <row r="161" spans="1:8" x14ac:dyDescent="0.2">
      <c r="A161" s="41"/>
      <c r="B161" s="41"/>
      <c r="C161" s="45"/>
      <c r="D161" s="41"/>
      <c r="E161" s="41"/>
      <c r="F161" s="46"/>
      <c r="G161" s="46"/>
      <c r="H161" s="34" t="s">
        <v>143</v>
      </c>
    </row>
    <row r="162" spans="1:8" x14ac:dyDescent="0.2">
      <c r="A162" s="41"/>
      <c r="B162" s="41"/>
      <c r="C162" s="42" t="s">
        <v>162</v>
      </c>
      <c r="D162" s="41"/>
      <c r="E162" s="41"/>
      <c r="F162" s="43">
        <v>4967.7139649780001</v>
      </c>
      <c r="G162" s="44">
        <v>3.1111300000000001E-2</v>
      </c>
      <c r="H162" s="34" t="s">
        <v>143</v>
      </c>
    </row>
    <row r="163" spans="1:8" x14ac:dyDescent="0.2">
      <c r="A163" s="41"/>
      <c r="B163" s="41"/>
      <c r="C163" s="46"/>
      <c r="D163" s="41"/>
      <c r="E163" s="41"/>
      <c r="F163" s="41"/>
      <c r="G163" s="41"/>
      <c r="H163" s="34" t="s">
        <v>143</v>
      </c>
    </row>
    <row r="164" spans="1:8" x14ac:dyDescent="0.2">
      <c r="A164" s="41"/>
      <c r="B164" s="41"/>
      <c r="C164" s="42" t="s">
        <v>163</v>
      </c>
      <c r="D164" s="41"/>
      <c r="E164" s="41"/>
      <c r="F164" s="41"/>
      <c r="G164" s="41"/>
      <c r="H164" s="34" t="s">
        <v>143</v>
      </c>
    </row>
    <row r="165" spans="1:8" x14ac:dyDescent="0.2">
      <c r="A165" s="41"/>
      <c r="B165" s="41"/>
      <c r="C165" s="42" t="s">
        <v>164</v>
      </c>
      <c r="D165" s="41"/>
      <c r="E165" s="41"/>
      <c r="F165" s="41"/>
      <c r="G165" s="41"/>
      <c r="H165" s="34" t="s">
        <v>143</v>
      </c>
    </row>
    <row r="166" spans="1:8" x14ac:dyDescent="0.2">
      <c r="A166" s="35">
        <v>1</v>
      </c>
      <c r="B166" s="36" t="s">
        <v>319</v>
      </c>
      <c r="C166" s="36" t="s">
        <v>320</v>
      </c>
      <c r="D166" s="36"/>
      <c r="E166" s="49">
        <v>171851.234</v>
      </c>
      <c r="F166" s="38">
        <v>4004.3145396979999</v>
      </c>
      <c r="G166" s="39">
        <v>2.5077820000000001E-2</v>
      </c>
      <c r="H166" s="34" t="s">
        <v>143</v>
      </c>
    </row>
    <row r="167" spans="1:8" x14ac:dyDescent="0.2">
      <c r="A167" s="41"/>
      <c r="B167" s="41"/>
      <c r="C167" s="42" t="s">
        <v>142</v>
      </c>
      <c r="D167" s="41"/>
      <c r="E167" s="41" t="s">
        <v>143</v>
      </c>
      <c r="F167" s="43">
        <v>4004.3145396979999</v>
      </c>
      <c r="G167" s="44">
        <v>2.5077820000000001E-2</v>
      </c>
      <c r="H167" s="34" t="s">
        <v>143</v>
      </c>
    </row>
    <row r="168" spans="1:8" x14ac:dyDescent="0.2">
      <c r="A168" s="41"/>
      <c r="B168" s="41"/>
      <c r="C168" s="45"/>
      <c r="D168" s="41"/>
      <c r="E168" s="41"/>
      <c r="F168" s="46"/>
      <c r="G168" s="46"/>
      <c r="H168" s="34" t="s">
        <v>143</v>
      </c>
    </row>
    <row r="169" spans="1:8" x14ac:dyDescent="0.2">
      <c r="A169" s="41"/>
      <c r="B169" s="41"/>
      <c r="C169" s="42" t="s">
        <v>165</v>
      </c>
      <c r="D169" s="41"/>
      <c r="E169" s="41"/>
      <c r="F169" s="41"/>
      <c r="G169" s="41"/>
      <c r="H169" s="34" t="s">
        <v>143</v>
      </c>
    </row>
    <row r="170" spans="1:8" x14ac:dyDescent="0.2">
      <c r="A170" s="41"/>
      <c r="B170" s="41"/>
      <c r="C170" s="42" t="s">
        <v>166</v>
      </c>
      <c r="D170" s="41"/>
      <c r="E170" s="41"/>
      <c r="F170" s="41"/>
      <c r="G170" s="41"/>
      <c r="H170" s="34" t="s">
        <v>143</v>
      </c>
    </row>
    <row r="171" spans="1:8" x14ac:dyDescent="0.2">
      <c r="A171" s="41"/>
      <c r="B171" s="41"/>
      <c r="C171" s="42" t="s">
        <v>142</v>
      </c>
      <c r="D171" s="41"/>
      <c r="E171" s="41" t="s">
        <v>143</v>
      </c>
      <c r="F171" s="47" t="s">
        <v>145</v>
      </c>
      <c r="G171" s="44">
        <v>0</v>
      </c>
      <c r="H171" s="34" t="s">
        <v>143</v>
      </c>
    </row>
    <row r="172" spans="1:8" x14ac:dyDescent="0.2">
      <c r="A172" s="41"/>
      <c r="B172" s="41"/>
      <c r="C172" s="45"/>
      <c r="D172" s="41"/>
      <c r="E172" s="41"/>
      <c r="F172" s="46"/>
      <c r="G172" s="46"/>
      <c r="H172" s="34" t="s">
        <v>143</v>
      </c>
    </row>
    <row r="173" spans="1:8" x14ac:dyDescent="0.2">
      <c r="A173" s="41"/>
      <c r="B173" s="41"/>
      <c r="C173" s="42" t="s">
        <v>167</v>
      </c>
      <c r="D173" s="41"/>
      <c r="E173" s="41"/>
      <c r="F173" s="46"/>
      <c r="G173" s="46"/>
      <c r="H173" s="34" t="s">
        <v>143</v>
      </c>
    </row>
    <row r="174" spans="1:8" x14ac:dyDescent="0.2">
      <c r="A174" s="41"/>
      <c r="B174" s="41"/>
      <c r="C174" s="42" t="s">
        <v>142</v>
      </c>
      <c r="D174" s="41"/>
      <c r="E174" s="41" t="s">
        <v>143</v>
      </c>
      <c r="F174" s="47" t="s">
        <v>145</v>
      </c>
      <c r="G174" s="44">
        <v>0</v>
      </c>
      <c r="H174" s="34" t="s">
        <v>143</v>
      </c>
    </row>
    <row r="175" spans="1:8" x14ac:dyDescent="0.2">
      <c r="A175" s="41"/>
      <c r="B175" s="41"/>
      <c r="C175" s="45"/>
      <c r="D175" s="41"/>
      <c r="E175" s="41"/>
      <c r="F175" s="46"/>
      <c r="G175" s="46"/>
      <c r="H175" s="34" t="s">
        <v>143</v>
      </c>
    </row>
    <row r="176" spans="1:8" x14ac:dyDescent="0.2">
      <c r="A176" s="48"/>
      <c r="B176" s="36"/>
      <c r="C176" s="36" t="s">
        <v>627</v>
      </c>
      <c r="D176" s="36"/>
      <c r="E176" s="48"/>
      <c r="F176" s="38">
        <v>508.83113600000001</v>
      </c>
      <c r="G176" s="39">
        <v>3.18666E-3</v>
      </c>
      <c r="H176" s="34" t="s">
        <v>143</v>
      </c>
    </row>
    <row r="177" spans="1:17" x14ac:dyDescent="0.2">
      <c r="A177" s="48"/>
      <c r="B177" s="36"/>
      <c r="C177" s="50" t="s">
        <v>985</v>
      </c>
      <c r="D177" s="36"/>
      <c r="E177" s="48"/>
      <c r="F177" s="38">
        <f>21967.2467415+F112</f>
        <v>1116.0822115000046</v>
      </c>
      <c r="G177" s="39">
        <f>F177/F178</f>
        <v>6.9896880861085578E-3</v>
      </c>
      <c r="H177" s="34" t="s">
        <v>143</v>
      </c>
    </row>
    <row r="178" spans="1:17" x14ac:dyDescent="0.2">
      <c r="A178" s="45"/>
      <c r="B178" s="45"/>
      <c r="C178" s="42" t="s">
        <v>169</v>
      </c>
      <c r="D178" s="46"/>
      <c r="E178" s="46"/>
      <c r="F178" s="43">
        <f>F177+F176+F167+F162+F146+F114</f>
        <v>159675.53884387604</v>
      </c>
      <c r="G178" s="51">
        <f>G177+G176+G167+G162+G146+G114</f>
        <v>1.0000000043166835</v>
      </c>
      <c r="H178" s="34" t="s">
        <v>143</v>
      </c>
    </row>
    <row r="179" spans="1:17" x14ac:dyDescent="0.2">
      <c r="A179" s="52"/>
      <c r="B179" s="52"/>
      <c r="C179" s="52"/>
      <c r="D179" s="53"/>
      <c r="E179" s="53"/>
      <c r="F179" s="53"/>
      <c r="G179" s="53"/>
    </row>
    <row r="180" spans="1:17" x14ac:dyDescent="0.2">
      <c r="A180" s="54"/>
      <c r="B180" s="158" t="s">
        <v>852</v>
      </c>
      <c r="C180" s="158"/>
      <c r="D180" s="158"/>
      <c r="E180" s="158"/>
      <c r="F180" s="158"/>
      <c r="G180" s="158"/>
      <c r="H180" s="158"/>
      <c r="J180" s="56"/>
    </row>
    <row r="181" spans="1:17" x14ac:dyDescent="0.2">
      <c r="A181" s="54"/>
      <c r="B181" s="158" t="s">
        <v>853</v>
      </c>
      <c r="C181" s="158"/>
      <c r="D181" s="158"/>
      <c r="E181" s="158"/>
      <c r="F181" s="158"/>
      <c r="G181" s="158"/>
      <c r="H181" s="158"/>
      <c r="J181" s="56"/>
    </row>
    <row r="182" spans="1:17" x14ac:dyDescent="0.2">
      <c r="A182" s="54"/>
      <c r="B182" s="158" t="s">
        <v>854</v>
      </c>
      <c r="C182" s="158"/>
      <c r="D182" s="158"/>
      <c r="E182" s="158"/>
      <c r="F182" s="158"/>
      <c r="G182" s="158"/>
      <c r="H182" s="158"/>
      <c r="J182" s="56"/>
    </row>
    <row r="183" spans="1:17" s="58" customFormat="1" ht="66.75" customHeight="1" x14ac:dyDescent="0.25">
      <c r="A183" s="57"/>
      <c r="B183" s="159" t="s">
        <v>855</v>
      </c>
      <c r="C183" s="159"/>
      <c r="D183" s="159"/>
      <c r="E183" s="159"/>
      <c r="F183" s="159"/>
      <c r="G183" s="159"/>
      <c r="H183" s="159"/>
      <c r="I183"/>
      <c r="J183" s="56"/>
      <c r="K183"/>
      <c r="L183"/>
      <c r="M183"/>
      <c r="N183"/>
      <c r="O183"/>
      <c r="P183"/>
      <c r="Q183"/>
    </row>
    <row r="184" spans="1:17" x14ac:dyDescent="0.2">
      <c r="A184" s="54"/>
      <c r="B184" s="158" t="s">
        <v>856</v>
      </c>
      <c r="C184" s="158"/>
      <c r="D184" s="158"/>
      <c r="E184" s="158"/>
      <c r="F184" s="158"/>
      <c r="G184" s="158"/>
      <c r="H184" s="158"/>
      <c r="J184" s="56"/>
    </row>
    <row r="185" spans="1:17" x14ac:dyDescent="0.2">
      <c r="A185" s="54"/>
      <c r="B185" s="54"/>
      <c r="C185" s="54"/>
      <c r="D185" s="59"/>
      <c r="E185" s="59"/>
      <c r="F185" s="59"/>
      <c r="G185" s="59"/>
    </row>
    <row r="186" spans="1:17" x14ac:dyDescent="0.2">
      <c r="A186" s="54"/>
      <c r="B186" s="160" t="s">
        <v>170</v>
      </c>
      <c r="C186" s="161"/>
      <c r="D186" s="162"/>
      <c r="E186" s="60"/>
      <c r="F186" s="59"/>
      <c r="G186" s="59"/>
    </row>
    <row r="187" spans="1:17" ht="27.75" customHeight="1" x14ac:dyDescent="0.2">
      <c r="A187" s="54"/>
      <c r="B187" s="154" t="s">
        <v>171</v>
      </c>
      <c r="C187" s="155"/>
      <c r="D187" s="33" t="s">
        <v>172</v>
      </c>
      <c r="E187" s="60"/>
      <c r="F187" s="59"/>
      <c r="G187" s="59"/>
    </row>
    <row r="188" spans="1:17" ht="12.75" customHeight="1" x14ac:dyDescent="0.2">
      <c r="A188" s="54"/>
      <c r="B188" s="154" t="s">
        <v>857</v>
      </c>
      <c r="C188" s="155"/>
      <c r="D188" s="33" t="s">
        <v>172</v>
      </c>
      <c r="E188" s="60"/>
      <c r="F188" s="59"/>
      <c r="G188" s="59"/>
    </row>
    <row r="189" spans="1:17" x14ac:dyDescent="0.2">
      <c r="A189" s="54"/>
      <c r="B189" s="154" t="s">
        <v>173</v>
      </c>
      <c r="C189" s="155"/>
      <c r="D189" s="61" t="s">
        <v>143</v>
      </c>
      <c r="E189" s="60"/>
      <c r="F189" s="59"/>
      <c r="G189" s="59"/>
    </row>
    <row r="190" spans="1:17" x14ac:dyDescent="0.2">
      <c r="A190" s="62"/>
      <c r="B190" s="63" t="s">
        <v>143</v>
      </c>
      <c r="C190" s="63" t="s">
        <v>858</v>
      </c>
      <c r="D190" s="63" t="s">
        <v>174</v>
      </c>
      <c r="E190" s="62"/>
      <c r="F190" s="62"/>
      <c r="G190" s="62"/>
      <c r="H190" s="62"/>
      <c r="J190" s="56"/>
    </row>
    <row r="191" spans="1:17" x14ac:dyDescent="0.2">
      <c r="A191" s="62"/>
      <c r="B191" s="64" t="s">
        <v>175</v>
      </c>
      <c r="C191" s="65">
        <v>45808</v>
      </c>
      <c r="D191" s="65">
        <v>45838</v>
      </c>
      <c r="E191" s="62"/>
      <c r="F191" s="62"/>
      <c r="G191" s="62"/>
      <c r="J191" s="56"/>
    </row>
    <row r="192" spans="1:17" x14ac:dyDescent="0.2">
      <c r="A192" s="66"/>
      <c r="B192" s="50" t="s">
        <v>176</v>
      </c>
      <c r="C192" s="67">
        <v>40.788600000000002</v>
      </c>
      <c r="D192" s="67">
        <v>41.5351</v>
      </c>
      <c r="E192" s="66"/>
      <c r="F192" s="68"/>
      <c r="G192" s="69"/>
    </row>
    <row r="193" spans="1:7" ht="25.5" x14ac:dyDescent="0.2">
      <c r="A193" s="66"/>
      <c r="B193" s="50" t="s">
        <v>987</v>
      </c>
      <c r="C193" s="67">
        <v>19.1434</v>
      </c>
      <c r="D193" s="67">
        <v>19.351400000000002</v>
      </c>
      <c r="E193" s="66"/>
      <c r="F193" s="68"/>
      <c r="G193" s="69"/>
    </row>
    <row r="194" spans="1:7" x14ac:dyDescent="0.2">
      <c r="A194" s="66"/>
      <c r="B194" s="50" t="s">
        <v>177</v>
      </c>
      <c r="C194" s="67">
        <v>34.837200000000003</v>
      </c>
      <c r="D194" s="67">
        <v>35.432299999999998</v>
      </c>
      <c r="E194" s="66"/>
      <c r="F194" s="68"/>
      <c r="G194" s="69"/>
    </row>
    <row r="195" spans="1:7" ht="25.5" x14ac:dyDescent="0.2">
      <c r="A195" s="66"/>
      <c r="B195" s="50" t="s">
        <v>988</v>
      </c>
      <c r="C195" s="67">
        <v>15.6905</v>
      </c>
      <c r="D195" s="67">
        <v>15.8416</v>
      </c>
      <c r="E195" s="66"/>
      <c r="F195" s="68"/>
      <c r="G195" s="69"/>
    </row>
    <row r="196" spans="1:7" x14ac:dyDescent="0.2">
      <c r="A196" s="66"/>
      <c r="B196" s="66"/>
      <c r="C196" s="66"/>
      <c r="D196" s="66"/>
      <c r="E196" s="66"/>
      <c r="F196" s="66"/>
      <c r="G196" s="66"/>
    </row>
    <row r="197" spans="1:7" x14ac:dyDescent="0.2">
      <c r="A197" s="66"/>
      <c r="B197" s="163" t="s">
        <v>860</v>
      </c>
      <c r="C197" s="164"/>
      <c r="D197" s="42" t="s">
        <v>143</v>
      </c>
      <c r="E197" s="66"/>
      <c r="F197" s="66"/>
      <c r="G197" s="66"/>
    </row>
    <row r="198" spans="1:7" x14ac:dyDescent="0.2">
      <c r="A198" s="66"/>
      <c r="B198" s="81" t="s">
        <v>175</v>
      </c>
      <c r="C198" s="82" t="s">
        <v>628</v>
      </c>
      <c r="D198" s="82" t="s">
        <v>629</v>
      </c>
      <c r="E198" s="66"/>
      <c r="F198" s="66"/>
      <c r="G198" s="66"/>
    </row>
    <row r="199" spans="1:7" ht="25.5" x14ac:dyDescent="0.2">
      <c r="A199" s="66"/>
      <c r="B199" s="50" t="s">
        <v>987</v>
      </c>
      <c r="C199" s="83">
        <v>0.14000000000000001</v>
      </c>
      <c r="D199" s="48" t="s">
        <v>663</v>
      </c>
      <c r="E199" s="66"/>
      <c r="F199" s="68"/>
      <c r="G199" s="69"/>
    </row>
    <row r="200" spans="1:7" ht="25.5" x14ac:dyDescent="0.2">
      <c r="A200" s="66"/>
      <c r="B200" s="50" t="s">
        <v>988</v>
      </c>
      <c r="C200" s="83">
        <v>0.115</v>
      </c>
      <c r="D200" s="83">
        <v>0.115</v>
      </c>
      <c r="E200" s="66"/>
      <c r="F200" s="68"/>
      <c r="G200" s="69"/>
    </row>
    <row r="201" spans="1:7" x14ac:dyDescent="0.2">
      <c r="A201" s="66"/>
      <c r="B201" s="99"/>
      <c r="C201" s="99"/>
      <c r="D201" s="100"/>
      <c r="E201" s="66"/>
      <c r="F201" s="68"/>
      <c r="G201" s="69"/>
    </row>
    <row r="202" spans="1:7" ht="29.1" customHeight="1" x14ac:dyDescent="0.2">
      <c r="A202" s="62"/>
      <c r="B202" s="154" t="s">
        <v>178</v>
      </c>
      <c r="C202" s="155"/>
      <c r="D202" s="33" t="s">
        <v>913</v>
      </c>
      <c r="E202" s="71"/>
      <c r="F202" s="62"/>
      <c r="G202" s="62"/>
    </row>
    <row r="203" spans="1:7" ht="29.1" customHeight="1" x14ac:dyDescent="0.2">
      <c r="A203" s="62"/>
      <c r="B203" s="154" t="s">
        <v>179</v>
      </c>
      <c r="C203" s="155"/>
      <c r="D203" s="33" t="s">
        <v>172</v>
      </c>
      <c r="E203" s="71"/>
      <c r="F203" s="62"/>
      <c r="G203" s="62"/>
    </row>
    <row r="204" spans="1:7" ht="17.100000000000001" customHeight="1" x14ac:dyDescent="0.2">
      <c r="A204" s="62"/>
      <c r="B204" s="154" t="s">
        <v>180</v>
      </c>
      <c r="C204" s="155"/>
      <c r="D204" s="33" t="s">
        <v>172</v>
      </c>
      <c r="E204" s="71"/>
      <c r="F204" s="62"/>
      <c r="G204" s="62"/>
    </row>
    <row r="205" spans="1:7" ht="17.100000000000001" customHeight="1" x14ac:dyDescent="0.2">
      <c r="A205" s="62"/>
      <c r="B205" s="154" t="s">
        <v>181</v>
      </c>
      <c r="C205" s="155"/>
      <c r="D205" s="72">
        <v>2.8569839711750364</v>
      </c>
      <c r="E205" s="62"/>
      <c r="F205" s="55"/>
      <c r="G205" s="73"/>
    </row>
    <row r="207" spans="1:7" x14ac:dyDescent="0.2">
      <c r="B207" s="190" t="s">
        <v>904</v>
      </c>
      <c r="C207" s="191"/>
      <c r="D207" s="192"/>
      <c r="F207" s="62"/>
      <c r="G207" s="62"/>
    </row>
    <row r="208" spans="1:7" ht="25.5" x14ac:dyDescent="0.2">
      <c r="B208" s="193" t="s">
        <v>905</v>
      </c>
      <c r="C208" s="193"/>
      <c r="D208" s="101" t="s">
        <v>653</v>
      </c>
    </row>
    <row r="209" spans="2:4" x14ac:dyDescent="0.2">
      <c r="B209" s="193" t="s">
        <v>906</v>
      </c>
      <c r="C209" s="193"/>
      <c r="D209" s="75"/>
    </row>
    <row r="210" spans="2:4" x14ac:dyDescent="0.2">
      <c r="B210" s="194"/>
      <c r="C210" s="195"/>
      <c r="D210" s="76"/>
    </row>
    <row r="211" spans="2:4" x14ac:dyDescent="0.2">
      <c r="B211" s="193" t="s">
        <v>907</v>
      </c>
      <c r="C211" s="193"/>
      <c r="D211" s="77">
        <v>6.383960057146072</v>
      </c>
    </row>
    <row r="212" spans="2:4" x14ac:dyDescent="0.2">
      <c r="B212" s="194"/>
      <c r="C212" s="195"/>
      <c r="D212" s="76"/>
    </row>
    <row r="213" spans="2:4" x14ac:dyDescent="0.2">
      <c r="B213" s="193" t="s">
        <v>908</v>
      </c>
      <c r="C213" s="193"/>
      <c r="D213" s="77">
        <v>3.9930453517163667</v>
      </c>
    </row>
    <row r="214" spans="2:4" x14ac:dyDescent="0.2">
      <c r="B214" s="193" t="s">
        <v>909</v>
      </c>
      <c r="C214" s="193"/>
      <c r="D214" s="77">
        <v>6.0459663074252425</v>
      </c>
    </row>
    <row r="215" spans="2:4" x14ac:dyDescent="0.2">
      <c r="B215" s="194"/>
      <c r="C215" s="195"/>
      <c r="D215" s="76"/>
    </row>
    <row r="216" spans="2:4" x14ac:dyDescent="0.2">
      <c r="B216" s="193" t="s">
        <v>910</v>
      </c>
      <c r="C216" s="193"/>
      <c r="D216" s="78" t="s">
        <v>944</v>
      </c>
    </row>
    <row r="217" spans="2:4" x14ac:dyDescent="0.2">
      <c r="B217" s="194" t="s">
        <v>911</v>
      </c>
      <c r="C217" s="196"/>
      <c r="D217" s="195"/>
    </row>
    <row r="219" spans="2:4" x14ac:dyDescent="0.2">
      <c r="B219" s="156" t="s">
        <v>861</v>
      </c>
      <c r="C219" s="156"/>
    </row>
    <row r="221" spans="2:4" ht="153.75" customHeight="1" x14ac:dyDescent="0.2"/>
    <row r="224" spans="2:4" x14ac:dyDescent="0.2">
      <c r="B224" s="79" t="s">
        <v>862</v>
      </c>
      <c r="C224" s="80"/>
      <c r="D224" s="79"/>
    </row>
    <row r="225" spans="2:10" x14ac:dyDescent="0.2">
      <c r="B225" s="79" t="s">
        <v>915</v>
      </c>
      <c r="D225" s="79"/>
    </row>
    <row r="226" spans="2:10" ht="165" customHeight="1" x14ac:dyDescent="0.2"/>
    <row r="228" spans="2:10" x14ac:dyDescent="0.2">
      <c r="J228" s="31"/>
    </row>
  </sheetData>
  <mergeCells count="29">
    <mergeCell ref="B219:C219"/>
    <mergeCell ref="B213:C213"/>
    <mergeCell ref="B214:C214"/>
    <mergeCell ref="B215:C215"/>
    <mergeCell ref="B216:C216"/>
    <mergeCell ref="B217:D217"/>
    <mergeCell ref="B208:C208"/>
    <mergeCell ref="B209:C209"/>
    <mergeCell ref="B210:C210"/>
    <mergeCell ref="B211:C211"/>
    <mergeCell ref="B212:C212"/>
    <mergeCell ref="A1:H1"/>
    <mergeCell ref="A2:H2"/>
    <mergeCell ref="A3:H3"/>
    <mergeCell ref="B180:H180"/>
    <mergeCell ref="B181:H181"/>
    <mergeCell ref="B182:H182"/>
    <mergeCell ref="B183:H183"/>
    <mergeCell ref="B184:H184"/>
    <mergeCell ref="B186:D186"/>
    <mergeCell ref="B187:C187"/>
    <mergeCell ref="B205:C205"/>
    <mergeCell ref="B202:C202"/>
    <mergeCell ref="B207:D207"/>
    <mergeCell ref="B188:C188"/>
    <mergeCell ref="B189:C189"/>
    <mergeCell ref="B197:C197"/>
    <mergeCell ref="B203:C203"/>
    <mergeCell ref="B204:C204"/>
  </mergeCells>
  <hyperlinks>
    <hyperlink ref="I1" location="Index!B2" display="Index" xr:uid="{05F88620-652E-4AF1-9FA0-0C3000BEC976}"/>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6C1D-2615-4238-A1D2-BCF551D11A42}">
  <sheetPr>
    <outlinePr summaryBelow="0" summaryRight="0"/>
  </sheetPr>
  <dimension ref="A1:S166"/>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customHeight="1" x14ac:dyDescent="0.2">
      <c r="A2" s="157" t="s">
        <v>664</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322</v>
      </c>
      <c r="C7" s="36" t="s">
        <v>323</v>
      </c>
      <c r="D7" s="36" t="s">
        <v>33</v>
      </c>
      <c r="E7" s="37">
        <v>325000</v>
      </c>
      <c r="F7" s="38">
        <v>6504.875</v>
      </c>
      <c r="G7" s="39">
        <v>7.1107509999999999E-2</v>
      </c>
      <c r="H7" s="34" t="s">
        <v>143</v>
      </c>
    </row>
    <row r="8" spans="1:9" x14ac:dyDescent="0.2">
      <c r="A8" s="35">
        <v>2</v>
      </c>
      <c r="B8" s="36" t="s">
        <v>31</v>
      </c>
      <c r="C8" s="36" t="s">
        <v>32</v>
      </c>
      <c r="D8" s="36" t="s">
        <v>33</v>
      </c>
      <c r="E8" s="37">
        <v>275000</v>
      </c>
      <c r="F8" s="38">
        <v>3975.95</v>
      </c>
      <c r="G8" s="39">
        <v>4.3462769999999998E-2</v>
      </c>
      <c r="H8" s="34" t="s">
        <v>143</v>
      </c>
    </row>
    <row r="9" spans="1:9" x14ac:dyDescent="0.2">
      <c r="A9" s="35">
        <v>3</v>
      </c>
      <c r="B9" s="36" t="s">
        <v>328</v>
      </c>
      <c r="C9" s="36" t="s">
        <v>329</v>
      </c>
      <c r="D9" s="36" t="s">
        <v>198</v>
      </c>
      <c r="E9" s="37">
        <v>200000</v>
      </c>
      <c r="F9" s="38">
        <v>3203.6</v>
      </c>
      <c r="G9" s="39">
        <v>3.5019889999999998E-2</v>
      </c>
      <c r="H9" s="34" t="s">
        <v>143</v>
      </c>
    </row>
    <row r="10" spans="1:9" x14ac:dyDescent="0.2">
      <c r="A10" s="35">
        <v>4</v>
      </c>
      <c r="B10" s="36" t="s">
        <v>20</v>
      </c>
      <c r="C10" s="36" t="s">
        <v>21</v>
      </c>
      <c r="D10" s="36" t="s">
        <v>22</v>
      </c>
      <c r="E10" s="37">
        <v>950000</v>
      </c>
      <c r="F10" s="38">
        <v>3181.55</v>
      </c>
      <c r="G10" s="39">
        <v>3.477885E-2</v>
      </c>
      <c r="H10" s="34" t="s">
        <v>143</v>
      </c>
    </row>
    <row r="11" spans="1:9" x14ac:dyDescent="0.2">
      <c r="A11" s="35">
        <v>5</v>
      </c>
      <c r="B11" s="36" t="s">
        <v>352</v>
      </c>
      <c r="C11" s="36" t="s">
        <v>353</v>
      </c>
      <c r="D11" s="36" t="s">
        <v>354</v>
      </c>
      <c r="E11" s="37">
        <v>660000</v>
      </c>
      <c r="F11" s="38">
        <v>2748.57</v>
      </c>
      <c r="G11" s="39">
        <v>3.0045769999999999E-2</v>
      </c>
      <c r="H11" s="34" t="s">
        <v>143</v>
      </c>
    </row>
    <row r="12" spans="1:9" x14ac:dyDescent="0.2">
      <c r="A12" s="35">
        <v>6</v>
      </c>
      <c r="B12" s="36" t="s">
        <v>29</v>
      </c>
      <c r="C12" s="36" t="s">
        <v>30</v>
      </c>
      <c r="D12" s="36" t="s">
        <v>22</v>
      </c>
      <c r="E12" s="37">
        <v>875000</v>
      </c>
      <c r="F12" s="38">
        <v>2624.125</v>
      </c>
      <c r="G12" s="39">
        <v>2.8685410000000001E-2</v>
      </c>
      <c r="H12" s="34" t="s">
        <v>143</v>
      </c>
    </row>
    <row r="13" spans="1:9" x14ac:dyDescent="0.2">
      <c r="A13" s="102">
        <v>7</v>
      </c>
      <c r="B13" s="50" t="s">
        <v>1010</v>
      </c>
      <c r="C13" s="50" t="s">
        <v>1011</v>
      </c>
      <c r="D13" s="50" t="s">
        <v>61</v>
      </c>
      <c r="E13" s="103">
        <v>350000</v>
      </c>
      <c r="F13" s="104">
        <f>253175000/10^5</f>
        <v>2531.75</v>
      </c>
      <c r="G13" s="105">
        <f>F13/F126</f>
        <v>2.7675617646258137E-2</v>
      </c>
      <c r="H13" s="34" t="s">
        <v>143</v>
      </c>
    </row>
    <row r="14" spans="1:9" x14ac:dyDescent="0.2">
      <c r="A14" s="35">
        <v>8</v>
      </c>
      <c r="B14" s="36" t="s">
        <v>68</v>
      </c>
      <c r="C14" s="36" t="s">
        <v>69</v>
      </c>
      <c r="D14" s="36" t="s">
        <v>70</v>
      </c>
      <c r="E14" s="37">
        <v>1000000</v>
      </c>
      <c r="F14" s="38">
        <v>2442.1</v>
      </c>
      <c r="G14" s="39">
        <v>2.669562E-2</v>
      </c>
      <c r="H14" s="34" t="s">
        <v>143</v>
      </c>
    </row>
    <row r="15" spans="1:9" x14ac:dyDescent="0.2">
      <c r="A15" s="35">
        <v>9</v>
      </c>
      <c r="B15" s="36" t="s">
        <v>46</v>
      </c>
      <c r="C15" s="36" t="s">
        <v>47</v>
      </c>
      <c r="D15" s="36" t="s">
        <v>33</v>
      </c>
      <c r="E15" s="37">
        <v>280000</v>
      </c>
      <c r="F15" s="38">
        <v>2296.98</v>
      </c>
      <c r="G15" s="39">
        <v>2.510925E-2</v>
      </c>
      <c r="H15" s="34" t="s">
        <v>143</v>
      </c>
    </row>
    <row r="16" spans="1:9" x14ac:dyDescent="0.2">
      <c r="A16" s="35">
        <v>10</v>
      </c>
      <c r="B16" s="36" t="s">
        <v>14</v>
      </c>
      <c r="C16" s="36" t="s">
        <v>15</v>
      </c>
      <c r="D16" s="36" t="s">
        <v>16</v>
      </c>
      <c r="E16" s="37">
        <v>150000</v>
      </c>
      <c r="F16" s="38">
        <v>2250.9</v>
      </c>
      <c r="G16" s="39">
        <v>2.460553E-2</v>
      </c>
      <c r="H16" s="34" t="s">
        <v>143</v>
      </c>
    </row>
    <row r="17" spans="1:8" x14ac:dyDescent="0.2">
      <c r="A17" s="35">
        <v>11</v>
      </c>
      <c r="B17" s="36" t="s">
        <v>433</v>
      </c>
      <c r="C17" s="36" t="s">
        <v>434</v>
      </c>
      <c r="D17" s="36" t="s">
        <v>198</v>
      </c>
      <c r="E17" s="37">
        <v>65000</v>
      </c>
      <c r="F17" s="38">
        <v>2250.3000000000002</v>
      </c>
      <c r="G17" s="39">
        <v>2.4598970000000001E-2</v>
      </c>
      <c r="H17" s="34" t="s">
        <v>143</v>
      </c>
    </row>
    <row r="18" spans="1:8" x14ac:dyDescent="0.2">
      <c r="A18" s="35">
        <v>12</v>
      </c>
      <c r="B18" s="36" t="s">
        <v>11</v>
      </c>
      <c r="C18" s="36" t="s">
        <v>12</v>
      </c>
      <c r="D18" s="36" t="s">
        <v>13</v>
      </c>
      <c r="E18" s="37">
        <v>110000</v>
      </c>
      <c r="F18" s="38">
        <v>2210.56</v>
      </c>
      <c r="G18" s="39">
        <v>2.4164560000000002E-2</v>
      </c>
      <c r="H18" s="34" t="s">
        <v>143</v>
      </c>
    </row>
    <row r="19" spans="1:8" x14ac:dyDescent="0.2">
      <c r="A19" s="35">
        <v>13</v>
      </c>
      <c r="B19" s="36" t="s">
        <v>665</v>
      </c>
      <c r="C19" s="36" t="s">
        <v>666</v>
      </c>
      <c r="D19" s="36" t="s">
        <v>667</v>
      </c>
      <c r="E19" s="37">
        <v>550000</v>
      </c>
      <c r="F19" s="38">
        <v>2155.7249999999999</v>
      </c>
      <c r="G19" s="39">
        <v>2.356513E-2</v>
      </c>
      <c r="H19" s="34" t="s">
        <v>143</v>
      </c>
    </row>
    <row r="20" spans="1:8" x14ac:dyDescent="0.2">
      <c r="A20" s="35">
        <v>14</v>
      </c>
      <c r="B20" s="36" t="s">
        <v>503</v>
      </c>
      <c r="C20" s="36" t="s">
        <v>504</v>
      </c>
      <c r="D20" s="36" t="s">
        <v>251</v>
      </c>
      <c r="E20" s="37">
        <v>17000</v>
      </c>
      <c r="F20" s="38">
        <v>2108</v>
      </c>
      <c r="G20" s="39">
        <v>2.304343E-2</v>
      </c>
      <c r="H20" s="34" t="s">
        <v>143</v>
      </c>
    </row>
    <row r="21" spans="1:8" x14ac:dyDescent="0.2">
      <c r="A21" s="35">
        <v>15</v>
      </c>
      <c r="B21" s="36" t="s">
        <v>92</v>
      </c>
      <c r="C21" s="36" t="s">
        <v>93</v>
      </c>
      <c r="D21" s="36" t="s">
        <v>94</v>
      </c>
      <c r="E21" s="37">
        <v>1075000</v>
      </c>
      <c r="F21" s="38">
        <v>2051.5300000000002</v>
      </c>
      <c r="G21" s="39">
        <v>2.2426129999999999E-2</v>
      </c>
      <c r="H21" s="34" t="s">
        <v>143</v>
      </c>
    </row>
    <row r="22" spans="1:8" x14ac:dyDescent="0.2">
      <c r="A22" s="35">
        <v>16</v>
      </c>
      <c r="B22" s="36" t="s">
        <v>17</v>
      </c>
      <c r="C22" s="36" t="s">
        <v>18</v>
      </c>
      <c r="D22" s="36" t="s">
        <v>19</v>
      </c>
      <c r="E22" s="37">
        <v>55000</v>
      </c>
      <c r="F22" s="38">
        <v>2018.39</v>
      </c>
      <c r="G22" s="39">
        <v>2.2063869999999999E-2</v>
      </c>
      <c r="H22" s="34" t="s">
        <v>143</v>
      </c>
    </row>
    <row r="23" spans="1:8" x14ac:dyDescent="0.2">
      <c r="A23" s="35">
        <v>17</v>
      </c>
      <c r="B23" s="36" t="s">
        <v>429</v>
      </c>
      <c r="C23" s="36" t="s">
        <v>430</v>
      </c>
      <c r="D23" s="36" t="s">
        <v>198</v>
      </c>
      <c r="E23" s="37">
        <v>110000</v>
      </c>
      <c r="F23" s="38">
        <v>1901.46</v>
      </c>
      <c r="G23" s="39">
        <v>2.0785649999999999E-2</v>
      </c>
      <c r="H23" s="34" t="s">
        <v>143</v>
      </c>
    </row>
    <row r="24" spans="1:8" x14ac:dyDescent="0.2">
      <c r="A24" s="35">
        <v>18</v>
      </c>
      <c r="B24" s="36" t="s">
        <v>444</v>
      </c>
      <c r="C24" s="36" t="s">
        <v>445</v>
      </c>
      <c r="D24" s="36" t="s">
        <v>354</v>
      </c>
      <c r="E24" s="37">
        <v>73000</v>
      </c>
      <c r="F24" s="38">
        <v>1675.058</v>
      </c>
      <c r="G24" s="39">
        <v>1.8310759999999999E-2</v>
      </c>
      <c r="H24" s="34" t="s">
        <v>143</v>
      </c>
    </row>
    <row r="25" spans="1:8" x14ac:dyDescent="0.2">
      <c r="A25" s="35">
        <v>19</v>
      </c>
      <c r="B25" s="36" t="s">
        <v>202</v>
      </c>
      <c r="C25" s="36" t="s">
        <v>203</v>
      </c>
      <c r="D25" s="36" t="s">
        <v>16</v>
      </c>
      <c r="E25" s="37">
        <v>375000</v>
      </c>
      <c r="F25" s="38">
        <v>1642.6875</v>
      </c>
      <c r="G25" s="39">
        <v>1.7956900000000001E-2</v>
      </c>
      <c r="H25" s="34" t="s">
        <v>143</v>
      </c>
    </row>
    <row r="26" spans="1:8" x14ac:dyDescent="0.2">
      <c r="A26" s="35">
        <v>20</v>
      </c>
      <c r="B26" s="36" t="s">
        <v>513</v>
      </c>
      <c r="C26" s="36" t="s">
        <v>514</v>
      </c>
      <c r="D26" s="36" t="s">
        <v>198</v>
      </c>
      <c r="E26" s="37">
        <v>90000</v>
      </c>
      <c r="F26" s="38">
        <v>1518.3</v>
      </c>
      <c r="G26" s="39">
        <v>1.6597170000000001E-2</v>
      </c>
      <c r="H26" s="34" t="s">
        <v>143</v>
      </c>
    </row>
    <row r="27" spans="1:8" x14ac:dyDescent="0.2">
      <c r="A27" s="35">
        <v>21</v>
      </c>
      <c r="B27" s="36" t="s">
        <v>334</v>
      </c>
      <c r="C27" s="36" t="s">
        <v>335</v>
      </c>
      <c r="D27" s="36" t="s">
        <v>33</v>
      </c>
      <c r="E27" s="37">
        <v>600000</v>
      </c>
      <c r="F27" s="38">
        <v>1492.68</v>
      </c>
      <c r="G27" s="39">
        <v>1.6317109999999999E-2</v>
      </c>
      <c r="H27" s="34" t="s">
        <v>143</v>
      </c>
    </row>
    <row r="28" spans="1:8" x14ac:dyDescent="0.2">
      <c r="A28" s="35">
        <v>22</v>
      </c>
      <c r="B28" s="36" t="s">
        <v>26</v>
      </c>
      <c r="C28" s="36" t="s">
        <v>27</v>
      </c>
      <c r="D28" s="36" t="s">
        <v>28</v>
      </c>
      <c r="E28" s="37">
        <v>350000</v>
      </c>
      <c r="F28" s="38">
        <v>1475.25</v>
      </c>
      <c r="G28" s="39">
        <v>1.612657E-2</v>
      </c>
      <c r="H28" s="34" t="s">
        <v>143</v>
      </c>
    </row>
    <row r="29" spans="1:8" x14ac:dyDescent="0.2">
      <c r="A29" s="35">
        <v>23</v>
      </c>
      <c r="B29" s="36" t="s">
        <v>668</v>
      </c>
      <c r="C29" s="36" t="s">
        <v>669</v>
      </c>
      <c r="D29" s="36" t="s">
        <v>459</v>
      </c>
      <c r="E29" s="37">
        <v>23000</v>
      </c>
      <c r="F29" s="38">
        <v>1345.73</v>
      </c>
      <c r="G29" s="39">
        <v>1.471074E-2</v>
      </c>
      <c r="H29" s="34" t="s">
        <v>143</v>
      </c>
    </row>
    <row r="30" spans="1:8" x14ac:dyDescent="0.2">
      <c r="A30" s="35">
        <v>24</v>
      </c>
      <c r="B30" s="36" t="s">
        <v>509</v>
      </c>
      <c r="C30" s="36" t="s">
        <v>510</v>
      </c>
      <c r="D30" s="36" t="s">
        <v>251</v>
      </c>
      <c r="E30" s="37">
        <v>31000</v>
      </c>
      <c r="F30" s="38">
        <v>1313.501</v>
      </c>
      <c r="G30" s="39">
        <v>1.435843E-2</v>
      </c>
      <c r="H30" s="34" t="s">
        <v>143</v>
      </c>
    </row>
    <row r="31" spans="1:8" x14ac:dyDescent="0.2">
      <c r="A31" s="35">
        <v>25</v>
      </c>
      <c r="B31" s="36" t="s">
        <v>364</v>
      </c>
      <c r="C31" s="36" t="s">
        <v>365</v>
      </c>
      <c r="D31" s="36" t="s">
        <v>195</v>
      </c>
      <c r="E31" s="37">
        <v>220000</v>
      </c>
      <c r="F31" s="38">
        <v>1311.31</v>
      </c>
      <c r="G31" s="39">
        <v>1.433448E-2</v>
      </c>
      <c r="H31" s="34" t="s">
        <v>143</v>
      </c>
    </row>
    <row r="32" spans="1:8" x14ac:dyDescent="0.2">
      <c r="A32" s="35">
        <v>26</v>
      </c>
      <c r="B32" s="36" t="s">
        <v>670</v>
      </c>
      <c r="C32" s="36" t="s">
        <v>671</v>
      </c>
      <c r="D32" s="36" t="s">
        <v>22</v>
      </c>
      <c r="E32" s="37">
        <v>1500000</v>
      </c>
      <c r="F32" s="38">
        <v>1287.1500000000001</v>
      </c>
      <c r="G32" s="39">
        <v>1.407038E-2</v>
      </c>
      <c r="H32" s="34" t="s">
        <v>143</v>
      </c>
    </row>
    <row r="33" spans="1:8" x14ac:dyDescent="0.2">
      <c r="A33" s="35">
        <v>27</v>
      </c>
      <c r="B33" s="36" t="s">
        <v>292</v>
      </c>
      <c r="C33" s="36" t="s">
        <v>293</v>
      </c>
      <c r="D33" s="36" t="s">
        <v>294</v>
      </c>
      <c r="E33" s="37">
        <v>225000</v>
      </c>
      <c r="F33" s="38">
        <v>1286.0999999999999</v>
      </c>
      <c r="G33" s="39">
        <v>1.4058899999999999E-2</v>
      </c>
      <c r="H33" s="34" t="s">
        <v>143</v>
      </c>
    </row>
    <row r="34" spans="1:8" x14ac:dyDescent="0.2">
      <c r="A34" s="35">
        <v>28</v>
      </c>
      <c r="B34" s="36" t="s">
        <v>415</v>
      </c>
      <c r="C34" s="36" t="s">
        <v>416</v>
      </c>
      <c r="D34" s="36" t="s">
        <v>136</v>
      </c>
      <c r="E34" s="37">
        <v>800000</v>
      </c>
      <c r="F34" s="38">
        <v>1278.08</v>
      </c>
      <c r="G34" s="39">
        <v>1.3971229999999999E-2</v>
      </c>
      <c r="H34" s="34" t="s">
        <v>143</v>
      </c>
    </row>
    <row r="35" spans="1:8" ht="25.5" x14ac:dyDescent="0.2">
      <c r="A35" s="35">
        <v>29</v>
      </c>
      <c r="B35" s="50" t="s">
        <v>1012</v>
      </c>
      <c r="C35" s="50" t="s">
        <v>1019</v>
      </c>
      <c r="D35" s="50" t="s">
        <v>61</v>
      </c>
      <c r="E35" s="103">
        <v>1100000</v>
      </c>
      <c r="F35" s="104">
        <f>127557040/10^5</f>
        <v>1275.5704000000001</v>
      </c>
      <c r="G35" s="105">
        <f>F35/F126</f>
        <v>1.3943793293684033E-2</v>
      </c>
      <c r="H35" s="34" t="s">
        <v>143</v>
      </c>
    </row>
    <row r="36" spans="1:8" ht="25.5" x14ac:dyDescent="0.2">
      <c r="A36" s="35">
        <v>30</v>
      </c>
      <c r="B36" s="36" t="s">
        <v>348</v>
      </c>
      <c r="C36" s="36" t="s">
        <v>349</v>
      </c>
      <c r="D36" s="36" t="s">
        <v>201</v>
      </c>
      <c r="E36" s="37">
        <v>75000</v>
      </c>
      <c r="F36" s="38">
        <v>1256.7750000000001</v>
      </c>
      <c r="G36" s="39">
        <v>1.373833E-2</v>
      </c>
      <c r="H36" s="34" t="s">
        <v>143</v>
      </c>
    </row>
    <row r="37" spans="1:8" x14ac:dyDescent="0.2">
      <c r="A37" s="35">
        <v>31</v>
      </c>
      <c r="B37" s="36" t="s">
        <v>97</v>
      </c>
      <c r="C37" s="36" t="s">
        <v>98</v>
      </c>
      <c r="D37" s="36" t="s">
        <v>73</v>
      </c>
      <c r="E37" s="37">
        <v>35000</v>
      </c>
      <c r="F37" s="38">
        <v>1189.79</v>
      </c>
      <c r="G37" s="39">
        <v>1.300609E-2</v>
      </c>
      <c r="H37" s="34" t="s">
        <v>143</v>
      </c>
    </row>
    <row r="38" spans="1:8" x14ac:dyDescent="0.2">
      <c r="A38" s="35">
        <v>32</v>
      </c>
      <c r="B38" s="36" t="s">
        <v>338</v>
      </c>
      <c r="C38" s="36" t="s">
        <v>339</v>
      </c>
      <c r="D38" s="36" t="s">
        <v>251</v>
      </c>
      <c r="E38" s="37">
        <v>37000</v>
      </c>
      <c r="F38" s="38">
        <v>1177.7840000000001</v>
      </c>
      <c r="G38" s="39">
        <v>1.287485E-2</v>
      </c>
      <c r="H38" s="34" t="s">
        <v>143</v>
      </c>
    </row>
    <row r="39" spans="1:8" x14ac:dyDescent="0.2">
      <c r="A39" s="35">
        <v>33</v>
      </c>
      <c r="B39" s="36" t="s">
        <v>511</v>
      </c>
      <c r="C39" s="36" t="s">
        <v>512</v>
      </c>
      <c r="D39" s="36" t="s">
        <v>251</v>
      </c>
      <c r="E39" s="37">
        <v>14000</v>
      </c>
      <c r="F39" s="38">
        <v>1172.6400000000001</v>
      </c>
      <c r="G39" s="39">
        <v>1.2818619999999999E-2</v>
      </c>
      <c r="H39" s="34" t="s">
        <v>143</v>
      </c>
    </row>
    <row r="40" spans="1:8" x14ac:dyDescent="0.2">
      <c r="A40" s="35">
        <v>34</v>
      </c>
      <c r="B40" s="36" t="s">
        <v>491</v>
      </c>
      <c r="C40" s="36" t="s">
        <v>492</v>
      </c>
      <c r="D40" s="36" t="s">
        <v>206</v>
      </c>
      <c r="E40" s="37">
        <v>90000</v>
      </c>
      <c r="F40" s="38">
        <v>1161.72</v>
      </c>
      <c r="G40" s="39">
        <v>1.269925E-2</v>
      </c>
      <c r="H40" s="34" t="s">
        <v>143</v>
      </c>
    </row>
    <row r="41" spans="1:8" x14ac:dyDescent="0.2">
      <c r="A41" s="35">
        <v>35</v>
      </c>
      <c r="B41" s="36" t="s">
        <v>672</v>
      </c>
      <c r="C41" s="36" t="s">
        <v>673</v>
      </c>
      <c r="D41" s="36" t="s">
        <v>22</v>
      </c>
      <c r="E41" s="37">
        <v>635000</v>
      </c>
      <c r="F41" s="38">
        <v>1090.6125</v>
      </c>
      <c r="G41" s="39">
        <v>1.1921940000000001E-2</v>
      </c>
      <c r="H41" s="34" t="s">
        <v>143</v>
      </c>
    </row>
    <row r="42" spans="1:8" x14ac:dyDescent="0.2">
      <c r="A42" s="35">
        <v>36</v>
      </c>
      <c r="B42" s="36" t="s">
        <v>326</v>
      </c>
      <c r="C42" s="36" t="s">
        <v>327</v>
      </c>
      <c r="D42" s="36" t="s">
        <v>33</v>
      </c>
      <c r="E42" s="37">
        <v>50000</v>
      </c>
      <c r="F42" s="38">
        <v>1081.75</v>
      </c>
      <c r="G42" s="39">
        <v>1.182506E-2</v>
      </c>
      <c r="H42" s="34" t="s">
        <v>143</v>
      </c>
    </row>
    <row r="43" spans="1:8" x14ac:dyDescent="0.2">
      <c r="A43" s="35">
        <v>37</v>
      </c>
      <c r="B43" s="36" t="s">
        <v>212</v>
      </c>
      <c r="C43" s="36" t="s">
        <v>213</v>
      </c>
      <c r="D43" s="36" t="s">
        <v>198</v>
      </c>
      <c r="E43" s="37">
        <v>55000</v>
      </c>
      <c r="F43" s="38">
        <v>1058.4749999999999</v>
      </c>
      <c r="G43" s="39">
        <v>1.157063E-2</v>
      </c>
      <c r="H43" s="34" t="s">
        <v>143</v>
      </c>
    </row>
    <row r="44" spans="1:8" ht="25.5" x14ac:dyDescent="0.2">
      <c r="A44" s="35">
        <v>38</v>
      </c>
      <c r="B44" s="36" t="s">
        <v>23</v>
      </c>
      <c r="C44" s="36" t="s">
        <v>24</v>
      </c>
      <c r="D44" s="36" t="s">
        <v>25</v>
      </c>
      <c r="E44" s="37">
        <v>8500</v>
      </c>
      <c r="F44" s="38">
        <v>1027.905</v>
      </c>
      <c r="G44" s="39">
        <v>1.123646E-2</v>
      </c>
      <c r="H44" s="34" t="s">
        <v>143</v>
      </c>
    </row>
    <row r="45" spans="1:8" x14ac:dyDescent="0.2">
      <c r="A45" s="35">
        <v>39</v>
      </c>
      <c r="B45" s="36" t="s">
        <v>324</v>
      </c>
      <c r="C45" s="36" t="s">
        <v>325</v>
      </c>
      <c r="D45" s="36" t="s">
        <v>33</v>
      </c>
      <c r="E45" s="37">
        <v>85000</v>
      </c>
      <c r="F45" s="38">
        <v>1019.32</v>
      </c>
      <c r="G45" s="39">
        <v>1.1142610000000001E-2</v>
      </c>
      <c r="H45" s="34" t="s">
        <v>143</v>
      </c>
    </row>
    <row r="46" spans="1:8" x14ac:dyDescent="0.2">
      <c r="A46" s="35">
        <v>40</v>
      </c>
      <c r="B46" s="36" t="s">
        <v>227</v>
      </c>
      <c r="C46" s="36" t="s">
        <v>228</v>
      </c>
      <c r="D46" s="36" t="s">
        <v>43</v>
      </c>
      <c r="E46" s="37">
        <v>225000</v>
      </c>
      <c r="F46" s="38">
        <v>1009.8</v>
      </c>
      <c r="G46" s="39">
        <v>1.1038549999999999E-2</v>
      </c>
      <c r="H46" s="34" t="s">
        <v>143</v>
      </c>
    </row>
    <row r="47" spans="1:8" x14ac:dyDescent="0.2">
      <c r="A47" s="35">
        <v>41</v>
      </c>
      <c r="B47" s="36" t="s">
        <v>674</v>
      </c>
      <c r="C47" s="36" t="s">
        <v>675</v>
      </c>
      <c r="D47" s="36" t="s">
        <v>16</v>
      </c>
      <c r="E47" s="37">
        <v>450000</v>
      </c>
      <c r="F47" s="38">
        <v>997.78499999999997</v>
      </c>
      <c r="G47" s="39">
        <v>1.0907210000000001E-2</v>
      </c>
      <c r="H47" s="34" t="s">
        <v>143</v>
      </c>
    </row>
    <row r="48" spans="1:8" x14ac:dyDescent="0.2">
      <c r="A48" s="35">
        <v>42</v>
      </c>
      <c r="B48" s="36" t="s">
        <v>676</v>
      </c>
      <c r="C48" s="36" t="s">
        <v>677</v>
      </c>
      <c r="D48" s="36" t="s">
        <v>198</v>
      </c>
      <c r="E48" s="37">
        <v>35000</v>
      </c>
      <c r="F48" s="38">
        <v>995.89</v>
      </c>
      <c r="G48" s="39">
        <v>1.088649E-2</v>
      </c>
      <c r="H48" s="34" t="s">
        <v>143</v>
      </c>
    </row>
    <row r="49" spans="1:8" x14ac:dyDescent="0.2">
      <c r="A49" s="35">
        <v>43</v>
      </c>
      <c r="B49" s="36" t="s">
        <v>644</v>
      </c>
      <c r="C49" s="36" t="s">
        <v>645</v>
      </c>
      <c r="D49" s="36" t="s">
        <v>16</v>
      </c>
      <c r="E49" s="37">
        <v>675000</v>
      </c>
      <c r="F49" s="38">
        <v>991.98</v>
      </c>
      <c r="G49" s="39">
        <v>1.0843749999999999E-2</v>
      </c>
      <c r="H49" s="34" t="s">
        <v>143</v>
      </c>
    </row>
    <row r="50" spans="1:8" ht="25.5" x14ac:dyDescent="0.2">
      <c r="A50" s="35">
        <v>44</v>
      </c>
      <c r="B50" s="36" t="s">
        <v>678</v>
      </c>
      <c r="C50" s="36" t="s">
        <v>679</v>
      </c>
      <c r="D50" s="36" t="s">
        <v>201</v>
      </c>
      <c r="E50" s="37">
        <v>15333</v>
      </c>
      <c r="F50" s="38">
        <v>976.94209499999999</v>
      </c>
      <c r="G50" s="39">
        <v>1.0679360000000001E-2</v>
      </c>
      <c r="H50" s="34" t="s">
        <v>143</v>
      </c>
    </row>
    <row r="51" spans="1:8" x14ac:dyDescent="0.2">
      <c r="A51" s="35">
        <v>45</v>
      </c>
      <c r="B51" s="36" t="s">
        <v>336</v>
      </c>
      <c r="C51" s="36" t="s">
        <v>337</v>
      </c>
      <c r="D51" s="36" t="s">
        <v>28</v>
      </c>
      <c r="E51" s="37">
        <v>20000</v>
      </c>
      <c r="F51" s="38">
        <v>973.96</v>
      </c>
      <c r="G51" s="39">
        <v>1.064676E-2</v>
      </c>
      <c r="H51" s="34" t="s">
        <v>143</v>
      </c>
    </row>
    <row r="52" spans="1:8" x14ac:dyDescent="0.2">
      <c r="A52" s="35">
        <v>46</v>
      </c>
      <c r="B52" s="36" t="s">
        <v>499</v>
      </c>
      <c r="C52" s="36" t="s">
        <v>500</v>
      </c>
      <c r="D52" s="36" t="s">
        <v>192</v>
      </c>
      <c r="E52" s="37">
        <v>240000</v>
      </c>
      <c r="F52" s="38">
        <v>965.76</v>
      </c>
      <c r="G52" s="39">
        <v>1.055713E-2</v>
      </c>
      <c r="H52" s="34" t="s">
        <v>143</v>
      </c>
    </row>
    <row r="53" spans="1:8" x14ac:dyDescent="0.2">
      <c r="A53" s="35">
        <v>47</v>
      </c>
      <c r="B53" s="36" t="s">
        <v>190</v>
      </c>
      <c r="C53" s="36" t="s">
        <v>191</v>
      </c>
      <c r="D53" s="36" t="s">
        <v>192</v>
      </c>
      <c r="E53" s="37">
        <v>350000</v>
      </c>
      <c r="F53" s="38">
        <v>944.82500000000005</v>
      </c>
      <c r="G53" s="39">
        <v>1.032828E-2</v>
      </c>
      <c r="H53" s="34" t="s">
        <v>143</v>
      </c>
    </row>
    <row r="54" spans="1:8" x14ac:dyDescent="0.2">
      <c r="A54" s="35">
        <v>48</v>
      </c>
      <c r="B54" s="36" t="s">
        <v>680</v>
      </c>
      <c r="C54" s="36" t="s">
        <v>681</v>
      </c>
      <c r="D54" s="36" t="s">
        <v>70</v>
      </c>
      <c r="E54" s="37">
        <v>200000</v>
      </c>
      <c r="F54" s="38">
        <v>868.5</v>
      </c>
      <c r="G54" s="39">
        <v>9.4939399999999993E-3</v>
      </c>
      <c r="H54" s="34" t="s">
        <v>143</v>
      </c>
    </row>
    <row r="55" spans="1:8" ht="25.5" x14ac:dyDescent="0.2">
      <c r="A55" s="35">
        <v>49</v>
      </c>
      <c r="B55" s="36" t="s">
        <v>682</v>
      </c>
      <c r="C55" s="36" t="s">
        <v>683</v>
      </c>
      <c r="D55" s="36" t="s">
        <v>185</v>
      </c>
      <c r="E55" s="37">
        <v>10000</v>
      </c>
      <c r="F55" s="38">
        <v>629.45000000000005</v>
      </c>
      <c r="G55" s="39">
        <v>6.8807800000000004E-3</v>
      </c>
      <c r="H55" s="34" t="s">
        <v>143</v>
      </c>
    </row>
    <row r="56" spans="1:8" x14ac:dyDescent="0.2">
      <c r="A56" s="35">
        <v>50</v>
      </c>
      <c r="B56" s="36" t="s">
        <v>263</v>
      </c>
      <c r="C56" s="36" t="s">
        <v>264</v>
      </c>
      <c r="D56" s="36" t="s">
        <v>265</v>
      </c>
      <c r="E56" s="37">
        <v>14000</v>
      </c>
      <c r="F56" s="38">
        <v>616.29399999999998</v>
      </c>
      <c r="G56" s="39">
        <v>6.7369700000000001E-3</v>
      </c>
      <c r="H56" s="34" t="s">
        <v>143</v>
      </c>
    </row>
    <row r="57" spans="1:8" x14ac:dyDescent="0.2">
      <c r="A57" s="35">
        <v>51</v>
      </c>
      <c r="B57" s="36" t="s">
        <v>684</v>
      </c>
      <c r="C57" s="36" t="s">
        <v>685</v>
      </c>
      <c r="D57" s="36" t="s">
        <v>55</v>
      </c>
      <c r="E57" s="37">
        <v>25000</v>
      </c>
      <c r="F57" s="38">
        <v>585.27499999999998</v>
      </c>
      <c r="G57" s="39">
        <v>6.3978899999999998E-3</v>
      </c>
      <c r="H57" s="34" t="s">
        <v>143</v>
      </c>
    </row>
    <row r="58" spans="1:8" x14ac:dyDescent="0.2">
      <c r="A58" s="35">
        <v>52</v>
      </c>
      <c r="B58" s="36" t="s">
        <v>332</v>
      </c>
      <c r="C58" s="36" t="s">
        <v>333</v>
      </c>
      <c r="D58" s="36" t="s">
        <v>192</v>
      </c>
      <c r="E58" s="37">
        <v>60000</v>
      </c>
      <c r="F58" s="38">
        <v>561.9</v>
      </c>
      <c r="G58" s="39">
        <v>6.1423600000000004E-3</v>
      </c>
      <c r="H58" s="34" t="s">
        <v>143</v>
      </c>
    </row>
    <row r="59" spans="1:8" x14ac:dyDescent="0.2">
      <c r="A59" s="35">
        <v>53</v>
      </c>
      <c r="B59" s="36" t="s">
        <v>277</v>
      </c>
      <c r="C59" s="36" t="s">
        <v>278</v>
      </c>
      <c r="D59" s="36" t="s">
        <v>192</v>
      </c>
      <c r="E59" s="37">
        <v>75000</v>
      </c>
      <c r="F59" s="38">
        <v>530.13750000000005</v>
      </c>
      <c r="G59" s="39">
        <v>5.7951599999999997E-3</v>
      </c>
      <c r="H59" s="34" t="s">
        <v>143</v>
      </c>
    </row>
    <row r="60" spans="1:8" x14ac:dyDescent="0.2">
      <c r="A60" s="41"/>
      <c r="B60" s="41"/>
      <c r="C60" s="42" t="s">
        <v>142</v>
      </c>
      <c r="D60" s="41"/>
      <c r="E60" s="41" t="s">
        <v>143</v>
      </c>
      <c r="F60" s="43">
        <f>SUM(F7:F59)</f>
        <v>86243.051994999987</v>
      </c>
      <c r="G60" s="44">
        <f>SUM(G7:G59)</f>
        <v>0.94275889093994247</v>
      </c>
      <c r="H60" s="34" t="s">
        <v>143</v>
      </c>
    </row>
    <row r="61" spans="1:8" x14ac:dyDescent="0.2">
      <c r="A61" s="41"/>
      <c r="B61" s="41"/>
      <c r="C61" s="45"/>
      <c r="D61" s="41"/>
      <c r="E61" s="41"/>
      <c r="F61" s="46"/>
      <c r="G61" s="46"/>
      <c r="H61" s="34" t="s">
        <v>143</v>
      </c>
    </row>
    <row r="62" spans="1:8" x14ac:dyDescent="0.2">
      <c r="A62" s="41"/>
      <c r="B62" s="41"/>
      <c r="C62" s="42" t="s">
        <v>144</v>
      </c>
      <c r="D62" s="41"/>
      <c r="E62" s="41"/>
      <c r="F62" s="41"/>
      <c r="G62" s="41"/>
      <c r="H62" s="34" t="s">
        <v>143</v>
      </c>
    </row>
    <row r="63" spans="1:8" x14ac:dyDescent="0.2">
      <c r="A63" s="41"/>
      <c r="B63" s="41"/>
      <c r="C63" s="42" t="s">
        <v>142</v>
      </c>
      <c r="D63" s="41"/>
      <c r="E63" s="41" t="s">
        <v>143</v>
      </c>
      <c r="F63" s="47" t="s">
        <v>145</v>
      </c>
      <c r="G63" s="44">
        <v>0</v>
      </c>
      <c r="H63" s="34" t="s">
        <v>143</v>
      </c>
    </row>
    <row r="64" spans="1:8" x14ac:dyDescent="0.2">
      <c r="A64" s="41"/>
      <c r="B64" s="41"/>
      <c r="C64" s="45"/>
      <c r="D64" s="41"/>
      <c r="E64" s="41"/>
      <c r="F64" s="46"/>
      <c r="G64" s="46"/>
      <c r="H64" s="34" t="s">
        <v>143</v>
      </c>
    </row>
    <row r="65" spans="1:8" x14ac:dyDescent="0.2">
      <c r="A65" s="41"/>
      <c r="B65" s="41"/>
      <c r="C65" s="42" t="s">
        <v>146</v>
      </c>
      <c r="D65" s="41"/>
      <c r="E65" s="41"/>
      <c r="F65" s="41"/>
      <c r="G65" s="41"/>
      <c r="H65" s="34" t="s">
        <v>143</v>
      </c>
    </row>
    <row r="66" spans="1:8" x14ac:dyDescent="0.2">
      <c r="A66" s="35">
        <v>1</v>
      </c>
      <c r="B66" s="36" t="s">
        <v>688</v>
      </c>
      <c r="C66" s="50" t="s">
        <v>1020</v>
      </c>
      <c r="D66" s="36"/>
      <c r="E66" s="37">
        <v>200000</v>
      </c>
      <c r="F66" s="38">
        <v>1.9999999999999999E-6</v>
      </c>
      <c r="G66" s="48" t="s">
        <v>141</v>
      </c>
      <c r="H66" s="34" t="s">
        <v>143</v>
      </c>
    </row>
    <row r="67" spans="1:8" x14ac:dyDescent="0.2">
      <c r="A67" s="35">
        <v>2</v>
      </c>
      <c r="B67" s="36" t="s">
        <v>689</v>
      </c>
      <c r="C67" s="50" t="s">
        <v>1021</v>
      </c>
      <c r="D67" s="36"/>
      <c r="E67" s="37">
        <v>50000</v>
      </c>
      <c r="F67" s="38">
        <v>4.9999999999999998E-7</v>
      </c>
      <c r="G67" s="48" t="s">
        <v>141</v>
      </c>
      <c r="H67" s="34" t="s">
        <v>143</v>
      </c>
    </row>
    <row r="68" spans="1:8" x14ac:dyDescent="0.2">
      <c r="A68" s="35">
        <v>3</v>
      </c>
      <c r="B68" s="36" t="s">
        <v>686</v>
      </c>
      <c r="C68" s="50" t="s">
        <v>1022</v>
      </c>
      <c r="D68" s="36"/>
      <c r="E68" s="37">
        <v>50000</v>
      </c>
      <c r="F68" s="38">
        <v>4.9999999999999998E-7</v>
      </c>
      <c r="G68" s="48" t="s">
        <v>141</v>
      </c>
      <c r="H68" s="34" t="s">
        <v>143</v>
      </c>
    </row>
    <row r="69" spans="1:8" x14ac:dyDescent="0.2">
      <c r="A69" s="35">
        <v>4</v>
      </c>
      <c r="B69" s="36" t="s">
        <v>687</v>
      </c>
      <c r="C69" s="50" t="s">
        <v>1023</v>
      </c>
      <c r="D69" s="36"/>
      <c r="E69" s="37">
        <v>20</v>
      </c>
      <c r="F69" s="38">
        <v>0</v>
      </c>
      <c r="G69" s="48" t="s">
        <v>141</v>
      </c>
      <c r="H69" s="34" t="s">
        <v>143</v>
      </c>
    </row>
    <row r="70" spans="1:8" x14ac:dyDescent="0.2">
      <c r="A70" s="41"/>
      <c r="B70" s="41"/>
      <c r="C70" s="42" t="s">
        <v>142</v>
      </c>
      <c r="D70" s="41"/>
      <c r="E70" s="41" t="s">
        <v>143</v>
      </c>
      <c r="F70" s="47" t="s">
        <v>145</v>
      </c>
      <c r="G70" s="44">
        <v>0</v>
      </c>
      <c r="H70" s="34" t="s">
        <v>143</v>
      </c>
    </row>
    <row r="71" spans="1:8" x14ac:dyDescent="0.2">
      <c r="A71" s="41"/>
      <c r="B71" s="41"/>
      <c r="C71" s="45"/>
      <c r="D71" s="41"/>
      <c r="E71" s="41"/>
      <c r="F71" s="46"/>
      <c r="G71" s="46"/>
      <c r="H71" s="34" t="s">
        <v>143</v>
      </c>
    </row>
    <row r="72" spans="1:8" x14ac:dyDescent="0.2">
      <c r="A72" s="41"/>
      <c r="B72" s="41"/>
      <c r="C72" s="42" t="s">
        <v>147</v>
      </c>
      <c r="D72" s="41"/>
      <c r="E72" s="41"/>
      <c r="F72" s="41"/>
      <c r="G72" s="41"/>
      <c r="H72" s="34" t="s">
        <v>143</v>
      </c>
    </row>
    <row r="73" spans="1:8" x14ac:dyDescent="0.2">
      <c r="A73" s="41"/>
      <c r="B73" s="41"/>
      <c r="C73" s="42" t="s">
        <v>142</v>
      </c>
      <c r="D73" s="41"/>
      <c r="E73" s="41" t="s">
        <v>143</v>
      </c>
      <c r="F73" s="47" t="s">
        <v>145</v>
      </c>
      <c r="G73" s="44">
        <v>0</v>
      </c>
      <c r="H73" s="34" t="s">
        <v>143</v>
      </c>
    </row>
    <row r="74" spans="1:8" x14ac:dyDescent="0.2">
      <c r="A74" s="41"/>
      <c r="B74" s="41"/>
      <c r="C74" s="45"/>
      <c r="D74" s="41"/>
      <c r="E74" s="41"/>
      <c r="F74" s="46"/>
      <c r="G74" s="46"/>
      <c r="H74" s="34" t="s">
        <v>143</v>
      </c>
    </row>
    <row r="75" spans="1:8" x14ac:dyDescent="0.2">
      <c r="A75" s="41"/>
      <c r="B75" s="41"/>
      <c r="C75" s="42" t="s">
        <v>148</v>
      </c>
      <c r="D75" s="41"/>
      <c r="E75" s="41"/>
      <c r="F75" s="46"/>
      <c r="G75" s="46"/>
      <c r="H75" s="34" t="s">
        <v>143</v>
      </c>
    </row>
    <row r="76" spans="1:8" x14ac:dyDescent="0.2">
      <c r="A76" s="41"/>
      <c r="B76" s="41"/>
      <c r="C76" s="42" t="s">
        <v>142</v>
      </c>
      <c r="D76" s="41"/>
      <c r="E76" s="41" t="s">
        <v>143</v>
      </c>
      <c r="F76" s="47" t="s">
        <v>145</v>
      </c>
      <c r="G76" s="44">
        <v>0</v>
      </c>
      <c r="H76" s="34" t="s">
        <v>143</v>
      </c>
    </row>
    <row r="77" spans="1:8" x14ac:dyDescent="0.2">
      <c r="A77" s="41"/>
      <c r="B77" s="41"/>
      <c r="C77" s="45"/>
      <c r="D77" s="41"/>
      <c r="E77" s="41"/>
      <c r="F77" s="46"/>
      <c r="G77" s="46"/>
      <c r="H77" s="34" t="s">
        <v>143</v>
      </c>
    </row>
    <row r="78" spans="1:8" x14ac:dyDescent="0.2">
      <c r="A78" s="41"/>
      <c r="B78" s="41"/>
      <c r="C78" s="42" t="s">
        <v>149</v>
      </c>
      <c r="D78" s="41"/>
      <c r="E78" s="41"/>
      <c r="F78" s="46"/>
      <c r="G78" s="46"/>
      <c r="H78" s="34" t="s">
        <v>143</v>
      </c>
    </row>
    <row r="79" spans="1:8" x14ac:dyDescent="0.2">
      <c r="A79" s="41"/>
      <c r="B79" s="41"/>
      <c r="C79" s="42" t="s">
        <v>142</v>
      </c>
      <c r="D79" s="41"/>
      <c r="E79" s="41" t="s">
        <v>143</v>
      </c>
      <c r="F79" s="47" t="s">
        <v>145</v>
      </c>
      <c r="G79" s="44">
        <v>0</v>
      </c>
      <c r="H79" s="34" t="s">
        <v>143</v>
      </c>
    </row>
    <row r="80" spans="1:8" x14ac:dyDescent="0.2">
      <c r="A80" s="41"/>
      <c r="B80" s="41"/>
      <c r="C80" s="45"/>
      <c r="D80" s="41"/>
      <c r="E80" s="41"/>
      <c r="F80" s="46"/>
      <c r="G80" s="46"/>
      <c r="H80" s="34" t="s">
        <v>143</v>
      </c>
    </row>
    <row r="81" spans="1:8" x14ac:dyDescent="0.2">
      <c r="A81" s="41"/>
      <c r="B81" s="41"/>
      <c r="C81" s="42" t="s">
        <v>150</v>
      </c>
      <c r="D81" s="41"/>
      <c r="E81" s="41"/>
      <c r="F81" s="43">
        <f>F60</f>
        <v>86243.051994999987</v>
      </c>
      <c r="G81" s="44">
        <f>G60</f>
        <v>0.94275889093994247</v>
      </c>
      <c r="H81" s="34" t="s">
        <v>143</v>
      </c>
    </row>
    <row r="82" spans="1:8" x14ac:dyDescent="0.2">
      <c r="A82" s="41"/>
      <c r="B82" s="41"/>
      <c r="C82" s="45"/>
      <c r="D82" s="41"/>
      <c r="E82" s="41"/>
      <c r="F82" s="46"/>
      <c r="G82" s="46"/>
      <c r="H82" s="34" t="s">
        <v>143</v>
      </c>
    </row>
    <row r="83" spans="1:8" x14ac:dyDescent="0.2">
      <c r="A83" s="41"/>
      <c r="B83" s="41"/>
      <c r="C83" s="42" t="s">
        <v>151</v>
      </c>
      <c r="D83" s="41"/>
      <c r="E83" s="41"/>
      <c r="F83" s="46"/>
      <c r="G83" s="46"/>
      <c r="H83" s="34" t="s">
        <v>143</v>
      </c>
    </row>
    <row r="84" spans="1:8" x14ac:dyDescent="0.2">
      <c r="A84" s="41"/>
      <c r="B84" s="41"/>
      <c r="C84" s="42" t="s">
        <v>10</v>
      </c>
      <c r="D84" s="41"/>
      <c r="E84" s="41"/>
      <c r="F84" s="46"/>
      <c r="G84" s="46"/>
      <c r="H84" s="34" t="s">
        <v>143</v>
      </c>
    </row>
    <row r="85" spans="1:8" x14ac:dyDescent="0.2">
      <c r="A85" s="41"/>
      <c r="B85" s="41"/>
      <c r="C85" s="42" t="s">
        <v>142</v>
      </c>
      <c r="D85" s="41"/>
      <c r="E85" s="41" t="s">
        <v>143</v>
      </c>
      <c r="F85" s="47" t="s">
        <v>145</v>
      </c>
      <c r="G85" s="44">
        <v>0</v>
      </c>
      <c r="H85" s="34" t="s">
        <v>143</v>
      </c>
    </row>
    <row r="86" spans="1:8" x14ac:dyDescent="0.2">
      <c r="A86" s="41"/>
      <c r="B86" s="41"/>
      <c r="C86" s="45"/>
      <c r="D86" s="41"/>
      <c r="E86" s="41"/>
      <c r="F86" s="46"/>
      <c r="G86" s="46"/>
      <c r="H86" s="34" t="s">
        <v>143</v>
      </c>
    </row>
    <row r="87" spans="1:8" x14ac:dyDescent="0.2">
      <c r="A87" s="41"/>
      <c r="B87" s="41"/>
      <c r="C87" s="42" t="s">
        <v>152</v>
      </c>
      <c r="D87" s="41"/>
      <c r="E87" s="41"/>
      <c r="F87" s="41"/>
      <c r="G87" s="41"/>
      <c r="H87" s="34" t="s">
        <v>143</v>
      </c>
    </row>
    <row r="88" spans="1:8" x14ac:dyDescent="0.2">
      <c r="A88" s="41"/>
      <c r="B88" s="41"/>
      <c r="C88" s="42" t="s">
        <v>142</v>
      </c>
      <c r="D88" s="41"/>
      <c r="E88" s="41" t="s">
        <v>143</v>
      </c>
      <c r="F88" s="47" t="s">
        <v>145</v>
      </c>
      <c r="G88" s="44">
        <v>0</v>
      </c>
      <c r="H88" s="34" t="s">
        <v>143</v>
      </c>
    </row>
    <row r="89" spans="1:8" x14ac:dyDescent="0.2">
      <c r="A89" s="41"/>
      <c r="B89" s="41"/>
      <c r="C89" s="45"/>
      <c r="D89" s="41"/>
      <c r="E89" s="41"/>
      <c r="F89" s="46"/>
      <c r="G89" s="46"/>
      <c r="H89" s="34" t="s">
        <v>143</v>
      </c>
    </row>
    <row r="90" spans="1:8" x14ac:dyDescent="0.2">
      <c r="A90" s="41"/>
      <c r="B90" s="41"/>
      <c r="C90" s="42" t="s">
        <v>153</v>
      </c>
      <c r="D90" s="41"/>
      <c r="E90" s="41"/>
      <c r="F90" s="41"/>
      <c r="G90" s="41"/>
      <c r="H90" s="34" t="s">
        <v>143</v>
      </c>
    </row>
    <row r="91" spans="1:8" x14ac:dyDescent="0.2">
      <c r="A91" s="41"/>
      <c r="B91" s="41"/>
      <c r="C91" s="42" t="s">
        <v>142</v>
      </c>
      <c r="D91" s="41"/>
      <c r="E91" s="41" t="s">
        <v>143</v>
      </c>
      <c r="F91" s="47" t="s">
        <v>145</v>
      </c>
      <c r="G91" s="44">
        <v>0</v>
      </c>
      <c r="H91" s="34" t="s">
        <v>143</v>
      </c>
    </row>
    <row r="92" spans="1:8" x14ac:dyDescent="0.2">
      <c r="A92" s="41"/>
      <c r="B92" s="41"/>
      <c r="C92" s="45"/>
      <c r="D92" s="41"/>
      <c r="E92" s="41"/>
      <c r="F92" s="46"/>
      <c r="G92" s="46"/>
      <c r="H92" s="34" t="s">
        <v>143</v>
      </c>
    </row>
    <row r="93" spans="1:8" x14ac:dyDescent="0.2">
      <c r="A93" s="41"/>
      <c r="B93" s="41"/>
      <c r="C93" s="42" t="s">
        <v>154</v>
      </c>
      <c r="D93" s="41"/>
      <c r="E93" s="41"/>
      <c r="F93" s="46"/>
      <c r="G93" s="46"/>
      <c r="H93" s="34" t="s">
        <v>143</v>
      </c>
    </row>
    <row r="94" spans="1:8" x14ac:dyDescent="0.2">
      <c r="A94" s="41"/>
      <c r="B94" s="41"/>
      <c r="C94" s="42" t="s">
        <v>142</v>
      </c>
      <c r="D94" s="41"/>
      <c r="E94" s="41" t="s">
        <v>143</v>
      </c>
      <c r="F94" s="47" t="s">
        <v>145</v>
      </c>
      <c r="G94" s="44">
        <v>0</v>
      </c>
      <c r="H94" s="34" t="s">
        <v>143</v>
      </c>
    </row>
    <row r="95" spans="1:8" x14ac:dyDescent="0.2">
      <c r="A95" s="41"/>
      <c r="B95" s="41"/>
      <c r="C95" s="45"/>
      <c r="D95" s="41"/>
      <c r="E95" s="41"/>
      <c r="F95" s="46"/>
      <c r="G95" s="46"/>
      <c r="H95" s="34" t="s">
        <v>143</v>
      </c>
    </row>
    <row r="96" spans="1:8" x14ac:dyDescent="0.2">
      <c r="A96" s="41"/>
      <c r="B96" s="41"/>
      <c r="C96" s="42" t="s">
        <v>155</v>
      </c>
      <c r="D96" s="41"/>
      <c r="E96" s="41"/>
      <c r="F96" s="43">
        <v>0</v>
      </c>
      <c r="G96" s="44">
        <v>0</v>
      </c>
      <c r="H96" s="34" t="s">
        <v>143</v>
      </c>
    </row>
    <row r="97" spans="1:8" x14ac:dyDescent="0.2">
      <c r="A97" s="41"/>
      <c r="B97" s="41"/>
      <c r="C97" s="45"/>
      <c r="D97" s="41"/>
      <c r="E97" s="41"/>
      <c r="F97" s="46"/>
      <c r="G97" s="46"/>
      <c r="H97" s="34" t="s">
        <v>143</v>
      </c>
    </row>
    <row r="98" spans="1:8" x14ac:dyDescent="0.2">
      <c r="A98" s="41"/>
      <c r="B98" s="41"/>
      <c r="C98" s="42" t="s">
        <v>156</v>
      </c>
      <c r="D98" s="41"/>
      <c r="E98" s="41"/>
      <c r="F98" s="46"/>
      <c r="G98" s="46"/>
      <c r="H98" s="34" t="s">
        <v>143</v>
      </c>
    </row>
    <row r="99" spans="1:8" x14ac:dyDescent="0.2">
      <c r="A99" s="41"/>
      <c r="B99" s="41"/>
      <c r="C99" s="42" t="s">
        <v>157</v>
      </c>
      <c r="D99" s="41"/>
      <c r="E99" s="41"/>
      <c r="F99" s="46"/>
      <c r="G99" s="46"/>
      <c r="H99" s="34" t="s">
        <v>143</v>
      </c>
    </row>
    <row r="100" spans="1:8" x14ac:dyDescent="0.2">
      <c r="A100" s="41"/>
      <c r="B100" s="41"/>
      <c r="C100" s="42" t="s">
        <v>142</v>
      </c>
      <c r="D100" s="41"/>
      <c r="E100" s="41" t="s">
        <v>143</v>
      </c>
      <c r="F100" s="47" t="s">
        <v>145</v>
      </c>
      <c r="G100" s="44">
        <v>0</v>
      </c>
      <c r="H100" s="34" t="s">
        <v>143</v>
      </c>
    </row>
    <row r="101" spans="1:8" x14ac:dyDescent="0.2">
      <c r="A101" s="41"/>
      <c r="B101" s="41"/>
      <c r="C101" s="45"/>
      <c r="D101" s="41"/>
      <c r="E101" s="41"/>
      <c r="F101" s="46"/>
      <c r="G101" s="46"/>
      <c r="H101" s="34" t="s">
        <v>143</v>
      </c>
    </row>
    <row r="102" spans="1:8" x14ac:dyDescent="0.2">
      <c r="A102" s="41"/>
      <c r="B102" s="41"/>
      <c r="C102" s="42" t="s">
        <v>158</v>
      </c>
      <c r="D102" s="41"/>
      <c r="E102" s="41"/>
      <c r="F102" s="46"/>
      <c r="G102" s="46"/>
      <c r="H102" s="34" t="s">
        <v>143</v>
      </c>
    </row>
    <row r="103" spans="1:8" x14ac:dyDescent="0.2">
      <c r="A103" s="41"/>
      <c r="B103" s="41"/>
      <c r="C103" s="42" t="s">
        <v>142</v>
      </c>
      <c r="D103" s="41"/>
      <c r="E103" s="41" t="s">
        <v>143</v>
      </c>
      <c r="F103" s="47" t="s">
        <v>145</v>
      </c>
      <c r="G103" s="44">
        <v>0</v>
      </c>
      <c r="H103" s="34" t="s">
        <v>143</v>
      </c>
    </row>
    <row r="104" spans="1:8" x14ac:dyDescent="0.2">
      <c r="A104" s="41"/>
      <c r="B104" s="41"/>
      <c r="C104" s="45"/>
      <c r="D104" s="41"/>
      <c r="E104" s="41"/>
      <c r="F104" s="46"/>
      <c r="G104" s="46"/>
      <c r="H104" s="34" t="s">
        <v>143</v>
      </c>
    </row>
    <row r="105" spans="1:8" x14ac:dyDescent="0.2">
      <c r="A105" s="41"/>
      <c r="B105" s="41"/>
      <c r="C105" s="42" t="s">
        <v>159</v>
      </c>
      <c r="D105" s="41"/>
      <c r="E105" s="41"/>
      <c r="F105" s="46"/>
      <c r="G105" s="46"/>
      <c r="H105" s="34" t="s">
        <v>143</v>
      </c>
    </row>
    <row r="106" spans="1:8" x14ac:dyDescent="0.2">
      <c r="A106" s="41"/>
      <c r="B106" s="41"/>
      <c r="C106" s="42" t="s">
        <v>142</v>
      </c>
      <c r="D106" s="41"/>
      <c r="E106" s="41" t="s">
        <v>143</v>
      </c>
      <c r="F106" s="47" t="s">
        <v>145</v>
      </c>
      <c r="G106" s="44">
        <v>0</v>
      </c>
      <c r="H106" s="34" t="s">
        <v>143</v>
      </c>
    </row>
    <row r="107" spans="1:8" x14ac:dyDescent="0.2">
      <c r="A107" s="41"/>
      <c r="B107" s="41"/>
      <c r="C107" s="45"/>
      <c r="D107" s="41"/>
      <c r="E107" s="41"/>
      <c r="F107" s="46"/>
      <c r="G107" s="46"/>
      <c r="H107" s="34" t="s">
        <v>143</v>
      </c>
    </row>
    <row r="108" spans="1:8" x14ac:dyDescent="0.2">
      <c r="A108" s="41"/>
      <c r="B108" s="41"/>
      <c r="C108" s="42" t="s">
        <v>160</v>
      </c>
      <c r="D108" s="41"/>
      <c r="E108" s="41"/>
      <c r="F108" s="46"/>
      <c r="G108" s="46"/>
      <c r="H108" s="34" t="s">
        <v>143</v>
      </c>
    </row>
    <row r="109" spans="1:8" x14ac:dyDescent="0.2">
      <c r="A109" s="35">
        <v>1</v>
      </c>
      <c r="B109" s="36"/>
      <c r="C109" s="36" t="s">
        <v>161</v>
      </c>
      <c r="D109" s="36"/>
      <c r="E109" s="48"/>
      <c r="F109" s="38">
        <v>4712.7870950039996</v>
      </c>
      <c r="G109" s="39">
        <v>5.1517449999999999E-2</v>
      </c>
      <c r="H109" s="34">
        <v>5.47</v>
      </c>
    </row>
    <row r="110" spans="1:8" x14ac:dyDescent="0.2">
      <c r="A110" s="41"/>
      <c r="B110" s="41"/>
      <c r="C110" s="42" t="s">
        <v>142</v>
      </c>
      <c r="D110" s="41"/>
      <c r="E110" s="41" t="s">
        <v>143</v>
      </c>
      <c r="F110" s="43">
        <v>4712.7870950039996</v>
      </c>
      <c r="G110" s="44">
        <v>5.1517449999999999E-2</v>
      </c>
      <c r="H110" s="34" t="s">
        <v>143</v>
      </c>
    </row>
    <row r="111" spans="1:8" x14ac:dyDescent="0.2">
      <c r="A111" s="41"/>
      <c r="B111" s="41"/>
      <c r="C111" s="45"/>
      <c r="D111" s="41"/>
      <c r="E111" s="41"/>
      <c r="F111" s="46"/>
      <c r="G111" s="46"/>
      <c r="H111" s="34" t="s">
        <v>143</v>
      </c>
    </row>
    <row r="112" spans="1:8" x14ac:dyDescent="0.2">
      <c r="A112" s="41"/>
      <c r="B112" s="41"/>
      <c r="C112" s="42" t="s">
        <v>162</v>
      </c>
      <c r="D112" s="41"/>
      <c r="E112" s="41"/>
      <c r="F112" s="43">
        <v>4712.7870950039996</v>
      </c>
      <c r="G112" s="44">
        <v>5.1517449999999999E-2</v>
      </c>
      <c r="H112" s="34" t="s">
        <v>143</v>
      </c>
    </row>
    <row r="113" spans="1:10" x14ac:dyDescent="0.2">
      <c r="A113" s="41"/>
      <c r="B113" s="41"/>
      <c r="C113" s="46"/>
      <c r="D113" s="41"/>
      <c r="E113" s="41"/>
      <c r="F113" s="41"/>
      <c r="G113" s="41"/>
      <c r="H113" s="34" t="s">
        <v>143</v>
      </c>
    </row>
    <row r="114" spans="1:10" x14ac:dyDescent="0.2">
      <c r="A114" s="41"/>
      <c r="B114" s="41"/>
      <c r="C114" s="42" t="s">
        <v>163</v>
      </c>
      <c r="D114" s="41"/>
      <c r="E114" s="41"/>
      <c r="F114" s="41"/>
      <c r="G114" s="41"/>
      <c r="H114" s="34" t="s">
        <v>143</v>
      </c>
    </row>
    <row r="115" spans="1:10" x14ac:dyDescent="0.2">
      <c r="A115" s="41"/>
      <c r="B115" s="41"/>
      <c r="C115" s="42" t="s">
        <v>164</v>
      </c>
      <c r="D115" s="41"/>
      <c r="E115" s="41"/>
      <c r="F115" s="41"/>
      <c r="G115" s="41"/>
      <c r="H115" s="34" t="s">
        <v>143</v>
      </c>
    </row>
    <row r="116" spans="1:10" x14ac:dyDescent="0.2">
      <c r="A116" s="41"/>
      <c r="B116" s="41"/>
      <c r="C116" s="42" t="s">
        <v>142</v>
      </c>
      <c r="D116" s="41"/>
      <c r="E116" s="41" t="s">
        <v>143</v>
      </c>
      <c r="F116" s="47" t="s">
        <v>145</v>
      </c>
      <c r="G116" s="44">
        <v>0</v>
      </c>
      <c r="H116" s="34" t="s">
        <v>143</v>
      </c>
    </row>
    <row r="117" spans="1:10" x14ac:dyDescent="0.2">
      <c r="A117" s="41"/>
      <c r="B117" s="41"/>
      <c r="C117" s="45"/>
      <c r="D117" s="41"/>
      <c r="E117" s="41"/>
      <c r="F117" s="46"/>
      <c r="G117" s="46"/>
      <c r="H117" s="34" t="s">
        <v>143</v>
      </c>
    </row>
    <row r="118" spans="1:10" x14ac:dyDescent="0.2">
      <c r="A118" s="41"/>
      <c r="B118" s="41"/>
      <c r="C118" s="42" t="s">
        <v>165</v>
      </c>
      <c r="D118" s="41"/>
      <c r="E118" s="41"/>
      <c r="F118" s="41"/>
      <c r="G118" s="41"/>
      <c r="H118" s="34" t="s">
        <v>143</v>
      </c>
    </row>
    <row r="119" spans="1:10" x14ac:dyDescent="0.2">
      <c r="A119" s="41"/>
      <c r="B119" s="41"/>
      <c r="C119" s="42" t="s">
        <v>166</v>
      </c>
      <c r="D119" s="41"/>
      <c r="E119" s="41"/>
      <c r="F119" s="41"/>
      <c r="G119" s="41"/>
      <c r="H119" s="34" t="s">
        <v>143</v>
      </c>
    </row>
    <row r="120" spans="1:10" x14ac:dyDescent="0.2">
      <c r="A120" s="41"/>
      <c r="B120" s="41"/>
      <c r="C120" s="42" t="s">
        <v>142</v>
      </c>
      <c r="D120" s="41"/>
      <c r="E120" s="41" t="s">
        <v>143</v>
      </c>
      <c r="F120" s="47" t="s">
        <v>145</v>
      </c>
      <c r="G120" s="44">
        <v>0</v>
      </c>
      <c r="H120" s="34" t="s">
        <v>143</v>
      </c>
    </row>
    <row r="121" spans="1:10" x14ac:dyDescent="0.2">
      <c r="A121" s="41"/>
      <c r="B121" s="41"/>
      <c r="C121" s="45"/>
      <c r="D121" s="41"/>
      <c r="E121" s="41"/>
      <c r="F121" s="46"/>
      <c r="G121" s="46"/>
      <c r="H121" s="34" t="s">
        <v>143</v>
      </c>
    </row>
    <row r="122" spans="1:10" x14ac:dyDescent="0.2">
      <c r="A122" s="41"/>
      <c r="B122" s="41"/>
      <c r="C122" s="42" t="s">
        <v>167</v>
      </c>
      <c r="D122" s="41"/>
      <c r="E122" s="41"/>
      <c r="F122" s="46"/>
      <c r="G122" s="46"/>
      <c r="H122" s="34" t="s">
        <v>143</v>
      </c>
    </row>
    <row r="123" spans="1:10" x14ac:dyDescent="0.2">
      <c r="A123" s="41"/>
      <c r="B123" s="41"/>
      <c r="C123" s="42" t="s">
        <v>142</v>
      </c>
      <c r="D123" s="41"/>
      <c r="E123" s="41" t="s">
        <v>143</v>
      </c>
      <c r="F123" s="47" t="s">
        <v>145</v>
      </c>
      <c r="G123" s="44">
        <v>0</v>
      </c>
      <c r="H123" s="34" t="s">
        <v>143</v>
      </c>
    </row>
    <row r="124" spans="1:10" x14ac:dyDescent="0.2">
      <c r="A124" s="41"/>
      <c r="B124" s="36"/>
      <c r="C124" s="36"/>
      <c r="D124" s="42"/>
      <c r="E124" s="41"/>
      <c r="F124" s="36"/>
      <c r="G124" s="48"/>
      <c r="H124" s="34" t="s">
        <v>143</v>
      </c>
    </row>
    <row r="125" spans="1:10" x14ac:dyDescent="0.2">
      <c r="A125" s="48"/>
      <c r="B125" s="36"/>
      <c r="C125" s="36" t="s">
        <v>168</v>
      </c>
      <c r="D125" s="36"/>
      <c r="E125" s="48"/>
      <c r="F125" s="38">
        <f>523.60073496+0.0000328960037231445</f>
        <v>523.6007678560037</v>
      </c>
      <c r="G125" s="39">
        <v>5.7237E-3</v>
      </c>
      <c r="H125" s="34" t="s">
        <v>143</v>
      </c>
    </row>
    <row r="126" spans="1:10" x14ac:dyDescent="0.2">
      <c r="A126" s="45"/>
      <c r="B126" s="45"/>
      <c r="C126" s="42" t="s">
        <v>169</v>
      </c>
      <c r="D126" s="46"/>
      <c r="E126" s="46"/>
      <c r="F126" s="43">
        <f>F125+F112+F81+F96</f>
        <v>91479.439857859994</v>
      </c>
      <c r="G126" s="51">
        <f>G125+G112+G81+G96</f>
        <v>1.0000000409399425</v>
      </c>
      <c r="H126" s="34" t="s">
        <v>143</v>
      </c>
    </row>
    <row r="127" spans="1:10" x14ac:dyDescent="0.2">
      <c r="A127" s="52"/>
      <c r="B127" s="52"/>
      <c r="C127" s="52"/>
      <c r="D127" s="53"/>
      <c r="E127" s="53"/>
      <c r="F127" s="53"/>
      <c r="G127" s="53"/>
    </row>
    <row r="128" spans="1:10" x14ac:dyDescent="0.2">
      <c r="A128" s="54"/>
      <c r="B128" s="158" t="s">
        <v>852</v>
      </c>
      <c r="C128" s="158"/>
      <c r="D128" s="158"/>
      <c r="E128" s="158"/>
      <c r="F128" s="158"/>
      <c r="G128" s="158"/>
      <c r="H128" s="158"/>
      <c r="J128" s="56"/>
    </row>
    <row r="129" spans="1:17" x14ac:dyDescent="0.2">
      <c r="A129" s="54"/>
      <c r="B129" s="158" t="s">
        <v>853</v>
      </c>
      <c r="C129" s="158"/>
      <c r="D129" s="158"/>
      <c r="E129" s="158"/>
      <c r="F129" s="158"/>
      <c r="G129" s="158"/>
      <c r="H129" s="158"/>
      <c r="J129" s="56"/>
    </row>
    <row r="130" spans="1:17" x14ac:dyDescent="0.2">
      <c r="A130" s="54"/>
      <c r="B130" s="158" t="s">
        <v>854</v>
      </c>
      <c r="C130" s="158"/>
      <c r="D130" s="158"/>
      <c r="E130" s="158"/>
      <c r="F130" s="158"/>
      <c r="G130" s="158"/>
      <c r="H130" s="158"/>
      <c r="J130" s="56"/>
    </row>
    <row r="131" spans="1:17" s="58" customFormat="1" ht="52.5" customHeight="1" x14ac:dyDescent="0.25">
      <c r="A131" s="57"/>
      <c r="B131" s="159" t="s">
        <v>855</v>
      </c>
      <c r="C131" s="159"/>
      <c r="D131" s="159"/>
      <c r="E131" s="159"/>
      <c r="F131" s="159"/>
      <c r="G131" s="159"/>
      <c r="H131" s="159"/>
      <c r="I131"/>
      <c r="J131" s="56"/>
      <c r="K131"/>
      <c r="L131"/>
      <c r="M131"/>
      <c r="N131"/>
      <c r="O131"/>
      <c r="P131"/>
      <c r="Q131"/>
    </row>
    <row r="132" spans="1:17" x14ac:dyDescent="0.2">
      <c r="A132" s="54"/>
      <c r="B132" s="158" t="s">
        <v>856</v>
      </c>
      <c r="C132" s="158"/>
      <c r="D132" s="158"/>
      <c r="E132" s="158"/>
      <c r="F132" s="158"/>
      <c r="G132" s="158"/>
      <c r="H132" s="158"/>
      <c r="J132" s="56"/>
    </row>
    <row r="133" spans="1:17" x14ac:dyDescent="0.2">
      <c r="A133" s="54"/>
      <c r="B133" s="54"/>
      <c r="C133" s="54"/>
      <c r="D133" s="59"/>
      <c r="E133" s="59"/>
      <c r="F133" s="59"/>
      <c r="G133" s="59"/>
    </row>
    <row r="134" spans="1:17" x14ac:dyDescent="0.2">
      <c r="A134" s="54"/>
      <c r="B134" s="160" t="s">
        <v>170</v>
      </c>
      <c r="C134" s="161"/>
      <c r="D134" s="162"/>
      <c r="E134" s="60"/>
      <c r="F134" s="59"/>
      <c r="G134" s="59"/>
    </row>
    <row r="135" spans="1:17" ht="27.75" customHeight="1" x14ac:dyDescent="0.2">
      <c r="A135" s="54"/>
      <c r="B135" s="154" t="s">
        <v>171</v>
      </c>
      <c r="C135" s="155"/>
      <c r="D135" s="33" t="s">
        <v>986</v>
      </c>
      <c r="E135" s="60"/>
      <c r="F135" s="59"/>
      <c r="G135" s="59"/>
    </row>
    <row r="136" spans="1:17" ht="12.75" customHeight="1" x14ac:dyDescent="0.2">
      <c r="A136" s="54"/>
      <c r="B136" s="154" t="s">
        <v>857</v>
      </c>
      <c r="C136" s="155"/>
      <c r="D136" s="33" t="str">
        <f>"Rs. "&amp;TEXT(F70+F73,"0.00")&amp;" lacs/ #"</f>
        <v>Rs. 0.00 lacs/ #</v>
      </c>
      <c r="E136" s="60"/>
      <c r="F136" s="59"/>
      <c r="G136" s="59"/>
    </row>
    <row r="137" spans="1:17" x14ac:dyDescent="0.2">
      <c r="A137" s="54"/>
      <c r="B137" s="154" t="s">
        <v>173</v>
      </c>
      <c r="C137" s="155"/>
      <c r="D137" s="61" t="s">
        <v>143</v>
      </c>
      <c r="E137" s="60"/>
      <c r="F137" s="59"/>
      <c r="G137" s="59"/>
    </row>
    <row r="138" spans="1:17" x14ac:dyDescent="0.2">
      <c r="A138" s="62"/>
      <c r="B138" s="63" t="s">
        <v>143</v>
      </c>
      <c r="C138" s="63" t="s">
        <v>858</v>
      </c>
      <c r="D138" s="63" t="s">
        <v>174</v>
      </c>
      <c r="E138" s="62"/>
      <c r="F138" s="62"/>
      <c r="G138" s="62"/>
      <c r="H138" s="62"/>
      <c r="J138" s="56"/>
    </row>
    <row r="139" spans="1:17" x14ac:dyDescent="0.2">
      <c r="A139" s="62"/>
      <c r="B139" s="64" t="s">
        <v>175</v>
      </c>
      <c r="C139" s="65">
        <v>45808</v>
      </c>
      <c r="D139" s="65">
        <v>45838</v>
      </c>
      <c r="E139" s="62"/>
      <c r="F139" s="62"/>
      <c r="G139" s="62"/>
      <c r="J139" s="56"/>
    </row>
    <row r="140" spans="1:17" x14ac:dyDescent="0.2">
      <c r="A140" s="66"/>
      <c r="B140" s="36" t="s">
        <v>176</v>
      </c>
      <c r="C140" s="67">
        <v>145.1728</v>
      </c>
      <c r="D140" s="67">
        <v>148.7226</v>
      </c>
      <c r="E140" s="66"/>
      <c r="F140" s="68"/>
      <c r="G140" s="69"/>
    </row>
    <row r="141" spans="1:17" x14ac:dyDescent="0.2">
      <c r="A141" s="66"/>
      <c r="B141" s="36" t="s">
        <v>1086</v>
      </c>
      <c r="C141" s="67">
        <v>64.754400000000004</v>
      </c>
      <c r="D141" s="67">
        <v>66.337699999999998</v>
      </c>
      <c r="E141" s="66"/>
      <c r="F141" s="68"/>
      <c r="G141" s="69"/>
    </row>
    <row r="142" spans="1:17" x14ac:dyDescent="0.2">
      <c r="A142" s="66"/>
      <c r="B142" s="36" t="s">
        <v>177</v>
      </c>
      <c r="C142" s="67">
        <v>133.24629999999999</v>
      </c>
      <c r="D142" s="67">
        <v>136.36760000000001</v>
      </c>
      <c r="E142" s="66"/>
      <c r="F142" s="68"/>
      <c r="G142" s="69"/>
    </row>
    <row r="143" spans="1:17" x14ac:dyDescent="0.2">
      <c r="A143" s="66"/>
      <c r="B143" s="36" t="s">
        <v>1087</v>
      </c>
      <c r="C143" s="67">
        <v>38.747300000000003</v>
      </c>
      <c r="D143" s="67">
        <v>39.655000000000001</v>
      </c>
      <c r="E143" s="66"/>
      <c r="F143" s="68"/>
      <c r="G143" s="69"/>
    </row>
    <row r="144" spans="1:17" x14ac:dyDescent="0.2">
      <c r="A144" s="66"/>
      <c r="B144" s="66"/>
      <c r="C144" s="66"/>
      <c r="D144" s="66"/>
      <c r="E144" s="66"/>
      <c r="F144" s="66"/>
      <c r="G144" s="66"/>
    </row>
    <row r="145" spans="1:19" x14ac:dyDescent="0.2">
      <c r="A145" s="66"/>
      <c r="B145" s="163" t="s">
        <v>860</v>
      </c>
      <c r="C145" s="164"/>
      <c r="D145" s="33" t="s">
        <v>172</v>
      </c>
      <c r="E145" s="66"/>
      <c r="F145" s="66"/>
      <c r="G145" s="66"/>
    </row>
    <row r="146" spans="1:19" x14ac:dyDescent="0.2">
      <c r="A146" s="66"/>
      <c r="B146" s="70"/>
      <c r="C146" s="70"/>
      <c r="D146" s="70"/>
      <c r="E146" s="66"/>
      <c r="F146" s="66"/>
      <c r="G146" s="66"/>
    </row>
    <row r="147" spans="1:19" x14ac:dyDescent="0.2">
      <c r="A147" s="62"/>
      <c r="B147" s="154" t="s">
        <v>178</v>
      </c>
      <c r="C147" s="155"/>
      <c r="D147" s="33" t="s">
        <v>172</v>
      </c>
      <c r="E147" s="71"/>
      <c r="F147" s="62"/>
      <c r="G147" s="62"/>
    </row>
    <row r="148" spans="1:19" x14ac:dyDescent="0.2">
      <c r="A148" s="62"/>
      <c r="B148" s="154" t="s">
        <v>179</v>
      </c>
      <c r="C148" s="155"/>
      <c r="D148" s="33" t="s">
        <v>172</v>
      </c>
      <c r="E148" s="71"/>
      <c r="F148" s="62"/>
      <c r="G148" s="62"/>
    </row>
    <row r="149" spans="1:19" ht="17.100000000000001" customHeight="1" x14ac:dyDescent="0.2">
      <c r="A149" s="62"/>
      <c r="B149" s="154" t="s">
        <v>180</v>
      </c>
      <c r="C149" s="155"/>
      <c r="D149" s="33" t="s">
        <v>172</v>
      </c>
      <c r="E149" s="71"/>
      <c r="F149" s="62"/>
      <c r="G149" s="62"/>
    </row>
    <row r="150" spans="1:19" ht="17.100000000000001" customHeight="1" x14ac:dyDescent="0.2">
      <c r="A150" s="62"/>
      <c r="B150" s="154" t="s">
        <v>181</v>
      </c>
      <c r="C150" s="155"/>
      <c r="D150" s="72">
        <v>0.62747051687937438</v>
      </c>
      <c r="E150" s="62"/>
      <c r="F150" s="55"/>
      <c r="G150" s="73"/>
    </row>
    <row r="152" spans="1:19" s="106" customFormat="1" x14ac:dyDescent="0.2">
      <c r="B152" s="107" t="s">
        <v>942</v>
      </c>
      <c r="C152" s="107"/>
      <c r="D152" s="107"/>
      <c r="E152" s="5"/>
      <c r="F152" s="6"/>
      <c r="I152"/>
      <c r="J152"/>
      <c r="K152"/>
      <c r="L152"/>
      <c r="M152"/>
      <c r="N152"/>
    </row>
    <row r="153" spans="1:19" s="106" customFormat="1" ht="38.25" x14ac:dyDescent="0.2">
      <c r="B153" s="108" t="s">
        <v>916</v>
      </c>
      <c r="C153" s="109" t="s">
        <v>917</v>
      </c>
      <c r="D153" s="109" t="s">
        <v>918</v>
      </c>
      <c r="E153" s="109" t="s">
        <v>919</v>
      </c>
      <c r="F153" s="109" t="s">
        <v>920</v>
      </c>
      <c r="I153"/>
      <c r="J153"/>
      <c r="K153"/>
      <c r="L153"/>
      <c r="M153"/>
      <c r="N153"/>
    </row>
    <row r="154" spans="1:19" s="106" customFormat="1" ht="25.5" x14ac:dyDescent="0.2">
      <c r="B154" s="110" t="s">
        <v>921</v>
      </c>
      <c r="C154" s="111" t="s">
        <v>922</v>
      </c>
      <c r="D154" s="8">
        <v>0</v>
      </c>
      <c r="E154" s="9">
        <v>0</v>
      </c>
      <c r="F154" s="112">
        <v>241.97234</v>
      </c>
      <c r="I154"/>
      <c r="J154"/>
      <c r="K154"/>
      <c r="L154"/>
      <c r="M154"/>
      <c r="N154"/>
    </row>
    <row r="155" spans="1:19" s="106" customFormat="1" ht="25.5" x14ac:dyDescent="0.2">
      <c r="B155" s="110" t="s">
        <v>923</v>
      </c>
      <c r="C155" s="111" t="s">
        <v>922</v>
      </c>
      <c r="D155" s="8">
        <v>0</v>
      </c>
      <c r="E155" s="9">
        <v>0</v>
      </c>
      <c r="F155" s="112">
        <v>23.186299999999999</v>
      </c>
      <c r="I155"/>
      <c r="J155"/>
      <c r="K155"/>
      <c r="L155"/>
      <c r="M155"/>
      <c r="N155"/>
      <c r="O155"/>
      <c r="P155"/>
      <c r="Q155"/>
      <c r="R155"/>
      <c r="S155"/>
    </row>
    <row r="157" spans="1:19" x14ac:dyDescent="0.2">
      <c r="B157" s="156" t="s">
        <v>861</v>
      </c>
      <c r="C157" s="156"/>
    </row>
    <row r="159" spans="1:19" ht="153.75" customHeight="1" x14ac:dyDescent="0.2"/>
    <row r="162" spans="2:10" x14ac:dyDescent="0.2">
      <c r="B162" s="79" t="s">
        <v>862</v>
      </c>
      <c r="C162" s="80"/>
      <c r="D162" s="79" t="s">
        <v>865</v>
      </c>
    </row>
    <row r="163" spans="2:10" x14ac:dyDescent="0.2">
      <c r="B163" s="79" t="s">
        <v>924</v>
      </c>
      <c r="D163" s="79" t="s">
        <v>1231</v>
      </c>
    </row>
    <row r="164" spans="2:10" ht="165" customHeight="1" x14ac:dyDescent="0.2"/>
    <row r="166" spans="2:10" x14ac:dyDescent="0.2">
      <c r="J166" s="31"/>
    </row>
  </sheetData>
  <mergeCells count="18">
    <mergeCell ref="B149:C149"/>
    <mergeCell ref="B150:C150"/>
    <mergeCell ref="B147:C147"/>
    <mergeCell ref="B148:C148"/>
    <mergeCell ref="B157:C157"/>
    <mergeCell ref="A1:H1"/>
    <mergeCell ref="A2:H2"/>
    <mergeCell ref="A3:H3"/>
    <mergeCell ref="B128:H128"/>
    <mergeCell ref="B129:H129"/>
    <mergeCell ref="B136:C136"/>
    <mergeCell ref="B137:C137"/>
    <mergeCell ref="B145:C145"/>
    <mergeCell ref="B130:H130"/>
    <mergeCell ref="B131:H131"/>
    <mergeCell ref="B132:H132"/>
    <mergeCell ref="B134:D134"/>
    <mergeCell ref="B135:C135"/>
  </mergeCells>
  <hyperlinks>
    <hyperlink ref="I1" location="Index!B2" display="Index" xr:uid="{1FE592F5-283A-4FBD-BEF6-C17F92622566}"/>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295C-648F-4836-AFC2-1B46DCC4A0A3}">
  <sheetPr>
    <outlinePr summaryBelow="0" summaryRight="0"/>
  </sheetPr>
  <dimension ref="A1:Q230"/>
  <sheetViews>
    <sheetView showGridLines="0" workbookViewId="0">
      <selection sqref="A1:H1"/>
    </sheetView>
  </sheetViews>
  <sheetFormatPr defaultRowHeight="12.75" x14ac:dyDescent="0.2"/>
  <cols>
    <col min="1" max="1" width="6.85546875" customWidth="1"/>
    <col min="2" max="2" width="20.5703125" customWidth="1"/>
    <col min="3" max="3" width="43.570312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690</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1046</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11</v>
      </c>
      <c r="C7" s="36" t="s">
        <v>12</v>
      </c>
      <c r="D7" s="36" t="s">
        <v>13</v>
      </c>
      <c r="E7" s="37">
        <v>513660</v>
      </c>
      <c r="F7" s="38">
        <v>10322.51136</v>
      </c>
      <c r="G7" s="39">
        <v>9.4535900000000006E-2</v>
      </c>
      <c r="H7" s="34" t="s">
        <v>143</v>
      </c>
    </row>
    <row r="8" spans="1:9" x14ac:dyDescent="0.2">
      <c r="A8" s="35">
        <v>2</v>
      </c>
      <c r="B8" s="36" t="s">
        <v>14</v>
      </c>
      <c r="C8" s="36" t="s">
        <v>15</v>
      </c>
      <c r="D8" s="36" t="s">
        <v>16</v>
      </c>
      <c r="E8" s="37">
        <v>660155</v>
      </c>
      <c r="F8" s="38">
        <v>9906.28593</v>
      </c>
      <c r="G8" s="39">
        <v>9.0724009999999994E-2</v>
      </c>
      <c r="H8" s="34" t="s">
        <v>143</v>
      </c>
    </row>
    <row r="9" spans="1:9" x14ac:dyDescent="0.2">
      <c r="A9" s="35">
        <v>3</v>
      </c>
      <c r="B9" s="36" t="s">
        <v>328</v>
      </c>
      <c r="C9" s="36" t="s">
        <v>329</v>
      </c>
      <c r="D9" s="36" t="s">
        <v>198</v>
      </c>
      <c r="E9" s="37">
        <v>388250</v>
      </c>
      <c r="F9" s="38">
        <v>6218.9885000000004</v>
      </c>
      <c r="G9" s="39">
        <v>5.6954909999999997E-2</v>
      </c>
      <c r="H9" s="34" t="s">
        <v>143</v>
      </c>
    </row>
    <row r="10" spans="1:9" x14ac:dyDescent="0.2">
      <c r="A10" s="35">
        <v>4</v>
      </c>
      <c r="B10" s="36" t="s">
        <v>46</v>
      </c>
      <c r="C10" s="36" t="s">
        <v>47</v>
      </c>
      <c r="D10" s="36" t="s">
        <v>33</v>
      </c>
      <c r="E10" s="37">
        <v>533560</v>
      </c>
      <c r="F10" s="38">
        <v>4377.0594600000004</v>
      </c>
      <c r="G10" s="39">
        <v>4.00861E-2</v>
      </c>
      <c r="H10" s="34" t="s">
        <v>143</v>
      </c>
    </row>
    <row r="11" spans="1:9" x14ac:dyDescent="0.2">
      <c r="A11" s="35">
        <v>5</v>
      </c>
      <c r="B11" s="36" t="s">
        <v>322</v>
      </c>
      <c r="C11" s="36" t="s">
        <v>323</v>
      </c>
      <c r="D11" s="36" t="s">
        <v>33</v>
      </c>
      <c r="E11" s="37">
        <v>191015</v>
      </c>
      <c r="F11" s="38">
        <v>3823.1652250000002</v>
      </c>
      <c r="G11" s="39">
        <v>3.5013410000000002E-2</v>
      </c>
      <c r="H11" s="34" t="s">
        <v>143</v>
      </c>
    </row>
    <row r="12" spans="1:9" x14ac:dyDescent="0.2">
      <c r="A12" s="35">
        <v>6</v>
      </c>
      <c r="B12" s="36" t="s">
        <v>324</v>
      </c>
      <c r="C12" s="36" t="s">
        <v>325</v>
      </c>
      <c r="D12" s="36" t="s">
        <v>33</v>
      </c>
      <c r="E12" s="37">
        <v>275430</v>
      </c>
      <c r="F12" s="38">
        <v>3302.9565600000001</v>
      </c>
      <c r="G12" s="39">
        <v>3.0249229999999998E-2</v>
      </c>
      <c r="H12" s="34" t="s">
        <v>143</v>
      </c>
    </row>
    <row r="13" spans="1:9" x14ac:dyDescent="0.2">
      <c r="A13" s="35">
        <v>7</v>
      </c>
      <c r="B13" s="36" t="s">
        <v>31</v>
      </c>
      <c r="C13" s="36" t="s">
        <v>32</v>
      </c>
      <c r="D13" s="36" t="s">
        <v>33</v>
      </c>
      <c r="E13" s="37">
        <v>219445</v>
      </c>
      <c r="F13" s="38">
        <v>3172.7358100000001</v>
      </c>
      <c r="G13" s="39">
        <v>2.905663E-2</v>
      </c>
      <c r="H13" s="34" t="s">
        <v>143</v>
      </c>
    </row>
    <row r="14" spans="1:9" x14ac:dyDescent="0.2">
      <c r="A14" s="35">
        <v>8</v>
      </c>
      <c r="B14" s="36" t="s">
        <v>17</v>
      </c>
      <c r="C14" s="36" t="s">
        <v>18</v>
      </c>
      <c r="D14" s="36" t="s">
        <v>19</v>
      </c>
      <c r="E14" s="37">
        <v>50925</v>
      </c>
      <c r="F14" s="38">
        <v>1868.84565</v>
      </c>
      <c r="G14" s="39">
        <v>1.7115310000000002E-2</v>
      </c>
      <c r="H14" s="34" t="s">
        <v>143</v>
      </c>
    </row>
    <row r="15" spans="1:9" x14ac:dyDescent="0.2">
      <c r="A15" s="35">
        <v>9</v>
      </c>
      <c r="B15" s="36" t="s">
        <v>352</v>
      </c>
      <c r="C15" s="36" t="s">
        <v>353</v>
      </c>
      <c r="D15" s="36" t="s">
        <v>354</v>
      </c>
      <c r="E15" s="37">
        <v>419520</v>
      </c>
      <c r="F15" s="38">
        <v>1747.09104</v>
      </c>
      <c r="G15" s="39">
        <v>1.6000259999999999E-2</v>
      </c>
      <c r="H15" s="34" t="s">
        <v>143</v>
      </c>
    </row>
    <row r="16" spans="1:9" x14ac:dyDescent="0.2">
      <c r="A16" s="35">
        <v>10</v>
      </c>
      <c r="B16" s="36" t="s">
        <v>326</v>
      </c>
      <c r="C16" s="36" t="s">
        <v>327</v>
      </c>
      <c r="D16" s="36" t="s">
        <v>33</v>
      </c>
      <c r="E16" s="37">
        <v>77600</v>
      </c>
      <c r="F16" s="38">
        <v>1678.876</v>
      </c>
      <c r="G16" s="39">
        <v>1.537553E-2</v>
      </c>
      <c r="H16" s="34" t="s">
        <v>143</v>
      </c>
    </row>
    <row r="17" spans="1:8" x14ac:dyDescent="0.2">
      <c r="A17" s="35">
        <v>11</v>
      </c>
      <c r="B17" s="36" t="s">
        <v>50</v>
      </c>
      <c r="C17" s="36" t="s">
        <v>51</v>
      </c>
      <c r="D17" s="36" t="s">
        <v>52</v>
      </c>
      <c r="E17" s="37">
        <v>27437</v>
      </c>
      <c r="F17" s="38">
        <v>1639.772305</v>
      </c>
      <c r="G17" s="39">
        <v>1.501741E-2</v>
      </c>
      <c r="H17" s="34" t="s">
        <v>143</v>
      </c>
    </row>
    <row r="18" spans="1:8" x14ac:dyDescent="0.2">
      <c r="A18" s="35">
        <v>12</v>
      </c>
      <c r="B18" s="36" t="s">
        <v>444</v>
      </c>
      <c r="C18" s="36" t="s">
        <v>445</v>
      </c>
      <c r="D18" s="36" t="s">
        <v>354</v>
      </c>
      <c r="E18" s="37">
        <v>63900</v>
      </c>
      <c r="F18" s="38">
        <v>1466.2493999999999</v>
      </c>
      <c r="G18" s="39">
        <v>1.3428249999999999E-2</v>
      </c>
      <c r="H18" s="34" t="s">
        <v>143</v>
      </c>
    </row>
    <row r="19" spans="1:8" x14ac:dyDescent="0.2">
      <c r="A19" s="35">
        <v>13</v>
      </c>
      <c r="B19" s="36" t="s">
        <v>338</v>
      </c>
      <c r="C19" s="36" t="s">
        <v>339</v>
      </c>
      <c r="D19" s="36" t="s">
        <v>251</v>
      </c>
      <c r="E19" s="37">
        <v>44400</v>
      </c>
      <c r="F19" s="38">
        <v>1413.3407999999999</v>
      </c>
      <c r="G19" s="39">
        <v>1.2943700000000001E-2</v>
      </c>
      <c r="H19" s="34" t="s">
        <v>143</v>
      </c>
    </row>
    <row r="20" spans="1:8" x14ac:dyDescent="0.2">
      <c r="A20" s="35">
        <v>14</v>
      </c>
      <c r="B20" s="36" t="s">
        <v>435</v>
      </c>
      <c r="C20" s="36" t="s">
        <v>436</v>
      </c>
      <c r="D20" s="36" t="s">
        <v>437</v>
      </c>
      <c r="E20" s="37">
        <v>149800</v>
      </c>
      <c r="F20" s="38">
        <v>1037.8893</v>
      </c>
      <c r="G20" s="39">
        <v>9.5052299999999999E-3</v>
      </c>
      <c r="H20" s="34" t="s">
        <v>143</v>
      </c>
    </row>
    <row r="21" spans="1:8" x14ac:dyDescent="0.2">
      <c r="A21" s="35">
        <v>15</v>
      </c>
      <c r="B21" s="36" t="s">
        <v>334</v>
      </c>
      <c r="C21" s="36" t="s">
        <v>335</v>
      </c>
      <c r="D21" s="36" t="s">
        <v>33</v>
      </c>
      <c r="E21" s="37">
        <v>406575</v>
      </c>
      <c r="F21" s="38">
        <v>1011.4772850000001</v>
      </c>
      <c r="G21" s="39">
        <v>9.2633400000000001E-3</v>
      </c>
      <c r="H21" s="34" t="s">
        <v>143</v>
      </c>
    </row>
    <row r="22" spans="1:8" x14ac:dyDescent="0.2">
      <c r="A22" s="35">
        <v>16</v>
      </c>
      <c r="B22" s="36" t="s">
        <v>332</v>
      </c>
      <c r="C22" s="36" t="s">
        <v>333</v>
      </c>
      <c r="D22" s="36" t="s">
        <v>192</v>
      </c>
      <c r="E22" s="37">
        <v>104500</v>
      </c>
      <c r="F22" s="38">
        <v>978.64250000000004</v>
      </c>
      <c r="G22" s="39">
        <v>8.9626299999999992E-3</v>
      </c>
      <c r="H22" s="34" t="s">
        <v>143</v>
      </c>
    </row>
    <row r="23" spans="1:8" x14ac:dyDescent="0.2">
      <c r="A23" s="35">
        <v>17</v>
      </c>
      <c r="B23" s="36" t="s">
        <v>429</v>
      </c>
      <c r="C23" s="36" t="s">
        <v>430</v>
      </c>
      <c r="D23" s="36" t="s">
        <v>198</v>
      </c>
      <c r="E23" s="37">
        <v>53083</v>
      </c>
      <c r="F23" s="38">
        <v>917.59273800000005</v>
      </c>
      <c r="G23" s="39">
        <v>8.4035199999999994E-3</v>
      </c>
      <c r="H23" s="34" t="s">
        <v>143</v>
      </c>
    </row>
    <row r="24" spans="1:8" x14ac:dyDescent="0.2">
      <c r="A24" s="35">
        <v>18</v>
      </c>
      <c r="B24" s="36" t="s">
        <v>277</v>
      </c>
      <c r="C24" s="36" t="s">
        <v>278</v>
      </c>
      <c r="D24" s="36" t="s">
        <v>192</v>
      </c>
      <c r="E24" s="37">
        <v>129350</v>
      </c>
      <c r="F24" s="38">
        <v>914.310475</v>
      </c>
      <c r="G24" s="39">
        <v>8.3734599999999992E-3</v>
      </c>
      <c r="H24" s="34" t="s">
        <v>143</v>
      </c>
    </row>
    <row r="25" spans="1:8" x14ac:dyDescent="0.2">
      <c r="A25" s="35">
        <v>19</v>
      </c>
      <c r="B25" s="36" t="s">
        <v>691</v>
      </c>
      <c r="C25" s="36" t="s">
        <v>692</v>
      </c>
      <c r="D25" s="36" t="s">
        <v>136</v>
      </c>
      <c r="E25" s="37">
        <v>89100</v>
      </c>
      <c r="F25" s="38">
        <v>909.26549999999997</v>
      </c>
      <c r="G25" s="39">
        <v>8.3272599999999995E-3</v>
      </c>
      <c r="H25" s="34" t="s">
        <v>143</v>
      </c>
    </row>
    <row r="26" spans="1:8" x14ac:dyDescent="0.2">
      <c r="A26" s="35">
        <v>20</v>
      </c>
      <c r="B26" s="36" t="s">
        <v>693</v>
      </c>
      <c r="C26" s="36" t="s">
        <v>694</v>
      </c>
      <c r="D26" s="36" t="s">
        <v>206</v>
      </c>
      <c r="E26" s="37">
        <v>13000</v>
      </c>
      <c r="F26" s="38">
        <v>879.97</v>
      </c>
      <c r="G26" s="39">
        <v>8.0589700000000004E-3</v>
      </c>
      <c r="H26" s="34" t="s">
        <v>143</v>
      </c>
    </row>
    <row r="27" spans="1:8" x14ac:dyDescent="0.2">
      <c r="A27" s="35">
        <v>21</v>
      </c>
      <c r="B27" s="36" t="s">
        <v>249</v>
      </c>
      <c r="C27" s="36" t="s">
        <v>250</v>
      </c>
      <c r="D27" s="36" t="s">
        <v>251</v>
      </c>
      <c r="E27" s="37">
        <v>29750</v>
      </c>
      <c r="F27" s="38">
        <v>868.10500000000002</v>
      </c>
      <c r="G27" s="39">
        <v>7.9503000000000004E-3</v>
      </c>
      <c r="H27" s="34" t="s">
        <v>143</v>
      </c>
    </row>
    <row r="28" spans="1:8" x14ac:dyDescent="0.2">
      <c r="A28" s="35">
        <v>22</v>
      </c>
      <c r="B28" s="36" t="s">
        <v>53</v>
      </c>
      <c r="C28" s="36" t="s">
        <v>54</v>
      </c>
      <c r="D28" s="36" t="s">
        <v>55</v>
      </c>
      <c r="E28" s="37">
        <v>11630</v>
      </c>
      <c r="F28" s="38">
        <v>787.29285000000004</v>
      </c>
      <c r="G28" s="39">
        <v>7.2102099999999999E-3</v>
      </c>
      <c r="H28" s="34" t="s">
        <v>143</v>
      </c>
    </row>
    <row r="29" spans="1:8" ht="25.5" x14ac:dyDescent="0.2">
      <c r="A29" s="35">
        <v>23</v>
      </c>
      <c r="B29" s="36" t="s">
        <v>183</v>
      </c>
      <c r="C29" s="36" t="s">
        <v>184</v>
      </c>
      <c r="D29" s="36" t="s">
        <v>185</v>
      </c>
      <c r="E29" s="37">
        <v>31000</v>
      </c>
      <c r="F29" s="38">
        <v>776.61199999999997</v>
      </c>
      <c r="G29" s="39">
        <v>7.1123899999999997E-3</v>
      </c>
      <c r="H29" s="34" t="s">
        <v>143</v>
      </c>
    </row>
    <row r="30" spans="1:8" x14ac:dyDescent="0.2">
      <c r="A30" s="35">
        <v>24</v>
      </c>
      <c r="B30" s="36" t="s">
        <v>507</v>
      </c>
      <c r="C30" s="36" t="s">
        <v>508</v>
      </c>
      <c r="D30" s="36" t="s">
        <v>226</v>
      </c>
      <c r="E30" s="37">
        <v>50025</v>
      </c>
      <c r="F30" s="38">
        <v>714.40702499999998</v>
      </c>
      <c r="G30" s="39">
        <v>6.5427000000000003E-3</v>
      </c>
      <c r="H30" s="34" t="s">
        <v>143</v>
      </c>
    </row>
    <row r="31" spans="1:8" x14ac:dyDescent="0.2">
      <c r="A31" s="35">
        <v>25</v>
      </c>
      <c r="B31" s="36" t="s">
        <v>433</v>
      </c>
      <c r="C31" s="36" t="s">
        <v>434</v>
      </c>
      <c r="D31" s="36" t="s">
        <v>198</v>
      </c>
      <c r="E31" s="37">
        <v>19222</v>
      </c>
      <c r="F31" s="38">
        <v>665.46564000000001</v>
      </c>
      <c r="G31" s="39">
        <v>6.0944900000000002E-3</v>
      </c>
      <c r="H31" s="34" t="s">
        <v>143</v>
      </c>
    </row>
    <row r="32" spans="1:8" x14ac:dyDescent="0.2">
      <c r="A32" s="35">
        <v>26</v>
      </c>
      <c r="B32" s="36" t="s">
        <v>37</v>
      </c>
      <c r="C32" s="36" t="s">
        <v>38</v>
      </c>
      <c r="D32" s="36" t="s">
        <v>16</v>
      </c>
      <c r="E32" s="37">
        <v>196850</v>
      </c>
      <c r="F32" s="38">
        <v>653.44357500000001</v>
      </c>
      <c r="G32" s="39">
        <v>5.9843800000000001E-3</v>
      </c>
      <c r="H32" s="34" t="s">
        <v>143</v>
      </c>
    </row>
    <row r="33" spans="1:8" x14ac:dyDescent="0.2">
      <c r="A33" s="35">
        <v>27</v>
      </c>
      <c r="B33" s="36" t="s">
        <v>503</v>
      </c>
      <c r="C33" s="36" t="s">
        <v>504</v>
      </c>
      <c r="D33" s="36" t="s">
        <v>251</v>
      </c>
      <c r="E33" s="37">
        <v>5160</v>
      </c>
      <c r="F33" s="38">
        <v>639.84</v>
      </c>
      <c r="G33" s="39">
        <v>5.8598000000000001E-3</v>
      </c>
      <c r="H33" s="34" t="s">
        <v>143</v>
      </c>
    </row>
    <row r="34" spans="1:8" x14ac:dyDescent="0.2">
      <c r="A34" s="35">
        <v>28</v>
      </c>
      <c r="B34" s="36" t="s">
        <v>521</v>
      </c>
      <c r="C34" s="36" t="s">
        <v>522</v>
      </c>
      <c r="D34" s="36" t="s">
        <v>256</v>
      </c>
      <c r="E34" s="37">
        <v>78100</v>
      </c>
      <c r="F34" s="38">
        <v>635.9683</v>
      </c>
      <c r="G34" s="39">
        <v>5.8243399999999999E-3</v>
      </c>
      <c r="H34" s="34" t="s">
        <v>143</v>
      </c>
    </row>
    <row r="35" spans="1:8" ht="25.5" x14ac:dyDescent="0.2">
      <c r="A35" s="35">
        <v>29</v>
      </c>
      <c r="B35" s="36" t="s">
        <v>438</v>
      </c>
      <c r="C35" s="36" t="s">
        <v>439</v>
      </c>
      <c r="D35" s="36" t="s">
        <v>209</v>
      </c>
      <c r="E35" s="37">
        <v>57600</v>
      </c>
      <c r="F35" s="38">
        <v>632.96640000000002</v>
      </c>
      <c r="G35" s="39">
        <v>5.7968500000000001E-3</v>
      </c>
      <c r="H35" s="34" t="s">
        <v>143</v>
      </c>
    </row>
    <row r="36" spans="1:8" x14ac:dyDescent="0.2">
      <c r="A36" s="35">
        <v>30</v>
      </c>
      <c r="B36" s="36" t="s">
        <v>20</v>
      </c>
      <c r="C36" s="36" t="s">
        <v>21</v>
      </c>
      <c r="D36" s="36" t="s">
        <v>22</v>
      </c>
      <c r="E36" s="37">
        <v>178500</v>
      </c>
      <c r="F36" s="38">
        <v>597.79650000000004</v>
      </c>
      <c r="G36" s="39">
        <v>5.4747600000000004E-3</v>
      </c>
      <c r="H36" s="34" t="s">
        <v>143</v>
      </c>
    </row>
    <row r="37" spans="1:8" ht="25.5" x14ac:dyDescent="0.2">
      <c r="A37" s="35">
        <v>31</v>
      </c>
      <c r="B37" s="36" t="s">
        <v>638</v>
      </c>
      <c r="C37" s="36" t="s">
        <v>639</v>
      </c>
      <c r="D37" s="36" t="s">
        <v>201</v>
      </c>
      <c r="E37" s="37">
        <v>52250</v>
      </c>
      <c r="F37" s="38">
        <v>592.93299999999999</v>
      </c>
      <c r="G37" s="39">
        <v>5.4302200000000004E-3</v>
      </c>
      <c r="H37" s="34" t="s">
        <v>143</v>
      </c>
    </row>
    <row r="38" spans="1:8" ht="25.5" x14ac:dyDescent="0.2">
      <c r="A38" s="35">
        <v>32</v>
      </c>
      <c r="B38" s="36" t="s">
        <v>342</v>
      </c>
      <c r="C38" s="36" t="s">
        <v>343</v>
      </c>
      <c r="D38" s="36" t="s">
        <v>25</v>
      </c>
      <c r="E38" s="37">
        <v>19670</v>
      </c>
      <c r="F38" s="38">
        <v>559.51315</v>
      </c>
      <c r="G38" s="39">
        <v>5.1241500000000001E-3</v>
      </c>
      <c r="H38" s="34" t="s">
        <v>143</v>
      </c>
    </row>
    <row r="39" spans="1:8" x14ac:dyDescent="0.2">
      <c r="A39" s="35">
        <v>33</v>
      </c>
      <c r="B39" s="36" t="s">
        <v>97</v>
      </c>
      <c r="C39" s="36" t="s">
        <v>98</v>
      </c>
      <c r="D39" s="36" t="s">
        <v>73</v>
      </c>
      <c r="E39" s="37">
        <v>15970</v>
      </c>
      <c r="F39" s="38">
        <v>542.88418000000001</v>
      </c>
      <c r="G39" s="39">
        <v>4.9718599999999998E-3</v>
      </c>
      <c r="H39" s="34" t="s">
        <v>143</v>
      </c>
    </row>
    <row r="40" spans="1:8" x14ac:dyDescent="0.2">
      <c r="A40" s="35">
        <v>34</v>
      </c>
      <c r="B40" s="36" t="s">
        <v>39</v>
      </c>
      <c r="C40" s="36" t="s">
        <v>40</v>
      </c>
      <c r="D40" s="36" t="s">
        <v>22</v>
      </c>
      <c r="E40" s="37">
        <v>131380</v>
      </c>
      <c r="F40" s="38">
        <v>532.68020999999999</v>
      </c>
      <c r="G40" s="39">
        <v>4.8784099999999997E-3</v>
      </c>
      <c r="H40" s="34" t="s">
        <v>143</v>
      </c>
    </row>
    <row r="41" spans="1:8" ht="25.5" x14ac:dyDescent="0.2">
      <c r="A41" s="35">
        <v>35</v>
      </c>
      <c r="B41" s="36" t="s">
        <v>23</v>
      </c>
      <c r="C41" s="36" t="s">
        <v>24</v>
      </c>
      <c r="D41" s="36" t="s">
        <v>25</v>
      </c>
      <c r="E41" s="37">
        <v>4300</v>
      </c>
      <c r="F41" s="38">
        <v>519.99900000000002</v>
      </c>
      <c r="G41" s="39">
        <v>4.7622699999999999E-3</v>
      </c>
      <c r="H41" s="34" t="s">
        <v>143</v>
      </c>
    </row>
    <row r="42" spans="1:8" ht="25.5" x14ac:dyDescent="0.2">
      <c r="A42" s="35">
        <v>36</v>
      </c>
      <c r="B42" s="36" t="s">
        <v>199</v>
      </c>
      <c r="C42" s="36" t="s">
        <v>200</v>
      </c>
      <c r="D42" s="36" t="s">
        <v>201</v>
      </c>
      <c r="E42" s="37">
        <v>25965</v>
      </c>
      <c r="F42" s="38">
        <v>503.20170000000002</v>
      </c>
      <c r="G42" s="39">
        <v>4.6084400000000001E-3</v>
      </c>
      <c r="H42" s="34" t="s">
        <v>143</v>
      </c>
    </row>
    <row r="43" spans="1:8" x14ac:dyDescent="0.2">
      <c r="A43" s="35">
        <v>37</v>
      </c>
      <c r="B43" s="36" t="s">
        <v>431</v>
      </c>
      <c r="C43" s="36" t="s">
        <v>432</v>
      </c>
      <c r="D43" s="36" t="s">
        <v>256</v>
      </c>
      <c r="E43" s="37">
        <v>27133</v>
      </c>
      <c r="F43" s="38">
        <v>498.78593899999998</v>
      </c>
      <c r="G43" s="39">
        <v>4.568E-3</v>
      </c>
      <c r="H43" s="34" t="s">
        <v>143</v>
      </c>
    </row>
    <row r="44" spans="1:8" x14ac:dyDescent="0.2">
      <c r="A44" s="35">
        <v>38</v>
      </c>
      <c r="B44" s="36" t="s">
        <v>34</v>
      </c>
      <c r="C44" s="36" t="s">
        <v>35</v>
      </c>
      <c r="D44" s="36" t="s">
        <v>36</v>
      </c>
      <c r="E44" s="37">
        <v>20850</v>
      </c>
      <c r="F44" s="38">
        <v>492.28935000000001</v>
      </c>
      <c r="G44" s="39">
        <v>4.5085000000000004E-3</v>
      </c>
      <c r="H44" s="34" t="s">
        <v>143</v>
      </c>
    </row>
    <row r="45" spans="1:8" x14ac:dyDescent="0.2">
      <c r="A45" s="35">
        <v>39</v>
      </c>
      <c r="B45" s="36" t="s">
        <v>219</v>
      </c>
      <c r="C45" s="36" t="s">
        <v>220</v>
      </c>
      <c r="D45" s="36" t="s">
        <v>221</v>
      </c>
      <c r="E45" s="37">
        <v>65500</v>
      </c>
      <c r="F45" s="38">
        <v>459.67899999999997</v>
      </c>
      <c r="G45" s="39">
        <v>4.2098500000000002E-3</v>
      </c>
      <c r="H45" s="34" t="s">
        <v>143</v>
      </c>
    </row>
    <row r="46" spans="1:8" ht="25.5" x14ac:dyDescent="0.2">
      <c r="A46" s="35">
        <v>40</v>
      </c>
      <c r="B46" s="36" t="s">
        <v>348</v>
      </c>
      <c r="C46" s="36" t="s">
        <v>349</v>
      </c>
      <c r="D46" s="36" t="s">
        <v>201</v>
      </c>
      <c r="E46" s="37">
        <v>27307</v>
      </c>
      <c r="F46" s="38">
        <v>457.58339899999999</v>
      </c>
      <c r="G46" s="39">
        <v>4.1906499999999998E-3</v>
      </c>
      <c r="H46" s="34" t="s">
        <v>143</v>
      </c>
    </row>
    <row r="47" spans="1:8" x14ac:dyDescent="0.2">
      <c r="A47" s="35">
        <v>41</v>
      </c>
      <c r="B47" s="36" t="s">
        <v>509</v>
      </c>
      <c r="C47" s="36" t="s">
        <v>510</v>
      </c>
      <c r="D47" s="36" t="s">
        <v>251</v>
      </c>
      <c r="E47" s="37">
        <v>10600</v>
      </c>
      <c r="F47" s="38">
        <v>449.13260000000002</v>
      </c>
      <c r="G47" s="39">
        <v>4.1132599999999997E-3</v>
      </c>
      <c r="H47" s="34" t="s">
        <v>143</v>
      </c>
    </row>
    <row r="48" spans="1:8" ht="25.5" x14ac:dyDescent="0.2">
      <c r="A48" s="35">
        <v>42</v>
      </c>
      <c r="B48" s="36" t="s">
        <v>261</v>
      </c>
      <c r="C48" s="36" t="s">
        <v>262</v>
      </c>
      <c r="D48" s="36" t="s">
        <v>201</v>
      </c>
      <c r="E48" s="37">
        <v>18600</v>
      </c>
      <c r="F48" s="38">
        <v>431.4828</v>
      </c>
      <c r="G48" s="39">
        <v>3.9516200000000003E-3</v>
      </c>
      <c r="H48" s="34" t="s">
        <v>143</v>
      </c>
    </row>
    <row r="49" spans="1:8" x14ac:dyDescent="0.2">
      <c r="A49" s="35">
        <v>43</v>
      </c>
      <c r="B49" s="36" t="s">
        <v>271</v>
      </c>
      <c r="C49" s="36" t="s">
        <v>272</v>
      </c>
      <c r="D49" s="36" t="s">
        <v>43</v>
      </c>
      <c r="E49" s="37">
        <v>39000</v>
      </c>
      <c r="F49" s="38">
        <v>430.67700000000002</v>
      </c>
      <c r="G49" s="39">
        <v>3.9442399999999999E-3</v>
      </c>
      <c r="H49" s="34" t="s">
        <v>143</v>
      </c>
    </row>
    <row r="50" spans="1:8" x14ac:dyDescent="0.2">
      <c r="A50" s="35">
        <v>44</v>
      </c>
      <c r="B50" s="36" t="s">
        <v>511</v>
      </c>
      <c r="C50" s="36" t="s">
        <v>512</v>
      </c>
      <c r="D50" s="36" t="s">
        <v>251</v>
      </c>
      <c r="E50" s="37">
        <v>4900</v>
      </c>
      <c r="F50" s="38">
        <v>410.42399999999998</v>
      </c>
      <c r="G50" s="39">
        <v>3.7587599999999999E-3</v>
      </c>
      <c r="H50" s="34" t="s">
        <v>143</v>
      </c>
    </row>
    <row r="51" spans="1:8" x14ac:dyDescent="0.2">
      <c r="A51" s="35">
        <v>45</v>
      </c>
      <c r="B51" s="36" t="s">
        <v>309</v>
      </c>
      <c r="C51" s="36" t="s">
        <v>310</v>
      </c>
      <c r="D51" s="36" t="s">
        <v>206</v>
      </c>
      <c r="E51" s="37">
        <v>9400</v>
      </c>
      <c r="F51" s="38">
        <v>403.27879999999999</v>
      </c>
      <c r="G51" s="39">
        <v>3.6933199999999999E-3</v>
      </c>
      <c r="H51" s="34" t="s">
        <v>143</v>
      </c>
    </row>
    <row r="52" spans="1:8" ht="25.5" x14ac:dyDescent="0.2">
      <c r="A52" s="35">
        <v>46</v>
      </c>
      <c r="B52" s="36" t="s">
        <v>207</v>
      </c>
      <c r="C52" s="36" t="s">
        <v>208</v>
      </c>
      <c r="D52" s="36" t="s">
        <v>209</v>
      </c>
      <c r="E52" s="37">
        <v>55545</v>
      </c>
      <c r="F52" s="38">
        <v>401.2293075</v>
      </c>
      <c r="G52" s="39">
        <v>3.67455E-3</v>
      </c>
      <c r="H52" s="34" t="s">
        <v>143</v>
      </c>
    </row>
    <row r="53" spans="1:8" ht="25.5" x14ac:dyDescent="0.2">
      <c r="A53" s="35">
        <v>47</v>
      </c>
      <c r="B53" s="36" t="s">
        <v>281</v>
      </c>
      <c r="C53" s="36" t="s">
        <v>282</v>
      </c>
      <c r="D53" s="36" t="s">
        <v>201</v>
      </c>
      <c r="E53" s="37">
        <v>40450</v>
      </c>
      <c r="F53" s="38">
        <v>400.434775</v>
      </c>
      <c r="G53" s="39">
        <v>3.6672699999999998E-3</v>
      </c>
      <c r="H53" s="34" t="s">
        <v>143</v>
      </c>
    </row>
    <row r="54" spans="1:8" ht="25.5" x14ac:dyDescent="0.2">
      <c r="A54" s="35">
        <v>48</v>
      </c>
      <c r="B54" s="36" t="s">
        <v>101</v>
      </c>
      <c r="C54" s="36" t="s">
        <v>102</v>
      </c>
      <c r="D54" s="36" t="s">
        <v>25</v>
      </c>
      <c r="E54" s="37">
        <v>67890</v>
      </c>
      <c r="F54" s="38">
        <v>392.03080499999999</v>
      </c>
      <c r="G54" s="39">
        <v>3.5903100000000002E-3</v>
      </c>
      <c r="H54" s="34" t="s">
        <v>143</v>
      </c>
    </row>
    <row r="55" spans="1:8" x14ac:dyDescent="0.2">
      <c r="A55" s="35">
        <v>49</v>
      </c>
      <c r="B55" s="36" t="s">
        <v>204</v>
      </c>
      <c r="C55" s="36" t="s">
        <v>205</v>
      </c>
      <c r="D55" s="36" t="s">
        <v>206</v>
      </c>
      <c r="E55" s="37">
        <v>14065</v>
      </c>
      <c r="F55" s="38">
        <v>389.61456500000003</v>
      </c>
      <c r="G55" s="39">
        <v>3.5681799999999998E-3</v>
      </c>
      <c r="H55" s="34" t="s">
        <v>143</v>
      </c>
    </row>
    <row r="56" spans="1:8" x14ac:dyDescent="0.2">
      <c r="A56" s="35">
        <v>50</v>
      </c>
      <c r="B56" s="36" t="s">
        <v>513</v>
      </c>
      <c r="C56" s="36" t="s">
        <v>514</v>
      </c>
      <c r="D56" s="36" t="s">
        <v>198</v>
      </c>
      <c r="E56" s="37">
        <v>22155</v>
      </c>
      <c r="F56" s="38">
        <v>373.75484999999998</v>
      </c>
      <c r="G56" s="39">
        <v>3.4229299999999998E-3</v>
      </c>
      <c r="H56" s="34" t="s">
        <v>143</v>
      </c>
    </row>
    <row r="57" spans="1:8" x14ac:dyDescent="0.2">
      <c r="A57" s="35">
        <v>51</v>
      </c>
      <c r="B57" s="36" t="s">
        <v>193</v>
      </c>
      <c r="C57" s="36" t="s">
        <v>194</v>
      </c>
      <c r="D57" s="36" t="s">
        <v>195</v>
      </c>
      <c r="E57" s="37">
        <v>45500</v>
      </c>
      <c r="F57" s="38">
        <v>361.4975</v>
      </c>
      <c r="G57" s="39">
        <v>3.3106799999999999E-3</v>
      </c>
      <c r="H57" s="34" t="s">
        <v>143</v>
      </c>
    </row>
    <row r="58" spans="1:8" x14ac:dyDescent="0.2">
      <c r="A58" s="35">
        <v>52</v>
      </c>
      <c r="B58" s="36" t="s">
        <v>357</v>
      </c>
      <c r="C58" s="36" t="s">
        <v>358</v>
      </c>
      <c r="D58" s="36" t="s">
        <v>226</v>
      </c>
      <c r="E58" s="37">
        <v>75470</v>
      </c>
      <c r="F58" s="38">
        <v>345.31298500000003</v>
      </c>
      <c r="G58" s="39">
        <v>3.1624600000000002E-3</v>
      </c>
      <c r="H58" s="34" t="s">
        <v>143</v>
      </c>
    </row>
    <row r="59" spans="1:8" ht="25.5" x14ac:dyDescent="0.2">
      <c r="A59" s="35">
        <v>53</v>
      </c>
      <c r="B59" s="36" t="s">
        <v>631</v>
      </c>
      <c r="C59" s="36" t="s">
        <v>632</v>
      </c>
      <c r="D59" s="36" t="s">
        <v>633</v>
      </c>
      <c r="E59" s="37">
        <v>12600</v>
      </c>
      <c r="F59" s="38">
        <v>330.0444</v>
      </c>
      <c r="G59" s="39">
        <v>3.0226200000000002E-3</v>
      </c>
      <c r="H59" s="34" t="s">
        <v>143</v>
      </c>
    </row>
    <row r="60" spans="1:8" x14ac:dyDescent="0.2">
      <c r="A60" s="35">
        <v>54</v>
      </c>
      <c r="B60" s="36" t="s">
        <v>62</v>
      </c>
      <c r="C60" s="36" t="s">
        <v>63</v>
      </c>
      <c r="D60" s="36" t="s">
        <v>13</v>
      </c>
      <c r="E60" s="37">
        <v>69700</v>
      </c>
      <c r="F60" s="38">
        <v>293.50670000000002</v>
      </c>
      <c r="G60" s="39">
        <v>2.6879999999999999E-3</v>
      </c>
      <c r="H60" s="34" t="s">
        <v>143</v>
      </c>
    </row>
    <row r="61" spans="1:8" x14ac:dyDescent="0.2">
      <c r="A61" s="35">
        <v>55</v>
      </c>
      <c r="B61" s="36" t="s">
        <v>515</v>
      </c>
      <c r="C61" s="36" t="s">
        <v>516</v>
      </c>
      <c r="D61" s="36" t="s">
        <v>43</v>
      </c>
      <c r="E61" s="37">
        <v>27900</v>
      </c>
      <c r="F61" s="38">
        <v>269.15129999999999</v>
      </c>
      <c r="G61" s="39">
        <v>2.46495E-3</v>
      </c>
      <c r="H61" s="34" t="s">
        <v>143</v>
      </c>
    </row>
    <row r="62" spans="1:8" x14ac:dyDescent="0.2">
      <c r="A62" s="35">
        <v>56</v>
      </c>
      <c r="B62" s="36" t="s">
        <v>245</v>
      </c>
      <c r="C62" s="36" t="s">
        <v>246</v>
      </c>
      <c r="D62" s="36" t="s">
        <v>61</v>
      </c>
      <c r="E62" s="37">
        <v>14000</v>
      </c>
      <c r="F62" s="38">
        <v>232.036</v>
      </c>
      <c r="G62" s="39">
        <v>2.1250399999999999E-3</v>
      </c>
      <c r="H62" s="34" t="s">
        <v>143</v>
      </c>
    </row>
    <row r="63" spans="1:8" x14ac:dyDescent="0.2">
      <c r="A63" s="35">
        <v>57</v>
      </c>
      <c r="B63" s="36" t="s">
        <v>233</v>
      </c>
      <c r="C63" s="36" t="s">
        <v>234</v>
      </c>
      <c r="D63" s="36" t="s">
        <v>73</v>
      </c>
      <c r="E63" s="37">
        <v>3400</v>
      </c>
      <c r="F63" s="38">
        <v>222.73400000000001</v>
      </c>
      <c r="G63" s="39">
        <v>2.0398500000000002E-3</v>
      </c>
      <c r="H63" s="34" t="s">
        <v>143</v>
      </c>
    </row>
    <row r="64" spans="1:8" x14ac:dyDescent="0.2">
      <c r="A64" s="35">
        <v>58</v>
      </c>
      <c r="B64" s="36" t="s">
        <v>92</v>
      </c>
      <c r="C64" s="36" t="s">
        <v>93</v>
      </c>
      <c r="D64" s="36" t="s">
        <v>94</v>
      </c>
      <c r="E64" s="37">
        <v>107000</v>
      </c>
      <c r="F64" s="38">
        <v>204.19880000000001</v>
      </c>
      <c r="G64" s="39">
        <v>1.8701E-3</v>
      </c>
      <c r="H64" s="34" t="s">
        <v>143</v>
      </c>
    </row>
    <row r="65" spans="1:8" x14ac:dyDescent="0.2">
      <c r="A65" s="35">
        <v>59</v>
      </c>
      <c r="B65" s="36" t="s">
        <v>311</v>
      </c>
      <c r="C65" s="36" t="s">
        <v>312</v>
      </c>
      <c r="D65" s="36" t="s">
        <v>221</v>
      </c>
      <c r="E65" s="37">
        <v>26250</v>
      </c>
      <c r="F65" s="38">
        <v>199.57875000000001</v>
      </c>
      <c r="G65" s="39">
        <v>1.8277899999999999E-3</v>
      </c>
      <c r="H65" s="34" t="s">
        <v>143</v>
      </c>
    </row>
    <row r="66" spans="1:8" x14ac:dyDescent="0.2">
      <c r="A66" s="35">
        <v>60</v>
      </c>
      <c r="B66" s="36" t="s">
        <v>485</v>
      </c>
      <c r="C66" s="36" t="s">
        <v>486</v>
      </c>
      <c r="D66" s="36" t="s">
        <v>206</v>
      </c>
      <c r="E66" s="37">
        <v>7355</v>
      </c>
      <c r="F66" s="38">
        <v>199.26166000000001</v>
      </c>
      <c r="G66" s="39">
        <v>1.8248800000000001E-3</v>
      </c>
      <c r="H66" s="34" t="s">
        <v>143</v>
      </c>
    </row>
    <row r="67" spans="1:8" x14ac:dyDescent="0.2">
      <c r="A67" s="35">
        <v>61</v>
      </c>
      <c r="B67" s="36" t="s">
        <v>427</v>
      </c>
      <c r="C67" s="36" t="s">
        <v>428</v>
      </c>
      <c r="D67" s="36" t="s">
        <v>251</v>
      </c>
      <c r="E67" s="37">
        <v>28000</v>
      </c>
      <c r="F67" s="38">
        <v>192.64</v>
      </c>
      <c r="G67" s="39">
        <v>1.76424E-3</v>
      </c>
      <c r="H67" s="34" t="s">
        <v>143</v>
      </c>
    </row>
    <row r="68" spans="1:8" x14ac:dyDescent="0.2">
      <c r="A68" s="35">
        <v>62</v>
      </c>
      <c r="B68" s="36" t="s">
        <v>305</v>
      </c>
      <c r="C68" s="36" t="s">
        <v>306</v>
      </c>
      <c r="D68" s="36" t="s">
        <v>195</v>
      </c>
      <c r="E68" s="37">
        <v>31345</v>
      </c>
      <c r="F68" s="38">
        <v>180.1240425</v>
      </c>
      <c r="G68" s="39">
        <v>1.6496200000000001E-3</v>
      </c>
      <c r="H68" s="34" t="s">
        <v>143</v>
      </c>
    </row>
    <row r="69" spans="1:8" x14ac:dyDescent="0.2">
      <c r="A69" s="35">
        <v>63</v>
      </c>
      <c r="B69" s="36" t="s">
        <v>519</v>
      </c>
      <c r="C69" s="36" t="s">
        <v>520</v>
      </c>
      <c r="D69" s="36" t="s">
        <v>192</v>
      </c>
      <c r="E69" s="37">
        <v>6000</v>
      </c>
      <c r="F69" s="38">
        <v>123.36</v>
      </c>
      <c r="G69" s="39">
        <v>1.1297600000000001E-3</v>
      </c>
      <c r="H69" s="34" t="s">
        <v>143</v>
      </c>
    </row>
    <row r="70" spans="1:8" x14ac:dyDescent="0.2">
      <c r="A70" s="35">
        <v>64</v>
      </c>
      <c r="B70" s="36" t="s">
        <v>359</v>
      </c>
      <c r="C70" s="36" t="s">
        <v>360</v>
      </c>
      <c r="D70" s="36" t="s">
        <v>55</v>
      </c>
      <c r="E70" s="37">
        <v>175</v>
      </c>
      <c r="F70" s="38">
        <v>6.4578499999999996</v>
      </c>
      <c r="G70" s="39">
        <v>5.914E-5</v>
      </c>
      <c r="H70" s="34" t="s">
        <v>143</v>
      </c>
    </row>
    <row r="71" spans="1:8" x14ac:dyDescent="0.2">
      <c r="A71" s="41"/>
      <c r="B71" s="41"/>
      <c r="C71" s="42" t="s">
        <v>142</v>
      </c>
      <c r="D71" s="41"/>
      <c r="E71" s="41" t="s">
        <v>143</v>
      </c>
      <c r="F71" s="43">
        <v>76960.435545999993</v>
      </c>
      <c r="G71" s="44">
        <v>0.70482120000000004</v>
      </c>
      <c r="H71" s="34" t="s">
        <v>143</v>
      </c>
    </row>
    <row r="72" spans="1:8" x14ac:dyDescent="0.2">
      <c r="A72" s="41"/>
      <c r="B72" s="41"/>
      <c r="C72" s="45"/>
      <c r="D72" s="41"/>
      <c r="E72" s="41"/>
      <c r="F72" s="46"/>
      <c r="G72" s="46"/>
      <c r="H72" s="34" t="s">
        <v>143</v>
      </c>
    </row>
    <row r="73" spans="1:8" x14ac:dyDescent="0.2">
      <c r="A73" s="41"/>
      <c r="B73" s="41"/>
      <c r="C73" s="42" t="s">
        <v>144</v>
      </c>
      <c r="D73" s="41"/>
      <c r="E73" s="41"/>
      <c r="F73" s="41"/>
      <c r="G73" s="41"/>
      <c r="H73" s="34" t="s">
        <v>143</v>
      </c>
    </row>
    <row r="74" spans="1:8" x14ac:dyDescent="0.2">
      <c r="A74" s="41"/>
      <c r="B74" s="41"/>
      <c r="C74" s="42" t="s">
        <v>142</v>
      </c>
      <c r="D74" s="41"/>
      <c r="E74" s="41" t="s">
        <v>143</v>
      </c>
      <c r="F74" s="47" t="s">
        <v>145</v>
      </c>
      <c r="G74" s="44">
        <v>0</v>
      </c>
      <c r="H74" s="34" t="s">
        <v>143</v>
      </c>
    </row>
    <row r="75" spans="1:8" x14ac:dyDescent="0.2">
      <c r="A75" s="41"/>
      <c r="B75" s="41"/>
      <c r="C75" s="45"/>
      <c r="D75" s="41"/>
      <c r="E75" s="41"/>
      <c r="F75" s="46"/>
      <c r="G75" s="46"/>
      <c r="H75" s="34" t="s">
        <v>143</v>
      </c>
    </row>
    <row r="76" spans="1:8" x14ac:dyDescent="0.2">
      <c r="A76" s="41"/>
      <c r="B76" s="41"/>
      <c r="C76" s="42" t="s">
        <v>146</v>
      </c>
      <c r="D76" s="41"/>
      <c r="E76" s="41"/>
      <c r="F76" s="41"/>
      <c r="G76" s="41"/>
      <c r="H76" s="34" t="s">
        <v>143</v>
      </c>
    </row>
    <row r="77" spans="1:8" x14ac:dyDescent="0.2">
      <c r="A77" s="41"/>
      <c r="B77" s="41"/>
      <c r="C77" s="42" t="s">
        <v>142</v>
      </c>
      <c r="D77" s="41"/>
      <c r="E77" s="41" t="s">
        <v>143</v>
      </c>
      <c r="F77" s="47" t="s">
        <v>145</v>
      </c>
      <c r="G77" s="44">
        <v>0</v>
      </c>
      <c r="H77" s="34" t="s">
        <v>143</v>
      </c>
    </row>
    <row r="78" spans="1:8" x14ac:dyDescent="0.2">
      <c r="A78" s="41"/>
      <c r="B78" s="41"/>
      <c r="C78" s="45"/>
      <c r="D78" s="41"/>
      <c r="E78" s="41"/>
      <c r="F78" s="46"/>
      <c r="G78" s="46"/>
      <c r="H78" s="34" t="s">
        <v>143</v>
      </c>
    </row>
    <row r="79" spans="1:8" x14ac:dyDescent="0.2">
      <c r="A79" s="41"/>
      <c r="B79" s="41"/>
      <c r="C79" s="42" t="s">
        <v>147</v>
      </c>
      <c r="D79" s="41"/>
      <c r="E79" s="41"/>
      <c r="F79" s="41"/>
      <c r="G79" s="41"/>
      <c r="H79" s="34" t="s">
        <v>143</v>
      </c>
    </row>
    <row r="80" spans="1:8" x14ac:dyDescent="0.2">
      <c r="A80" s="41"/>
      <c r="B80" s="41"/>
      <c r="C80" s="42" t="s">
        <v>142</v>
      </c>
      <c r="D80" s="41"/>
      <c r="E80" s="41" t="s">
        <v>143</v>
      </c>
      <c r="F80" s="47" t="s">
        <v>145</v>
      </c>
      <c r="G80" s="44">
        <v>0</v>
      </c>
      <c r="H80" s="34" t="s">
        <v>143</v>
      </c>
    </row>
    <row r="81" spans="1:8" x14ac:dyDescent="0.2">
      <c r="A81" s="41"/>
      <c r="B81" s="41"/>
      <c r="C81" s="45"/>
      <c r="D81" s="41"/>
      <c r="E81" s="41"/>
      <c r="F81" s="46"/>
      <c r="G81" s="46"/>
      <c r="H81" s="34" t="s">
        <v>143</v>
      </c>
    </row>
    <row r="82" spans="1:8" x14ac:dyDescent="0.2">
      <c r="A82" s="41"/>
      <c r="B82" s="41"/>
      <c r="C82" s="42" t="s">
        <v>148</v>
      </c>
      <c r="D82" s="41"/>
      <c r="E82" s="41"/>
      <c r="F82" s="46"/>
      <c r="G82" s="46"/>
      <c r="H82" s="34" t="s">
        <v>143</v>
      </c>
    </row>
    <row r="83" spans="1:8" x14ac:dyDescent="0.2">
      <c r="A83" s="41"/>
      <c r="B83" s="41"/>
      <c r="C83" s="42" t="s">
        <v>142</v>
      </c>
      <c r="D83" s="41"/>
      <c r="E83" s="41" t="s">
        <v>143</v>
      </c>
      <c r="F83" s="47" t="s">
        <v>145</v>
      </c>
      <c r="G83" s="44">
        <v>0</v>
      </c>
      <c r="H83" s="34" t="s">
        <v>143</v>
      </c>
    </row>
    <row r="84" spans="1:8" x14ac:dyDescent="0.2">
      <c r="A84" s="41"/>
      <c r="B84" s="41"/>
      <c r="C84" s="45"/>
      <c r="D84" s="41"/>
      <c r="E84" s="41"/>
      <c r="F84" s="46"/>
      <c r="G84" s="46"/>
      <c r="H84" s="34" t="s">
        <v>143</v>
      </c>
    </row>
    <row r="85" spans="1:8" x14ac:dyDescent="0.2">
      <c r="A85" s="41"/>
      <c r="B85" s="41"/>
      <c r="C85" s="42" t="s">
        <v>149</v>
      </c>
      <c r="D85" s="41"/>
      <c r="E85" s="41"/>
      <c r="F85" s="46"/>
      <c r="G85" s="46"/>
      <c r="H85" s="34" t="s">
        <v>143</v>
      </c>
    </row>
    <row r="86" spans="1:8" x14ac:dyDescent="0.2">
      <c r="A86" s="35">
        <v>1</v>
      </c>
      <c r="B86" s="36"/>
      <c r="C86" s="36" t="s">
        <v>1016</v>
      </c>
      <c r="D86" s="36" t="s">
        <v>530</v>
      </c>
      <c r="E86" s="37">
        <v>-175</v>
      </c>
      <c r="F86" s="38">
        <v>-6.4620499999999996</v>
      </c>
      <c r="G86" s="39">
        <f>F86/$F$178</f>
        <v>-5.918091949901973E-5</v>
      </c>
      <c r="H86" s="34" t="s">
        <v>143</v>
      </c>
    </row>
    <row r="87" spans="1:8" x14ac:dyDescent="0.2">
      <c r="A87" s="35">
        <v>2</v>
      </c>
      <c r="B87" s="36"/>
      <c r="C87" s="36" t="s">
        <v>998</v>
      </c>
      <c r="D87" s="36" t="s">
        <v>530</v>
      </c>
      <c r="E87" s="37">
        <v>-3400</v>
      </c>
      <c r="F87" s="38">
        <v>-14.348000000000001</v>
      </c>
      <c r="G87" s="39">
        <f t="shared" ref="G87:G116" si="0">F87/$F$178</f>
        <v>-1.3140223813989913E-4</v>
      </c>
      <c r="H87" s="34" t="s">
        <v>143</v>
      </c>
    </row>
    <row r="88" spans="1:8" x14ac:dyDescent="0.2">
      <c r="A88" s="35">
        <v>3</v>
      </c>
      <c r="B88" s="36"/>
      <c r="C88" s="36" t="s">
        <v>1006</v>
      </c>
      <c r="D88" s="36" t="s">
        <v>530</v>
      </c>
      <c r="E88" s="37">
        <v>-9450</v>
      </c>
      <c r="F88" s="38">
        <v>-54.805275000000002</v>
      </c>
      <c r="G88" s="39">
        <f t="shared" si="0"/>
        <v>-5.0191913833793277E-4</v>
      </c>
      <c r="H88" s="34" t="s">
        <v>143</v>
      </c>
    </row>
    <row r="89" spans="1:8" x14ac:dyDescent="0.2">
      <c r="A89" s="35">
        <v>4</v>
      </c>
      <c r="B89" s="36"/>
      <c r="C89" s="36" t="s">
        <v>973</v>
      </c>
      <c r="D89" s="36" t="s">
        <v>530</v>
      </c>
      <c r="E89" s="37">
        <v>-2000</v>
      </c>
      <c r="F89" s="38">
        <v>-57.26</v>
      </c>
      <c r="G89" s="39">
        <f t="shared" si="0"/>
        <v>-5.2440006662187225E-4</v>
      </c>
      <c r="H89" s="34" t="s">
        <v>143</v>
      </c>
    </row>
    <row r="90" spans="1:8" x14ac:dyDescent="0.2">
      <c r="A90" s="35">
        <v>5</v>
      </c>
      <c r="B90" s="36"/>
      <c r="C90" s="36" t="s">
        <v>1004</v>
      </c>
      <c r="D90" s="36" t="s">
        <v>530</v>
      </c>
      <c r="E90" s="37">
        <v>-7500</v>
      </c>
      <c r="F90" s="38">
        <v>-70.650000000000006</v>
      </c>
      <c r="G90" s="39">
        <f t="shared" si="0"/>
        <v>-6.4702872348647007E-4</v>
      </c>
      <c r="H90" s="34" t="s">
        <v>143</v>
      </c>
    </row>
    <row r="91" spans="1:8" x14ac:dyDescent="0.2">
      <c r="A91" s="35">
        <v>6</v>
      </c>
      <c r="B91" s="36"/>
      <c r="C91" s="36" t="s">
        <v>959</v>
      </c>
      <c r="D91" s="36" t="s">
        <v>530</v>
      </c>
      <c r="E91" s="37">
        <v>-5250</v>
      </c>
      <c r="F91" s="38">
        <v>-97.125</v>
      </c>
      <c r="G91" s="39">
        <f t="shared" si="0"/>
        <v>-8.8949277804137869E-4</v>
      </c>
      <c r="H91" s="34" t="s">
        <v>143</v>
      </c>
    </row>
    <row r="92" spans="1:8" x14ac:dyDescent="0.2">
      <c r="A92" s="35">
        <v>7</v>
      </c>
      <c r="B92" s="36"/>
      <c r="C92" s="36" t="s">
        <v>968</v>
      </c>
      <c r="D92" s="36" t="s">
        <v>530</v>
      </c>
      <c r="E92" s="37">
        <v>-6000</v>
      </c>
      <c r="F92" s="38">
        <v>-123.97199999999999</v>
      </c>
      <c r="G92" s="39">
        <f t="shared" si="0"/>
        <v>-1.1353636929662373E-3</v>
      </c>
      <c r="H92" s="34" t="s">
        <v>143</v>
      </c>
    </row>
    <row r="93" spans="1:8" x14ac:dyDescent="0.2">
      <c r="A93" s="35">
        <v>8</v>
      </c>
      <c r="B93" s="36"/>
      <c r="C93" s="36" t="s">
        <v>1024</v>
      </c>
      <c r="D93" s="36" t="s">
        <v>530</v>
      </c>
      <c r="E93" s="37">
        <v>-7650</v>
      </c>
      <c r="F93" s="38">
        <v>-148.6242</v>
      </c>
      <c r="G93" s="39">
        <f t="shared" si="0"/>
        <v>-1.3611341317083911E-3</v>
      </c>
      <c r="H93" s="34" t="s">
        <v>143</v>
      </c>
    </row>
    <row r="94" spans="1:8" x14ac:dyDescent="0.2">
      <c r="A94" s="35">
        <v>9</v>
      </c>
      <c r="B94" s="36"/>
      <c r="C94" s="36" t="s">
        <v>971</v>
      </c>
      <c r="D94" s="36" t="s">
        <v>530</v>
      </c>
      <c r="E94" s="37">
        <v>-4550</v>
      </c>
      <c r="F94" s="38">
        <v>-157.66659999999999</v>
      </c>
      <c r="G94" s="39">
        <f t="shared" si="0"/>
        <v>-1.4439464817332184E-3</v>
      </c>
      <c r="H94" s="34" t="s">
        <v>143</v>
      </c>
    </row>
    <row r="95" spans="1:8" x14ac:dyDescent="0.2">
      <c r="A95" s="35">
        <v>10</v>
      </c>
      <c r="B95" s="36"/>
      <c r="C95" s="36" t="s">
        <v>1000</v>
      </c>
      <c r="D95" s="36" t="s">
        <v>530</v>
      </c>
      <c r="E95" s="37">
        <v>-28000</v>
      </c>
      <c r="F95" s="38">
        <v>-193.83</v>
      </c>
      <c r="G95" s="39">
        <f t="shared" si="0"/>
        <v>-1.7751391008263625E-3</v>
      </c>
      <c r="H95" s="34" t="s">
        <v>143</v>
      </c>
    </row>
    <row r="96" spans="1:8" x14ac:dyDescent="0.2">
      <c r="A96" s="35">
        <v>11</v>
      </c>
      <c r="B96" s="36"/>
      <c r="C96" s="36" t="s">
        <v>1025</v>
      </c>
      <c r="D96" s="36" t="s">
        <v>530</v>
      </c>
      <c r="E96" s="37">
        <v>-18400</v>
      </c>
      <c r="F96" s="38">
        <v>-263.74560000000002</v>
      </c>
      <c r="G96" s="39">
        <f t="shared" si="0"/>
        <v>-2.4154420225502215E-3</v>
      </c>
      <c r="H96" s="34" t="s">
        <v>143</v>
      </c>
    </row>
    <row r="97" spans="1:8" x14ac:dyDescent="0.2">
      <c r="A97" s="35">
        <v>12</v>
      </c>
      <c r="B97" s="36"/>
      <c r="C97" s="36" t="s">
        <v>965</v>
      </c>
      <c r="D97" s="36" t="s">
        <v>530</v>
      </c>
      <c r="E97" s="37">
        <v>-8400</v>
      </c>
      <c r="F97" s="38">
        <v>-266.56560000000002</v>
      </c>
      <c r="G97" s="39">
        <f t="shared" si="0"/>
        <v>-2.4412682221288747E-3</v>
      </c>
      <c r="H97" s="34" t="s">
        <v>143</v>
      </c>
    </row>
    <row r="98" spans="1:8" x14ac:dyDescent="0.2">
      <c r="A98" s="35">
        <v>13</v>
      </c>
      <c r="B98" s="36"/>
      <c r="C98" s="36" t="s">
        <v>1005</v>
      </c>
      <c r="D98" s="36" t="s">
        <v>530</v>
      </c>
      <c r="E98" s="37">
        <v>-12600</v>
      </c>
      <c r="F98" s="38">
        <v>-331.5942</v>
      </c>
      <c r="G98" s="39">
        <f t="shared" si="0"/>
        <v>-3.0368148894765359E-3</v>
      </c>
      <c r="H98" s="34" t="s">
        <v>143</v>
      </c>
    </row>
    <row r="99" spans="1:8" x14ac:dyDescent="0.2">
      <c r="A99" s="35">
        <v>14</v>
      </c>
      <c r="B99" s="36"/>
      <c r="C99" s="36" t="s">
        <v>980</v>
      </c>
      <c r="D99" s="36" t="s">
        <v>530</v>
      </c>
      <c r="E99" s="37">
        <v>-18400</v>
      </c>
      <c r="F99" s="38">
        <v>-400.476</v>
      </c>
      <c r="G99" s="39">
        <f t="shared" si="0"/>
        <v>-3.6676500363335821E-3</v>
      </c>
      <c r="H99" s="34" t="s">
        <v>143</v>
      </c>
    </row>
    <row r="100" spans="1:8" x14ac:dyDescent="0.2">
      <c r="A100" s="35">
        <v>15</v>
      </c>
      <c r="B100" s="36"/>
      <c r="C100" s="36" t="s">
        <v>983</v>
      </c>
      <c r="D100" s="36" t="s">
        <v>530</v>
      </c>
      <c r="E100" s="37">
        <v>-23100</v>
      </c>
      <c r="F100" s="38">
        <v>-464.07900000000001</v>
      </c>
      <c r="G100" s="39">
        <f t="shared" si="0"/>
        <v>-4.2501407355538222E-3</v>
      </c>
      <c r="H100" s="34" t="s">
        <v>143</v>
      </c>
    </row>
    <row r="101" spans="1:8" x14ac:dyDescent="0.2">
      <c r="A101" s="35">
        <v>16</v>
      </c>
      <c r="B101" s="36"/>
      <c r="C101" s="36" t="s">
        <v>992</v>
      </c>
      <c r="D101" s="36" t="s">
        <v>530</v>
      </c>
      <c r="E101" s="37">
        <v>-52250</v>
      </c>
      <c r="F101" s="38">
        <v>-596.32925</v>
      </c>
      <c r="G101" s="39">
        <f t="shared" si="0"/>
        <v>-5.4613185195349478E-3</v>
      </c>
      <c r="H101" s="34" t="s">
        <v>143</v>
      </c>
    </row>
    <row r="102" spans="1:8" x14ac:dyDescent="0.2">
      <c r="A102" s="35">
        <v>17</v>
      </c>
      <c r="B102" s="36"/>
      <c r="C102" s="36" t="s">
        <v>976</v>
      </c>
      <c r="D102" s="36" t="s">
        <v>530</v>
      </c>
      <c r="E102" s="37">
        <v>-178500</v>
      </c>
      <c r="F102" s="38">
        <v>-601.0095</v>
      </c>
      <c r="G102" s="39">
        <f t="shared" si="0"/>
        <v>-5.5041813105200519E-3</v>
      </c>
      <c r="H102" s="34" t="s">
        <v>143</v>
      </c>
    </row>
    <row r="103" spans="1:8" x14ac:dyDescent="0.2">
      <c r="A103" s="35">
        <v>18</v>
      </c>
      <c r="B103" s="36"/>
      <c r="C103" s="36" t="s">
        <v>967</v>
      </c>
      <c r="D103" s="36" t="s">
        <v>530</v>
      </c>
      <c r="E103" s="37">
        <v>-78100</v>
      </c>
      <c r="F103" s="38">
        <v>-637.80364999999995</v>
      </c>
      <c r="G103" s="39">
        <f t="shared" si="0"/>
        <v>-5.8411504811678883E-3</v>
      </c>
      <c r="H103" s="34" t="s">
        <v>143</v>
      </c>
    </row>
    <row r="104" spans="1:8" x14ac:dyDescent="0.2">
      <c r="A104" s="35">
        <v>19</v>
      </c>
      <c r="B104" s="36"/>
      <c r="C104" s="36" t="s">
        <v>974</v>
      </c>
      <c r="D104" s="36" t="s">
        <v>530</v>
      </c>
      <c r="E104" s="37">
        <v>-31500</v>
      </c>
      <c r="F104" s="38">
        <v>-727.27200000000005</v>
      </c>
      <c r="G104" s="39">
        <f t="shared" si="0"/>
        <v>-6.6605219219738445E-3</v>
      </c>
      <c r="H104" s="34" t="s">
        <v>143</v>
      </c>
    </row>
    <row r="105" spans="1:8" x14ac:dyDescent="0.2">
      <c r="A105" s="35">
        <v>20</v>
      </c>
      <c r="B105" s="36"/>
      <c r="C105" s="36" t="s">
        <v>969</v>
      </c>
      <c r="D105" s="36" t="s">
        <v>530</v>
      </c>
      <c r="E105" s="37">
        <v>-21875</v>
      </c>
      <c r="F105" s="38">
        <v>-807.12187500000005</v>
      </c>
      <c r="G105" s="39">
        <f t="shared" si="0"/>
        <v>-7.3918051872506199E-3</v>
      </c>
      <c r="H105" s="34" t="s">
        <v>143</v>
      </c>
    </row>
    <row r="106" spans="1:8" x14ac:dyDescent="0.2">
      <c r="A106" s="35">
        <v>21</v>
      </c>
      <c r="B106" s="36"/>
      <c r="C106" s="36" t="s">
        <v>1026</v>
      </c>
      <c r="D106" s="36" t="s">
        <v>530</v>
      </c>
      <c r="E106" s="37">
        <v>-29750</v>
      </c>
      <c r="F106" s="38">
        <v>-868.87850000000003</v>
      </c>
      <c r="G106" s="39">
        <f t="shared" si="0"/>
        <v>-7.9573863654612727E-3</v>
      </c>
      <c r="H106" s="34" t="s">
        <v>143</v>
      </c>
    </row>
    <row r="107" spans="1:8" x14ac:dyDescent="0.2">
      <c r="A107" s="35">
        <v>22</v>
      </c>
      <c r="B107" s="36"/>
      <c r="C107" s="36" t="s">
        <v>1027</v>
      </c>
      <c r="D107" s="36" t="s">
        <v>530</v>
      </c>
      <c r="E107" s="37">
        <v>-89100</v>
      </c>
      <c r="F107" s="38">
        <v>-911.09204999999997</v>
      </c>
      <c r="G107" s="39">
        <f t="shared" si="0"/>
        <v>-8.3439876304341274E-3</v>
      </c>
      <c r="H107" s="34" t="s">
        <v>143</v>
      </c>
    </row>
    <row r="108" spans="1:8" x14ac:dyDescent="0.2">
      <c r="A108" s="35">
        <v>23</v>
      </c>
      <c r="B108" s="36"/>
      <c r="C108" s="36" t="s">
        <v>1028</v>
      </c>
      <c r="D108" s="36" t="s">
        <v>530</v>
      </c>
      <c r="E108" s="37">
        <v>-15750</v>
      </c>
      <c r="F108" s="38">
        <v>-944.29124999999999</v>
      </c>
      <c r="G108" s="39">
        <f t="shared" si="0"/>
        <v>-8.648033433643924E-3</v>
      </c>
      <c r="H108" s="34" t="s">
        <v>143</v>
      </c>
    </row>
    <row r="109" spans="1:8" x14ac:dyDescent="0.2">
      <c r="A109" s="35">
        <v>24</v>
      </c>
      <c r="B109" s="36"/>
      <c r="C109" s="36" t="s">
        <v>1001</v>
      </c>
      <c r="D109" s="36" t="s">
        <v>530</v>
      </c>
      <c r="E109" s="37">
        <v>-406575</v>
      </c>
      <c r="F109" s="38">
        <v>-1016.76276</v>
      </c>
      <c r="G109" s="39">
        <f t="shared" si="0"/>
        <v>-9.3117439588305748E-3</v>
      </c>
      <c r="H109" s="34" t="s">
        <v>143</v>
      </c>
    </row>
    <row r="110" spans="1:8" x14ac:dyDescent="0.2">
      <c r="A110" s="35">
        <v>25</v>
      </c>
      <c r="B110" s="36"/>
      <c r="C110" s="36" t="s">
        <v>1003</v>
      </c>
      <c r="D110" s="36" t="s">
        <v>530</v>
      </c>
      <c r="E110" s="37">
        <v>-149800</v>
      </c>
      <c r="F110" s="38">
        <v>-1042.9076</v>
      </c>
      <c r="G110" s="39">
        <f t="shared" si="0"/>
        <v>-9.5511843332248859E-3</v>
      </c>
      <c r="H110" s="34" t="s">
        <v>143</v>
      </c>
    </row>
    <row r="111" spans="1:8" x14ac:dyDescent="0.2">
      <c r="A111" s="35">
        <v>26</v>
      </c>
      <c r="B111" s="36"/>
      <c r="C111" s="36" t="s">
        <v>1008</v>
      </c>
      <c r="D111" s="36" t="s">
        <v>530</v>
      </c>
      <c r="E111" s="37">
        <v>-321600</v>
      </c>
      <c r="F111" s="38">
        <v>-1347.3432</v>
      </c>
      <c r="G111" s="39">
        <f t="shared" si="0"/>
        <v>-1.2339274604305389E-2</v>
      </c>
      <c r="H111" s="34" t="s">
        <v>143</v>
      </c>
    </row>
    <row r="112" spans="1:8" x14ac:dyDescent="0.2">
      <c r="A112" s="35">
        <v>27</v>
      </c>
      <c r="B112" s="36"/>
      <c r="C112" s="36" t="s">
        <v>1007</v>
      </c>
      <c r="D112" s="36" t="s">
        <v>530</v>
      </c>
      <c r="E112" s="37">
        <v>-162500</v>
      </c>
      <c r="F112" s="38">
        <v>-1959.2625</v>
      </c>
      <c r="G112" s="39">
        <f t="shared" si="0"/>
        <v>-1.7943370337578344E-2</v>
      </c>
      <c r="H112" s="34" t="s">
        <v>143</v>
      </c>
    </row>
    <row r="113" spans="1:8" x14ac:dyDescent="0.2">
      <c r="A113" s="35">
        <v>28</v>
      </c>
      <c r="B113" s="36"/>
      <c r="C113" s="36" t="s">
        <v>981</v>
      </c>
      <c r="D113" s="36" t="s">
        <v>530</v>
      </c>
      <c r="E113" s="37">
        <v>-357000</v>
      </c>
      <c r="F113" s="38">
        <v>-2943.8220000000001</v>
      </c>
      <c r="G113" s="39">
        <f t="shared" si="0"/>
        <v>-2.6960189537599256E-2</v>
      </c>
      <c r="H113" s="34" t="s">
        <v>143</v>
      </c>
    </row>
    <row r="114" spans="1:8" x14ac:dyDescent="0.2">
      <c r="A114" s="35">
        <v>29</v>
      </c>
      <c r="B114" s="36"/>
      <c r="C114" s="36" t="s">
        <v>979</v>
      </c>
      <c r="D114" s="36" t="s">
        <v>530</v>
      </c>
      <c r="E114" s="37">
        <v>-312400</v>
      </c>
      <c r="F114" s="38">
        <v>-5025.5788000000002</v>
      </c>
      <c r="G114" s="39">
        <f t="shared" si="0"/>
        <v>-4.6025390456400091E-2</v>
      </c>
      <c r="H114" s="34" t="s">
        <v>143</v>
      </c>
    </row>
    <row r="115" spans="1:8" x14ac:dyDescent="0.2">
      <c r="A115" s="35">
        <v>30</v>
      </c>
      <c r="B115" s="36"/>
      <c r="C115" s="36" t="s">
        <v>982</v>
      </c>
      <c r="D115" s="36" t="s">
        <v>530</v>
      </c>
      <c r="E115" s="37">
        <v>-467500</v>
      </c>
      <c r="F115" s="38">
        <v>-7053.1724999999997</v>
      </c>
      <c r="G115" s="39">
        <f t="shared" si="0"/>
        <v>-6.4594553421158871E-2</v>
      </c>
      <c r="H115" s="34" t="s">
        <v>143</v>
      </c>
    </row>
    <row r="116" spans="1:8" x14ac:dyDescent="0.2">
      <c r="A116" s="35">
        <v>31</v>
      </c>
      <c r="B116" s="36"/>
      <c r="C116" s="36" t="s">
        <v>978</v>
      </c>
      <c r="D116" s="36" t="s">
        <v>530</v>
      </c>
      <c r="E116" s="37">
        <v>-417525</v>
      </c>
      <c r="F116" s="38">
        <v>-8375.5514999999996</v>
      </c>
      <c r="G116" s="39">
        <f t="shared" si="0"/>
        <v>-7.6705200219960218E-2</v>
      </c>
      <c r="H116" s="34" t="s">
        <v>143</v>
      </c>
    </row>
    <row r="117" spans="1:8" x14ac:dyDescent="0.2">
      <c r="A117" s="41"/>
      <c r="B117" s="41"/>
      <c r="C117" s="42" t="s">
        <v>142</v>
      </c>
      <c r="D117" s="41"/>
      <c r="E117" s="41" t="s">
        <v>143</v>
      </c>
      <c r="F117" s="43">
        <f>SUM(F86:F116)</f>
        <v>-37509.402459999998</v>
      </c>
      <c r="G117" s="44">
        <f>SUM(G86:G116)</f>
        <v>-0.34351961489644811</v>
      </c>
      <c r="H117" s="34" t="s">
        <v>143</v>
      </c>
    </row>
    <row r="118" spans="1:8" x14ac:dyDescent="0.2">
      <c r="A118" s="41"/>
      <c r="B118" s="41"/>
      <c r="C118" s="45"/>
      <c r="D118" s="41"/>
      <c r="E118" s="41"/>
      <c r="F118" s="46"/>
      <c r="G118" s="46"/>
      <c r="H118" s="34" t="s">
        <v>143</v>
      </c>
    </row>
    <row r="119" spans="1:8" x14ac:dyDescent="0.2">
      <c r="A119" s="41"/>
      <c r="B119" s="41"/>
      <c r="C119" s="42" t="s">
        <v>150</v>
      </c>
      <c r="D119" s="41"/>
      <c r="E119" s="41"/>
      <c r="F119" s="43">
        <f>F71</f>
        <v>76960.435545999993</v>
      </c>
      <c r="G119" s="44">
        <f>G71</f>
        <v>0.70482120000000004</v>
      </c>
      <c r="H119" s="34" t="s">
        <v>143</v>
      </c>
    </row>
    <row r="120" spans="1:8" x14ac:dyDescent="0.2">
      <c r="A120" s="41"/>
      <c r="B120" s="41"/>
      <c r="C120" s="45"/>
      <c r="D120" s="41"/>
      <c r="E120" s="41"/>
      <c r="F120" s="46"/>
      <c r="G120" s="46"/>
      <c r="H120" s="34" t="s">
        <v>143</v>
      </c>
    </row>
    <row r="121" spans="1:8" x14ac:dyDescent="0.2">
      <c r="A121" s="41"/>
      <c r="B121" s="41"/>
      <c r="C121" s="42" t="s">
        <v>151</v>
      </c>
      <c r="D121" s="41"/>
      <c r="E121" s="41"/>
      <c r="F121" s="46"/>
      <c r="G121" s="46"/>
      <c r="H121" s="34" t="s">
        <v>143</v>
      </c>
    </row>
    <row r="122" spans="1:8" x14ac:dyDescent="0.2">
      <c r="A122" s="41"/>
      <c r="B122" s="41"/>
      <c r="C122" s="42" t="s">
        <v>10</v>
      </c>
      <c r="D122" s="41"/>
      <c r="E122" s="41"/>
      <c r="F122" s="46"/>
      <c r="G122" s="46"/>
      <c r="H122" s="34" t="s">
        <v>143</v>
      </c>
    </row>
    <row r="123" spans="1:8" x14ac:dyDescent="0.2">
      <c r="A123" s="35">
        <v>1</v>
      </c>
      <c r="B123" s="36" t="s">
        <v>695</v>
      </c>
      <c r="C123" s="36" t="s">
        <v>696</v>
      </c>
      <c r="D123" s="36" t="s">
        <v>536</v>
      </c>
      <c r="E123" s="37">
        <v>250</v>
      </c>
      <c r="F123" s="38">
        <v>2491.63</v>
      </c>
      <c r="G123" s="39">
        <v>2.2818910000000001E-2</v>
      </c>
      <c r="H123" s="34">
        <v>6.84</v>
      </c>
    </row>
    <row r="124" spans="1:8" ht="25.5" x14ac:dyDescent="0.2">
      <c r="A124" s="35">
        <v>2</v>
      </c>
      <c r="B124" s="36" t="s">
        <v>559</v>
      </c>
      <c r="C124" s="36" t="s">
        <v>560</v>
      </c>
      <c r="D124" s="36" t="s">
        <v>536</v>
      </c>
      <c r="E124" s="37">
        <v>1500</v>
      </c>
      <c r="F124" s="38">
        <v>1513.3905</v>
      </c>
      <c r="G124" s="39">
        <v>1.3859969999999999E-2</v>
      </c>
      <c r="H124" s="34">
        <v>6.58</v>
      </c>
    </row>
    <row r="125" spans="1:8" ht="25.5" x14ac:dyDescent="0.2">
      <c r="A125" s="35">
        <v>3</v>
      </c>
      <c r="B125" s="36" t="s">
        <v>531</v>
      </c>
      <c r="C125" s="36" t="s">
        <v>532</v>
      </c>
      <c r="D125" s="36" t="s">
        <v>533</v>
      </c>
      <c r="E125" s="37">
        <v>1000</v>
      </c>
      <c r="F125" s="38">
        <v>1017.847</v>
      </c>
      <c r="G125" s="39">
        <v>9.3216700000000006E-3</v>
      </c>
      <c r="H125" s="34">
        <v>6.625</v>
      </c>
    </row>
    <row r="126" spans="1:8" ht="25.5" x14ac:dyDescent="0.2">
      <c r="A126" s="35">
        <v>4</v>
      </c>
      <c r="B126" s="36" t="s">
        <v>697</v>
      </c>
      <c r="C126" s="36" t="s">
        <v>698</v>
      </c>
      <c r="D126" s="36" t="s">
        <v>536</v>
      </c>
      <c r="E126" s="37">
        <v>100</v>
      </c>
      <c r="F126" s="38">
        <v>1011.366</v>
      </c>
      <c r="G126" s="39">
        <v>9.2623199999999992E-3</v>
      </c>
      <c r="H126" s="34">
        <v>6.51</v>
      </c>
    </row>
    <row r="127" spans="1:8" ht="25.5" x14ac:dyDescent="0.2">
      <c r="A127" s="35">
        <v>5</v>
      </c>
      <c r="B127" s="36" t="s">
        <v>699</v>
      </c>
      <c r="C127" s="36" t="s">
        <v>700</v>
      </c>
      <c r="D127" s="36" t="s">
        <v>536</v>
      </c>
      <c r="E127" s="37">
        <v>1000</v>
      </c>
      <c r="F127" s="38">
        <v>1009.466</v>
      </c>
      <c r="G127" s="39">
        <v>9.2449200000000002E-3</v>
      </c>
      <c r="H127" s="34">
        <v>6.6</v>
      </c>
    </row>
    <row r="128" spans="1:8" ht="25.5" x14ac:dyDescent="0.2">
      <c r="A128" s="35">
        <v>6</v>
      </c>
      <c r="B128" s="36" t="s">
        <v>701</v>
      </c>
      <c r="C128" s="36" t="s">
        <v>702</v>
      </c>
      <c r="D128" s="36" t="s">
        <v>533</v>
      </c>
      <c r="E128" s="37">
        <v>100</v>
      </c>
      <c r="F128" s="38">
        <v>1008.832</v>
      </c>
      <c r="G128" s="39">
        <v>9.23911E-3</v>
      </c>
      <c r="H128" s="34">
        <v>6.5650000000000004</v>
      </c>
    </row>
    <row r="129" spans="1:8" x14ac:dyDescent="0.2">
      <c r="A129" s="41"/>
      <c r="B129" s="41"/>
      <c r="C129" s="42" t="s">
        <v>142</v>
      </c>
      <c r="D129" s="41"/>
      <c r="E129" s="41" t="s">
        <v>143</v>
      </c>
      <c r="F129" s="43">
        <v>8052.5315000000001</v>
      </c>
      <c r="G129" s="44">
        <v>7.3746900000000004E-2</v>
      </c>
      <c r="H129" s="34" t="s">
        <v>143</v>
      </c>
    </row>
    <row r="130" spans="1:8" x14ac:dyDescent="0.2">
      <c r="A130" s="41"/>
      <c r="B130" s="41"/>
      <c r="C130" s="45"/>
      <c r="D130" s="41"/>
      <c r="E130" s="41"/>
      <c r="F130" s="46"/>
      <c r="G130" s="46"/>
      <c r="H130" s="34" t="s">
        <v>143</v>
      </c>
    </row>
    <row r="131" spans="1:8" x14ac:dyDescent="0.2">
      <c r="A131" s="41"/>
      <c r="B131" s="41"/>
      <c r="C131" s="42" t="s">
        <v>152</v>
      </c>
      <c r="D131" s="41"/>
      <c r="E131" s="41"/>
      <c r="F131" s="41"/>
      <c r="G131" s="41"/>
      <c r="H131" s="34" t="s">
        <v>143</v>
      </c>
    </row>
    <row r="132" spans="1:8" x14ac:dyDescent="0.2">
      <c r="A132" s="41"/>
      <c r="B132" s="41"/>
      <c r="C132" s="42" t="s">
        <v>142</v>
      </c>
      <c r="D132" s="41"/>
      <c r="E132" s="41" t="s">
        <v>143</v>
      </c>
      <c r="F132" s="47" t="s">
        <v>145</v>
      </c>
      <c r="G132" s="44">
        <v>0</v>
      </c>
      <c r="H132" s="34" t="s">
        <v>143</v>
      </c>
    </row>
    <row r="133" spans="1:8" x14ac:dyDescent="0.2">
      <c r="A133" s="41"/>
      <c r="B133" s="41"/>
      <c r="C133" s="45"/>
      <c r="D133" s="41"/>
      <c r="E133" s="41"/>
      <c r="F133" s="46"/>
      <c r="G133" s="46"/>
      <c r="H133" s="34" t="s">
        <v>143</v>
      </c>
    </row>
    <row r="134" spans="1:8" x14ac:dyDescent="0.2">
      <c r="A134" s="41"/>
      <c r="B134" s="41"/>
      <c r="C134" s="42" t="s">
        <v>153</v>
      </c>
      <c r="D134" s="41"/>
      <c r="E134" s="41"/>
      <c r="F134" s="41"/>
      <c r="G134" s="41"/>
      <c r="H134" s="34" t="s">
        <v>143</v>
      </c>
    </row>
    <row r="135" spans="1:8" x14ac:dyDescent="0.2">
      <c r="A135" s="35">
        <v>1</v>
      </c>
      <c r="B135" s="36" t="s">
        <v>608</v>
      </c>
      <c r="C135" s="36" t="s">
        <v>1096</v>
      </c>
      <c r="D135" s="36" t="s">
        <v>610</v>
      </c>
      <c r="E135" s="37">
        <v>6500000</v>
      </c>
      <c r="F135" s="38">
        <v>6795.2560000000003</v>
      </c>
      <c r="G135" s="39">
        <v>6.2232500000000003E-2</v>
      </c>
      <c r="H135" s="34">
        <v>6.5155000000000003</v>
      </c>
    </row>
    <row r="136" spans="1:8" x14ac:dyDescent="0.2">
      <c r="A136" s="35">
        <v>2</v>
      </c>
      <c r="B136" s="36" t="s">
        <v>611</v>
      </c>
      <c r="C136" s="36" t="s">
        <v>1090</v>
      </c>
      <c r="D136" s="36" t="s">
        <v>610</v>
      </c>
      <c r="E136" s="37">
        <v>1500000</v>
      </c>
      <c r="F136" s="38">
        <v>1573.6244999999999</v>
      </c>
      <c r="G136" s="39">
        <v>1.441161E-2</v>
      </c>
      <c r="H136" s="34">
        <v>6.7896999999999998</v>
      </c>
    </row>
    <row r="137" spans="1:8" x14ac:dyDescent="0.2">
      <c r="A137" s="35">
        <v>3</v>
      </c>
      <c r="B137" s="36" t="s">
        <v>703</v>
      </c>
      <c r="C137" s="36" t="s">
        <v>1097</v>
      </c>
      <c r="D137" s="36" t="s">
        <v>610</v>
      </c>
      <c r="E137" s="37">
        <v>1500000</v>
      </c>
      <c r="F137" s="38">
        <v>1564.203</v>
      </c>
      <c r="G137" s="39">
        <v>1.4325330000000001E-2</v>
      </c>
      <c r="H137" s="34">
        <v>6.0109000000000004</v>
      </c>
    </row>
    <row r="138" spans="1:8" x14ac:dyDescent="0.2">
      <c r="A138" s="35">
        <v>4</v>
      </c>
      <c r="B138" s="36" t="s">
        <v>705</v>
      </c>
      <c r="C138" s="36" t="s">
        <v>706</v>
      </c>
      <c r="D138" s="36" t="s">
        <v>610</v>
      </c>
      <c r="E138" s="37">
        <v>500000</v>
      </c>
      <c r="F138" s="38">
        <v>517.89</v>
      </c>
      <c r="G138" s="39">
        <v>4.7429500000000001E-3</v>
      </c>
      <c r="H138" s="34">
        <v>6.0907</v>
      </c>
    </row>
    <row r="139" spans="1:8" x14ac:dyDescent="0.2">
      <c r="A139" s="41"/>
      <c r="B139" s="41"/>
      <c r="C139" s="42" t="s">
        <v>142</v>
      </c>
      <c r="D139" s="41"/>
      <c r="E139" s="41" t="s">
        <v>143</v>
      </c>
      <c r="F139" s="43">
        <v>10450.9735</v>
      </c>
      <c r="G139" s="44">
        <v>9.5712389999999994E-2</v>
      </c>
      <c r="H139" s="34" t="s">
        <v>143</v>
      </c>
    </row>
    <row r="140" spans="1:8" x14ac:dyDescent="0.2">
      <c r="A140" s="41"/>
      <c r="B140" s="41"/>
      <c r="C140" s="45"/>
      <c r="D140" s="41"/>
      <c r="E140" s="41"/>
      <c r="F140" s="46"/>
      <c r="G140" s="46"/>
      <c r="H140" s="34" t="s">
        <v>143</v>
      </c>
    </row>
    <row r="141" spans="1:8" x14ac:dyDescent="0.2">
      <c r="A141" s="41"/>
      <c r="B141" s="41"/>
      <c r="C141" s="42" t="s">
        <v>154</v>
      </c>
      <c r="D141" s="41"/>
      <c r="E141" s="41"/>
      <c r="F141" s="46"/>
      <c r="G141" s="46"/>
      <c r="H141" s="34" t="s">
        <v>143</v>
      </c>
    </row>
    <row r="142" spans="1:8" x14ac:dyDescent="0.2">
      <c r="A142" s="41"/>
      <c r="B142" s="41"/>
      <c r="C142" s="42" t="s">
        <v>142</v>
      </c>
      <c r="D142" s="41"/>
      <c r="E142" s="41" t="s">
        <v>143</v>
      </c>
      <c r="F142" s="47" t="s">
        <v>145</v>
      </c>
      <c r="G142" s="44">
        <v>0</v>
      </c>
      <c r="H142" s="34" t="s">
        <v>143</v>
      </c>
    </row>
    <row r="143" spans="1:8" x14ac:dyDescent="0.2">
      <c r="A143" s="41"/>
      <c r="B143" s="41"/>
      <c r="C143" s="45"/>
      <c r="D143" s="41"/>
      <c r="E143" s="41"/>
      <c r="F143" s="46"/>
      <c r="G143" s="46"/>
      <c r="H143" s="34" t="s">
        <v>143</v>
      </c>
    </row>
    <row r="144" spans="1:8" x14ac:dyDescent="0.2">
      <c r="A144" s="41"/>
      <c r="B144" s="41"/>
      <c r="C144" s="42" t="s">
        <v>155</v>
      </c>
      <c r="D144" s="41"/>
      <c r="E144" s="41"/>
      <c r="F144" s="43">
        <v>18503.505000000001</v>
      </c>
      <c r="G144" s="44">
        <v>0.16945929000000001</v>
      </c>
      <c r="H144" s="34" t="s">
        <v>143</v>
      </c>
    </row>
    <row r="145" spans="1:8" x14ac:dyDescent="0.2">
      <c r="A145" s="41"/>
      <c r="B145" s="41"/>
      <c r="C145" s="45"/>
      <c r="D145" s="41"/>
      <c r="E145" s="41"/>
      <c r="F145" s="46"/>
      <c r="G145" s="46"/>
      <c r="H145" s="34" t="s">
        <v>143</v>
      </c>
    </row>
    <row r="146" spans="1:8" x14ac:dyDescent="0.2">
      <c r="A146" s="41"/>
      <c r="B146" s="41"/>
      <c r="C146" s="42" t="s">
        <v>156</v>
      </c>
      <c r="D146" s="41"/>
      <c r="E146" s="41"/>
      <c r="F146" s="46"/>
      <c r="G146" s="46"/>
      <c r="H146" s="34" t="s">
        <v>143</v>
      </c>
    </row>
    <row r="147" spans="1:8" x14ac:dyDescent="0.2">
      <c r="A147" s="41"/>
      <c r="B147" s="41"/>
      <c r="C147" s="42" t="s">
        <v>157</v>
      </c>
      <c r="D147" s="41"/>
      <c r="E147" s="41"/>
      <c r="F147" s="46"/>
      <c r="G147" s="46"/>
      <c r="H147" s="34" t="s">
        <v>143</v>
      </c>
    </row>
    <row r="148" spans="1:8" x14ac:dyDescent="0.2">
      <c r="A148" s="35">
        <v>1</v>
      </c>
      <c r="B148" s="36" t="s">
        <v>707</v>
      </c>
      <c r="C148" s="36" t="s">
        <v>708</v>
      </c>
      <c r="D148" s="36" t="s">
        <v>626</v>
      </c>
      <c r="E148" s="37">
        <v>500</v>
      </c>
      <c r="F148" s="38">
        <v>2436.4775</v>
      </c>
      <c r="G148" s="39">
        <v>2.231381E-2</v>
      </c>
      <c r="H148" s="34">
        <v>6.1001000000000003</v>
      </c>
    </row>
    <row r="149" spans="1:8" x14ac:dyDescent="0.2">
      <c r="A149" s="35">
        <v>2</v>
      </c>
      <c r="B149" s="36" t="s">
        <v>709</v>
      </c>
      <c r="C149" s="36" t="s">
        <v>710</v>
      </c>
      <c r="D149" s="36" t="s">
        <v>626</v>
      </c>
      <c r="E149" s="37">
        <v>500</v>
      </c>
      <c r="F149" s="38">
        <v>2426.6725000000001</v>
      </c>
      <c r="G149" s="39">
        <v>2.2224020000000001E-2</v>
      </c>
      <c r="H149" s="34">
        <v>6.06</v>
      </c>
    </row>
    <row r="150" spans="1:8" x14ac:dyDescent="0.2">
      <c r="A150" s="41"/>
      <c r="B150" s="41"/>
      <c r="C150" s="42" t="s">
        <v>142</v>
      </c>
      <c r="D150" s="41"/>
      <c r="E150" s="41" t="s">
        <v>143</v>
      </c>
      <c r="F150" s="43">
        <v>4863.1499999999996</v>
      </c>
      <c r="G150" s="44">
        <v>4.453783E-2</v>
      </c>
      <c r="H150" s="34" t="s">
        <v>143</v>
      </c>
    </row>
    <row r="151" spans="1:8" x14ac:dyDescent="0.2">
      <c r="A151" s="41"/>
      <c r="B151" s="41"/>
      <c r="C151" s="45"/>
      <c r="D151" s="41"/>
      <c r="E151" s="41"/>
      <c r="F151" s="46"/>
      <c r="G151" s="46"/>
      <c r="H151" s="34" t="s">
        <v>143</v>
      </c>
    </row>
    <row r="152" spans="1:8" x14ac:dyDescent="0.2">
      <c r="A152" s="41"/>
      <c r="B152" s="41"/>
      <c r="C152" s="42" t="s">
        <v>158</v>
      </c>
      <c r="D152" s="41"/>
      <c r="E152" s="41"/>
      <c r="F152" s="46"/>
      <c r="G152" s="46"/>
      <c r="H152" s="34" t="s">
        <v>143</v>
      </c>
    </row>
    <row r="153" spans="1:8" x14ac:dyDescent="0.2">
      <c r="A153" s="41"/>
      <c r="B153" s="41"/>
      <c r="C153" s="42" t="s">
        <v>142</v>
      </c>
      <c r="D153" s="41"/>
      <c r="E153" s="41" t="s">
        <v>143</v>
      </c>
      <c r="F153" s="47" t="s">
        <v>145</v>
      </c>
      <c r="G153" s="44">
        <v>0</v>
      </c>
      <c r="H153" s="34" t="s">
        <v>143</v>
      </c>
    </row>
    <row r="154" spans="1:8" x14ac:dyDescent="0.2">
      <c r="A154" s="41"/>
      <c r="B154" s="41"/>
      <c r="C154" s="45"/>
      <c r="D154" s="41"/>
      <c r="E154" s="41"/>
      <c r="F154" s="46"/>
      <c r="G154" s="46"/>
      <c r="H154" s="34" t="s">
        <v>143</v>
      </c>
    </row>
    <row r="155" spans="1:8" x14ac:dyDescent="0.2">
      <c r="A155" s="41"/>
      <c r="B155" s="41"/>
      <c r="C155" s="42" t="s">
        <v>159</v>
      </c>
      <c r="D155" s="41"/>
      <c r="E155" s="41"/>
      <c r="F155" s="46"/>
      <c r="G155" s="46"/>
      <c r="H155" s="34" t="s">
        <v>143</v>
      </c>
    </row>
    <row r="156" spans="1:8" x14ac:dyDescent="0.2">
      <c r="A156" s="35">
        <v>1</v>
      </c>
      <c r="B156" s="36" t="s">
        <v>711</v>
      </c>
      <c r="C156" s="36" t="s">
        <v>712</v>
      </c>
      <c r="D156" s="36" t="s">
        <v>610</v>
      </c>
      <c r="E156" s="37">
        <v>2500000</v>
      </c>
      <c r="F156" s="38">
        <v>2437.5300000000002</v>
      </c>
      <c r="G156" s="39">
        <v>2.2323450000000002E-2</v>
      </c>
      <c r="H156" s="34">
        <v>5.5025000000000004</v>
      </c>
    </row>
    <row r="157" spans="1:8" x14ac:dyDescent="0.2">
      <c r="A157" s="41"/>
      <c r="B157" s="41"/>
      <c r="C157" s="42" t="s">
        <v>142</v>
      </c>
      <c r="D157" s="41"/>
      <c r="E157" s="41" t="s">
        <v>143</v>
      </c>
      <c r="F157" s="43">
        <v>2437.5300000000002</v>
      </c>
      <c r="G157" s="44">
        <v>2.2323450000000002E-2</v>
      </c>
      <c r="H157" s="34" t="s">
        <v>143</v>
      </c>
    </row>
    <row r="158" spans="1:8" x14ac:dyDescent="0.2">
      <c r="A158" s="41"/>
      <c r="B158" s="41"/>
      <c r="C158" s="45"/>
      <c r="D158" s="41"/>
      <c r="E158" s="41"/>
      <c r="F158" s="46"/>
      <c r="G158" s="46"/>
      <c r="H158" s="34" t="s">
        <v>143</v>
      </c>
    </row>
    <row r="159" spans="1:8" x14ac:dyDescent="0.2">
      <c r="A159" s="41"/>
      <c r="B159" s="41"/>
      <c r="C159" s="42" t="s">
        <v>160</v>
      </c>
      <c r="D159" s="41"/>
      <c r="E159" s="41"/>
      <c r="F159" s="46"/>
      <c r="G159" s="46"/>
      <c r="H159" s="34" t="s">
        <v>143</v>
      </c>
    </row>
    <row r="160" spans="1:8" x14ac:dyDescent="0.2">
      <c r="A160" s="35">
        <v>1</v>
      </c>
      <c r="B160" s="36"/>
      <c r="C160" s="36" t="s">
        <v>161</v>
      </c>
      <c r="D160" s="36"/>
      <c r="E160" s="48"/>
      <c r="F160" s="38">
        <v>7590.1315880080001</v>
      </c>
      <c r="G160" s="39">
        <v>6.9512149999999995E-2</v>
      </c>
      <c r="H160" s="34">
        <v>5.47</v>
      </c>
    </row>
    <row r="161" spans="1:8" x14ac:dyDescent="0.2">
      <c r="A161" s="41"/>
      <c r="B161" s="41"/>
      <c r="C161" s="42" t="s">
        <v>142</v>
      </c>
      <c r="D161" s="41"/>
      <c r="E161" s="41" t="s">
        <v>143</v>
      </c>
      <c r="F161" s="43">
        <v>7590.1315880080001</v>
      </c>
      <c r="G161" s="44">
        <v>6.9512149999999995E-2</v>
      </c>
      <c r="H161" s="34" t="s">
        <v>143</v>
      </c>
    </row>
    <row r="162" spans="1:8" x14ac:dyDescent="0.2">
      <c r="A162" s="41"/>
      <c r="B162" s="41"/>
      <c r="C162" s="45"/>
      <c r="D162" s="41"/>
      <c r="E162" s="41"/>
      <c r="F162" s="46"/>
      <c r="G162" s="46"/>
      <c r="H162" s="34" t="s">
        <v>143</v>
      </c>
    </row>
    <row r="163" spans="1:8" x14ac:dyDescent="0.2">
      <c r="A163" s="41"/>
      <c r="B163" s="41"/>
      <c r="C163" s="42" t="s">
        <v>162</v>
      </c>
      <c r="D163" s="41"/>
      <c r="E163" s="41"/>
      <c r="F163" s="43">
        <v>14890.811588008</v>
      </c>
      <c r="G163" s="44">
        <v>0.13637342999999999</v>
      </c>
      <c r="H163" s="34" t="s">
        <v>143</v>
      </c>
    </row>
    <row r="164" spans="1:8" x14ac:dyDescent="0.2">
      <c r="A164" s="41"/>
      <c r="B164" s="41"/>
      <c r="C164" s="46"/>
      <c r="D164" s="41"/>
      <c r="E164" s="41"/>
      <c r="F164" s="41"/>
      <c r="G164" s="41"/>
      <c r="H164" s="34" t="s">
        <v>143</v>
      </c>
    </row>
    <row r="165" spans="1:8" x14ac:dyDescent="0.2">
      <c r="A165" s="41"/>
      <c r="B165" s="41"/>
      <c r="C165" s="42" t="s">
        <v>163</v>
      </c>
      <c r="D165" s="41"/>
      <c r="E165" s="41"/>
      <c r="F165" s="41"/>
      <c r="G165" s="41"/>
      <c r="H165" s="34" t="s">
        <v>143</v>
      </c>
    </row>
    <row r="166" spans="1:8" x14ac:dyDescent="0.2">
      <c r="A166" s="41"/>
      <c r="B166" s="41"/>
      <c r="C166" s="42" t="s">
        <v>164</v>
      </c>
      <c r="D166" s="41"/>
      <c r="E166" s="41"/>
      <c r="F166" s="41"/>
      <c r="G166" s="41"/>
      <c r="H166" s="34" t="s">
        <v>143</v>
      </c>
    </row>
    <row r="167" spans="1:8" x14ac:dyDescent="0.2">
      <c r="A167" s="41"/>
      <c r="B167" s="41"/>
      <c r="C167" s="42" t="s">
        <v>142</v>
      </c>
      <c r="D167" s="41"/>
      <c r="E167" s="41" t="s">
        <v>143</v>
      </c>
      <c r="F167" s="47" t="s">
        <v>145</v>
      </c>
      <c r="G167" s="44">
        <v>0</v>
      </c>
      <c r="H167" s="34" t="s">
        <v>143</v>
      </c>
    </row>
    <row r="168" spans="1:8" x14ac:dyDescent="0.2">
      <c r="A168" s="41"/>
      <c r="B168" s="41"/>
      <c r="C168" s="45"/>
      <c r="D168" s="41"/>
      <c r="E168" s="41"/>
      <c r="F168" s="46"/>
      <c r="G168" s="46"/>
      <c r="H168" s="34" t="s">
        <v>143</v>
      </c>
    </row>
    <row r="169" spans="1:8" x14ac:dyDescent="0.2">
      <c r="A169" s="41"/>
      <c r="B169" s="41"/>
      <c r="C169" s="42" t="s">
        <v>165</v>
      </c>
      <c r="D169" s="41"/>
      <c r="E169" s="41"/>
      <c r="F169" s="41"/>
      <c r="G169" s="41"/>
      <c r="H169" s="34" t="s">
        <v>143</v>
      </c>
    </row>
    <row r="170" spans="1:8" x14ac:dyDescent="0.2">
      <c r="A170" s="41"/>
      <c r="B170" s="41"/>
      <c r="C170" s="42" t="s">
        <v>166</v>
      </c>
      <c r="D170" s="41"/>
      <c r="E170" s="41"/>
      <c r="F170" s="41"/>
      <c r="G170" s="41"/>
      <c r="H170" s="34" t="s">
        <v>143</v>
      </c>
    </row>
    <row r="171" spans="1:8" x14ac:dyDescent="0.2">
      <c r="A171" s="41"/>
      <c r="B171" s="41"/>
      <c r="C171" s="42" t="s">
        <v>142</v>
      </c>
      <c r="D171" s="41"/>
      <c r="E171" s="41" t="s">
        <v>143</v>
      </c>
      <c r="F171" s="47" t="s">
        <v>145</v>
      </c>
      <c r="G171" s="44">
        <v>0</v>
      </c>
      <c r="H171" s="34" t="s">
        <v>143</v>
      </c>
    </row>
    <row r="172" spans="1:8" x14ac:dyDescent="0.2">
      <c r="A172" s="41"/>
      <c r="B172" s="41"/>
      <c r="C172" s="45"/>
      <c r="D172" s="41"/>
      <c r="E172" s="41"/>
      <c r="F172" s="46"/>
      <c r="G172" s="46"/>
      <c r="H172" s="34" t="s">
        <v>143</v>
      </c>
    </row>
    <row r="173" spans="1:8" x14ac:dyDescent="0.2">
      <c r="A173" s="41"/>
      <c r="B173" s="41"/>
      <c r="C173" s="42" t="s">
        <v>167</v>
      </c>
      <c r="D173" s="41"/>
      <c r="E173" s="41"/>
      <c r="F173" s="46"/>
      <c r="G173" s="46"/>
      <c r="H173" s="34" t="s">
        <v>143</v>
      </c>
    </row>
    <row r="174" spans="1:8" x14ac:dyDescent="0.2">
      <c r="A174" s="41"/>
      <c r="B174" s="41"/>
      <c r="C174" s="42" t="s">
        <v>142</v>
      </c>
      <c r="D174" s="41"/>
      <c r="E174" s="41" t="s">
        <v>143</v>
      </c>
      <c r="F174" s="47" t="s">
        <v>145</v>
      </c>
      <c r="G174" s="44">
        <v>0</v>
      </c>
      <c r="H174" s="34" t="s">
        <v>143</v>
      </c>
    </row>
    <row r="175" spans="1:8" x14ac:dyDescent="0.2">
      <c r="A175" s="41"/>
      <c r="B175" s="41"/>
      <c r="C175" s="45"/>
      <c r="D175" s="41"/>
      <c r="E175" s="41"/>
      <c r="F175" s="46"/>
      <c r="G175" s="46"/>
      <c r="H175" s="34" t="s">
        <v>143</v>
      </c>
    </row>
    <row r="176" spans="1:8" x14ac:dyDescent="0.2">
      <c r="A176" s="48"/>
      <c r="B176" s="36"/>
      <c r="C176" s="36" t="s">
        <v>627</v>
      </c>
      <c r="D176" s="36"/>
      <c r="E176" s="48"/>
      <c r="F176" s="38">
        <v>1151.7151589</v>
      </c>
      <c r="G176" s="39">
        <v>1.054767E-2</v>
      </c>
      <c r="H176" s="34" t="s">
        <v>143</v>
      </c>
    </row>
    <row r="177" spans="1:17" x14ac:dyDescent="0.2">
      <c r="A177" s="48"/>
      <c r="B177" s="36"/>
      <c r="C177" s="50" t="s">
        <v>985</v>
      </c>
      <c r="D177" s="36"/>
      <c r="E177" s="48"/>
      <c r="F177" s="38">
        <f>35194.37841734+F117-0.000219238033294678</f>
        <v>-2315.0242618980328</v>
      </c>
      <c r="G177" s="39">
        <f>F177/F178</f>
        <v>-2.1201517240142843E-2</v>
      </c>
      <c r="H177" s="34" t="s">
        <v>143</v>
      </c>
    </row>
    <row r="178" spans="1:17" x14ac:dyDescent="0.2">
      <c r="A178" s="45"/>
      <c r="B178" s="45"/>
      <c r="C178" s="42" t="s">
        <v>169</v>
      </c>
      <c r="D178" s="46"/>
      <c r="E178" s="46"/>
      <c r="F178" s="43">
        <f>109191.443250248-0.000219238033294678</f>
        <v>109191.44303100997</v>
      </c>
      <c r="G178" s="51">
        <v>1.00000008</v>
      </c>
      <c r="H178" s="34" t="s">
        <v>143</v>
      </c>
    </row>
    <row r="179" spans="1:17" x14ac:dyDescent="0.2">
      <c r="A179" s="52"/>
      <c r="B179" s="52"/>
      <c r="C179" s="52"/>
      <c r="D179" s="53"/>
      <c r="E179" s="53"/>
      <c r="F179" s="53"/>
      <c r="G179" s="53"/>
    </row>
    <row r="180" spans="1:17" x14ac:dyDescent="0.2">
      <c r="A180" s="54"/>
      <c r="B180" s="158" t="s">
        <v>852</v>
      </c>
      <c r="C180" s="158"/>
      <c r="D180" s="158"/>
      <c r="E180" s="158"/>
      <c r="F180" s="158"/>
      <c r="G180" s="158"/>
      <c r="H180" s="158"/>
      <c r="J180" s="56"/>
    </row>
    <row r="181" spans="1:17" x14ac:dyDescent="0.2">
      <c r="A181" s="54"/>
      <c r="B181" s="158" t="s">
        <v>853</v>
      </c>
      <c r="C181" s="158"/>
      <c r="D181" s="158"/>
      <c r="E181" s="158"/>
      <c r="F181" s="158"/>
      <c r="G181" s="158"/>
      <c r="H181" s="158"/>
      <c r="J181" s="56"/>
    </row>
    <row r="182" spans="1:17" x14ac:dyDescent="0.2">
      <c r="A182" s="54"/>
      <c r="B182" s="158" t="s">
        <v>854</v>
      </c>
      <c r="C182" s="158"/>
      <c r="D182" s="158"/>
      <c r="E182" s="158"/>
      <c r="F182" s="158"/>
      <c r="G182" s="158"/>
      <c r="H182" s="158"/>
      <c r="J182" s="56"/>
    </row>
    <row r="183" spans="1:17" s="58" customFormat="1" ht="52.5" customHeight="1" x14ac:dyDescent="0.25">
      <c r="A183" s="57"/>
      <c r="B183" s="159" t="s">
        <v>855</v>
      </c>
      <c r="C183" s="159"/>
      <c r="D183" s="159"/>
      <c r="E183" s="159"/>
      <c r="F183" s="159"/>
      <c r="G183" s="159"/>
      <c r="H183" s="159"/>
      <c r="I183"/>
      <c r="J183" s="56"/>
      <c r="K183"/>
      <c r="L183"/>
      <c r="M183"/>
      <c r="N183"/>
      <c r="O183"/>
      <c r="P183"/>
      <c r="Q183"/>
    </row>
    <row r="184" spans="1:17" x14ac:dyDescent="0.2">
      <c r="A184" s="54"/>
      <c r="B184" s="158" t="s">
        <v>856</v>
      </c>
      <c r="C184" s="158"/>
      <c r="D184" s="158"/>
      <c r="E184" s="158"/>
      <c r="F184" s="158"/>
      <c r="G184" s="158"/>
      <c r="H184" s="158"/>
      <c r="J184" s="56"/>
    </row>
    <row r="185" spans="1:17" x14ac:dyDescent="0.2">
      <c r="A185" s="54"/>
      <c r="B185" s="54"/>
      <c r="C185" s="54"/>
      <c r="D185" s="59"/>
      <c r="E185" s="59"/>
      <c r="F185" s="59"/>
      <c r="G185" s="59"/>
    </row>
    <row r="186" spans="1:17" x14ac:dyDescent="0.2">
      <c r="A186" s="54"/>
      <c r="B186" s="160" t="s">
        <v>170</v>
      </c>
      <c r="C186" s="161"/>
      <c r="D186" s="162"/>
      <c r="E186" s="60"/>
      <c r="F186" s="59"/>
      <c r="G186" s="59"/>
    </row>
    <row r="187" spans="1:17" ht="27.75" customHeight="1" x14ac:dyDescent="0.2">
      <c r="A187" s="54"/>
      <c r="B187" s="154" t="s">
        <v>171</v>
      </c>
      <c r="C187" s="155"/>
      <c r="D187" s="33" t="s">
        <v>172</v>
      </c>
      <c r="E187" s="60"/>
      <c r="F187" s="59"/>
      <c r="G187" s="59"/>
    </row>
    <row r="188" spans="1:17" ht="12.75" customHeight="1" x14ac:dyDescent="0.2">
      <c r="A188" s="54"/>
      <c r="B188" s="154" t="s">
        <v>857</v>
      </c>
      <c r="C188" s="155"/>
      <c r="D188" s="33" t="s">
        <v>172</v>
      </c>
      <c r="E188" s="60"/>
      <c r="F188" s="59"/>
      <c r="G188" s="59"/>
    </row>
    <row r="189" spans="1:17" x14ac:dyDescent="0.2">
      <c r="A189" s="54"/>
      <c r="B189" s="154" t="s">
        <v>173</v>
      </c>
      <c r="C189" s="155"/>
      <c r="D189" s="61" t="s">
        <v>143</v>
      </c>
      <c r="E189" s="60"/>
      <c r="F189" s="59"/>
      <c r="G189" s="59"/>
    </row>
    <row r="190" spans="1:17" x14ac:dyDescent="0.2">
      <c r="A190" s="62"/>
      <c r="B190" s="63" t="s">
        <v>143</v>
      </c>
      <c r="C190" s="63" t="s">
        <v>858</v>
      </c>
      <c r="D190" s="63" t="s">
        <v>174</v>
      </c>
      <c r="E190" s="62"/>
      <c r="F190" s="62"/>
      <c r="G190" s="62"/>
      <c r="H190" s="62"/>
      <c r="J190" s="56"/>
    </row>
    <row r="191" spans="1:17" x14ac:dyDescent="0.2">
      <c r="A191" s="62"/>
      <c r="B191" s="64" t="s">
        <v>175</v>
      </c>
      <c r="C191" s="65">
        <v>45808</v>
      </c>
      <c r="D191" s="65">
        <v>45838</v>
      </c>
      <c r="E191" s="62"/>
      <c r="F191" s="62"/>
      <c r="G191" s="62"/>
      <c r="J191" s="56"/>
    </row>
    <row r="192" spans="1:17" x14ac:dyDescent="0.2">
      <c r="A192" s="66"/>
      <c r="B192" s="50" t="s">
        <v>176</v>
      </c>
      <c r="C192" s="67">
        <v>80.975300000000004</v>
      </c>
      <c r="D192" s="67">
        <v>82.139700000000005</v>
      </c>
      <c r="E192" s="66"/>
      <c r="F192" s="68"/>
      <c r="G192" s="69"/>
    </row>
    <row r="193" spans="1:7" x14ac:dyDescent="0.2">
      <c r="A193" s="66"/>
      <c r="B193" s="50" t="s">
        <v>1086</v>
      </c>
      <c r="C193" s="67">
        <v>16.721699999999998</v>
      </c>
      <c r="D193" s="67">
        <v>16.962800000000001</v>
      </c>
      <c r="E193" s="66"/>
      <c r="F193" s="68"/>
      <c r="G193" s="69"/>
    </row>
    <row r="194" spans="1:7" ht="25.5" x14ac:dyDescent="0.2">
      <c r="A194" s="66"/>
      <c r="B194" s="50" t="s">
        <v>1029</v>
      </c>
      <c r="C194" s="67">
        <v>24.9938</v>
      </c>
      <c r="D194" s="48"/>
      <c r="E194" s="66"/>
      <c r="F194" s="68"/>
      <c r="G194" s="69"/>
    </row>
    <row r="195" spans="1:7" x14ac:dyDescent="0.2">
      <c r="A195" s="66"/>
      <c r="B195" s="50" t="s">
        <v>177</v>
      </c>
      <c r="C195" s="67">
        <v>69.895399999999995</v>
      </c>
      <c r="D195" s="67">
        <v>70.813699999999997</v>
      </c>
      <c r="E195" s="66"/>
      <c r="F195" s="68"/>
      <c r="G195" s="69"/>
    </row>
    <row r="196" spans="1:7" x14ac:dyDescent="0.2">
      <c r="A196" s="66"/>
      <c r="B196" s="50" t="s">
        <v>1087</v>
      </c>
      <c r="C196" s="67">
        <v>15.6167</v>
      </c>
      <c r="D196" s="67">
        <v>15.8217</v>
      </c>
      <c r="E196" s="66"/>
      <c r="F196" s="68"/>
      <c r="G196" s="69"/>
    </row>
    <row r="197" spans="1:7" ht="25.5" x14ac:dyDescent="0.2">
      <c r="A197" s="66"/>
      <c r="B197" s="50" t="s">
        <v>1030</v>
      </c>
      <c r="C197" s="67">
        <v>17.155999999999999</v>
      </c>
      <c r="D197" s="48"/>
      <c r="E197" s="66"/>
      <c r="F197" s="68"/>
      <c r="G197" s="69"/>
    </row>
    <row r="198" spans="1:7" x14ac:dyDescent="0.2">
      <c r="A198" s="66"/>
      <c r="B198" s="66"/>
      <c r="C198" s="66"/>
      <c r="D198" s="66"/>
      <c r="E198" s="66"/>
      <c r="F198" s="66"/>
      <c r="G198" s="66"/>
    </row>
    <row r="199" spans="1:7" x14ac:dyDescent="0.2">
      <c r="A199" s="66"/>
      <c r="B199" s="163" t="s">
        <v>860</v>
      </c>
      <c r="C199" s="164"/>
      <c r="D199" s="42" t="s">
        <v>143</v>
      </c>
      <c r="E199" s="66"/>
      <c r="F199" s="66"/>
      <c r="G199" s="66"/>
    </row>
    <row r="200" spans="1:7" x14ac:dyDescent="0.2">
      <c r="A200" s="66"/>
      <c r="B200" s="81" t="s">
        <v>175</v>
      </c>
      <c r="C200" s="82" t="s">
        <v>628</v>
      </c>
      <c r="D200" s="82" t="s">
        <v>629</v>
      </c>
      <c r="E200" s="66"/>
      <c r="F200" s="66"/>
      <c r="G200" s="66"/>
    </row>
    <row r="201" spans="1:7" ht="25.5" x14ac:dyDescent="0.2">
      <c r="A201" s="66"/>
      <c r="B201" s="50" t="s">
        <v>1029</v>
      </c>
      <c r="C201" s="83">
        <v>0.42</v>
      </c>
      <c r="D201" s="48" t="s">
        <v>663</v>
      </c>
      <c r="E201" s="66"/>
      <c r="F201" s="68"/>
      <c r="G201" s="69"/>
    </row>
    <row r="202" spans="1:7" ht="25.5" x14ac:dyDescent="0.2">
      <c r="A202" s="66"/>
      <c r="B202" s="50" t="s">
        <v>1030</v>
      </c>
      <c r="C202" s="83">
        <v>0.28899999999999998</v>
      </c>
      <c r="D202" s="83">
        <v>0.28899999999999998</v>
      </c>
      <c r="E202" s="66"/>
      <c r="F202" s="68"/>
      <c r="G202" s="69"/>
    </row>
    <row r="203" spans="1:7" x14ac:dyDescent="0.2">
      <c r="A203" s="66"/>
      <c r="B203" s="99"/>
      <c r="C203" s="99"/>
      <c r="D203" s="100"/>
      <c r="E203" s="66"/>
      <c r="F203" s="68"/>
      <c r="G203" s="69"/>
    </row>
    <row r="204" spans="1:7" ht="27.75" customHeight="1" x14ac:dyDescent="0.2">
      <c r="A204" s="62"/>
      <c r="B204" s="154" t="s">
        <v>178</v>
      </c>
      <c r="C204" s="155"/>
      <c r="D204" s="33" t="s">
        <v>913</v>
      </c>
      <c r="E204" s="71"/>
      <c r="F204" s="62"/>
      <c r="G204" s="62"/>
    </row>
    <row r="205" spans="1:7" ht="30" customHeight="1" x14ac:dyDescent="0.2">
      <c r="A205" s="62"/>
      <c r="B205" s="154" t="s">
        <v>179</v>
      </c>
      <c r="C205" s="155"/>
      <c r="D205" s="33" t="s">
        <v>172</v>
      </c>
      <c r="E205" s="71"/>
      <c r="F205" s="62"/>
      <c r="G205" s="62"/>
    </row>
    <row r="206" spans="1:7" ht="17.100000000000001" customHeight="1" x14ac:dyDescent="0.2">
      <c r="A206" s="62"/>
      <c r="B206" s="154" t="s">
        <v>180</v>
      </c>
      <c r="C206" s="155"/>
      <c r="D206" s="33" t="s">
        <v>172</v>
      </c>
      <c r="E206" s="71"/>
      <c r="F206" s="62"/>
      <c r="G206" s="62"/>
    </row>
    <row r="207" spans="1:7" ht="17.100000000000001" customHeight="1" x14ac:dyDescent="0.2">
      <c r="A207" s="62"/>
      <c r="B207" s="154" t="s">
        <v>181</v>
      </c>
      <c r="C207" s="155"/>
      <c r="D207" s="72">
        <v>5.2254955766082354</v>
      </c>
      <c r="E207" s="62"/>
      <c r="F207" s="55"/>
      <c r="G207" s="73"/>
    </row>
    <row r="209" spans="2:4" x14ac:dyDescent="0.2">
      <c r="B209" s="190" t="s">
        <v>904</v>
      </c>
      <c r="C209" s="191"/>
      <c r="D209" s="192"/>
    </row>
    <row r="210" spans="2:4" ht="25.5" x14ac:dyDescent="0.2">
      <c r="B210" s="193" t="s">
        <v>905</v>
      </c>
      <c r="C210" s="193"/>
      <c r="D210" s="101" t="s">
        <v>690</v>
      </c>
    </row>
    <row r="211" spans="2:4" x14ac:dyDescent="0.2">
      <c r="B211" s="193" t="s">
        <v>906</v>
      </c>
      <c r="C211" s="193"/>
      <c r="D211" s="75"/>
    </row>
    <row r="212" spans="2:4" x14ac:dyDescent="0.2">
      <c r="B212" s="194"/>
      <c r="C212" s="195"/>
      <c r="D212" s="76"/>
    </row>
    <row r="213" spans="2:4" x14ac:dyDescent="0.2">
      <c r="B213" s="193" t="s">
        <v>907</v>
      </c>
      <c r="C213" s="193"/>
      <c r="D213" s="77">
        <v>6.1978083419058017</v>
      </c>
    </row>
    <row r="214" spans="2:4" x14ac:dyDescent="0.2">
      <c r="B214" s="194"/>
      <c r="C214" s="195"/>
      <c r="D214" s="76"/>
    </row>
    <row r="215" spans="2:4" x14ac:dyDescent="0.2">
      <c r="B215" s="193" t="s">
        <v>908</v>
      </c>
      <c r="C215" s="193"/>
      <c r="D215" s="77">
        <v>2.5116945722604567</v>
      </c>
    </row>
    <row r="216" spans="2:4" x14ac:dyDescent="0.2">
      <c r="B216" s="193" t="s">
        <v>909</v>
      </c>
      <c r="C216" s="193"/>
      <c r="D216" s="77">
        <v>3.2536005714661189</v>
      </c>
    </row>
    <row r="217" spans="2:4" x14ac:dyDescent="0.2">
      <c r="B217" s="194"/>
      <c r="C217" s="195"/>
      <c r="D217" s="76"/>
    </row>
    <row r="218" spans="2:4" x14ac:dyDescent="0.2">
      <c r="B218" s="193" t="s">
        <v>910</v>
      </c>
      <c r="C218" s="193"/>
      <c r="D218" s="78" t="s">
        <v>944</v>
      </c>
    </row>
    <row r="219" spans="2:4" ht="12.75" customHeight="1" x14ac:dyDescent="0.2">
      <c r="B219" s="194" t="s">
        <v>911</v>
      </c>
      <c r="C219" s="196"/>
      <c r="D219" s="195"/>
    </row>
    <row r="221" spans="2:4" x14ac:dyDescent="0.2">
      <c r="B221" s="156" t="s">
        <v>861</v>
      </c>
      <c r="C221" s="156"/>
    </row>
    <row r="223" spans="2:4" ht="153.75" customHeight="1" x14ac:dyDescent="0.2"/>
    <row r="226" spans="2:10" x14ac:dyDescent="0.2">
      <c r="B226" s="79" t="s">
        <v>862</v>
      </c>
      <c r="C226" s="80"/>
      <c r="D226" s="79"/>
    </row>
    <row r="227" spans="2:10" x14ac:dyDescent="0.2">
      <c r="B227" s="79" t="s">
        <v>925</v>
      </c>
      <c r="D227" s="79"/>
    </row>
    <row r="228" spans="2:10" ht="165" customHeight="1" x14ac:dyDescent="0.2"/>
    <row r="230" spans="2:10" x14ac:dyDescent="0.2">
      <c r="J230" s="31"/>
    </row>
  </sheetData>
  <mergeCells count="29">
    <mergeCell ref="B219:D219"/>
    <mergeCell ref="B221:C221"/>
    <mergeCell ref="B214:C214"/>
    <mergeCell ref="B215:C215"/>
    <mergeCell ref="B216:C216"/>
    <mergeCell ref="B217:C217"/>
    <mergeCell ref="B218:C218"/>
    <mergeCell ref="B209:D209"/>
    <mergeCell ref="B210:C210"/>
    <mergeCell ref="B211:C211"/>
    <mergeCell ref="B212:C212"/>
    <mergeCell ref="B213:C213"/>
    <mergeCell ref="A1:H1"/>
    <mergeCell ref="A2:H2"/>
    <mergeCell ref="A3:H3"/>
    <mergeCell ref="B180:H180"/>
    <mergeCell ref="B181:H181"/>
    <mergeCell ref="B182:H182"/>
    <mergeCell ref="B183:H183"/>
    <mergeCell ref="B184:H184"/>
    <mergeCell ref="B186:D186"/>
    <mergeCell ref="B187:C187"/>
    <mergeCell ref="B188:C188"/>
    <mergeCell ref="B189:C189"/>
    <mergeCell ref="B207:C207"/>
    <mergeCell ref="B206:C206"/>
    <mergeCell ref="B199:C199"/>
    <mergeCell ref="B204:C204"/>
    <mergeCell ref="B205:C205"/>
  </mergeCells>
  <hyperlinks>
    <hyperlink ref="I1" location="Index!B2" display="Index" xr:uid="{C2C00891-40AB-4786-BA9E-6379E7C18619}"/>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22CFC-E204-45F0-8584-CE595A6B7FDC}">
  <sheetPr>
    <outlinePr summaryBelow="0" summaryRight="0"/>
  </sheetPr>
  <dimension ref="A1:Q127"/>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713</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322</v>
      </c>
      <c r="C7" s="36" t="s">
        <v>323</v>
      </c>
      <c r="D7" s="36" t="s">
        <v>33</v>
      </c>
      <c r="E7" s="37">
        <v>525448</v>
      </c>
      <c r="F7" s="38">
        <v>10516.84172</v>
      </c>
      <c r="G7" s="39">
        <v>9.4521690000000005E-2</v>
      </c>
      <c r="H7" s="34" t="s">
        <v>143</v>
      </c>
    </row>
    <row r="8" spans="1:9" x14ac:dyDescent="0.2">
      <c r="A8" s="35">
        <v>2</v>
      </c>
      <c r="B8" s="36" t="s">
        <v>31</v>
      </c>
      <c r="C8" s="36" t="s">
        <v>32</v>
      </c>
      <c r="D8" s="36" t="s">
        <v>33</v>
      </c>
      <c r="E8" s="37">
        <v>696060</v>
      </c>
      <c r="F8" s="38">
        <v>10063.635480000001</v>
      </c>
      <c r="G8" s="39">
        <v>9.0448429999999996E-2</v>
      </c>
      <c r="H8" s="34" t="s">
        <v>143</v>
      </c>
    </row>
    <row r="9" spans="1:9" x14ac:dyDescent="0.2">
      <c r="A9" s="35">
        <v>3</v>
      </c>
      <c r="B9" s="36" t="s">
        <v>11</v>
      </c>
      <c r="C9" s="36" t="s">
        <v>12</v>
      </c>
      <c r="D9" s="36" t="s">
        <v>13</v>
      </c>
      <c r="E9" s="37">
        <v>345000</v>
      </c>
      <c r="F9" s="38">
        <v>6933.12</v>
      </c>
      <c r="G9" s="39">
        <v>6.2312449999999998E-2</v>
      </c>
      <c r="H9" s="34" t="s">
        <v>143</v>
      </c>
    </row>
    <row r="10" spans="1:9" x14ac:dyDescent="0.2">
      <c r="A10" s="35">
        <v>4</v>
      </c>
      <c r="B10" s="36" t="s">
        <v>326</v>
      </c>
      <c r="C10" s="36" t="s">
        <v>327</v>
      </c>
      <c r="D10" s="36" t="s">
        <v>33</v>
      </c>
      <c r="E10" s="37">
        <v>263757</v>
      </c>
      <c r="F10" s="38">
        <v>5706.3826950000002</v>
      </c>
      <c r="G10" s="39">
        <v>5.1286970000000001E-2</v>
      </c>
      <c r="H10" s="34" t="s">
        <v>143</v>
      </c>
    </row>
    <row r="11" spans="1:9" x14ac:dyDescent="0.2">
      <c r="A11" s="35">
        <v>5</v>
      </c>
      <c r="B11" s="36" t="s">
        <v>328</v>
      </c>
      <c r="C11" s="36" t="s">
        <v>329</v>
      </c>
      <c r="D11" s="36" t="s">
        <v>198</v>
      </c>
      <c r="E11" s="37">
        <v>319864</v>
      </c>
      <c r="F11" s="38">
        <v>5123.5815519999996</v>
      </c>
      <c r="G11" s="39">
        <v>4.604896E-2</v>
      </c>
      <c r="H11" s="34" t="s">
        <v>143</v>
      </c>
    </row>
    <row r="12" spans="1:9" x14ac:dyDescent="0.2">
      <c r="A12" s="35">
        <v>6</v>
      </c>
      <c r="B12" s="36" t="s">
        <v>714</v>
      </c>
      <c r="C12" s="36" t="s">
        <v>715</v>
      </c>
      <c r="D12" s="36" t="s">
        <v>256</v>
      </c>
      <c r="E12" s="37">
        <v>244811</v>
      </c>
      <c r="F12" s="38">
        <v>4994.6340220000002</v>
      </c>
      <c r="G12" s="39">
        <v>4.4890020000000003E-2</v>
      </c>
      <c r="H12" s="34" t="s">
        <v>143</v>
      </c>
    </row>
    <row r="13" spans="1:9" x14ac:dyDescent="0.2">
      <c r="A13" s="35">
        <v>7</v>
      </c>
      <c r="B13" s="36" t="s">
        <v>249</v>
      </c>
      <c r="C13" s="36" t="s">
        <v>250</v>
      </c>
      <c r="D13" s="36" t="s">
        <v>251</v>
      </c>
      <c r="E13" s="37">
        <v>167610</v>
      </c>
      <c r="F13" s="38">
        <v>4890.8598000000002</v>
      </c>
      <c r="G13" s="39">
        <v>4.3957330000000003E-2</v>
      </c>
      <c r="H13" s="34" t="s">
        <v>143</v>
      </c>
    </row>
    <row r="14" spans="1:9" ht="25.5" x14ac:dyDescent="0.2">
      <c r="A14" s="35">
        <v>8</v>
      </c>
      <c r="B14" s="36" t="s">
        <v>716</v>
      </c>
      <c r="C14" s="36" t="s">
        <v>717</v>
      </c>
      <c r="D14" s="36" t="s">
        <v>201</v>
      </c>
      <c r="E14" s="37">
        <v>367886</v>
      </c>
      <c r="F14" s="38">
        <v>4721.0810380000003</v>
      </c>
      <c r="G14" s="39">
        <v>4.2431419999999997E-2</v>
      </c>
      <c r="H14" s="34" t="s">
        <v>143</v>
      </c>
    </row>
    <row r="15" spans="1:9" x14ac:dyDescent="0.2">
      <c r="A15" s="35">
        <v>9</v>
      </c>
      <c r="B15" s="36" t="s">
        <v>37</v>
      </c>
      <c r="C15" s="36" t="s">
        <v>38</v>
      </c>
      <c r="D15" s="36" t="s">
        <v>16</v>
      </c>
      <c r="E15" s="37">
        <v>1399986</v>
      </c>
      <c r="F15" s="38">
        <v>4647.2535269999998</v>
      </c>
      <c r="G15" s="39">
        <v>4.1767890000000002E-2</v>
      </c>
      <c r="H15" s="34" t="s">
        <v>143</v>
      </c>
    </row>
    <row r="16" spans="1:9" x14ac:dyDescent="0.2">
      <c r="A16" s="35">
        <v>10</v>
      </c>
      <c r="B16" s="36" t="s">
        <v>74</v>
      </c>
      <c r="C16" s="36" t="s">
        <v>75</v>
      </c>
      <c r="D16" s="36" t="s">
        <v>43</v>
      </c>
      <c r="E16" s="37">
        <v>75675</v>
      </c>
      <c r="F16" s="38">
        <v>4215.4758750000001</v>
      </c>
      <c r="G16" s="39">
        <v>3.7887219999999999E-2</v>
      </c>
      <c r="H16" s="34" t="s">
        <v>143</v>
      </c>
    </row>
    <row r="17" spans="1:8" x14ac:dyDescent="0.2">
      <c r="A17" s="35">
        <v>11</v>
      </c>
      <c r="B17" s="36" t="s">
        <v>513</v>
      </c>
      <c r="C17" s="36" t="s">
        <v>514</v>
      </c>
      <c r="D17" s="36" t="s">
        <v>198</v>
      </c>
      <c r="E17" s="37">
        <v>225000</v>
      </c>
      <c r="F17" s="38">
        <v>3795.75</v>
      </c>
      <c r="G17" s="39">
        <v>3.4114869999999999E-2</v>
      </c>
      <c r="H17" s="34" t="s">
        <v>143</v>
      </c>
    </row>
    <row r="18" spans="1:8" x14ac:dyDescent="0.2">
      <c r="A18" s="35">
        <v>12</v>
      </c>
      <c r="B18" s="36" t="s">
        <v>718</v>
      </c>
      <c r="C18" s="36" t="s">
        <v>719</v>
      </c>
      <c r="D18" s="36" t="s">
        <v>73</v>
      </c>
      <c r="E18" s="37">
        <v>393192</v>
      </c>
      <c r="F18" s="38">
        <v>3777.788736</v>
      </c>
      <c r="G18" s="39">
        <v>3.3953440000000001E-2</v>
      </c>
      <c r="H18" s="34" t="s">
        <v>143</v>
      </c>
    </row>
    <row r="19" spans="1:8" x14ac:dyDescent="0.2">
      <c r="A19" s="35">
        <v>13</v>
      </c>
      <c r="B19" s="36" t="s">
        <v>120</v>
      </c>
      <c r="C19" s="36" t="s">
        <v>121</v>
      </c>
      <c r="D19" s="36" t="s">
        <v>36</v>
      </c>
      <c r="E19" s="37">
        <v>592632</v>
      </c>
      <c r="F19" s="38">
        <v>3629.5746840000002</v>
      </c>
      <c r="G19" s="39">
        <v>3.262135E-2</v>
      </c>
      <c r="H19" s="34" t="s">
        <v>143</v>
      </c>
    </row>
    <row r="20" spans="1:8" x14ac:dyDescent="0.2">
      <c r="A20" s="35">
        <v>14</v>
      </c>
      <c r="B20" s="36" t="s">
        <v>50</v>
      </c>
      <c r="C20" s="36" t="s">
        <v>51</v>
      </c>
      <c r="D20" s="36" t="s">
        <v>52</v>
      </c>
      <c r="E20" s="37">
        <v>60260</v>
      </c>
      <c r="F20" s="38">
        <v>3601.4389000000001</v>
      </c>
      <c r="G20" s="39">
        <v>3.2368470000000003E-2</v>
      </c>
      <c r="H20" s="34" t="s">
        <v>143</v>
      </c>
    </row>
    <row r="21" spans="1:8" x14ac:dyDescent="0.2">
      <c r="A21" s="35">
        <v>15</v>
      </c>
      <c r="B21" s="36" t="s">
        <v>344</v>
      </c>
      <c r="C21" s="36" t="s">
        <v>345</v>
      </c>
      <c r="D21" s="36" t="s">
        <v>287</v>
      </c>
      <c r="E21" s="37">
        <v>230000</v>
      </c>
      <c r="F21" s="38">
        <v>3423.09</v>
      </c>
      <c r="G21" s="39">
        <v>3.0765529999999999E-2</v>
      </c>
      <c r="H21" s="34" t="s">
        <v>143</v>
      </c>
    </row>
    <row r="22" spans="1:8" x14ac:dyDescent="0.2">
      <c r="A22" s="35">
        <v>16</v>
      </c>
      <c r="B22" s="36" t="s">
        <v>720</v>
      </c>
      <c r="C22" s="36" t="s">
        <v>721</v>
      </c>
      <c r="D22" s="36" t="s">
        <v>287</v>
      </c>
      <c r="E22" s="37">
        <v>75156</v>
      </c>
      <c r="F22" s="38">
        <v>3286.0457879999999</v>
      </c>
      <c r="G22" s="39">
        <v>2.953383E-2</v>
      </c>
      <c r="H22" s="34" t="s">
        <v>143</v>
      </c>
    </row>
    <row r="23" spans="1:8" x14ac:dyDescent="0.2">
      <c r="A23" s="35">
        <v>17</v>
      </c>
      <c r="B23" s="36" t="s">
        <v>722</v>
      </c>
      <c r="C23" s="36" t="s">
        <v>723</v>
      </c>
      <c r="D23" s="36" t="s">
        <v>195</v>
      </c>
      <c r="E23" s="37">
        <v>44916</v>
      </c>
      <c r="F23" s="38">
        <v>3252.8167199999998</v>
      </c>
      <c r="G23" s="39">
        <v>2.923518E-2</v>
      </c>
      <c r="H23" s="34" t="s">
        <v>143</v>
      </c>
    </row>
    <row r="24" spans="1:8" ht="25.5" x14ac:dyDescent="0.2">
      <c r="A24" s="35">
        <v>18</v>
      </c>
      <c r="B24" s="36" t="s">
        <v>438</v>
      </c>
      <c r="C24" s="36" t="s">
        <v>439</v>
      </c>
      <c r="D24" s="36" t="s">
        <v>209</v>
      </c>
      <c r="E24" s="37">
        <v>244574</v>
      </c>
      <c r="F24" s="38">
        <v>2687.6236859999999</v>
      </c>
      <c r="G24" s="39">
        <v>2.415542E-2</v>
      </c>
      <c r="H24" s="34" t="s">
        <v>143</v>
      </c>
    </row>
    <row r="25" spans="1:8" x14ac:dyDescent="0.2">
      <c r="A25" s="35">
        <v>19</v>
      </c>
      <c r="B25" s="36" t="s">
        <v>724</v>
      </c>
      <c r="C25" s="36" t="s">
        <v>725</v>
      </c>
      <c r="D25" s="36" t="s">
        <v>33</v>
      </c>
      <c r="E25" s="37">
        <v>1155130</v>
      </c>
      <c r="F25" s="38">
        <v>2526.3848229999999</v>
      </c>
      <c r="G25" s="39">
        <v>2.2706259999999999E-2</v>
      </c>
      <c r="H25" s="34" t="s">
        <v>143</v>
      </c>
    </row>
    <row r="26" spans="1:8" x14ac:dyDescent="0.2">
      <c r="A26" s="35">
        <v>20</v>
      </c>
      <c r="B26" s="36" t="s">
        <v>53</v>
      </c>
      <c r="C26" s="36" t="s">
        <v>54</v>
      </c>
      <c r="D26" s="36" t="s">
        <v>55</v>
      </c>
      <c r="E26" s="37">
        <v>34296</v>
      </c>
      <c r="F26" s="38">
        <v>2321.6677199999999</v>
      </c>
      <c r="G26" s="39">
        <v>2.0866340000000001E-2</v>
      </c>
      <c r="H26" s="34" t="s">
        <v>143</v>
      </c>
    </row>
    <row r="27" spans="1:8" x14ac:dyDescent="0.2">
      <c r="A27" s="35">
        <v>21</v>
      </c>
      <c r="B27" s="36" t="s">
        <v>726</v>
      </c>
      <c r="C27" s="36" t="s">
        <v>727</v>
      </c>
      <c r="D27" s="36" t="s">
        <v>19</v>
      </c>
      <c r="E27" s="37">
        <v>246480</v>
      </c>
      <c r="F27" s="38">
        <v>2263.79556</v>
      </c>
      <c r="G27" s="39">
        <v>2.0346199999999998E-2</v>
      </c>
      <c r="H27" s="34" t="s">
        <v>143</v>
      </c>
    </row>
    <row r="28" spans="1:8" x14ac:dyDescent="0.2">
      <c r="A28" s="35">
        <v>22</v>
      </c>
      <c r="B28" s="36" t="s">
        <v>728</v>
      </c>
      <c r="C28" s="36" t="s">
        <v>729</v>
      </c>
      <c r="D28" s="36" t="s">
        <v>55</v>
      </c>
      <c r="E28" s="37">
        <v>136353</v>
      </c>
      <c r="F28" s="38">
        <v>2230.189668</v>
      </c>
      <c r="G28" s="39">
        <v>2.0044159999999998E-2</v>
      </c>
      <c r="H28" s="34" t="s">
        <v>143</v>
      </c>
    </row>
    <row r="29" spans="1:8" ht="25.5" x14ac:dyDescent="0.2">
      <c r="A29" s="35">
        <v>23</v>
      </c>
      <c r="B29" s="36" t="s">
        <v>283</v>
      </c>
      <c r="C29" s="36" t="s">
        <v>284</v>
      </c>
      <c r="D29" s="36" t="s">
        <v>185</v>
      </c>
      <c r="E29" s="37">
        <v>53150</v>
      </c>
      <c r="F29" s="38">
        <v>2181.6480499999998</v>
      </c>
      <c r="G29" s="39">
        <v>1.9607889999999999E-2</v>
      </c>
      <c r="H29" s="34" t="s">
        <v>143</v>
      </c>
    </row>
    <row r="30" spans="1:8" x14ac:dyDescent="0.2">
      <c r="A30" s="35">
        <v>24</v>
      </c>
      <c r="B30" s="36" t="s">
        <v>511</v>
      </c>
      <c r="C30" s="36" t="s">
        <v>512</v>
      </c>
      <c r="D30" s="36" t="s">
        <v>251</v>
      </c>
      <c r="E30" s="37">
        <v>22619</v>
      </c>
      <c r="F30" s="38">
        <v>1894.56744</v>
      </c>
      <c r="G30" s="39">
        <v>1.7027710000000001E-2</v>
      </c>
      <c r="H30" s="34" t="s">
        <v>143</v>
      </c>
    </row>
    <row r="31" spans="1:8" x14ac:dyDescent="0.2">
      <c r="A31" s="35">
        <v>25</v>
      </c>
      <c r="B31" s="36" t="s">
        <v>429</v>
      </c>
      <c r="C31" s="36" t="s">
        <v>430</v>
      </c>
      <c r="D31" s="36" t="s">
        <v>198</v>
      </c>
      <c r="E31" s="37">
        <v>101625</v>
      </c>
      <c r="F31" s="38">
        <v>1756.68975</v>
      </c>
      <c r="G31" s="39">
        <v>1.5788509999999999E-2</v>
      </c>
      <c r="H31" s="34" t="s">
        <v>143</v>
      </c>
    </row>
    <row r="32" spans="1:8" x14ac:dyDescent="0.2">
      <c r="A32" s="41"/>
      <c r="B32" s="41"/>
      <c r="C32" s="42" t="s">
        <v>142</v>
      </c>
      <c r="D32" s="41"/>
      <c r="E32" s="41" t="s">
        <v>143</v>
      </c>
      <c r="F32" s="43">
        <v>104441.937234</v>
      </c>
      <c r="G32" s="44">
        <v>0.93868753999999999</v>
      </c>
      <c r="H32" s="34" t="s">
        <v>143</v>
      </c>
    </row>
    <row r="33" spans="1:8" x14ac:dyDescent="0.2">
      <c r="A33" s="41"/>
      <c r="B33" s="41"/>
      <c r="C33" s="45"/>
      <c r="D33" s="41"/>
      <c r="E33" s="41"/>
      <c r="F33" s="46"/>
      <c r="G33" s="46"/>
      <c r="H33" s="34" t="s">
        <v>143</v>
      </c>
    </row>
    <row r="34" spans="1:8" x14ac:dyDescent="0.2">
      <c r="A34" s="41"/>
      <c r="B34" s="41"/>
      <c r="C34" s="42" t="s">
        <v>144</v>
      </c>
      <c r="D34" s="41"/>
      <c r="E34" s="41"/>
      <c r="F34" s="41"/>
      <c r="G34" s="41"/>
      <c r="H34" s="34" t="s">
        <v>143</v>
      </c>
    </row>
    <row r="35" spans="1:8" x14ac:dyDescent="0.2">
      <c r="A35" s="41"/>
      <c r="B35" s="41"/>
      <c r="C35" s="42" t="s">
        <v>142</v>
      </c>
      <c r="D35" s="41"/>
      <c r="E35" s="41" t="s">
        <v>143</v>
      </c>
      <c r="F35" s="47" t="s">
        <v>145</v>
      </c>
      <c r="G35" s="44">
        <v>0</v>
      </c>
      <c r="H35" s="34" t="s">
        <v>143</v>
      </c>
    </row>
    <row r="36" spans="1:8" x14ac:dyDescent="0.2">
      <c r="A36" s="41"/>
      <c r="B36" s="41"/>
      <c r="C36" s="45"/>
      <c r="D36" s="41"/>
      <c r="E36" s="41"/>
      <c r="F36" s="46"/>
      <c r="G36" s="46"/>
      <c r="H36" s="34" t="s">
        <v>143</v>
      </c>
    </row>
    <row r="37" spans="1:8" x14ac:dyDescent="0.2">
      <c r="A37" s="41"/>
      <c r="B37" s="41"/>
      <c r="C37" s="42" t="s">
        <v>146</v>
      </c>
      <c r="D37" s="41"/>
      <c r="E37" s="41"/>
      <c r="F37" s="41"/>
      <c r="G37" s="41"/>
      <c r="H37" s="34" t="s">
        <v>143</v>
      </c>
    </row>
    <row r="38" spans="1:8" x14ac:dyDescent="0.2">
      <c r="A38" s="41"/>
      <c r="B38" s="41"/>
      <c r="C38" s="42" t="s">
        <v>142</v>
      </c>
      <c r="D38" s="41"/>
      <c r="E38" s="41" t="s">
        <v>143</v>
      </c>
      <c r="F38" s="47" t="s">
        <v>145</v>
      </c>
      <c r="G38" s="44">
        <v>0</v>
      </c>
      <c r="H38" s="34" t="s">
        <v>143</v>
      </c>
    </row>
    <row r="39" spans="1:8" x14ac:dyDescent="0.2">
      <c r="A39" s="41"/>
      <c r="B39" s="41"/>
      <c r="C39" s="45"/>
      <c r="D39" s="41"/>
      <c r="E39" s="41"/>
      <c r="F39" s="46"/>
      <c r="G39" s="46"/>
      <c r="H39" s="34" t="s">
        <v>143</v>
      </c>
    </row>
    <row r="40" spans="1:8" x14ac:dyDescent="0.2">
      <c r="A40" s="41"/>
      <c r="B40" s="41"/>
      <c r="C40" s="42" t="s">
        <v>147</v>
      </c>
      <c r="D40" s="41"/>
      <c r="E40" s="41"/>
      <c r="F40" s="41"/>
      <c r="G40" s="41"/>
      <c r="H40" s="34" t="s">
        <v>143</v>
      </c>
    </row>
    <row r="41" spans="1:8" x14ac:dyDescent="0.2">
      <c r="A41" s="41"/>
      <c r="B41" s="41"/>
      <c r="C41" s="42" t="s">
        <v>142</v>
      </c>
      <c r="D41" s="41"/>
      <c r="E41" s="41" t="s">
        <v>143</v>
      </c>
      <c r="F41" s="47" t="s">
        <v>145</v>
      </c>
      <c r="G41" s="44">
        <v>0</v>
      </c>
      <c r="H41" s="34" t="s">
        <v>143</v>
      </c>
    </row>
    <row r="42" spans="1:8" x14ac:dyDescent="0.2">
      <c r="A42" s="41"/>
      <c r="B42" s="41"/>
      <c r="C42" s="45"/>
      <c r="D42" s="41"/>
      <c r="E42" s="41"/>
      <c r="F42" s="46"/>
      <c r="G42" s="46"/>
      <c r="H42" s="34" t="s">
        <v>143</v>
      </c>
    </row>
    <row r="43" spans="1:8" x14ac:dyDescent="0.2">
      <c r="A43" s="41"/>
      <c r="B43" s="41"/>
      <c r="C43" s="42" t="s">
        <v>148</v>
      </c>
      <c r="D43" s="41"/>
      <c r="E43" s="41"/>
      <c r="F43" s="46"/>
      <c r="G43" s="46"/>
      <c r="H43" s="34" t="s">
        <v>143</v>
      </c>
    </row>
    <row r="44" spans="1:8" x14ac:dyDescent="0.2">
      <c r="A44" s="41"/>
      <c r="B44" s="41"/>
      <c r="C44" s="42" t="s">
        <v>142</v>
      </c>
      <c r="D44" s="41"/>
      <c r="E44" s="41" t="s">
        <v>143</v>
      </c>
      <c r="F44" s="47" t="s">
        <v>145</v>
      </c>
      <c r="G44" s="44">
        <v>0</v>
      </c>
      <c r="H44" s="34" t="s">
        <v>143</v>
      </c>
    </row>
    <row r="45" spans="1:8" x14ac:dyDescent="0.2">
      <c r="A45" s="41"/>
      <c r="B45" s="41"/>
      <c r="C45" s="45"/>
      <c r="D45" s="41"/>
      <c r="E45" s="41"/>
      <c r="F45" s="46"/>
      <c r="G45" s="46"/>
      <c r="H45" s="34" t="s">
        <v>143</v>
      </c>
    </row>
    <row r="46" spans="1:8" x14ac:dyDescent="0.2">
      <c r="A46" s="41"/>
      <c r="B46" s="41"/>
      <c r="C46" s="42" t="s">
        <v>149</v>
      </c>
      <c r="D46" s="41"/>
      <c r="E46" s="41"/>
      <c r="F46" s="46"/>
      <c r="G46" s="46"/>
      <c r="H46" s="34" t="s">
        <v>143</v>
      </c>
    </row>
    <row r="47" spans="1:8" x14ac:dyDescent="0.2">
      <c r="A47" s="41"/>
      <c r="B47" s="41"/>
      <c r="C47" s="42" t="s">
        <v>142</v>
      </c>
      <c r="D47" s="41"/>
      <c r="E47" s="41" t="s">
        <v>143</v>
      </c>
      <c r="F47" s="47" t="s">
        <v>145</v>
      </c>
      <c r="G47" s="44">
        <v>0</v>
      </c>
      <c r="H47" s="34" t="s">
        <v>143</v>
      </c>
    </row>
    <row r="48" spans="1:8" x14ac:dyDescent="0.2">
      <c r="A48" s="41"/>
      <c r="B48" s="41"/>
      <c r="C48" s="45"/>
      <c r="D48" s="41"/>
      <c r="E48" s="41"/>
      <c r="F48" s="46"/>
      <c r="G48" s="46"/>
      <c r="H48" s="34" t="s">
        <v>143</v>
      </c>
    </row>
    <row r="49" spans="1:8" x14ac:dyDescent="0.2">
      <c r="A49" s="41"/>
      <c r="B49" s="41"/>
      <c r="C49" s="42" t="s">
        <v>150</v>
      </c>
      <c r="D49" s="41"/>
      <c r="E49" s="41"/>
      <c r="F49" s="43">
        <v>104441.937234</v>
      </c>
      <c r="G49" s="44">
        <v>0.93868753999999999</v>
      </c>
      <c r="H49" s="34" t="s">
        <v>143</v>
      </c>
    </row>
    <row r="50" spans="1:8" x14ac:dyDescent="0.2">
      <c r="A50" s="41"/>
      <c r="B50" s="41"/>
      <c r="C50" s="45"/>
      <c r="D50" s="41"/>
      <c r="E50" s="41"/>
      <c r="F50" s="46"/>
      <c r="G50" s="46"/>
      <c r="H50" s="34" t="s">
        <v>143</v>
      </c>
    </row>
    <row r="51" spans="1:8" x14ac:dyDescent="0.2">
      <c r="A51" s="41"/>
      <c r="B51" s="41"/>
      <c r="C51" s="42" t="s">
        <v>151</v>
      </c>
      <c r="D51" s="41"/>
      <c r="E51" s="41"/>
      <c r="F51" s="46"/>
      <c r="G51" s="46"/>
      <c r="H51" s="34" t="s">
        <v>143</v>
      </c>
    </row>
    <row r="52" spans="1:8" x14ac:dyDescent="0.2">
      <c r="A52" s="41"/>
      <c r="B52" s="41"/>
      <c r="C52" s="42" t="s">
        <v>10</v>
      </c>
      <c r="D52" s="41"/>
      <c r="E52" s="41"/>
      <c r="F52" s="46"/>
      <c r="G52" s="46"/>
      <c r="H52" s="34" t="s">
        <v>143</v>
      </c>
    </row>
    <row r="53" spans="1:8" x14ac:dyDescent="0.2">
      <c r="A53" s="41"/>
      <c r="B53" s="41"/>
      <c r="C53" s="42" t="s">
        <v>142</v>
      </c>
      <c r="D53" s="41"/>
      <c r="E53" s="41" t="s">
        <v>143</v>
      </c>
      <c r="F53" s="47" t="s">
        <v>145</v>
      </c>
      <c r="G53" s="44">
        <v>0</v>
      </c>
      <c r="H53" s="34" t="s">
        <v>143</v>
      </c>
    </row>
    <row r="54" spans="1:8" x14ac:dyDescent="0.2">
      <c r="A54" s="41"/>
      <c r="B54" s="41"/>
      <c r="C54" s="45"/>
      <c r="D54" s="41"/>
      <c r="E54" s="41"/>
      <c r="F54" s="46"/>
      <c r="G54" s="46"/>
      <c r="H54" s="34" t="s">
        <v>143</v>
      </c>
    </row>
    <row r="55" spans="1:8" x14ac:dyDescent="0.2">
      <c r="A55" s="41"/>
      <c r="B55" s="41"/>
      <c r="C55" s="42" t="s">
        <v>152</v>
      </c>
      <c r="D55" s="41"/>
      <c r="E55" s="41"/>
      <c r="F55" s="41"/>
      <c r="G55" s="41"/>
      <c r="H55" s="34" t="s">
        <v>143</v>
      </c>
    </row>
    <row r="56" spans="1:8" x14ac:dyDescent="0.2">
      <c r="A56" s="41"/>
      <c r="B56" s="41"/>
      <c r="C56" s="42" t="s">
        <v>142</v>
      </c>
      <c r="D56" s="41"/>
      <c r="E56" s="41" t="s">
        <v>143</v>
      </c>
      <c r="F56" s="47" t="s">
        <v>145</v>
      </c>
      <c r="G56" s="44">
        <v>0</v>
      </c>
      <c r="H56" s="34" t="s">
        <v>143</v>
      </c>
    </row>
    <row r="57" spans="1:8" x14ac:dyDescent="0.2">
      <c r="A57" s="41"/>
      <c r="B57" s="41"/>
      <c r="C57" s="45"/>
      <c r="D57" s="41"/>
      <c r="E57" s="41"/>
      <c r="F57" s="46"/>
      <c r="G57" s="46"/>
      <c r="H57" s="34" t="s">
        <v>143</v>
      </c>
    </row>
    <row r="58" spans="1:8" x14ac:dyDescent="0.2">
      <c r="A58" s="41"/>
      <c r="B58" s="41"/>
      <c r="C58" s="42" t="s">
        <v>153</v>
      </c>
      <c r="D58" s="41"/>
      <c r="E58" s="41"/>
      <c r="F58" s="41"/>
      <c r="G58" s="41"/>
      <c r="H58" s="34" t="s">
        <v>143</v>
      </c>
    </row>
    <row r="59" spans="1:8" x14ac:dyDescent="0.2">
      <c r="A59" s="41"/>
      <c r="B59" s="41"/>
      <c r="C59" s="42" t="s">
        <v>142</v>
      </c>
      <c r="D59" s="41"/>
      <c r="E59" s="41" t="s">
        <v>143</v>
      </c>
      <c r="F59" s="47" t="s">
        <v>145</v>
      </c>
      <c r="G59" s="44">
        <v>0</v>
      </c>
      <c r="H59" s="34" t="s">
        <v>143</v>
      </c>
    </row>
    <row r="60" spans="1:8" x14ac:dyDescent="0.2">
      <c r="A60" s="41"/>
      <c r="B60" s="41"/>
      <c r="C60" s="45"/>
      <c r="D60" s="41"/>
      <c r="E60" s="41"/>
      <c r="F60" s="46"/>
      <c r="G60" s="46"/>
      <c r="H60" s="34" t="s">
        <v>143</v>
      </c>
    </row>
    <row r="61" spans="1:8" x14ac:dyDescent="0.2">
      <c r="A61" s="41"/>
      <c r="B61" s="41"/>
      <c r="C61" s="42" t="s">
        <v>154</v>
      </c>
      <c r="D61" s="41"/>
      <c r="E61" s="41"/>
      <c r="F61" s="46"/>
      <c r="G61" s="46"/>
      <c r="H61" s="34" t="s">
        <v>143</v>
      </c>
    </row>
    <row r="62" spans="1:8" x14ac:dyDescent="0.2">
      <c r="A62" s="41"/>
      <c r="B62" s="41"/>
      <c r="C62" s="42" t="s">
        <v>142</v>
      </c>
      <c r="D62" s="41"/>
      <c r="E62" s="41" t="s">
        <v>143</v>
      </c>
      <c r="F62" s="47" t="s">
        <v>145</v>
      </c>
      <c r="G62" s="44">
        <v>0</v>
      </c>
      <c r="H62" s="34" t="s">
        <v>143</v>
      </c>
    </row>
    <row r="63" spans="1:8" x14ac:dyDescent="0.2">
      <c r="A63" s="41"/>
      <c r="B63" s="41"/>
      <c r="C63" s="45"/>
      <c r="D63" s="41"/>
      <c r="E63" s="41"/>
      <c r="F63" s="46"/>
      <c r="G63" s="46"/>
      <c r="H63" s="34" t="s">
        <v>143</v>
      </c>
    </row>
    <row r="64" spans="1:8" x14ac:dyDescent="0.2">
      <c r="A64" s="41"/>
      <c r="B64" s="41"/>
      <c r="C64" s="42" t="s">
        <v>155</v>
      </c>
      <c r="D64" s="41"/>
      <c r="E64" s="41"/>
      <c r="F64" s="43">
        <v>0</v>
      </c>
      <c r="G64" s="44">
        <v>0</v>
      </c>
      <c r="H64" s="34" t="s">
        <v>143</v>
      </c>
    </row>
    <row r="65" spans="1:8" x14ac:dyDescent="0.2">
      <c r="A65" s="41"/>
      <c r="B65" s="41"/>
      <c r="C65" s="45"/>
      <c r="D65" s="41"/>
      <c r="E65" s="41"/>
      <c r="F65" s="46"/>
      <c r="G65" s="46"/>
      <c r="H65" s="34" t="s">
        <v>143</v>
      </c>
    </row>
    <row r="66" spans="1:8" x14ac:dyDescent="0.2">
      <c r="A66" s="41"/>
      <c r="B66" s="41"/>
      <c r="C66" s="42" t="s">
        <v>156</v>
      </c>
      <c r="D66" s="41"/>
      <c r="E66" s="41"/>
      <c r="F66" s="46"/>
      <c r="G66" s="46"/>
      <c r="H66" s="34" t="s">
        <v>143</v>
      </c>
    </row>
    <row r="67" spans="1:8" x14ac:dyDescent="0.2">
      <c r="A67" s="41"/>
      <c r="B67" s="41"/>
      <c r="C67" s="42" t="s">
        <v>157</v>
      </c>
      <c r="D67" s="41"/>
      <c r="E67" s="41"/>
      <c r="F67" s="46"/>
      <c r="G67" s="46"/>
      <c r="H67" s="34" t="s">
        <v>143</v>
      </c>
    </row>
    <row r="68" spans="1:8" x14ac:dyDescent="0.2">
      <c r="A68" s="41"/>
      <c r="B68" s="41"/>
      <c r="C68" s="42" t="s">
        <v>142</v>
      </c>
      <c r="D68" s="41"/>
      <c r="E68" s="41" t="s">
        <v>143</v>
      </c>
      <c r="F68" s="47" t="s">
        <v>145</v>
      </c>
      <c r="G68" s="44">
        <v>0</v>
      </c>
      <c r="H68" s="34" t="s">
        <v>143</v>
      </c>
    </row>
    <row r="69" spans="1:8" x14ac:dyDescent="0.2">
      <c r="A69" s="41"/>
      <c r="B69" s="41"/>
      <c r="C69" s="45"/>
      <c r="D69" s="41"/>
      <c r="E69" s="41"/>
      <c r="F69" s="46"/>
      <c r="G69" s="46"/>
      <c r="H69" s="34" t="s">
        <v>143</v>
      </c>
    </row>
    <row r="70" spans="1:8" x14ac:dyDescent="0.2">
      <c r="A70" s="41"/>
      <c r="B70" s="41"/>
      <c r="C70" s="42" t="s">
        <v>158</v>
      </c>
      <c r="D70" s="41"/>
      <c r="E70" s="41"/>
      <c r="F70" s="46"/>
      <c r="G70" s="46"/>
      <c r="H70" s="34" t="s">
        <v>143</v>
      </c>
    </row>
    <row r="71" spans="1:8" x14ac:dyDescent="0.2">
      <c r="A71" s="41"/>
      <c r="B71" s="41"/>
      <c r="C71" s="42" t="s">
        <v>142</v>
      </c>
      <c r="D71" s="41"/>
      <c r="E71" s="41" t="s">
        <v>143</v>
      </c>
      <c r="F71" s="47" t="s">
        <v>145</v>
      </c>
      <c r="G71" s="44">
        <v>0</v>
      </c>
      <c r="H71" s="34" t="s">
        <v>143</v>
      </c>
    </row>
    <row r="72" spans="1:8" x14ac:dyDescent="0.2">
      <c r="A72" s="41"/>
      <c r="B72" s="41"/>
      <c r="C72" s="45"/>
      <c r="D72" s="41"/>
      <c r="E72" s="41"/>
      <c r="F72" s="46"/>
      <c r="G72" s="46"/>
      <c r="H72" s="34" t="s">
        <v>143</v>
      </c>
    </row>
    <row r="73" spans="1:8" x14ac:dyDescent="0.2">
      <c r="A73" s="41"/>
      <c r="B73" s="41"/>
      <c r="C73" s="42" t="s">
        <v>159</v>
      </c>
      <c r="D73" s="41"/>
      <c r="E73" s="41"/>
      <c r="F73" s="46"/>
      <c r="G73" s="46"/>
      <c r="H73" s="34" t="s">
        <v>143</v>
      </c>
    </row>
    <row r="74" spans="1:8" x14ac:dyDescent="0.2">
      <c r="A74" s="41"/>
      <c r="B74" s="41"/>
      <c r="C74" s="42" t="s">
        <v>142</v>
      </c>
      <c r="D74" s="41"/>
      <c r="E74" s="41" t="s">
        <v>143</v>
      </c>
      <c r="F74" s="47" t="s">
        <v>145</v>
      </c>
      <c r="G74" s="44">
        <v>0</v>
      </c>
      <c r="H74" s="34" t="s">
        <v>143</v>
      </c>
    </row>
    <row r="75" spans="1:8" x14ac:dyDescent="0.2">
      <c r="A75" s="41"/>
      <c r="B75" s="41"/>
      <c r="C75" s="45"/>
      <c r="D75" s="41"/>
      <c r="E75" s="41"/>
      <c r="F75" s="46"/>
      <c r="G75" s="46"/>
      <c r="H75" s="34" t="s">
        <v>143</v>
      </c>
    </row>
    <row r="76" spans="1:8" x14ac:dyDescent="0.2">
      <c r="A76" s="41"/>
      <c r="B76" s="41"/>
      <c r="C76" s="42" t="s">
        <v>160</v>
      </c>
      <c r="D76" s="41"/>
      <c r="E76" s="41"/>
      <c r="F76" s="46"/>
      <c r="G76" s="46"/>
      <c r="H76" s="34" t="s">
        <v>143</v>
      </c>
    </row>
    <row r="77" spans="1:8" x14ac:dyDescent="0.2">
      <c r="A77" s="35">
        <v>1</v>
      </c>
      <c r="B77" s="36"/>
      <c r="C77" s="36" t="s">
        <v>161</v>
      </c>
      <c r="D77" s="36"/>
      <c r="E77" s="48"/>
      <c r="F77" s="38">
        <v>6843.1846010259997</v>
      </c>
      <c r="G77" s="39">
        <v>6.150415E-2</v>
      </c>
      <c r="H77" s="34">
        <v>5.47</v>
      </c>
    </row>
    <row r="78" spans="1:8" x14ac:dyDescent="0.2">
      <c r="A78" s="41"/>
      <c r="B78" s="41"/>
      <c r="C78" s="42" t="s">
        <v>142</v>
      </c>
      <c r="D78" s="41"/>
      <c r="E78" s="41" t="s">
        <v>143</v>
      </c>
      <c r="F78" s="43">
        <v>6843.1846010259997</v>
      </c>
      <c r="G78" s="44">
        <v>6.150415E-2</v>
      </c>
      <c r="H78" s="34" t="s">
        <v>143</v>
      </c>
    </row>
    <row r="79" spans="1:8" x14ac:dyDescent="0.2">
      <c r="A79" s="41"/>
      <c r="B79" s="41"/>
      <c r="C79" s="45"/>
      <c r="D79" s="41"/>
      <c r="E79" s="41"/>
      <c r="F79" s="46"/>
      <c r="G79" s="46"/>
      <c r="H79" s="34" t="s">
        <v>143</v>
      </c>
    </row>
    <row r="80" spans="1:8" x14ac:dyDescent="0.2">
      <c r="A80" s="41"/>
      <c r="B80" s="41"/>
      <c r="C80" s="42" t="s">
        <v>162</v>
      </c>
      <c r="D80" s="41"/>
      <c r="E80" s="41"/>
      <c r="F80" s="43">
        <v>6843.1846010259997</v>
      </c>
      <c r="G80" s="44">
        <v>6.150415E-2</v>
      </c>
      <c r="H80" s="34" t="s">
        <v>143</v>
      </c>
    </row>
    <row r="81" spans="1:10" x14ac:dyDescent="0.2">
      <c r="A81" s="41"/>
      <c r="B81" s="41"/>
      <c r="C81" s="46"/>
      <c r="D81" s="41"/>
      <c r="E81" s="41"/>
      <c r="F81" s="41"/>
      <c r="G81" s="41"/>
      <c r="H81" s="34" t="s">
        <v>143</v>
      </c>
    </row>
    <row r="82" spans="1:10" x14ac:dyDescent="0.2">
      <c r="A82" s="41"/>
      <c r="B82" s="41"/>
      <c r="C82" s="42" t="s">
        <v>163</v>
      </c>
      <c r="D82" s="41"/>
      <c r="E82" s="41"/>
      <c r="F82" s="41"/>
      <c r="G82" s="41"/>
      <c r="H82" s="34" t="s">
        <v>143</v>
      </c>
    </row>
    <row r="83" spans="1:10" x14ac:dyDescent="0.2">
      <c r="A83" s="41"/>
      <c r="B83" s="41"/>
      <c r="C83" s="42" t="s">
        <v>164</v>
      </c>
      <c r="D83" s="41"/>
      <c r="E83" s="41"/>
      <c r="F83" s="41"/>
      <c r="G83" s="41"/>
      <c r="H83" s="34" t="s">
        <v>143</v>
      </c>
    </row>
    <row r="84" spans="1:10" x14ac:dyDescent="0.2">
      <c r="A84" s="41"/>
      <c r="B84" s="41"/>
      <c r="C84" s="42" t="s">
        <v>142</v>
      </c>
      <c r="D84" s="41"/>
      <c r="E84" s="41" t="s">
        <v>143</v>
      </c>
      <c r="F84" s="47" t="s">
        <v>145</v>
      </c>
      <c r="G84" s="44">
        <v>0</v>
      </c>
      <c r="H84" s="34" t="s">
        <v>143</v>
      </c>
    </row>
    <row r="85" spans="1:10" x14ac:dyDescent="0.2">
      <c r="A85" s="41"/>
      <c r="B85" s="41"/>
      <c r="C85" s="45"/>
      <c r="D85" s="41"/>
      <c r="E85" s="41"/>
      <c r="F85" s="46"/>
      <c r="G85" s="46"/>
      <c r="H85" s="34" t="s">
        <v>143</v>
      </c>
    </row>
    <row r="86" spans="1:10" x14ac:dyDescent="0.2">
      <c r="A86" s="41"/>
      <c r="B86" s="41"/>
      <c r="C86" s="42" t="s">
        <v>165</v>
      </c>
      <c r="D86" s="41"/>
      <c r="E86" s="41"/>
      <c r="F86" s="41"/>
      <c r="G86" s="41"/>
      <c r="H86" s="34" t="s">
        <v>143</v>
      </c>
    </row>
    <row r="87" spans="1:10" x14ac:dyDescent="0.2">
      <c r="A87" s="41"/>
      <c r="B87" s="41"/>
      <c r="C87" s="42" t="s">
        <v>166</v>
      </c>
      <c r="D87" s="41"/>
      <c r="E87" s="41"/>
      <c r="F87" s="41"/>
      <c r="G87" s="41"/>
      <c r="H87" s="34" t="s">
        <v>143</v>
      </c>
    </row>
    <row r="88" spans="1:10" x14ac:dyDescent="0.2">
      <c r="A88" s="41"/>
      <c r="B88" s="41"/>
      <c r="C88" s="42" t="s">
        <v>142</v>
      </c>
      <c r="D88" s="41"/>
      <c r="E88" s="41" t="s">
        <v>143</v>
      </c>
      <c r="F88" s="47" t="s">
        <v>145</v>
      </c>
      <c r="G88" s="44">
        <v>0</v>
      </c>
      <c r="H88" s="34" t="s">
        <v>143</v>
      </c>
    </row>
    <row r="89" spans="1:10" x14ac:dyDescent="0.2">
      <c r="A89" s="41"/>
      <c r="B89" s="41"/>
      <c r="C89" s="45"/>
      <c r="D89" s="41"/>
      <c r="E89" s="41"/>
      <c r="F89" s="46"/>
      <c r="G89" s="46"/>
      <c r="H89" s="34" t="s">
        <v>143</v>
      </c>
    </row>
    <row r="90" spans="1:10" x14ac:dyDescent="0.2">
      <c r="A90" s="41"/>
      <c r="B90" s="41"/>
      <c r="C90" s="42" t="s">
        <v>167</v>
      </c>
      <c r="D90" s="41"/>
      <c r="E90" s="41"/>
      <c r="F90" s="46"/>
      <c r="G90" s="46"/>
      <c r="H90" s="34" t="s">
        <v>143</v>
      </c>
    </row>
    <row r="91" spans="1:10" x14ac:dyDescent="0.2">
      <c r="A91" s="41"/>
      <c r="B91" s="41"/>
      <c r="C91" s="42" t="s">
        <v>142</v>
      </c>
      <c r="D91" s="41"/>
      <c r="E91" s="41" t="s">
        <v>143</v>
      </c>
      <c r="F91" s="47" t="s">
        <v>145</v>
      </c>
      <c r="G91" s="44">
        <v>0</v>
      </c>
      <c r="H91" s="34" t="s">
        <v>143</v>
      </c>
    </row>
    <row r="92" spans="1:10" x14ac:dyDescent="0.2">
      <c r="A92" s="41"/>
      <c r="B92" s="41"/>
      <c r="C92" s="45"/>
      <c r="D92" s="41"/>
      <c r="E92" s="41"/>
      <c r="F92" s="46"/>
      <c r="G92" s="46"/>
      <c r="H92" s="34" t="s">
        <v>143</v>
      </c>
    </row>
    <row r="93" spans="1:10" x14ac:dyDescent="0.2">
      <c r="A93" s="48"/>
      <c r="B93" s="36"/>
      <c r="C93" s="36" t="s">
        <v>168</v>
      </c>
      <c r="D93" s="36"/>
      <c r="E93" s="48"/>
      <c r="F93" s="38">
        <v>-21.326464519999998</v>
      </c>
      <c r="G93" s="39">
        <v>-1.9168000000000001E-4</v>
      </c>
      <c r="H93" s="34" t="s">
        <v>143</v>
      </c>
    </row>
    <row r="94" spans="1:10" x14ac:dyDescent="0.2">
      <c r="A94" s="45"/>
      <c r="B94" s="45"/>
      <c r="C94" s="42" t="s">
        <v>169</v>
      </c>
      <c r="D94" s="46"/>
      <c r="E94" s="46"/>
      <c r="F94" s="43">
        <v>111263.79537050601</v>
      </c>
      <c r="G94" s="51">
        <v>1.0000000099999999</v>
      </c>
      <c r="H94" s="34" t="s">
        <v>143</v>
      </c>
    </row>
    <row r="95" spans="1:10" x14ac:dyDescent="0.2">
      <c r="A95" s="52"/>
      <c r="B95" s="52"/>
      <c r="C95" s="52"/>
      <c r="D95" s="53"/>
      <c r="E95" s="53"/>
      <c r="F95" s="53"/>
      <c r="G95" s="53"/>
    </row>
    <row r="96" spans="1:10" x14ac:dyDescent="0.2">
      <c r="A96" s="54"/>
      <c r="B96" s="158" t="s">
        <v>852</v>
      </c>
      <c r="C96" s="158"/>
      <c r="D96" s="158"/>
      <c r="E96" s="158"/>
      <c r="F96" s="158"/>
      <c r="G96" s="158"/>
      <c r="H96" s="158"/>
      <c r="J96" s="56"/>
    </row>
    <row r="97" spans="1:17" x14ac:dyDescent="0.2">
      <c r="A97" s="54"/>
      <c r="B97" s="158" t="s">
        <v>853</v>
      </c>
      <c r="C97" s="158"/>
      <c r="D97" s="158"/>
      <c r="E97" s="158"/>
      <c r="F97" s="158"/>
      <c r="G97" s="158"/>
      <c r="H97" s="158"/>
      <c r="J97" s="56"/>
    </row>
    <row r="98" spans="1:17" x14ac:dyDescent="0.2">
      <c r="A98" s="54"/>
      <c r="B98" s="158" t="s">
        <v>854</v>
      </c>
      <c r="C98" s="158"/>
      <c r="D98" s="158"/>
      <c r="E98" s="158"/>
      <c r="F98" s="158"/>
      <c r="G98" s="158"/>
      <c r="H98" s="158"/>
      <c r="J98" s="56"/>
    </row>
    <row r="99" spans="1:17" s="58" customFormat="1" ht="54.75" customHeight="1" x14ac:dyDescent="0.25">
      <c r="A99" s="57"/>
      <c r="B99" s="159" t="s">
        <v>855</v>
      </c>
      <c r="C99" s="159"/>
      <c r="D99" s="159"/>
      <c r="E99" s="159"/>
      <c r="F99" s="159"/>
      <c r="G99" s="159"/>
      <c r="H99" s="159"/>
      <c r="I99"/>
      <c r="J99" s="56"/>
      <c r="K99"/>
      <c r="L99"/>
      <c r="M99"/>
      <c r="N99"/>
      <c r="O99"/>
      <c r="P99"/>
      <c r="Q99"/>
    </row>
    <row r="100" spans="1:17" x14ac:dyDescent="0.2">
      <c r="A100" s="54"/>
      <c r="B100" s="158" t="s">
        <v>856</v>
      </c>
      <c r="C100" s="158"/>
      <c r="D100" s="158"/>
      <c r="E100" s="158"/>
      <c r="F100" s="158"/>
      <c r="G100" s="158"/>
      <c r="H100" s="158"/>
      <c r="J100" s="56"/>
    </row>
    <row r="101" spans="1:17" x14ac:dyDescent="0.2">
      <c r="A101" s="54"/>
      <c r="B101" s="54"/>
      <c r="C101" s="54"/>
      <c r="D101" s="59"/>
      <c r="E101" s="59"/>
      <c r="F101" s="59"/>
      <c r="G101" s="59"/>
    </row>
    <row r="102" spans="1:17" x14ac:dyDescent="0.2">
      <c r="A102" s="54"/>
      <c r="B102" s="160" t="s">
        <v>170</v>
      </c>
      <c r="C102" s="161"/>
      <c r="D102" s="162"/>
      <c r="E102" s="60"/>
      <c r="F102" s="59"/>
      <c r="G102" s="59"/>
    </row>
    <row r="103" spans="1:17" ht="27.75" customHeight="1" x14ac:dyDescent="0.2">
      <c r="A103" s="54"/>
      <c r="B103" s="154" t="s">
        <v>171</v>
      </c>
      <c r="C103" s="155"/>
      <c r="D103" s="33" t="s">
        <v>172</v>
      </c>
      <c r="E103" s="60"/>
      <c r="F103" s="59"/>
      <c r="G103" s="59"/>
    </row>
    <row r="104" spans="1:17" ht="12.75" customHeight="1" x14ac:dyDescent="0.2">
      <c r="A104" s="54"/>
      <c r="B104" s="154" t="s">
        <v>857</v>
      </c>
      <c r="C104" s="155"/>
      <c r="D104" s="33" t="s">
        <v>172</v>
      </c>
      <c r="E104" s="60"/>
      <c r="F104" s="59"/>
      <c r="G104" s="59"/>
    </row>
    <row r="105" spans="1:17" x14ac:dyDescent="0.2">
      <c r="A105" s="54"/>
      <c r="B105" s="154" t="s">
        <v>173</v>
      </c>
      <c r="C105" s="155"/>
      <c r="D105" s="61" t="s">
        <v>143</v>
      </c>
      <c r="E105" s="60"/>
      <c r="F105" s="59"/>
      <c r="G105" s="59"/>
    </row>
    <row r="106" spans="1:17" x14ac:dyDescent="0.2">
      <c r="A106" s="62"/>
      <c r="B106" s="63" t="s">
        <v>143</v>
      </c>
      <c r="C106" s="63" t="s">
        <v>858</v>
      </c>
      <c r="D106" s="63" t="s">
        <v>174</v>
      </c>
      <c r="E106" s="62"/>
      <c r="F106" s="62"/>
      <c r="G106" s="62"/>
      <c r="H106" s="62"/>
      <c r="J106" s="56"/>
    </row>
    <row r="107" spans="1:17" x14ac:dyDescent="0.2">
      <c r="A107" s="62"/>
      <c r="B107" s="64" t="s">
        <v>175</v>
      </c>
      <c r="C107" s="65">
        <v>45808</v>
      </c>
      <c r="D107" s="65">
        <v>45838</v>
      </c>
      <c r="E107" s="62"/>
      <c r="F107" s="62"/>
      <c r="G107" s="62"/>
      <c r="J107" s="56"/>
    </row>
    <row r="108" spans="1:17" x14ac:dyDescent="0.2">
      <c r="A108" s="66"/>
      <c r="B108" s="36" t="s">
        <v>176</v>
      </c>
      <c r="C108" s="67">
        <v>173.0626</v>
      </c>
      <c r="D108" s="67">
        <v>179.5427</v>
      </c>
      <c r="E108" s="66"/>
      <c r="F108" s="68"/>
      <c r="G108" s="69"/>
    </row>
    <row r="109" spans="1:17" x14ac:dyDescent="0.2">
      <c r="A109" s="66"/>
      <c r="B109" s="36" t="s">
        <v>1086</v>
      </c>
      <c r="C109" s="67">
        <v>44.007100000000001</v>
      </c>
      <c r="D109" s="67">
        <v>45.654899999999998</v>
      </c>
      <c r="E109" s="66"/>
      <c r="F109" s="68"/>
      <c r="G109" s="69"/>
    </row>
    <row r="110" spans="1:17" x14ac:dyDescent="0.2">
      <c r="A110" s="66"/>
      <c r="B110" s="36" t="s">
        <v>177</v>
      </c>
      <c r="C110" s="67">
        <v>156.47999999999999</v>
      </c>
      <c r="D110" s="67">
        <v>162.2098</v>
      </c>
      <c r="E110" s="66"/>
      <c r="F110" s="68"/>
      <c r="G110" s="69"/>
    </row>
    <row r="111" spans="1:17" x14ac:dyDescent="0.2">
      <c r="A111" s="66"/>
      <c r="B111" s="36" t="s">
        <v>1087</v>
      </c>
      <c r="C111" s="67">
        <v>40.522799999999997</v>
      </c>
      <c r="D111" s="67">
        <v>42.006599999999999</v>
      </c>
      <c r="E111" s="66"/>
      <c r="F111" s="68"/>
      <c r="G111" s="69"/>
    </row>
    <row r="112" spans="1:17" x14ac:dyDescent="0.2">
      <c r="A112" s="66"/>
      <c r="B112" s="66"/>
      <c r="C112" s="66"/>
      <c r="D112" s="66"/>
      <c r="E112" s="66"/>
      <c r="F112" s="66"/>
      <c r="G112" s="66"/>
    </row>
    <row r="113" spans="1:7" x14ac:dyDescent="0.2">
      <c r="A113" s="66"/>
      <c r="B113" s="163" t="s">
        <v>860</v>
      </c>
      <c r="C113" s="164"/>
      <c r="D113" s="33" t="s">
        <v>172</v>
      </c>
      <c r="E113" s="66"/>
      <c r="F113" s="66"/>
      <c r="G113" s="66"/>
    </row>
    <row r="114" spans="1:7" x14ac:dyDescent="0.2">
      <c r="A114" s="66"/>
      <c r="B114" s="70"/>
      <c r="C114" s="70"/>
      <c r="D114" s="70"/>
      <c r="E114" s="66"/>
      <c r="F114" s="66"/>
      <c r="G114" s="66"/>
    </row>
    <row r="115" spans="1:7" ht="29.1" customHeight="1" x14ac:dyDescent="0.2">
      <c r="A115" s="62"/>
      <c r="B115" s="154" t="s">
        <v>178</v>
      </c>
      <c r="C115" s="155"/>
      <c r="D115" s="33" t="s">
        <v>172</v>
      </c>
      <c r="E115" s="71"/>
      <c r="F115" s="62"/>
      <c r="G115" s="62"/>
    </row>
    <row r="116" spans="1:7" ht="29.1" customHeight="1" x14ac:dyDescent="0.2">
      <c r="A116" s="62"/>
      <c r="B116" s="154" t="s">
        <v>179</v>
      </c>
      <c r="C116" s="155"/>
      <c r="D116" s="33" t="s">
        <v>172</v>
      </c>
      <c r="E116" s="71"/>
      <c r="F116" s="62"/>
      <c r="G116" s="62"/>
    </row>
    <row r="117" spans="1:7" ht="17.100000000000001" customHeight="1" x14ac:dyDescent="0.2">
      <c r="A117" s="62"/>
      <c r="B117" s="154" t="s">
        <v>180</v>
      </c>
      <c r="C117" s="155"/>
      <c r="D117" s="33" t="s">
        <v>172</v>
      </c>
      <c r="E117" s="71"/>
      <c r="F117" s="62"/>
      <c r="G117" s="62"/>
    </row>
    <row r="118" spans="1:7" ht="17.100000000000001" customHeight="1" x14ac:dyDescent="0.2">
      <c r="A118" s="62"/>
      <c r="B118" s="154" t="s">
        <v>181</v>
      </c>
      <c r="C118" s="155"/>
      <c r="D118" s="72">
        <v>0.81893667323963082</v>
      </c>
      <c r="E118" s="62"/>
      <c r="F118" s="55"/>
      <c r="G118" s="73"/>
    </row>
    <row r="120" spans="1:7" x14ac:dyDescent="0.2">
      <c r="B120" s="156" t="s">
        <v>861</v>
      </c>
      <c r="C120" s="156"/>
    </row>
    <row r="122" spans="1:7" ht="153.75" customHeight="1" x14ac:dyDescent="0.2"/>
    <row r="125" spans="1:7" x14ac:dyDescent="0.2">
      <c r="B125" s="79" t="s">
        <v>862</v>
      </c>
      <c r="C125" s="80"/>
      <c r="D125" s="79" t="s">
        <v>865</v>
      </c>
    </row>
    <row r="126" spans="1:7" x14ac:dyDescent="0.2">
      <c r="B126" s="79" t="s">
        <v>926</v>
      </c>
      <c r="D126" s="79" t="s">
        <v>927</v>
      </c>
    </row>
    <row r="127" spans="1:7" ht="165" customHeight="1" x14ac:dyDescent="0.2"/>
  </sheetData>
  <mergeCells count="18">
    <mergeCell ref="A1:H1"/>
    <mergeCell ref="A2:H2"/>
    <mergeCell ref="A3:H3"/>
    <mergeCell ref="B96:H96"/>
    <mergeCell ref="B97:H97"/>
    <mergeCell ref="B98:H98"/>
    <mergeCell ref="B99:H99"/>
    <mergeCell ref="B100:H100"/>
    <mergeCell ref="B102:D102"/>
    <mergeCell ref="B103:C103"/>
    <mergeCell ref="B104:C104"/>
    <mergeCell ref="B105:C105"/>
    <mergeCell ref="B120:C120"/>
    <mergeCell ref="B113:C113"/>
    <mergeCell ref="B117:C117"/>
    <mergeCell ref="B118:C118"/>
    <mergeCell ref="B115:C115"/>
    <mergeCell ref="B116:C116"/>
  </mergeCells>
  <hyperlinks>
    <hyperlink ref="I1" location="Index!B2" display="Index" xr:uid="{29FA3419-C907-4F4B-B63F-966C9A7A23AB}"/>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EFFF-7515-411A-B20C-D057BC4C5F9B}">
  <sheetPr>
    <outlinePr summaryBelow="0" summaryRight="0"/>
  </sheetPr>
  <dimension ref="A1:Q178"/>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730</v>
      </c>
      <c r="B2" s="157"/>
      <c r="C2" s="157"/>
      <c r="D2" s="157"/>
      <c r="E2" s="157"/>
      <c r="F2" s="157"/>
      <c r="G2" s="157"/>
      <c r="H2" s="157"/>
    </row>
    <row r="3" spans="1:9" ht="15" x14ac:dyDescent="0.2">
      <c r="A3" s="157" t="s">
        <v>850</v>
      </c>
      <c r="B3" s="157"/>
      <c r="C3" s="157"/>
      <c r="D3" s="157"/>
      <c r="E3" s="157"/>
      <c r="F3" s="157"/>
      <c r="G3" s="157"/>
      <c r="H3" s="157"/>
    </row>
    <row r="4" spans="1:9" s="31" customFormat="1" ht="12" customHeight="1" x14ac:dyDescent="0.2">
      <c r="A4" s="29" t="s">
        <v>2</v>
      </c>
      <c r="B4" s="29" t="s">
        <v>3</v>
      </c>
      <c r="C4" s="29" t="s">
        <v>4</v>
      </c>
      <c r="D4" s="29" t="s">
        <v>5</v>
      </c>
      <c r="E4" s="29" t="s">
        <v>6</v>
      </c>
      <c r="F4" s="29" t="s">
        <v>7</v>
      </c>
      <c r="G4" s="29" t="s">
        <v>8</v>
      </c>
      <c r="H4" s="30" t="s">
        <v>849</v>
      </c>
    </row>
    <row r="5" spans="1:9" ht="12" customHeight="1" x14ac:dyDescent="0.2">
      <c r="A5" s="32"/>
      <c r="B5" s="32"/>
      <c r="C5" s="33" t="s">
        <v>9</v>
      </c>
      <c r="D5" s="32"/>
      <c r="E5" s="32"/>
      <c r="F5" s="32"/>
      <c r="G5" s="32"/>
      <c r="H5" s="34" t="s">
        <v>143</v>
      </c>
    </row>
    <row r="6" spans="1:9" ht="12" customHeight="1" x14ac:dyDescent="0.2">
      <c r="A6" s="32"/>
      <c r="B6" s="32"/>
      <c r="C6" s="33" t="s">
        <v>10</v>
      </c>
      <c r="D6" s="32"/>
      <c r="E6" s="32"/>
      <c r="F6" s="32"/>
      <c r="G6" s="32"/>
      <c r="H6" s="34" t="s">
        <v>143</v>
      </c>
    </row>
    <row r="7" spans="1:9" ht="12" customHeight="1" x14ac:dyDescent="0.2">
      <c r="A7" s="35">
        <v>1</v>
      </c>
      <c r="B7" s="36" t="s">
        <v>322</v>
      </c>
      <c r="C7" s="36" t="s">
        <v>323</v>
      </c>
      <c r="D7" s="36" t="s">
        <v>33</v>
      </c>
      <c r="E7" s="37">
        <v>856052</v>
      </c>
      <c r="F7" s="38">
        <v>17133.88078</v>
      </c>
      <c r="G7" s="39">
        <v>6.0054000000000003E-2</v>
      </c>
      <c r="H7" s="34" t="s">
        <v>143</v>
      </c>
    </row>
    <row r="8" spans="1:9" ht="12" customHeight="1" x14ac:dyDescent="0.2">
      <c r="A8" s="35">
        <v>2</v>
      </c>
      <c r="B8" s="36" t="s">
        <v>31</v>
      </c>
      <c r="C8" s="36" t="s">
        <v>32</v>
      </c>
      <c r="D8" s="36" t="s">
        <v>33</v>
      </c>
      <c r="E8" s="37">
        <v>922420</v>
      </c>
      <c r="F8" s="38">
        <v>13336.34836</v>
      </c>
      <c r="G8" s="39">
        <v>4.6743699999999999E-2</v>
      </c>
      <c r="H8" s="34" t="s">
        <v>143</v>
      </c>
    </row>
    <row r="9" spans="1:9" ht="12" customHeight="1" x14ac:dyDescent="0.2">
      <c r="A9" s="35">
        <v>3</v>
      </c>
      <c r="B9" s="36" t="s">
        <v>14</v>
      </c>
      <c r="C9" s="36" t="s">
        <v>15</v>
      </c>
      <c r="D9" s="36" t="s">
        <v>16</v>
      </c>
      <c r="E9" s="37">
        <v>789884</v>
      </c>
      <c r="F9" s="38">
        <v>11852.999304000001</v>
      </c>
      <c r="G9" s="39">
        <v>4.1544589999999999E-2</v>
      </c>
      <c r="H9" s="34" t="s">
        <v>143</v>
      </c>
    </row>
    <row r="10" spans="1:9" ht="12" customHeight="1" x14ac:dyDescent="0.2">
      <c r="A10" s="35">
        <v>4</v>
      </c>
      <c r="B10" s="36" t="s">
        <v>326</v>
      </c>
      <c r="C10" s="36" t="s">
        <v>327</v>
      </c>
      <c r="D10" s="36" t="s">
        <v>33</v>
      </c>
      <c r="E10" s="37">
        <v>460974</v>
      </c>
      <c r="F10" s="38">
        <v>9973.1724900000008</v>
      </c>
      <c r="G10" s="39">
        <v>3.4955819999999999E-2</v>
      </c>
      <c r="H10" s="34" t="s">
        <v>143</v>
      </c>
    </row>
    <row r="11" spans="1:9" ht="12" customHeight="1" x14ac:dyDescent="0.2">
      <c r="A11" s="35">
        <v>5</v>
      </c>
      <c r="B11" s="36" t="s">
        <v>17</v>
      </c>
      <c r="C11" s="36" t="s">
        <v>18</v>
      </c>
      <c r="D11" s="36" t="s">
        <v>19</v>
      </c>
      <c r="E11" s="37">
        <v>265082</v>
      </c>
      <c r="F11" s="38">
        <v>9727.9792359999992</v>
      </c>
      <c r="G11" s="39">
        <v>3.4096420000000002E-2</v>
      </c>
      <c r="H11" s="34" t="s">
        <v>143</v>
      </c>
    </row>
    <row r="12" spans="1:9" ht="12" customHeight="1" x14ac:dyDescent="0.2">
      <c r="A12" s="35">
        <v>6</v>
      </c>
      <c r="B12" s="36" t="s">
        <v>324</v>
      </c>
      <c r="C12" s="36" t="s">
        <v>325</v>
      </c>
      <c r="D12" s="36" t="s">
        <v>33</v>
      </c>
      <c r="E12" s="37">
        <v>808028</v>
      </c>
      <c r="F12" s="38">
        <v>9689.871776</v>
      </c>
      <c r="G12" s="39">
        <v>3.3962859999999997E-2</v>
      </c>
      <c r="H12" s="34" t="s">
        <v>143</v>
      </c>
    </row>
    <row r="13" spans="1:9" ht="12" customHeight="1" x14ac:dyDescent="0.2">
      <c r="A13" s="35">
        <v>7</v>
      </c>
      <c r="B13" s="36" t="s">
        <v>11</v>
      </c>
      <c r="C13" s="36" t="s">
        <v>12</v>
      </c>
      <c r="D13" s="36" t="s">
        <v>13</v>
      </c>
      <c r="E13" s="37">
        <v>371388</v>
      </c>
      <c r="F13" s="38">
        <v>7463.4132479999998</v>
      </c>
      <c r="G13" s="39">
        <v>2.6159149999999999E-2</v>
      </c>
      <c r="H13" s="34" t="s">
        <v>143</v>
      </c>
    </row>
    <row r="14" spans="1:9" ht="12" customHeight="1" x14ac:dyDescent="0.2">
      <c r="A14" s="35">
        <v>8</v>
      </c>
      <c r="B14" s="36" t="s">
        <v>340</v>
      </c>
      <c r="C14" s="36" t="s">
        <v>341</v>
      </c>
      <c r="D14" s="36" t="s">
        <v>265</v>
      </c>
      <c r="E14" s="37">
        <v>353902</v>
      </c>
      <c r="F14" s="38">
        <v>7072.023666</v>
      </c>
      <c r="G14" s="39">
        <v>2.4787340000000001E-2</v>
      </c>
      <c r="H14" s="34" t="s">
        <v>143</v>
      </c>
    </row>
    <row r="15" spans="1:9" ht="12" customHeight="1" x14ac:dyDescent="0.2">
      <c r="A15" s="35">
        <v>9</v>
      </c>
      <c r="B15" s="36" t="s">
        <v>210</v>
      </c>
      <c r="C15" s="36" t="s">
        <v>211</v>
      </c>
      <c r="D15" s="36" t="s">
        <v>33</v>
      </c>
      <c r="E15" s="37">
        <v>908467</v>
      </c>
      <c r="F15" s="38">
        <v>5845.5309115</v>
      </c>
      <c r="G15" s="39">
        <v>2.04885E-2</v>
      </c>
      <c r="H15" s="34" t="s">
        <v>143</v>
      </c>
    </row>
    <row r="16" spans="1:9" ht="12" customHeight="1" x14ac:dyDescent="0.2">
      <c r="A16" s="35">
        <v>10</v>
      </c>
      <c r="B16" s="36" t="s">
        <v>328</v>
      </c>
      <c r="C16" s="36" t="s">
        <v>329</v>
      </c>
      <c r="D16" s="36" t="s">
        <v>198</v>
      </c>
      <c r="E16" s="37">
        <v>364710</v>
      </c>
      <c r="F16" s="38">
        <v>5841.9247800000003</v>
      </c>
      <c r="G16" s="39">
        <v>2.0475859999999999E-2</v>
      </c>
      <c r="H16" s="34" t="s">
        <v>143</v>
      </c>
    </row>
    <row r="17" spans="1:8" ht="12" customHeight="1" x14ac:dyDescent="0.2">
      <c r="A17" s="35">
        <v>11</v>
      </c>
      <c r="B17" s="36" t="s">
        <v>219</v>
      </c>
      <c r="C17" s="36" t="s">
        <v>220</v>
      </c>
      <c r="D17" s="36" t="s">
        <v>221</v>
      </c>
      <c r="E17" s="37">
        <v>823984</v>
      </c>
      <c r="F17" s="38">
        <v>5782.7197120000001</v>
      </c>
      <c r="G17" s="39">
        <v>2.0268350000000001E-2</v>
      </c>
      <c r="H17" s="34" t="s">
        <v>143</v>
      </c>
    </row>
    <row r="18" spans="1:8" ht="12" customHeight="1" x14ac:dyDescent="0.2">
      <c r="A18" s="35">
        <v>12</v>
      </c>
      <c r="B18" s="36" t="s">
        <v>26</v>
      </c>
      <c r="C18" s="36" t="s">
        <v>27</v>
      </c>
      <c r="D18" s="36" t="s">
        <v>28</v>
      </c>
      <c r="E18" s="37">
        <v>1352539</v>
      </c>
      <c r="F18" s="38">
        <v>5700.9518850000004</v>
      </c>
      <c r="G18" s="39">
        <v>1.998175E-2</v>
      </c>
      <c r="H18" s="34" t="s">
        <v>143</v>
      </c>
    </row>
    <row r="19" spans="1:8" ht="12" customHeight="1" x14ac:dyDescent="0.2">
      <c r="A19" s="35">
        <v>13</v>
      </c>
      <c r="B19" s="36" t="s">
        <v>105</v>
      </c>
      <c r="C19" s="36" t="s">
        <v>106</v>
      </c>
      <c r="D19" s="36" t="s">
        <v>73</v>
      </c>
      <c r="E19" s="37">
        <v>147730</v>
      </c>
      <c r="F19" s="38">
        <v>5602.8079799999996</v>
      </c>
      <c r="G19" s="39">
        <v>1.9637760000000001E-2</v>
      </c>
      <c r="H19" s="34" t="s">
        <v>143</v>
      </c>
    </row>
    <row r="20" spans="1:8" ht="12" customHeight="1" x14ac:dyDescent="0.2">
      <c r="A20" s="35">
        <v>14</v>
      </c>
      <c r="B20" s="36" t="s">
        <v>53</v>
      </c>
      <c r="C20" s="36" t="s">
        <v>54</v>
      </c>
      <c r="D20" s="36" t="s">
        <v>55</v>
      </c>
      <c r="E20" s="37">
        <v>82128</v>
      </c>
      <c r="F20" s="38">
        <v>5559.6549599999998</v>
      </c>
      <c r="G20" s="39">
        <v>1.9486509999999999E-2</v>
      </c>
      <c r="H20" s="34" t="s">
        <v>143</v>
      </c>
    </row>
    <row r="21" spans="1:8" ht="12" customHeight="1" x14ac:dyDescent="0.2">
      <c r="A21" s="35">
        <v>15</v>
      </c>
      <c r="B21" s="36" t="s">
        <v>199</v>
      </c>
      <c r="C21" s="36" t="s">
        <v>200</v>
      </c>
      <c r="D21" s="36" t="s">
        <v>201</v>
      </c>
      <c r="E21" s="37">
        <v>283285</v>
      </c>
      <c r="F21" s="38">
        <v>5490.0632999999998</v>
      </c>
      <c r="G21" s="39">
        <v>1.924259E-2</v>
      </c>
      <c r="H21" s="34" t="s">
        <v>143</v>
      </c>
    </row>
    <row r="22" spans="1:8" ht="12" customHeight="1" x14ac:dyDescent="0.2">
      <c r="A22" s="35">
        <v>16</v>
      </c>
      <c r="B22" s="36" t="s">
        <v>48</v>
      </c>
      <c r="C22" s="36" t="s">
        <v>49</v>
      </c>
      <c r="D22" s="36" t="s">
        <v>25</v>
      </c>
      <c r="E22" s="37">
        <v>89197</v>
      </c>
      <c r="F22" s="38">
        <v>5485.6154999999999</v>
      </c>
      <c r="G22" s="39">
        <v>1.9227000000000001E-2</v>
      </c>
      <c r="H22" s="34" t="s">
        <v>143</v>
      </c>
    </row>
    <row r="23" spans="1:8" ht="12" customHeight="1" x14ac:dyDescent="0.2">
      <c r="A23" s="35">
        <v>17</v>
      </c>
      <c r="B23" s="36" t="s">
        <v>731</v>
      </c>
      <c r="C23" s="36" t="s">
        <v>732</v>
      </c>
      <c r="D23" s="36" t="s">
        <v>733</v>
      </c>
      <c r="E23" s="37">
        <v>1574823</v>
      </c>
      <c r="F23" s="38">
        <v>5451.2498145</v>
      </c>
      <c r="G23" s="39">
        <v>1.910655E-2</v>
      </c>
      <c r="H23" s="34" t="s">
        <v>143</v>
      </c>
    </row>
    <row r="24" spans="1:8" ht="12" customHeight="1" x14ac:dyDescent="0.2">
      <c r="A24" s="35">
        <v>18</v>
      </c>
      <c r="B24" s="36" t="s">
        <v>193</v>
      </c>
      <c r="C24" s="36" t="s">
        <v>194</v>
      </c>
      <c r="D24" s="36" t="s">
        <v>195</v>
      </c>
      <c r="E24" s="37">
        <v>652550</v>
      </c>
      <c r="F24" s="38">
        <v>5184.5097500000002</v>
      </c>
      <c r="G24" s="39">
        <v>1.8171630000000001E-2</v>
      </c>
      <c r="H24" s="34" t="s">
        <v>143</v>
      </c>
    </row>
    <row r="25" spans="1:8" ht="12" customHeight="1" x14ac:dyDescent="0.2">
      <c r="A25" s="35">
        <v>19</v>
      </c>
      <c r="B25" s="36" t="s">
        <v>202</v>
      </c>
      <c r="C25" s="36" t="s">
        <v>203</v>
      </c>
      <c r="D25" s="36" t="s">
        <v>16</v>
      </c>
      <c r="E25" s="37">
        <v>1161716</v>
      </c>
      <c r="F25" s="38">
        <v>5088.8969379999999</v>
      </c>
      <c r="G25" s="39">
        <v>1.783651E-2</v>
      </c>
      <c r="H25" s="34" t="s">
        <v>143</v>
      </c>
    </row>
    <row r="26" spans="1:8" ht="12" customHeight="1" x14ac:dyDescent="0.2">
      <c r="A26" s="35">
        <v>20</v>
      </c>
      <c r="B26" s="36" t="s">
        <v>207</v>
      </c>
      <c r="C26" s="36" t="s">
        <v>208</v>
      </c>
      <c r="D26" s="36" t="s">
        <v>209</v>
      </c>
      <c r="E26" s="37">
        <v>669089</v>
      </c>
      <c r="F26" s="38">
        <v>4833.1643915000004</v>
      </c>
      <c r="G26" s="39">
        <v>1.6940170000000001E-2</v>
      </c>
      <c r="H26" s="34" t="s">
        <v>143</v>
      </c>
    </row>
    <row r="27" spans="1:8" ht="12" customHeight="1" x14ac:dyDescent="0.2">
      <c r="A27" s="35">
        <v>21</v>
      </c>
      <c r="B27" s="36" t="s">
        <v>190</v>
      </c>
      <c r="C27" s="36" t="s">
        <v>191</v>
      </c>
      <c r="D27" s="36" t="s">
        <v>192</v>
      </c>
      <c r="E27" s="37">
        <v>1752491</v>
      </c>
      <c r="F27" s="38">
        <v>4730.8494545000003</v>
      </c>
      <c r="G27" s="39">
        <v>1.6581559999999999E-2</v>
      </c>
      <c r="H27" s="34" t="s">
        <v>143</v>
      </c>
    </row>
    <row r="28" spans="1:8" ht="12" customHeight="1" x14ac:dyDescent="0.2">
      <c r="A28" s="35">
        <v>22</v>
      </c>
      <c r="B28" s="36" t="s">
        <v>23</v>
      </c>
      <c r="C28" s="36" t="s">
        <v>24</v>
      </c>
      <c r="D28" s="36" t="s">
        <v>25</v>
      </c>
      <c r="E28" s="37">
        <v>38374</v>
      </c>
      <c r="F28" s="38">
        <v>4640.5678200000002</v>
      </c>
      <c r="G28" s="39">
        <v>1.6265120000000001E-2</v>
      </c>
      <c r="H28" s="34" t="s">
        <v>143</v>
      </c>
    </row>
    <row r="29" spans="1:8" ht="12" customHeight="1" x14ac:dyDescent="0.2">
      <c r="A29" s="35">
        <v>23</v>
      </c>
      <c r="B29" s="36" t="s">
        <v>229</v>
      </c>
      <c r="C29" s="36" t="s">
        <v>230</v>
      </c>
      <c r="D29" s="36" t="s">
        <v>192</v>
      </c>
      <c r="E29" s="37">
        <v>41908</v>
      </c>
      <c r="F29" s="38">
        <v>4591.0213999999996</v>
      </c>
      <c r="G29" s="39">
        <v>1.6091459999999998E-2</v>
      </c>
      <c r="H29" s="34" t="s">
        <v>143</v>
      </c>
    </row>
    <row r="30" spans="1:8" ht="12" customHeight="1" x14ac:dyDescent="0.2">
      <c r="A30" s="35">
        <v>24</v>
      </c>
      <c r="B30" s="36" t="s">
        <v>429</v>
      </c>
      <c r="C30" s="36" t="s">
        <v>430</v>
      </c>
      <c r="D30" s="36" t="s">
        <v>198</v>
      </c>
      <c r="E30" s="37">
        <v>260931</v>
      </c>
      <c r="F30" s="38">
        <v>4510.4532660000004</v>
      </c>
      <c r="G30" s="39">
        <v>1.5809070000000001E-2</v>
      </c>
      <c r="H30" s="34" t="s">
        <v>143</v>
      </c>
    </row>
    <row r="31" spans="1:8" ht="12" customHeight="1" x14ac:dyDescent="0.2">
      <c r="A31" s="35">
        <v>25</v>
      </c>
      <c r="B31" s="36" t="s">
        <v>39</v>
      </c>
      <c r="C31" s="36" t="s">
        <v>40</v>
      </c>
      <c r="D31" s="36" t="s">
        <v>22</v>
      </c>
      <c r="E31" s="37">
        <v>1094203</v>
      </c>
      <c r="F31" s="38">
        <v>4436.4460634999996</v>
      </c>
      <c r="G31" s="39">
        <v>1.554968E-2</v>
      </c>
      <c r="H31" s="34" t="s">
        <v>143</v>
      </c>
    </row>
    <row r="32" spans="1:8" ht="12" customHeight="1" x14ac:dyDescent="0.2">
      <c r="A32" s="35">
        <v>26</v>
      </c>
      <c r="B32" s="36" t="s">
        <v>74</v>
      </c>
      <c r="C32" s="36" t="s">
        <v>75</v>
      </c>
      <c r="D32" s="36" t="s">
        <v>43</v>
      </c>
      <c r="E32" s="37">
        <v>77347</v>
      </c>
      <c r="F32" s="38">
        <v>4308.6146349999999</v>
      </c>
      <c r="G32" s="39">
        <v>1.510163E-2</v>
      </c>
      <c r="H32" s="34" t="s">
        <v>143</v>
      </c>
    </row>
    <row r="33" spans="1:8" ht="12" customHeight="1" x14ac:dyDescent="0.2">
      <c r="A33" s="35">
        <v>27</v>
      </c>
      <c r="B33" s="36" t="s">
        <v>665</v>
      </c>
      <c r="C33" s="36" t="s">
        <v>666</v>
      </c>
      <c r="D33" s="36" t="s">
        <v>667</v>
      </c>
      <c r="E33" s="37">
        <v>1097168</v>
      </c>
      <c r="F33" s="38">
        <v>4300.3499760000004</v>
      </c>
      <c r="G33" s="39">
        <v>1.507266E-2</v>
      </c>
      <c r="H33" s="34" t="s">
        <v>143</v>
      </c>
    </row>
    <row r="34" spans="1:8" ht="12" customHeight="1" x14ac:dyDescent="0.2">
      <c r="A34" s="35">
        <v>28</v>
      </c>
      <c r="B34" s="36" t="s">
        <v>307</v>
      </c>
      <c r="C34" s="36" t="s">
        <v>308</v>
      </c>
      <c r="D34" s="36" t="s">
        <v>73</v>
      </c>
      <c r="E34" s="37">
        <v>88054</v>
      </c>
      <c r="F34" s="38">
        <v>4240.5045319999999</v>
      </c>
      <c r="G34" s="39">
        <v>1.486291E-2</v>
      </c>
      <c r="H34" s="34" t="s">
        <v>143</v>
      </c>
    </row>
    <row r="35" spans="1:8" ht="12" customHeight="1" x14ac:dyDescent="0.2">
      <c r="A35" s="35">
        <v>29</v>
      </c>
      <c r="B35" s="36" t="s">
        <v>46</v>
      </c>
      <c r="C35" s="36" t="s">
        <v>47</v>
      </c>
      <c r="D35" s="36" t="s">
        <v>33</v>
      </c>
      <c r="E35" s="37">
        <v>501750</v>
      </c>
      <c r="F35" s="38">
        <v>4116.1061250000002</v>
      </c>
      <c r="G35" s="39">
        <v>1.442689E-2</v>
      </c>
      <c r="H35" s="34" t="s">
        <v>143</v>
      </c>
    </row>
    <row r="36" spans="1:8" ht="12" customHeight="1" x14ac:dyDescent="0.2">
      <c r="A36" s="35">
        <v>30</v>
      </c>
      <c r="B36" s="36" t="s">
        <v>338</v>
      </c>
      <c r="C36" s="36" t="s">
        <v>339</v>
      </c>
      <c r="D36" s="36" t="s">
        <v>251</v>
      </c>
      <c r="E36" s="37">
        <v>122084</v>
      </c>
      <c r="F36" s="38">
        <v>3886.1778880000002</v>
      </c>
      <c r="G36" s="39">
        <v>1.3620999999999999E-2</v>
      </c>
      <c r="H36" s="34" t="s">
        <v>143</v>
      </c>
    </row>
    <row r="37" spans="1:8" ht="12" customHeight="1" x14ac:dyDescent="0.2">
      <c r="A37" s="35">
        <v>31</v>
      </c>
      <c r="B37" s="36" t="s">
        <v>231</v>
      </c>
      <c r="C37" s="36" t="s">
        <v>232</v>
      </c>
      <c r="D37" s="36" t="s">
        <v>221</v>
      </c>
      <c r="E37" s="37">
        <v>416636</v>
      </c>
      <c r="F37" s="38">
        <v>3839.5090580000001</v>
      </c>
      <c r="G37" s="39">
        <v>1.3457419999999999E-2</v>
      </c>
      <c r="H37" s="34" t="s">
        <v>143</v>
      </c>
    </row>
    <row r="38" spans="1:8" ht="12" customHeight="1" x14ac:dyDescent="0.2">
      <c r="A38" s="35">
        <v>32</v>
      </c>
      <c r="B38" s="36" t="s">
        <v>384</v>
      </c>
      <c r="C38" s="36" t="s">
        <v>385</v>
      </c>
      <c r="D38" s="36" t="s">
        <v>201</v>
      </c>
      <c r="E38" s="37">
        <v>226901</v>
      </c>
      <c r="F38" s="38">
        <v>3810.348493</v>
      </c>
      <c r="G38" s="39">
        <v>1.3355219999999999E-2</v>
      </c>
      <c r="H38" s="34" t="s">
        <v>143</v>
      </c>
    </row>
    <row r="39" spans="1:8" ht="12" customHeight="1" x14ac:dyDescent="0.2">
      <c r="A39" s="35">
        <v>33</v>
      </c>
      <c r="B39" s="36" t="s">
        <v>97</v>
      </c>
      <c r="C39" s="36" t="s">
        <v>98</v>
      </c>
      <c r="D39" s="36" t="s">
        <v>73</v>
      </c>
      <c r="E39" s="37">
        <v>108339</v>
      </c>
      <c r="F39" s="38">
        <v>3682.8759660000001</v>
      </c>
      <c r="G39" s="39">
        <v>1.290843E-2</v>
      </c>
      <c r="H39" s="34" t="s">
        <v>143</v>
      </c>
    </row>
    <row r="40" spans="1:8" ht="12" customHeight="1" x14ac:dyDescent="0.2">
      <c r="A40" s="35">
        <v>34</v>
      </c>
      <c r="B40" s="36" t="s">
        <v>515</v>
      </c>
      <c r="C40" s="36" t="s">
        <v>516</v>
      </c>
      <c r="D40" s="36" t="s">
        <v>43</v>
      </c>
      <c r="E40" s="37">
        <v>378475</v>
      </c>
      <c r="F40" s="38">
        <v>3651.1483250000001</v>
      </c>
      <c r="G40" s="39">
        <v>1.279722E-2</v>
      </c>
      <c r="H40" s="34" t="s">
        <v>143</v>
      </c>
    </row>
    <row r="41" spans="1:8" ht="12" customHeight="1" x14ac:dyDescent="0.2">
      <c r="A41" s="35">
        <v>35</v>
      </c>
      <c r="B41" s="36" t="s">
        <v>728</v>
      </c>
      <c r="C41" s="36" t="s">
        <v>729</v>
      </c>
      <c r="D41" s="36" t="s">
        <v>55</v>
      </c>
      <c r="E41" s="37">
        <v>218760</v>
      </c>
      <c r="F41" s="38">
        <v>3578.03856</v>
      </c>
      <c r="G41" s="39">
        <v>1.254097E-2</v>
      </c>
      <c r="H41" s="34" t="s">
        <v>143</v>
      </c>
    </row>
    <row r="42" spans="1:8" ht="12" customHeight="1" x14ac:dyDescent="0.2">
      <c r="A42" s="35">
        <v>36</v>
      </c>
      <c r="B42" s="36" t="s">
        <v>466</v>
      </c>
      <c r="C42" s="36" t="s">
        <v>467</v>
      </c>
      <c r="D42" s="36" t="s">
        <v>33</v>
      </c>
      <c r="E42" s="37">
        <v>2431654</v>
      </c>
      <c r="F42" s="38">
        <v>3530.7616079999998</v>
      </c>
      <c r="G42" s="39">
        <v>1.2375270000000001E-2</v>
      </c>
      <c r="H42" s="34" t="s">
        <v>143</v>
      </c>
    </row>
    <row r="43" spans="1:8" ht="12" customHeight="1" x14ac:dyDescent="0.2">
      <c r="A43" s="35">
        <v>37</v>
      </c>
      <c r="B43" s="36" t="s">
        <v>59</v>
      </c>
      <c r="C43" s="36" t="s">
        <v>60</v>
      </c>
      <c r="D43" s="36" t="s">
        <v>61</v>
      </c>
      <c r="E43" s="37">
        <v>315195</v>
      </c>
      <c r="F43" s="38">
        <v>3498.0341100000001</v>
      </c>
      <c r="G43" s="39">
        <v>1.226056E-2</v>
      </c>
      <c r="H43" s="34" t="s">
        <v>143</v>
      </c>
    </row>
    <row r="44" spans="1:8" ht="12" customHeight="1" x14ac:dyDescent="0.2">
      <c r="A44" s="35">
        <v>38</v>
      </c>
      <c r="B44" s="36" t="s">
        <v>481</v>
      </c>
      <c r="C44" s="36" t="s">
        <v>482</v>
      </c>
      <c r="D44" s="36" t="s">
        <v>119</v>
      </c>
      <c r="E44" s="37">
        <v>220369</v>
      </c>
      <c r="F44" s="38">
        <v>3432.6879130000002</v>
      </c>
      <c r="G44" s="39">
        <v>1.203152E-2</v>
      </c>
      <c r="H44" s="34" t="s">
        <v>143</v>
      </c>
    </row>
    <row r="45" spans="1:8" ht="12" customHeight="1" x14ac:dyDescent="0.2">
      <c r="A45" s="35">
        <v>39</v>
      </c>
      <c r="B45" s="36" t="s">
        <v>237</v>
      </c>
      <c r="C45" s="36" t="s">
        <v>238</v>
      </c>
      <c r="D45" s="36" t="s">
        <v>192</v>
      </c>
      <c r="E45" s="37">
        <v>554507</v>
      </c>
      <c r="F45" s="38">
        <v>3431.5665694999998</v>
      </c>
      <c r="G45" s="39">
        <v>1.2027589999999999E-2</v>
      </c>
      <c r="H45" s="34" t="s">
        <v>143</v>
      </c>
    </row>
    <row r="46" spans="1:8" ht="12" customHeight="1" x14ac:dyDescent="0.2">
      <c r="A46" s="35">
        <v>40</v>
      </c>
      <c r="B46" s="36" t="s">
        <v>113</v>
      </c>
      <c r="C46" s="36" t="s">
        <v>114</v>
      </c>
      <c r="D46" s="36" t="s">
        <v>73</v>
      </c>
      <c r="E46" s="37">
        <v>396735</v>
      </c>
      <c r="F46" s="38">
        <v>3376.4132175</v>
      </c>
      <c r="G46" s="39">
        <v>1.1834280000000001E-2</v>
      </c>
      <c r="H46" s="34" t="s">
        <v>143</v>
      </c>
    </row>
    <row r="47" spans="1:8" ht="12" customHeight="1" x14ac:dyDescent="0.2">
      <c r="A47" s="35">
        <v>41</v>
      </c>
      <c r="B47" s="36" t="s">
        <v>457</v>
      </c>
      <c r="C47" s="36" t="s">
        <v>458</v>
      </c>
      <c r="D47" s="36" t="s">
        <v>459</v>
      </c>
      <c r="E47" s="37">
        <v>291720</v>
      </c>
      <c r="F47" s="38">
        <v>3238.0920000000001</v>
      </c>
      <c r="G47" s="39">
        <v>1.134947E-2</v>
      </c>
      <c r="H47" s="34" t="s">
        <v>143</v>
      </c>
    </row>
    <row r="48" spans="1:8" ht="12" customHeight="1" x14ac:dyDescent="0.2">
      <c r="A48" s="35">
        <v>42</v>
      </c>
      <c r="B48" s="36" t="s">
        <v>273</v>
      </c>
      <c r="C48" s="36" t="s">
        <v>274</v>
      </c>
      <c r="D48" s="36" t="s">
        <v>221</v>
      </c>
      <c r="E48" s="37">
        <v>1902074</v>
      </c>
      <c r="F48" s="38">
        <v>3191.1095498</v>
      </c>
      <c r="G48" s="39">
        <v>1.118479E-2</v>
      </c>
      <c r="H48" s="34" t="s">
        <v>143</v>
      </c>
    </row>
    <row r="49" spans="1:8" ht="12" customHeight="1" x14ac:dyDescent="0.2">
      <c r="A49" s="35">
        <v>43</v>
      </c>
      <c r="B49" s="36" t="s">
        <v>111</v>
      </c>
      <c r="C49" s="36" t="s">
        <v>112</v>
      </c>
      <c r="D49" s="36" t="s">
        <v>73</v>
      </c>
      <c r="E49" s="37">
        <v>182448</v>
      </c>
      <c r="F49" s="38">
        <v>3172.953168</v>
      </c>
      <c r="G49" s="39">
        <v>1.112115E-2</v>
      </c>
      <c r="H49" s="34" t="s">
        <v>143</v>
      </c>
    </row>
    <row r="50" spans="1:8" ht="12" customHeight="1" x14ac:dyDescent="0.2">
      <c r="A50" s="35">
        <v>44</v>
      </c>
      <c r="B50" s="36" t="s">
        <v>734</v>
      </c>
      <c r="C50" s="36" t="s">
        <v>735</v>
      </c>
      <c r="D50" s="36" t="s">
        <v>195</v>
      </c>
      <c r="E50" s="37">
        <v>174800</v>
      </c>
      <c r="F50" s="38">
        <v>2982.4376000000002</v>
      </c>
      <c r="G50" s="39">
        <v>1.04534E-2</v>
      </c>
      <c r="H50" s="34" t="s">
        <v>143</v>
      </c>
    </row>
    <row r="51" spans="1:8" ht="12" customHeight="1" x14ac:dyDescent="0.2">
      <c r="A51" s="35">
        <v>45</v>
      </c>
      <c r="B51" s="36" t="s">
        <v>188</v>
      </c>
      <c r="C51" s="36" t="s">
        <v>189</v>
      </c>
      <c r="D51" s="36" t="s">
        <v>55</v>
      </c>
      <c r="E51" s="37">
        <v>528822</v>
      </c>
      <c r="F51" s="38">
        <v>2939.4570869999998</v>
      </c>
      <c r="G51" s="39">
        <v>1.0302749999999999E-2</v>
      </c>
      <c r="H51" s="34" t="s">
        <v>143</v>
      </c>
    </row>
    <row r="52" spans="1:8" ht="12" customHeight="1" x14ac:dyDescent="0.2">
      <c r="A52" s="35">
        <v>46</v>
      </c>
      <c r="B52" s="36" t="s">
        <v>224</v>
      </c>
      <c r="C52" s="36" t="s">
        <v>225</v>
      </c>
      <c r="D52" s="36" t="s">
        <v>226</v>
      </c>
      <c r="E52" s="37">
        <v>150641</v>
      </c>
      <c r="F52" s="38">
        <v>2939.156551</v>
      </c>
      <c r="G52" s="39">
        <v>1.03017E-2</v>
      </c>
      <c r="H52" s="34" t="s">
        <v>143</v>
      </c>
    </row>
    <row r="53" spans="1:8" ht="12" customHeight="1" x14ac:dyDescent="0.2">
      <c r="A53" s="35">
        <v>47</v>
      </c>
      <c r="B53" s="36" t="s">
        <v>487</v>
      </c>
      <c r="C53" s="36" t="s">
        <v>488</v>
      </c>
      <c r="D53" s="36" t="s">
        <v>55</v>
      </c>
      <c r="E53" s="37">
        <v>1293447</v>
      </c>
      <c r="F53" s="38">
        <v>2898.0973481999999</v>
      </c>
      <c r="G53" s="39">
        <v>1.015779E-2</v>
      </c>
      <c r="H53" s="34" t="s">
        <v>143</v>
      </c>
    </row>
    <row r="54" spans="1:8" ht="12" customHeight="1" x14ac:dyDescent="0.2">
      <c r="A54" s="35">
        <v>48</v>
      </c>
      <c r="B54" s="36" t="s">
        <v>676</v>
      </c>
      <c r="C54" s="36" t="s">
        <v>677</v>
      </c>
      <c r="D54" s="36" t="s">
        <v>198</v>
      </c>
      <c r="E54" s="37">
        <v>99024</v>
      </c>
      <c r="F54" s="38">
        <v>2817.6288960000002</v>
      </c>
      <c r="G54" s="39">
        <v>9.8757500000000008E-3</v>
      </c>
      <c r="H54" s="34" t="s">
        <v>143</v>
      </c>
    </row>
    <row r="55" spans="1:8" ht="12" customHeight="1" x14ac:dyDescent="0.2">
      <c r="A55" s="35">
        <v>49</v>
      </c>
      <c r="B55" s="36" t="s">
        <v>395</v>
      </c>
      <c r="C55" s="36" t="s">
        <v>396</v>
      </c>
      <c r="D55" s="36" t="s">
        <v>198</v>
      </c>
      <c r="E55" s="37">
        <v>585264</v>
      </c>
      <c r="F55" s="38">
        <v>2677.5828000000001</v>
      </c>
      <c r="G55" s="39">
        <v>9.3848899999999999E-3</v>
      </c>
      <c r="H55" s="34" t="s">
        <v>143</v>
      </c>
    </row>
    <row r="56" spans="1:8" ht="12" customHeight="1" x14ac:dyDescent="0.2">
      <c r="A56" s="35">
        <v>50</v>
      </c>
      <c r="B56" s="36" t="s">
        <v>444</v>
      </c>
      <c r="C56" s="36" t="s">
        <v>445</v>
      </c>
      <c r="D56" s="36" t="s">
        <v>354</v>
      </c>
      <c r="E56" s="37">
        <v>113230</v>
      </c>
      <c r="F56" s="38">
        <v>2598.1755800000001</v>
      </c>
      <c r="G56" s="39">
        <v>9.1065699999999996E-3</v>
      </c>
      <c r="H56" s="34" t="s">
        <v>143</v>
      </c>
    </row>
    <row r="57" spans="1:8" ht="12" customHeight="1" x14ac:dyDescent="0.2">
      <c r="A57" s="35">
        <v>51</v>
      </c>
      <c r="B57" s="36" t="s">
        <v>283</v>
      </c>
      <c r="C57" s="36" t="s">
        <v>284</v>
      </c>
      <c r="D57" s="36" t="s">
        <v>185</v>
      </c>
      <c r="E57" s="37">
        <v>62427</v>
      </c>
      <c r="F57" s="38">
        <v>2562.441069</v>
      </c>
      <c r="G57" s="39">
        <v>8.9813199999999992E-3</v>
      </c>
      <c r="H57" s="34" t="s">
        <v>143</v>
      </c>
    </row>
    <row r="58" spans="1:8" ht="12" customHeight="1" x14ac:dyDescent="0.2">
      <c r="A58" s="35">
        <v>52</v>
      </c>
      <c r="B58" s="36" t="s">
        <v>736</v>
      </c>
      <c r="C58" s="36" t="s">
        <v>737</v>
      </c>
      <c r="D58" s="36" t="s">
        <v>55</v>
      </c>
      <c r="E58" s="37">
        <v>224277</v>
      </c>
      <c r="F58" s="38">
        <v>2424.4343699999999</v>
      </c>
      <c r="G58" s="39">
        <v>8.4976099999999992E-3</v>
      </c>
      <c r="H58" s="34" t="s">
        <v>143</v>
      </c>
    </row>
    <row r="59" spans="1:8" ht="12" customHeight="1" x14ac:dyDescent="0.2">
      <c r="A59" s="35">
        <v>53</v>
      </c>
      <c r="B59" s="36" t="s">
        <v>212</v>
      </c>
      <c r="C59" s="36" t="s">
        <v>213</v>
      </c>
      <c r="D59" s="36" t="s">
        <v>198</v>
      </c>
      <c r="E59" s="37">
        <v>125550</v>
      </c>
      <c r="F59" s="38">
        <v>2416.20975</v>
      </c>
      <c r="G59" s="39">
        <v>8.4687800000000004E-3</v>
      </c>
      <c r="H59" s="34" t="s">
        <v>143</v>
      </c>
    </row>
    <row r="60" spans="1:8" ht="12" customHeight="1" x14ac:dyDescent="0.2">
      <c r="A60" s="35">
        <v>54</v>
      </c>
      <c r="B60" s="36" t="s">
        <v>130</v>
      </c>
      <c r="C60" s="36" t="s">
        <v>131</v>
      </c>
      <c r="D60" s="36" t="s">
        <v>36</v>
      </c>
      <c r="E60" s="37">
        <v>72518</v>
      </c>
      <c r="F60" s="38">
        <v>2158.0631619999999</v>
      </c>
      <c r="G60" s="39">
        <v>7.5639799999999997E-3</v>
      </c>
      <c r="H60" s="34" t="s">
        <v>143</v>
      </c>
    </row>
    <row r="61" spans="1:8" ht="12" customHeight="1" x14ac:dyDescent="0.2">
      <c r="A61" s="35">
        <v>55</v>
      </c>
      <c r="B61" s="36" t="s">
        <v>472</v>
      </c>
      <c r="C61" s="36" t="s">
        <v>473</v>
      </c>
      <c r="D61" s="36" t="s">
        <v>474</v>
      </c>
      <c r="E61" s="37">
        <v>332303</v>
      </c>
      <c r="F61" s="38">
        <v>1805.069896</v>
      </c>
      <c r="G61" s="39">
        <v>6.32674E-3</v>
      </c>
      <c r="H61" s="34" t="s">
        <v>143</v>
      </c>
    </row>
    <row r="62" spans="1:8" ht="12" customHeight="1" x14ac:dyDescent="0.2">
      <c r="A62" s="35">
        <v>56</v>
      </c>
      <c r="B62" s="36" t="s">
        <v>738</v>
      </c>
      <c r="C62" s="36" t="s">
        <v>739</v>
      </c>
      <c r="D62" s="36" t="s">
        <v>73</v>
      </c>
      <c r="E62" s="37">
        <v>649673</v>
      </c>
      <c r="F62" s="38">
        <v>1416.4820419</v>
      </c>
      <c r="G62" s="39">
        <v>4.9647500000000004E-3</v>
      </c>
      <c r="H62" s="34" t="s">
        <v>143</v>
      </c>
    </row>
    <row r="63" spans="1:8" ht="12" customHeight="1" x14ac:dyDescent="0.2">
      <c r="A63" s="35">
        <v>57</v>
      </c>
      <c r="B63" s="36" t="s">
        <v>299</v>
      </c>
      <c r="C63" s="36" t="s">
        <v>300</v>
      </c>
      <c r="D63" s="36" t="s">
        <v>206</v>
      </c>
      <c r="E63" s="37">
        <v>106579</v>
      </c>
      <c r="F63" s="38">
        <v>1273.086155</v>
      </c>
      <c r="G63" s="39">
        <v>4.4621499999999998E-3</v>
      </c>
      <c r="H63" s="34" t="s">
        <v>143</v>
      </c>
    </row>
    <row r="64" spans="1:8" ht="12" customHeight="1" x14ac:dyDescent="0.2">
      <c r="A64" s="35">
        <v>58</v>
      </c>
      <c r="B64" s="36" t="s">
        <v>214</v>
      </c>
      <c r="C64" s="36" t="s">
        <v>215</v>
      </c>
      <c r="D64" s="36" t="s">
        <v>216</v>
      </c>
      <c r="E64" s="37">
        <v>62771</v>
      </c>
      <c r="F64" s="38">
        <v>1144.880269</v>
      </c>
      <c r="G64" s="39">
        <v>4.0127899999999996E-3</v>
      </c>
      <c r="H64" s="34" t="s">
        <v>143</v>
      </c>
    </row>
    <row r="65" spans="1:8" ht="12" customHeight="1" x14ac:dyDescent="0.2">
      <c r="A65" s="35">
        <v>59</v>
      </c>
      <c r="B65" s="36" t="s">
        <v>99</v>
      </c>
      <c r="C65" s="36" t="s">
        <v>100</v>
      </c>
      <c r="D65" s="36" t="s">
        <v>43</v>
      </c>
      <c r="E65" s="37">
        <v>22462</v>
      </c>
      <c r="F65" s="38">
        <v>909.10452599999996</v>
      </c>
      <c r="G65" s="39">
        <v>3.1863999999999998E-3</v>
      </c>
      <c r="H65" s="34" t="s">
        <v>143</v>
      </c>
    </row>
    <row r="66" spans="1:8" ht="12" customHeight="1" x14ac:dyDescent="0.2">
      <c r="A66" s="35">
        <v>60</v>
      </c>
      <c r="B66" s="36" t="s">
        <v>309</v>
      </c>
      <c r="C66" s="36" t="s">
        <v>310</v>
      </c>
      <c r="D66" s="36" t="s">
        <v>206</v>
      </c>
      <c r="E66" s="37">
        <v>20557</v>
      </c>
      <c r="F66" s="38">
        <v>881.93641400000001</v>
      </c>
      <c r="G66" s="39">
        <v>3.0911699999999999E-3</v>
      </c>
      <c r="H66" s="34" t="s">
        <v>143</v>
      </c>
    </row>
    <row r="67" spans="1:8" ht="12" customHeight="1" x14ac:dyDescent="0.2">
      <c r="A67" s="35">
        <v>61</v>
      </c>
      <c r="B67" s="36" t="s">
        <v>50</v>
      </c>
      <c r="C67" s="36" t="s">
        <v>51</v>
      </c>
      <c r="D67" s="36" t="s">
        <v>52</v>
      </c>
      <c r="E67" s="37">
        <v>10490</v>
      </c>
      <c r="F67" s="38">
        <v>626.93484999999998</v>
      </c>
      <c r="G67" s="39">
        <v>2.1974E-3</v>
      </c>
      <c r="H67" s="34" t="s">
        <v>143</v>
      </c>
    </row>
    <row r="68" spans="1:8" ht="12" customHeight="1" x14ac:dyDescent="0.2">
      <c r="A68" s="35">
        <v>62</v>
      </c>
      <c r="B68" s="36" t="s">
        <v>204</v>
      </c>
      <c r="C68" s="36" t="s">
        <v>205</v>
      </c>
      <c r="D68" s="36" t="s">
        <v>206</v>
      </c>
      <c r="E68" s="37">
        <v>10567</v>
      </c>
      <c r="F68" s="38">
        <v>292.71646700000002</v>
      </c>
      <c r="G68" s="39">
        <v>1.02597E-3</v>
      </c>
      <c r="H68" s="34" t="s">
        <v>143</v>
      </c>
    </row>
    <row r="69" spans="1:8" ht="12" customHeight="1" x14ac:dyDescent="0.2">
      <c r="A69" s="41"/>
      <c r="B69" s="41"/>
      <c r="C69" s="42" t="s">
        <v>142</v>
      </c>
      <c r="D69" s="41"/>
      <c r="E69" s="41" t="s">
        <v>143</v>
      </c>
      <c r="F69" s="43">
        <f>SUM(F7:F68)</f>
        <v>279075.30331239995</v>
      </c>
      <c r="G69" s="44">
        <f>SUM(G7:G68)</f>
        <v>0.97815483999999997</v>
      </c>
      <c r="H69" s="34" t="s">
        <v>143</v>
      </c>
    </row>
    <row r="70" spans="1:8" ht="12" customHeight="1" x14ac:dyDescent="0.2">
      <c r="A70" s="41"/>
      <c r="B70" s="41"/>
      <c r="C70" s="45"/>
      <c r="D70" s="41"/>
      <c r="E70" s="41"/>
      <c r="F70" s="46"/>
      <c r="G70" s="46"/>
      <c r="H70" s="34" t="s">
        <v>143</v>
      </c>
    </row>
    <row r="71" spans="1:8" ht="12" customHeight="1" x14ac:dyDescent="0.2">
      <c r="A71" s="41"/>
      <c r="B71" s="41"/>
      <c r="C71" s="42" t="s">
        <v>144</v>
      </c>
      <c r="D71" s="41"/>
      <c r="E71" s="41"/>
      <c r="F71" s="41"/>
      <c r="G71" s="41"/>
      <c r="H71" s="34" t="s">
        <v>143</v>
      </c>
    </row>
    <row r="72" spans="1:8" ht="12" customHeight="1" x14ac:dyDescent="0.2">
      <c r="A72" s="41"/>
      <c r="B72" s="41"/>
      <c r="C72" s="42" t="s">
        <v>142</v>
      </c>
      <c r="D72" s="41"/>
      <c r="E72" s="41" t="s">
        <v>143</v>
      </c>
      <c r="F72" s="47" t="s">
        <v>145</v>
      </c>
      <c r="G72" s="44">
        <v>0</v>
      </c>
      <c r="H72" s="34" t="s">
        <v>143</v>
      </c>
    </row>
    <row r="73" spans="1:8" ht="12" customHeight="1" x14ac:dyDescent="0.2">
      <c r="A73" s="41"/>
      <c r="B73" s="41"/>
      <c r="C73" s="45"/>
      <c r="D73" s="41"/>
      <c r="E73" s="41"/>
      <c r="F73" s="46"/>
      <c r="G73" s="46"/>
      <c r="H73" s="34" t="s">
        <v>143</v>
      </c>
    </row>
    <row r="74" spans="1:8" ht="12" customHeight="1" x14ac:dyDescent="0.2">
      <c r="A74" s="41"/>
      <c r="B74" s="41"/>
      <c r="C74" s="42" t="s">
        <v>146</v>
      </c>
      <c r="D74" s="41"/>
      <c r="E74" s="41"/>
      <c r="F74" s="41"/>
      <c r="G74" s="41"/>
      <c r="H74" s="34" t="s">
        <v>143</v>
      </c>
    </row>
    <row r="75" spans="1:8" ht="12" customHeight="1" x14ac:dyDescent="0.2">
      <c r="A75" s="35">
        <v>1</v>
      </c>
      <c r="B75" s="36" t="s">
        <v>529</v>
      </c>
      <c r="C75" s="50" t="s">
        <v>950</v>
      </c>
      <c r="D75" s="36" t="s">
        <v>221</v>
      </c>
      <c r="E75" s="37">
        <v>511578</v>
      </c>
      <c r="F75" s="38">
        <v>83.796476400000003</v>
      </c>
      <c r="G75" s="39">
        <v>2.9370999999999998E-4</v>
      </c>
      <c r="H75" s="34" t="s">
        <v>143</v>
      </c>
    </row>
    <row r="76" spans="1:8" ht="12" customHeight="1" x14ac:dyDescent="0.2">
      <c r="A76" s="35">
        <v>2</v>
      </c>
      <c r="B76" s="36" t="s">
        <v>740</v>
      </c>
      <c r="C76" s="50" t="s">
        <v>1031</v>
      </c>
      <c r="D76" s="36" t="s">
        <v>206</v>
      </c>
      <c r="E76" s="37">
        <v>39500</v>
      </c>
      <c r="F76" s="38">
        <v>22.712499999999999</v>
      </c>
      <c r="G76" s="39">
        <v>7.9610000000000005E-5</v>
      </c>
      <c r="H76" s="34" t="s">
        <v>143</v>
      </c>
    </row>
    <row r="77" spans="1:8" ht="12" customHeight="1" x14ac:dyDescent="0.2">
      <c r="A77" s="35">
        <v>3</v>
      </c>
      <c r="B77" s="36" t="s">
        <v>742</v>
      </c>
      <c r="C77" s="50" t="s">
        <v>1032</v>
      </c>
      <c r="D77" s="36"/>
      <c r="E77" s="37">
        <v>54000</v>
      </c>
      <c r="F77" s="38">
        <v>5.4000000000000002E-7</v>
      </c>
      <c r="G77" s="48" t="s">
        <v>141</v>
      </c>
      <c r="H77" s="34" t="s">
        <v>143</v>
      </c>
    </row>
    <row r="78" spans="1:8" ht="12" customHeight="1" x14ac:dyDescent="0.2">
      <c r="A78" s="35">
        <v>4</v>
      </c>
      <c r="B78" s="36" t="s">
        <v>748</v>
      </c>
      <c r="C78" s="50" t="s">
        <v>1033</v>
      </c>
      <c r="D78" s="36"/>
      <c r="E78" s="37">
        <v>200</v>
      </c>
      <c r="F78" s="38">
        <v>2.0000000000000001E-9</v>
      </c>
      <c r="G78" s="48" t="s">
        <v>141</v>
      </c>
      <c r="H78" s="34" t="s">
        <v>143</v>
      </c>
    </row>
    <row r="79" spans="1:8" ht="12" customHeight="1" x14ac:dyDescent="0.2">
      <c r="A79" s="35">
        <v>5</v>
      </c>
      <c r="B79" s="36" t="s">
        <v>741</v>
      </c>
      <c r="C79" s="50" t="s">
        <v>1034</v>
      </c>
      <c r="D79" s="36"/>
      <c r="E79" s="37">
        <v>176305</v>
      </c>
      <c r="F79" s="38">
        <v>1.7630000000000001E-6</v>
      </c>
      <c r="G79" s="48" t="s">
        <v>141</v>
      </c>
      <c r="H79" s="34" t="s">
        <v>143</v>
      </c>
    </row>
    <row r="80" spans="1:8" ht="12" customHeight="1" x14ac:dyDescent="0.2">
      <c r="A80" s="35">
        <v>6</v>
      </c>
      <c r="B80" s="36" t="s">
        <v>747</v>
      </c>
      <c r="C80" s="50" t="s">
        <v>1035</v>
      </c>
      <c r="D80" s="36"/>
      <c r="E80" s="37">
        <v>93200</v>
      </c>
      <c r="F80" s="38">
        <v>9.3200000000000003E-7</v>
      </c>
      <c r="G80" s="48" t="s">
        <v>141</v>
      </c>
      <c r="H80" s="34" t="s">
        <v>143</v>
      </c>
    </row>
    <row r="81" spans="1:8" ht="12" customHeight="1" x14ac:dyDescent="0.2">
      <c r="A81" s="35">
        <v>7</v>
      </c>
      <c r="B81" s="36" t="s">
        <v>745</v>
      </c>
      <c r="C81" s="50" t="s">
        <v>1036</v>
      </c>
      <c r="D81" s="36" t="s">
        <v>746</v>
      </c>
      <c r="E81" s="37">
        <v>200000</v>
      </c>
      <c r="F81" s="38">
        <v>1.9999999999999999E-6</v>
      </c>
      <c r="G81" s="48" t="s">
        <v>141</v>
      </c>
      <c r="H81" s="34" t="s">
        <v>143</v>
      </c>
    </row>
    <row r="82" spans="1:8" ht="12" customHeight="1" x14ac:dyDescent="0.2">
      <c r="A82" s="35">
        <v>8</v>
      </c>
      <c r="B82" s="36" t="s">
        <v>743</v>
      </c>
      <c r="C82" s="50" t="s">
        <v>1037</v>
      </c>
      <c r="D82" s="36" t="s">
        <v>744</v>
      </c>
      <c r="E82" s="37">
        <v>50800</v>
      </c>
      <c r="F82" s="38">
        <v>5.0800000000000005E-7</v>
      </c>
      <c r="G82" s="48" t="s">
        <v>141</v>
      </c>
      <c r="H82" s="34" t="s">
        <v>143</v>
      </c>
    </row>
    <row r="83" spans="1:8" ht="12" customHeight="1" x14ac:dyDescent="0.2">
      <c r="A83" s="41"/>
      <c r="B83" s="41"/>
      <c r="C83" s="42" t="s">
        <v>142</v>
      </c>
      <c r="D83" s="41"/>
      <c r="E83" s="41" t="s">
        <v>143</v>
      </c>
      <c r="F83" s="43">
        <f>SUM(F75:F82)</f>
        <v>106.50898214499999</v>
      </c>
      <c r="G83" s="44">
        <f>SUM(G75:G82)</f>
        <v>3.7332000000000001E-4</v>
      </c>
      <c r="H83" s="34" t="s">
        <v>143</v>
      </c>
    </row>
    <row r="84" spans="1:8" ht="12" customHeight="1" x14ac:dyDescent="0.2">
      <c r="A84" s="41"/>
      <c r="B84" s="41"/>
      <c r="C84" s="45"/>
      <c r="D84" s="41"/>
      <c r="E84" s="41"/>
      <c r="F84" s="46"/>
      <c r="G84" s="46"/>
      <c r="H84" s="34" t="s">
        <v>143</v>
      </c>
    </row>
    <row r="85" spans="1:8" ht="12" customHeight="1" x14ac:dyDescent="0.2">
      <c r="A85" s="41"/>
      <c r="B85" s="41"/>
      <c r="C85" s="42" t="s">
        <v>147</v>
      </c>
      <c r="D85" s="41"/>
      <c r="E85" s="41"/>
      <c r="F85" s="41"/>
      <c r="G85" s="41"/>
      <c r="H85" s="34" t="s">
        <v>143</v>
      </c>
    </row>
    <row r="86" spans="1:8" ht="12" customHeight="1" x14ac:dyDescent="0.2">
      <c r="A86" s="41"/>
      <c r="B86" s="41"/>
      <c r="C86" s="42" t="s">
        <v>142</v>
      </c>
      <c r="D86" s="41"/>
      <c r="E86" s="41" t="s">
        <v>143</v>
      </c>
      <c r="F86" s="47" t="s">
        <v>145</v>
      </c>
      <c r="G86" s="44">
        <v>0</v>
      </c>
      <c r="H86" s="34" t="s">
        <v>143</v>
      </c>
    </row>
    <row r="87" spans="1:8" ht="12" customHeight="1" x14ac:dyDescent="0.2">
      <c r="A87" s="41"/>
      <c r="B87" s="41"/>
      <c r="C87" s="45"/>
      <c r="D87" s="41"/>
      <c r="E87" s="41"/>
      <c r="F87" s="46"/>
      <c r="G87" s="46"/>
      <c r="H87" s="34" t="s">
        <v>143</v>
      </c>
    </row>
    <row r="88" spans="1:8" ht="12" customHeight="1" x14ac:dyDescent="0.2">
      <c r="A88" s="41"/>
      <c r="B88" s="41"/>
      <c r="C88" s="42" t="s">
        <v>148</v>
      </c>
      <c r="D88" s="41"/>
      <c r="E88" s="41"/>
      <c r="F88" s="46"/>
      <c r="G88" s="46"/>
      <c r="H88" s="34" t="s">
        <v>143</v>
      </c>
    </row>
    <row r="89" spans="1:8" ht="12" customHeight="1" x14ac:dyDescent="0.2">
      <c r="A89" s="41"/>
      <c r="B89" s="41"/>
      <c r="C89" s="42" t="s">
        <v>142</v>
      </c>
      <c r="D89" s="41"/>
      <c r="E89" s="41" t="s">
        <v>143</v>
      </c>
      <c r="F89" s="47" t="s">
        <v>145</v>
      </c>
      <c r="G89" s="44">
        <v>0</v>
      </c>
      <c r="H89" s="34" t="s">
        <v>143</v>
      </c>
    </row>
    <row r="90" spans="1:8" ht="12" customHeight="1" x14ac:dyDescent="0.2">
      <c r="A90" s="41"/>
      <c r="B90" s="41"/>
      <c r="C90" s="45"/>
      <c r="D90" s="41"/>
      <c r="E90" s="41"/>
      <c r="F90" s="46"/>
      <c r="G90" s="46"/>
      <c r="H90" s="34" t="s">
        <v>143</v>
      </c>
    </row>
    <row r="91" spans="1:8" ht="12" customHeight="1" x14ac:dyDescent="0.2">
      <c r="A91" s="41"/>
      <c r="B91" s="41"/>
      <c r="C91" s="42" t="s">
        <v>149</v>
      </c>
      <c r="D91" s="41"/>
      <c r="E91" s="41"/>
      <c r="F91" s="46"/>
      <c r="G91" s="46"/>
      <c r="H91" s="34" t="s">
        <v>143</v>
      </c>
    </row>
    <row r="92" spans="1:8" ht="12" customHeight="1" x14ac:dyDescent="0.2">
      <c r="A92" s="41"/>
      <c r="B92" s="41"/>
      <c r="C92" s="42" t="s">
        <v>142</v>
      </c>
      <c r="D92" s="41"/>
      <c r="E92" s="41" t="s">
        <v>143</v>
      </c>
      <c r="F92" s="47" t="s">
        <v>145</v>
      </c>
      <c r="G92" s="44">
        <v>0</v>
      </c>
      <c r="H92" s="34" t="s">
        <v>143</v>
      </c>
    </row>
    <row r="93" spans="1:8" ht="12" customHeight="1" x14ac:dyDescent="0.2">
      <c r="A93" s="41"/>
      <c r="B93" s="41"/>
      <c r="C93" s="45"/>
      <c r="D93" s="41"/>
      <c r="E93" s="41"/>
      <c r="F93" s="46"/>
      <c r="G93" s="46"/>
      <c r="H93" s="34" t="s">
        <v>143</v>
      </c>
    </row>
    <row r="94" spans="1:8" ht="12" customHeight="1" x14ac:dyDescent="0.2">
      <c r="A94" s="41"/>
      <c r="B94" s="41"/>
      <c r="C94" s="42" t="s">
        <v>150</v>
      </c>
      <c r="D94" s="41"/>
      <c r="E94" s="41"/>
      <c r="F94" s="43">
        <v>279181.812294545</v>
      </c>
      <c r="G94" s="44">
        <v>0.97852815999999998</v>
      </c>
      <c r="H94" s="34" t="s">
        <v>143</v>
      </c>
    </row>
    <row r="95" spans="1:8" ht="12" customHeight="1" x14ac:dyDescent="0.2">
      <c r="A95" s="41"/>
      <c r="B95" s="41"/>
      <c r="C95" s="45"/>
      <c r="D95" s="41"/>
      <c r="E95" s="41"/>
      <c r="F95" s="46"/>
      <c r="G95" s="46"/>
      <c r="H95" s="34" t="s">
        <v>143</v>
      </c>
    </row>
    <row r="96" spans="1:8" ht="12" customHeight="1" x14ac:dyDescent="0.2">
      <c r="A96" s="41"/>
      <c r="B96" s="41"/>
      <c r="C96" s="42" t="s">
        <v>151</v>
      </c>
      <c r="D96" s="41"/>
      <c r="E96" s="41"/>
      <c r="F96" s="46"/>
      <c r="G96" s="46"/>
      <c r="H96" s="34" t="s">
        <v>143</v>
      </c>
    </row>
    <row r="97" spans="1:8" ht="12" customHeight="1" x14ac:dyDescent="0.2">
      <c r="A97" s="41"/>
      <c r="B97" s="41"/>
      <c r="C97" s="42" t="s">
        <v>10</v>
      </c>
      <c r="D97" s="41"/>
      <c r="E97" s="41"/>
      <c r="F97" s="46"/>
      <c r="G97" s="46"/>
      <c r="H97" s="34" t="s">
        <v>143</v>
      </c>
    </row>
    <row r="98" spans="1:8" ht="12" customHeight="1" x14ac:dyDescent="0.2">
      <c r="A98" s="41"/>
      <c r="B98" s="41"/>
      <c r="C98" s="42" t="s">
        <v>142</v>
      </c>
      <c r="D98" s="41"/>
      <c r="E98" s="41" t="s">
        <v>143</v>
      </c>
      <c r="F98" s="47" t="s">
        <v>145</v>
      </c>
      <c r="G98" s="44">
        <v>0</v>
      </c>
      <c r="H98" s="34" t="s">
        <v>143</v>
      </c>
    </row>
    <row r="99" spans="1:8" ht="12" customHeight="1" x14ac:dyDescent="0.2">
      <c r="A99" s="41"/>
      <c r="B99" s="41"/>
      <c r="C99" s="45"/>
      <c r="D99" s="41"/>
      <c r="E99" s="41"/>
      <c r="F99" s="46"/>
      <c r="G99" s="46"/>
      <c r="H99" s="34" t="s">
        <v>143</v>
      </c>
    </row>
    <row r="100" spans="1:8" ht="12" customHeight="1" x14ac:dyDescent="0.2">
      <c r="A100" s="41"/>
      <c r="B100" s="41"/>
      <c r="C100" s="42" t="s">
        <v>152</v>
      </c>
      <c r="D100" s="41"/>
      <c r="E100" s="41"/>
      <c r="F100" s="41"/>
      <c r="G100" s="41"/>
      <c r="H100" s="34" t="s">
        <v>143</v>
      </c>
    </row>
    <row r="101" spans="1:8" ht="12" customHeight="1" x14ac:dyDescent="0.2">
      <c r="A101" s="41"/>
      <c r="B101" s="41"/>
      <c r="C101" s="42" t="s">
        <v>142</v>
      </c>
      <c r="D101" s="41"/>
      <c r="E101" s="41" t="s">
        <v>143</v>
      </c>
      <c r="F101" s="47" t="s">
        <v>145</v>
      </c>
      <c r="G101" s="44">
        <v>0</v>
      </c>
      <c r="H101" s="34" t="s">
        <v>143</v>
      </c>
    </row>
    <row r="102" spans="1:8" ht="12" customHeight="1" x14ac:dyDescent="0.2">
      <c r="A102" s="41"/>
      <c r="B102" s="41"/>
      <c r="C102" s="45"/>
      <c r="D102" s="41"/>
      <c r="E102" s="41"/>
      <c r="F102" s="46"/>
      <c r="G102" s="46"/>
      <c r="H102" s="34" t="s">
        <v>143</v>
      </c>
    </row>
    <row r="103" spans="1:8" ht="12" customHeight="1" x14ac:dyDescent="0.2">
      <c r="A103" s="41"/>
      <c r="B103" s="41"/>
      <c r="C103" s="42" t="s">
        <v>153</v>
      </c>
      <c r="D103" s="41"/>
      <c r="E103" s="41"/>
      <c r="F103" s="41"/>
      <c r="G103" s="41"/>
      <c r="H103" s="34" t="s">
        <v>143</v>
      </c>
    </row>
    <row r="104" spans="1:8" ht="12" customHeight="1" x14ac:dyDescent="0.2">
      <c r="A104" s="41"/>
      <c r="B104" s="41"/>
      <c r="C104" s="42" t="s">
        <v>142</v>
      </c>
      <c r="D104" s="41"/>
      <c r="E104" s="41" t="s">
        <v>143</v>
      </c>
      <c r="F104" s="47" t="s">
        <v>145</v>
      </c>
      <c r="G104" s="44">
        <v>0</v>
      </c>
      <c r="H104" s="34" t="s">
        <v>143</v>
      </c>
    </row>
    <row r="105" spans="1:8" ht="12" customHeight="1" x14ac:dyDescent="0.2">
      <c r="A105" s="41"/>
      <c r="B105" s="41"/>
      <c r="C105" s="45"/>
      <c r="D105" s="41"/>
      <c r="E105" s="41"/>
      <c r="F105" s="46"/>
      <c r="G105" s="46"/>
      <c r="H105" s="34" t="s">
        <v>143</v>
      </c>
    </row>
    <row r="106" spans="1:8" ht="12" customHeight="1" x14ac:dyDescent="0.2">
      <c r="A106" s="41"/>
      <c r="B106" s="41"/>
      <c r="C106" s="42" t="s">
        <v>154</v>
      </c>
      <c r="D106" s="41"/>
      <c r="E106" s="41"/>
      <c r="F106" s="46"/>
      <c r="G106" s="46"/>
      <c r="H106" s="34" t="s">
        <v>143</v>
      </c>
    </row>
    <row r="107" spans="1:8" ht="12" customHeight="1" x14ac:dyDescent="0.2">
      <c r="A107" s="41"/>
      <c r="B107" s="41"/>
      <c r="C107" s="42" t="s">
        <v>142</v>
      </c>
      <c r="D107" s="41"/>
      <c r="E107" s="41" t="s">
        <v>143</v>
      </c>
      <c r="F107" s="47" t="s">
        <v>145</v>
      </c>
      <c r="G107" s="44">
        <v>0</v>
      </c>
      <c r="H107" s="34" t="s">
        <v>143</v>
      </c>
    </row>
    <row r="108" spans="1:8" ht="12" customHeight="1" x14ac:dyDescent="0.2">
      <c r="A108" s="41"/>
      <c r="B108" s="41"/>
      <c r="C108" s="45"/>
      <c r="D108" s="41"/>
      <c r="E108" s="41"/>
      <c r="F108" s="46"/>
      <c r="G108" s="46"/>
      <c r="H108" s="34" t="s">
        <v>143</v>
      </c>
    </row>
    <row r="109" spans="1:8" ht="12" customHeight="1" x14ac:dyDescent="0.2">
      <c r="A109" s="41"/>
      <c r="B109" s="41"/>
      <c r="C109" s="42" t="s">
        <v>155</v>
      </c>
      <c r="D109" s="41"/>
      <c r="E109" s="41"/>
      <c r="F109" s="43">
        <v>0</v>
      </c>
      <c r="G109" s="44">
        <v>0</v>
      </c>
      <c r="H109" s="34" t="s">
        <v>143</v>
      </c>
    </row>
    <row r="110" spans="1:8" ht="12" customHeight="1" x14ac:dyDescent="0.2">
      <c r="A110" s="41"/>
      <c r="B110" s="41"/>
      <c r="C110" s="45"/>
      <c r="D110" s="41"/>
      <c r="E110" s="41"/>
      <c r="F110" s="46"/>
      <c r="G110" s="46"/>
      <c r="H110" s="34" t="s">
        <v>143</v>
      </c>
    </row>
    <row r="111" spans="1:8" ht="12" customHeight="1" x14ac:dyDescent="0.2">
      <c r="A111" s="41"/>
      <c r="B111" s="41"/>
      <c r="C111" s="42" t="s">
        <v>156</v>
      </c>
      <c r="D111" s="41"/>
      <c r="E111" s="41"/>
      <c r="F111" s="46"/>
      <c r="G111" s="46"/>
      <c r="H111" s="34" t="s">
        <v>143</v>
      </c>
    </row>
    <row r="112" spans="1:8" ht="12" customHeight="1" x14ac:dyDescent="0.2">
      <c r="A112" s="41"/>
      <c r="B112" s="41"/>
      <c r="C112" s="42" t="s">
        <v>157</v>
      </c>
      <c r="D112" s="41"/>
      <c r="E112" s="41"/>
      <c r="F112" s="46"/>
      <c r="G112" s="46"/>
      <c r="H112" s="34" t="s">
        <v>143</v>
      </c>
    </row>
    <row r="113" spans="1:8" ht="12" customHeight="1" x14ac:dyDescent="0.2">
      <c r="A113" s="41"/>
      <c r="B113" s="41"/>
      <c r="C113" s="42" t="s">
        <v>142</v>
      </c>
      <c r="D113" s="41"/>
      <c r="E113" s="41" t="s">
        <v>143</v>
      </c>
      <c r="F113" s="47" t="s">
        <v>145</v>
      </c>
      <c r="G113" s="44">
        <v>0</v>
      </c>
      <c r="H113" s="34" t="s">
        <v>143</v>
      </c>
    </row>
    <row r="114" spans="1:8" ht="12" customHeight="1" x14ac:dyDescent="0.2">
      <c r="A114" s="41"/>
      <c r="B114" s="41"/>
      <c r="C114" s="45"/>
      <c r="D114" s="41"/>
      <c r="E114" s="41"/>
      <c r="F114" s="46"/>
      <c r="G114" s="46"/>
      <c r="H114" s="34" t="s">
        <v>143</v>
      </c>
    </row>
    <row r="115" spans="1:8" ht="12" customHeight="1" x14ac:dyDescent="0.2">
      <c r="A115" s="41"/>
      <c r="B115" s="41"/>
      <c r="C115" s="42" t="s">
        <v>158</v>
      </c>
      <c r="D115" s="41"/>
      <c r="E115" s="41"/>
      <c r="F115" s="46"/>
      <c r="G115" s="46"/>
      <c r="H115" s="34" t="s">
        <v>143</v>
      </c>
    </row>
    <row r="116" spans="1:8" ht="12" customHeight="1" x14ac:dyDescent="0.2">
      <c r="A116" s="41"/>
      <c r="B116" s="41"/>
      <c r="C116" s="42" t="s">
        <v>142</v>
      </c>
      <c r="D116" s="41"/>
      <c r="E116" s="41" t="s">
        <v>143</v>
      </c>
      <c r="F116" s="47" t="s">
        <v>145</v>
      </c>
      <c r="G116" s="44">
        <v>0</v>
      </c>
      <c r="H116" s="34" t="s">
        <v>143</v>
      </c>
    </row>
    <row r="117" spans="1:8" ht="12" customHeight="1" x14ac:dyDescent="0.2">
      <c r="A117" s="41"/>
      <c r="B117" s="41"/>
      <c r="C117" s="45"/>
      <c r="D117" s="41"/>
      <c r="E117" s="41"/>
      <c r="F117" s="46"/>
      <c r="G117" s="46"/>
      <c r="H117" s="34" t="s">
        <v>143</v>
      </c>
    </row>
    <row r="118" spans="1:8" ht="12" customHeight="1" x14ac:dyDescent="0.2">
      <c r="A118" s="41"/>
      <c r="B118" s="41"/>
      <c r="C118" s="42" t="s">
        <v>159</v>
      </c>
      <c r="D118" s="41"/>
      <c r="E118" s="41"/>
      <c r="F118" s="46"/>
      <c r="G118" s="46"/>
      <c r="H118" s="34" t="s">
        <v>143</v>
      </c>
    </row>
    <row r="119" spans="1:8" ht="12" customHeight="1" x14ac:dyDescent="0.2">
      <c r="A119" s="41"/>
      <c r="B119" s="41"/>
      <c r="C119" s="42" t="s">
        <v>142</v>
      </c>
      <c r="D119" s="41"/>
      <c r="E119" s="41" t="s">
        <v>143</v>
      </c>
      <c r="F119" s="47" t="s">
        <v>145</v>
      </c>
      <c r="G119" s="44">
        <v>0</v>
      </c>
      <c r="H119" s="34" t="s">
        <v>143</v>
      </c>
    </row>
    <row r="120" spans="1:8" ht="12" customHeight="1" x14ac:dyDescent="0.2">
      <c r="A120" s="41"/>
      <c r="B120" s="41"/>
      <c r="C120" s="45"/>
      <c r="D120" s="41"/>
      <c r="E120" s="41"/>
      <c r="F120" s="46"/>
      <c r="G120" s="46"/>
      <c r="H120" s="34" t="s">
        <v>143</v>
      </c>
    </row>
    <row r="121" spans="1:8" ht="12" customHeight="1" x14ac:dyDescent="0.2">
      <c r="A121" s="41"/>
      <c r="B121" s="41"/>
      <c r="C121" s="42" t="s">
        <v>160</v>
      </c>
      <c r="D121" s="41"/>
      <c r="E121" s="41"/>
      <c r="F121" s="46"/>
      <c r="G121" s="46"/>
      <c r="H121" s="34" t="s">
        <v>143</v>
      </c>
    </row>
    <row r="122" spans="1:8" ht="12" customHeight="1" x14ac:dyDescent="0.2">
      <c r="A122" s="35">
        <v>1</v>
      </c>
      <c r="B122" s="36"/>
      <c r="C122" s="36" t="s">
        <v>161</v>
      </c>
      <c r="D122" s="36"/>
      <c r="E122" s="48"/>
      <c r="F122" s="38">
        <v>4808.4267570129996</v>
      </c>
      <c r="G122" s="39">
        <v>1.6853469999999999E-2</v>
      </c>
      <c r="H122" s="34">
        <v>5.47</v>
      </c>
    </row>
    <row r="123" spans="1:8" ht="12" customHeight="1" x14ac:dyDescent="0.2">
      <c r="A123" s="41"/>
      <c r="B123" s="41"/>
      <c r="C123" s="42" t="s">
        <v>142</v>
      </c>
      <c r="D123" s="41"/>
      <c r="E123" s="41" t="s">
        <v>143</v>
      </c>
      <c r="F123" s="43">
        <v>4808.4267570129996</v>
      </c>
      <c r="G123" s="44">
        <v>1.6853469999999999E-2</v>
      </c>
      <c r="H123" s="34" t="s">
        <v>143</v>
      </c>
    </row>
    <row r="124" spans="1:8" ht="12" customHeight="1" x14ac:dyDescent="0.2">
      <c r="A124" s="41"/>
      <c r="B124" s="41"/>
      <c r="C124" s="45"/>
      <c r="D124" s="41"/>
      <c r="E124" s="41"/>
      <c r="F124" s="46"/>
      <c r="G124" s="46"/>
      <c r="H124" s="34" t="s">
        <v>143</v>
      </c>
    </row>
    <row r="125" spans="1:8" ht="12" customHeight="1" x14ac:dyDescent="0.2">
      <c r="A125" s="41"/>
      <c r="B125" s="41"/>
      <c r="C125" s="42" t="s">
        <v>162</v>
      </c>
      <c r="D125" s="41"/>
      <c r="E125" s="41"/>
      <c r="F125" s="43">
        <v>4808.4267570129996</v>
      </c>
      <c r="G125" s="44">
        <v>1.6853469999999999E-2</v>
      </c>
      <c r="H125" s="34" t="s">
        <v>143</v>
      </c>
    </row>
    <row r="126" spans="1:8" ht="12" customHeight="1" x14ac:dyDescent="0.2">
      <c r="A126" s="41"/>
      <c r="B126" s="41"/>
      <c r="C126" s="46"/>
      <c r="D126" s="41"/>
      <c r="E126" s="41"/>
      <c r="F126" s="41"/>
      <c r="G126" s="41"/>
      <c r="H126" s="34" t="s">
        <v>143</v>
      </c>
    </row>
    <row r="127" spans="1:8" ht="12" customHeight="1" x14ac:dyDescent="0.2">
      <c r="A127" s="41"/>
      <c r="B127" s="41"/>
      <c r="C127" s="42" t="s">
        <v>163</v>
      </c>
      <c r="D127" s="41"/>
      <c r="E127" s="41"/>
      <c r="F127" s="41"/>
      <c r="G127" s="41"/>
      <c r="H127" s="34" t="s">
        <v>143</v>
      </c>
    </row>
    <row r="128" spans="1:8" ht="12" customHeight="1" x14ac:dyDescent="0.2">
      <c r="A128" s="41"/>
      <c r="B128" s="41"/>
      <c r="C128" s="42" t="s">
        <v>164</v>
      </c>
      <c r="D128" s="41"/>
      <c r="E128" s="41"/>
      <c r="F128" s="41"/>
      <c r="G128" s="41"/>
      <c r="H128" s="34" t="s">
        <v>143</v>
      </c>
    </row>
    <row r="129" spans="1:17" ht="12" customHeight="1" x14ac:dyDescent="0.2">
      <c r="A129" s="41"/>
      <c r="B129" s="41"/>
      <c r="C129" s="42" t="s">
        <v>142</v>
      </c>
      <c r="D129" s="41"/>
      <c r="E129" s="41" t="s">
        <v>143</v>
      </c>
      <c r="F129" s="47" t="s">
        <v>145</v>
      </c>
      <c r="G129" s="44">
        <v>0</v>
      </c>
      <c r="H129" s="34" t="s">
        <v>143</v>
      </c>
    </row>
    <row r="130" spans="1:17" ht="12" customHeight="1" x14ac:dyDescent="0.2">
      <c r="A130" s="41"/>
      <c r="B130" s="41"/>
      <c r="C130" s="45"/>
      <c r="D130" s="41"/>
      <c r="E130" s="41"/>
      <c r="F130" s="46"/>
      <c r="G130" s="46"/>
      <c r="H130" s="34" t="s">
        <v>143</v>
      </c>
    </row>
    <row r="131" spans="1:17" ht="12" customHeight="1" x14ac:dyDescent="0.2">
      <c r="A131" s="41"/>
      <c r="B131" s="41"/>
      <c r="C131" s="42" t="s">
        <v>165</v>
      </c>
      <c r="D131" s="41"/>
      <c r="E131" s="41"/>
      <c r="F131" s="41"/>
      <c r="G131" s="41"/>
      <c r="H131" s="34" t="s">
        <v>143</v>
      </c>
    </row>
    <row r="132" spans="1:17" ht="12" customHeight="1" x14ac:dyDescent="0.2">
      <c r="A132" s="41"/>
      <c r="B132" s="41"/>
      <c r="C132" s="42" t="s">
        <v>166</v>
      </c>
      <c r="D132" s="41"/>
      <c r="E132" s="41"/>
      <c r="F132" s="41"/>
      <c r="G132" s="41"/>
      <c r="H132" s="34" t="s">
        <v>143</v>
      </c>
    </row>
    <row r="133" spans="1:17" ht="12" customHeight="1" x14ac:dyDescent="0.2">
      <c r="A133" s="41"/>
      <c r="B133" s="41"/>
      <c r="C133" s="42" t="s">
        <v>142</v>
      </c>
      <c r="D133" s="41"/>
      <c r="E133" s="41" t="s">
        <v>143</v>
      </c>
      <c r="F133" s="47" t="s">
        <v>145</v>
      </c>
      <c r="G133" s="44">
        <v>0</v>
      </c>
      <c r="H133" s="34" t="s">
        <v>143</v>
      </c>
    </row>
    <row r="134" spans="1:17" ht="12" customHeight="1" x14ac:dyDescent="0.2">
      <c r="A134" s="41"/>
      <c r="B134" s="41"/>
      <c r="C134" s="45"/>
      <c r="D134" s="41"/>
      <c r="E134" s="41"/>
      <c r="F134" s="46"/>
      <c r="G134" s="46"/>
      <c r="H134" s="34" t="s">
        <v>143</v>
      </c>
    </row>
    <row r="135" spans="1:17" ht="12" customHeight="1" x14ac:dyDescent="0.2">
      <c r="A135" s="41"/>
      <c r="B135" s="41"/>
      <c r="C135" s="42" t="s">
        <v>167</v>
      </c>
      <c r="D135" s="41"/>
      <c r="E135" s="41"/>
      <c r="F135" s="46"/>
      <c r="G135" s="46"/>
      <c r="H135" s="34" t="s">
        <v>143</v>
      </c>
    </row>
    <row r="136" spans="1:17" ht="12" customHeight="1" x14ac:dyDescent="0.2">
      <c r="A136" s="41"/>
      <c r="B136" s="41"/>
      <c r="C136" s="42" t="s">
        <v>142</v>
      </c>
      <c r="D136" s="41"/>
      <c r="E136" s="41" t="s">
        <v>143</v>
      </c>
      <c r="F136" s="47" t="s">
        <v>145</v>
      </c>
      <c r="G136" s="44">
        <v>0</v>
      </c>
      <c r="H136" s="34" t="s">
        <v>143</v>
      </c>
    </row>
    <row r="137" spans="1:17" ht="12" customHeight="1" x14ac:dyDescent="0.2">
      <c r="A137" s="41"/>
      <c r="B137" s="41"/>
      <c r="C137" s="45"/>
      <c r="D137" s="41"/>
      <c r="E137" s="41"/>
      <c r="F137" s="46"/>
      <c r="G137" s="46"/>
      <c r="H137" s="34" t="s">
        <v>143</v>
      </c>
    </row>
    <row r="138" spans="1:17" ht="12" customHeight="1" x14ac:dyDescent="0.2">
      <c r="A138" s="48"/>
      <c r="B138" s="36"/>
      <c r="C138" s="36" t="s">
        <v>168</v>
      </c>
      <c r="D138" s="36"/>
      <c r="E138" s="48"/>
      <c r="F138" s="38">
        <v>1317.6675600000001</v>
      </c>
      <c r="G138" s="39">
        <v>4.6184099999999999E-3</v>
      </c>
      <c r="H138" s="34" t="s">
        <v>143</v>
      </c>
    </row>
    <row r="139" spans="1:17" ht="12" customHeight="1" x14ac:dyDescent="0.2">
      <c r="A139" s="45"/>
      <c r="B139" s="45"/>
      <c r="C139" s="42" t="s">
        <v>169</v>
      </c>
      <c r="D139" s="46"/>
      <c r="E139" s="46"/>
      <c r="F139" s="43">
        <v>285307.90661155799</v>
      </c>
      <c r="G139" s="51">
        <v>1.00000004</v>
      </c>
      <c r="H139" s="34" t="s">
        <v>143</v>
      </c>
    </row>
    <row r="140" spans="1:17" x14ac:dyDescent="0.2">
      <c r="A140" s="52"/>
      <c r="B140" s="52"/>
      <c r="C140" s="52"/>
      <c r="D140" s="53"/>
      <c r="E140" s="53"/>
      <c r="F140" s="53"/>
      <c r="G140" s="53"/>
    </row>
    <row r="141" spans="1:17" x14ac:dyDescent="0.2">
      <c r="A141" s="54"/>
      <c r="B141" s="158" t="s">
        <v>852</v>
      </c>
      <c r="C141" s="158"/>
      <c r="D141" s="158"/>
      <c r="E141" s="158"/>
      <c r="F141" s="158"/>
      <c r="G141" s="158"/>
      <c r="H141" s="158"/>
      <c r="J141" s="56"/>
    </row>
    <row r="142" spans="1:17" x14ac:dyDescent="0.2">
      <c r="A142" s="54"/>
      <c r="B142" s="158" t="s">
        <v>853</v>
      </c>
      <c r="C142" s="158"/>
      <c r="D142" s="158"/>
      <c r="E142" s="158"/>
      <c r="F142" s="158"/>
      <c r="G142" s="158"/>
      <c r="H142" s="158"/>
      <c r="J142" s="56"/>
    </row>
    <row r="143" spans="1:17" x14ac:dyDescent="0.2">
      <c r="A143" s="54"/>
      <c r="B143" s="158" t="s">
        <v>854</v>
      </c>
      <c r="C143" s="158"/>
      <c r="D143" s="158"/>
      <c r="E143" s="158"/>
      <c r="F143" s="158"/>
      <c r="G143" s="158"/>
      <c r="H143" s="158"/>
      <c r="J143" s="56"/>
    </row>
    <row r="144" spans="1:17" s="58" customFormat="1" ht="54.75" customHeight="1" x14ac:dyDescent="0.25">
      <c r="A144" s="57"/>
      <c r="B144" s="159" t="s">
        <v>855</v>
      </c>
      <c r="C144" s="159"/>
      <c r="D144" s="159"/>
      <c r="E144" s="159"/>
      <c r="F144" s="159"/>
      <c r="G144" s="159"/>
      <c r="H144" s="159"/>
      <c r="I144"/>
      <c r="J144" s="56"/>
      <c r="K144"/>
      <c r="L144"/>
      <c r="M144"/>
      <c r="N144"/>
      <c r="O144"/>
      <c r="P144"/>
      <c r="Q144"/>
    </row>
    <row r="145" spans="1:10" x14ac:dyDescent="0.2">
      <c r="A145" s="54"/>
      <c r="B145" s="158" t="s">
        <v>856</v>
      </c>
      <c r="C145" s="158"/>
      <c r="D145" s="158"/>
      <c r="E145" s="158"/>
      <c r="F145" s="158"/>
      <c r="G145" s="158"/>
      <c r="H145" s="158"/>
      <c r="J145" s="56"/>
    </row>
    <row r="146" spans="1:10" x14ac:dyDescent="0.2">
      <c r="A146" s="54"/>
      <c r="B146" s="54"/>
      <c r="C146" s="54"/>
      <c r="D146" s="59"/>
      <c r="E146" s="59"/>
      <c r="F146" s="59"/>
      <c r="G146" s="59"/>
    </row>
    <row r="147" spans="1:10" x14ac:dyDescent="0.2">
      <c r="A147" s="54"/>
      <c r="B147" s="160" t="s">
        <v>170</v>
      </c>
      <c r="C147" s="161"/>
      <c r="D147" s="162"/>
      <c r="E147" s="60"/>
      <c r="F147" s="59"/>
      <c r="G147" s="59"/>
    </row>
    <row r="148" spans="1:10" ht="27.75" customHeight="1" x14ac:dyDescent="0.2">
      <c r="A148" s="54"/>
      <c r="B148" s="154" t="s">
        <v>171</v>
      </c>
      <c r="C148" s="155"/>
      <c r="D148" s="33" t="s">
        <v>986</v>
      </c>
      <c r="E148" s="60"/>
      <c r="F148" s="59"/>
      <c r="G148" s="59"/>
    </row>
    <row r="149" spans="1:10" ht="12.75" customHeight="1" x14ac:dyDescent="0.2">
      <c r="A149" s="54"/>
      <c r="B149" s="154" t="s">
        <v>857</v>
      </c>
      <c r="C149" s="155"/>
      <c r="D149" s="33" t="str">
        <f>"Rs. "&amp;TEXT(F83,"0.00")&amp;" lacs/ "&amp;TEXT(ROUND(G83*100,2),"0.00")&amp;"%"</f>
        <v>Rs. 106.51 lacs/ 0.04%</v>
      </c>
      <c r="E149" s="60"/>
      <c r="F149" s="59"/>
      <c r="G149" s="59"/>
    </row>
    <row r="150" spans="1:10" x14ac:dyDescent="0.2">
      <c r="A150" s="54"/>
      <c r="B150" s="154" t="s">
        <v>173</v>
      </c>
      <c r="C150" s="155"/>
      <c r="D150" s="61" t="s">
        <v>143</v>
      </c>
      <c r="E150" s="60"/>
      <c r="F150" s="59"/>
      <c r="G150" s="59"/>
    </row>
    <row r="151" spans="1:10" x14ac:dyDescent="0.2">
      <c r="A151" s="62"/>
      <c r="B151" s="63" t="s">
        <v>143</v>
      </c>
      <c r="C151" s="63" t="s">
        <v>858</v>
      </c>
      <c r="D151" s="63" t="s">
        <v>174</v>
      </c>
      <c r="E151" s="62"/>
      <c r="F151" s="62"/>
      <c r="G151" s="62"/>
      <c r="H151" s="62"/>
      <c r="J151" s="56"/>
    </row>
    <row r="152" spans="1:10" x14ac:dyDescent="0.2">
      <c r="A152" s="62"/>
      <c r="B152" s="64" t="s">
        <v>175</v>
      </c>
      <c r="C152" s="65">
        <v>45808</v>
      </c>
      <c r="D152" s="65">
        <v>45838</v>
      </c>
      <c r="E152" s="62"/>
      <c r="F152" s="62"/>
      <c r="G152" s="62"/>
      <c r="J152" s="56"/>
    </row>
    <row r="153" spans="1:10" x14ac:dyDescent="0.2">
      <c r="A153" s="66"/>
      <c r="B153" s="36" t="s">
        <v>176</v>
      </c>
      <c r="C153" s="67">
        <v>412.2491</v>
      </c>
      <c r="D153" s="67">
        <v>425.6891</v>
      </c>
      <c r="E153" s="66"/>
      <c r="F153" s="68"/>
      <c r="G153" s="69"/>
    </row>
    <row r="154" spans="1:10" x14ac:dyDescent="0.2">
      <c r="A154" s="66"/>
      <c r="B154" s="36" t="s">
        <v>1086</v>
      </c>
      <c r="C154" s="67">
        <v>87.870900000000006</v>
      </c>
      <c r="D154" s="67">
        <v>90.735699999999994</v>
      </c>
      <c r="E154" s="66"/>
      <c r="F154" s="68"/>
      <c r="G154" s="69"/>
    </row>
    <row r="155" spans="1:10" x14ac:dyDescent="0.2">
      <c r="A155" s="66"/>
      <c r="B155" s="36" t="s">
        <v>177</v>
      </c>
      <c r="C155" s="67">
        <v>370.8415</v>
      </c>
      <c r="D155" s="67">
        <v>382.60120000000001</v>
      </c>
      <c r="E155" s="66"/>
      <c r="F155" s="68"/>
      <c r="G155" s="69"/>
    </row>
    <row r="156" spans="1:10" x14ac:dyDescent="0.2">
      <c r="A156" s="66"/>
      <c r="B156" s="36" t="s">
        <v>1087</v>
      </c>
      <c r="C156" s="67">
        <v>65.251499999999993</v>
      </c>
      <c r="D156" s="67">
        <v>67.320700000000002</v>
      </c>
      <c r="E156" s="66"/>
      <c r="F156" s="68"/>
      <c r="G156" s="69"/>
    </row>
    <row r="157" spans="1:10" x14ac:dyDescent="0.2">
      <c r="A157" s="66"/>
      <c r="B157" s="66"/>
      <c r="C157" s="66"/>
      <c r="D157" s="66"/>
      <c r="E157" s="66"/>
      <c r="F157" s="66"/>
      <c r="G157" s="66"/>
    </row>
    <row r="158" spans="1:10" x14ac:dyDescent="0.2">
      <c r="A158" s="66"/>
      <c r="B158" s="163" t="s">
        <v>860</v>
      </c>
      <c r="C158" s="164"/>
      <c r="D158" s="33" t="s">
        <v>172</v>
      </c>
      <c r="E158" s="66"/>
      <c r="F158" s="66"/>
      <c r="G158" s="66"/>
    </row>
    <row r="159" spans="1:10" x14ac:dyDescent="0.2">
      <c r="A159" s="66"/>
      <c r="B159" s="70"/>
      <c r="C159" s="70"/>
      <c r="D159" s="70"/>
      <c r="E159" s="66"/>
      <c r="F159" s="66"/>
      <c r="G159" s="66"/>
    </row>
    <row r="160" spans="1:10" ht="29.1" customHeight="1" x14ac:dyDescent="0.2">
      <c r="A160" s="62"/>
      <c r="B160" s="154" t="s">
        <v>178</v>
      </c>
      <c r="C160" s="155"/>
      <c r="D160" s="33" t="s">
        <v>172</v>
      </c>
      <c r="E160" s="71"/>
      <c r="F160" s="62"/>
      <c r="G160" s="62"/>
    </row>
    <row r="161" spans="1:7" ht="29.1" customHeight="1" x14ac:dyDescent="0.2">
      <c r="A161" s="62"/>
      <c r="B161" s="154" t="s">
        <v>179</v>
      </c>
      <c r="C161" s="155"/>
      <c r="D161" s="33" t="s">
        <v>172</v>
      </c>
      <c r="E161" s="71"/>
      <c r="F161" s="62"/>
      <c r="G161" s="62"/>
    </row>
    <row r="162" spans="1:7" ht="17.100000000000001" customHeight="1" x14ac:dyDescent="0.2">
      <c r="A162" s="62"/>
      <c r="B162" s="154" t="s">
        <v>180</v>
      </c>
      <c r="C162" s="155"/>
      <c r="D162" s="33" t="s">
        <v>172</v>
      </c>
      <c r="E162" s="71"/>
      <c r="F162" s="62"/>
      <c r="G162" s="62"/>
    </row>
    <row r="163" spans="1:7" ht="17.100000000000001" customHeight="1" x14ac:dyDescent="0.2">
      <c r="A163" s="62"/>
      <c r="B163" s="154" t="s">
        <v>181</v>
      </c>
      <c r="C163" s="155"/>
      <c r="D163" s="72">
        <v>0.56741052807897197</v>
      </c>
      <c r="E163" s="62"/>
      <c r="F163" s="55"/>
      <c r="G163" s="73"/>
    </row>
    <row r="165" spans="1:7" x14ac:dyDescent="0.2">
      <c r="B165" s="89" t="s">
        <v>942</v>
      </c>
    </row>
    <row r="166" spans="1:7" ht="40.5" x14ac:dyDescent="0.2">
      <c r="B166" s="95" t="s">
        <v>916</v>
      </c>
      <c r="C166" s="95" t="s">
        <v>917</v>
      </c>
      <c r="D166" s="95" t="s">
        <v>918</v>
      </c>
      <c r="E166" s="95" t="s">
        <v>919</v>
      </c>
      <c r="F166" s="95" t="s">
        <v>920</v>
      </c>
    </row>
    <row r="167" spans="1:7" ht="13.5" x14ac:dyDescent="0.2">
      <c r="B167" s="96" t="s">
        <v>928</v>
      </c>
      <c r="C167" s="97" t="s">
        <v>922</v>
      </c>
      <c r="D167" s="10">
        <v>0</v>
      </c>
      <c r="E167" s="11">
        <v>0</v>
      </c>
      <c r="F167" s="98">
        <v>29.407129999999999</v>
      </c>
    </row>
    <row r="169" spans="1:7" x14ac:dyDescent="0.2">
      <c r="B169" s="156" t="s">
        <v>861</v>
      </c>
      <c r="C169" s="156"/>
    </row>
    <row r="171" spans="1:7" ht="153.75" customHeight="1" x14ac:dyDescent="0.2"/>
    <row r="174" spans="1:7" x14ac:dyDescent="0.2">
      <c r="B174" s="79" t="s">
        <v>862</v>
      </c>
      <c r="C174" s="80"/>
      <c r="D174" s="79"/>
    </row>
    <row r="175" spans="1:7" x14ac:dyDescent="0.2">
      <c r="B175" s="79" t="s">
        <v>929</v>
      </c>
      <c r="D175" s="79"/>
    </row>
    <row r="176" spans="1:7" ht="165" customHeight="1" x14ac:dyDescent="0.2"/>
    <row r="178" spans="10:10" x14ac:dyDescent="0.2">
      <c r="J178" s="31"/>
    </row>
  </sheetData>
  <mergeCells count="18">
    <mergeCell ref="B162:C162"/>
    <mergeCell ref="B163:C163"/>
    <mergeCell ref="B160:C160"/>
    <mergeCell ref="B161:C161"/>
    <mergeCell ref="B169:C169"/>
    <mergeCell ref="A1:H1"/>
    <mergeCell ref="A2:H2"/>
    <mergeCell ref="A3:H3"/>
    <mergeCell ref="B141:H141"/>
    <mergeCell ref="B142:H142"/>
    <mergeCell ref="B149:C149"/>
    <mergeCell ref="B150:C150"/>
    <mergeCell ref="B158:C158"/>
    <mergeCell ref="B143:H143"/>
    <mergeCell ref="B144:H144"/>
    <mergeCell ref="B145:H145"/>
    <mergeCell ref="B147:D147"/>
    <mergeCell ref="B148:C148"/>
  </mergeCells>
  <hyperlinks>
    <hyperlink ref="I1" location="Index!B2" display="Index" xr:uid="{C0BFC28B-1053-4204-BB0D-4976C9C1B384}"/>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83B2E-B20C-4C34-95F5-1B08B2C9B3FE}">
  <sheetPr>
    <outlinePr summaryBelow="0" summaryRight="0"/>
  </sheetPr>
  <dimension ref="A1:Q203"/>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749</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ht="25.5" x14ac:dyDescent="0.2">
      <c r="A7" s="35">
        <v>1</v>
      </c>
      <c r="B7" s="36" t="s">
        <v>750</v>
      </c>
      <c r="C7" s="36" t="s">
        <v>751</v>
      </c>
      <c r="D7" s="36" t="s">
        <v>25</v>
      </c>
      <c r="E7" s="37">
        <v>374</v>
      </c>
      <c r="F7" s="38">
        <v>116.0522</v>
      </c>
      <c r="G7" s="39">
        <v>1.0545580000000001E-2</v>
      </c>
      <c r="H7" s="34" t="s">
        <v>143</v>
      </c>
    </row>
    <row r="8" spans="1:9" x14ac:dyDescent="0.2">
      <c r="A8" s="35">
        <v>2</v>
      </c>
      <c r="B8" s="36" t="s">
        <v>752</v>
      </c>
      <c r="C8" s="36" t="s">
        <v>753</v>
      </c>
      <c r="D8" s="36" t="s">
        <v>192</v>
      </c>
      <c r="E8" s="37">
        <v>35011</v>
      </c>
      <c r="F8" s="38">
        <v>114.3984425</v>
      </c>
      <c r="G8" s="39">
        <v>1.039531E-2</v>
      </c>
      <c r="H8" s="34" t="s">
        <v>143</v>
      </c>
    </row>
    <row r="9" spans="1:9" x14ac:dyDescent="0.2">
      <c r="A9" s="35">
        <v>3</v>
      </c>
      <c r="B9" s="36" t="s">
        <v>754</v>
      </c>
      <c r="C9" s="36" t="s">
        <v>755</v>
      </c>
      <c r="D9" s="36" t="s">
        <v>756</v>
      </c>
      <c r="E9" s="37">
        <v>24432</v>
      </c>
      <c r="F9" s="38">
        <v>112.594872</v>
      </c>
      <c r="G9" s="39">
        <v>1.023142E-2</v>
      </c>
      <c r="H9" s="34" t="s">
        <v>143</v>
      </c>
    </row>
    <row r="10" spans="1:9" x14ac:dyDescent="0.2">
      <c r="A10" s="35">
        <v>4</v>
      </c>
      <c r="B10" s="36" t="s">
        <v>757</v>
      </c>
      <c r="C10" s="36" t="s">
        <v>758</v>
      </c>
      <c r="D10" s="36" t="s">
        <v>22</v>
      </c>
      <c r="E10" s="37">
        <v>19182</v>
      </c>
      <c r="F10" s="38">
        <v>112.358565</v>
      </c>
      <c r="G10" s="39">
        <v>1.0209950000000001E-2</v>
      </c>
      <c r="H10" s="34" t="s">
        <v>143</v>
      </c>
    </row>
    <row r="11" spans="1:9" ht="25.5" x14ac:dyDescent="0.2">
      <c r="A11" s="35">
        <v>5</v>
      </c>
      <c r="B11" s="36" t="s">
        <v>631</v>
      </c>
      <c r="C11" s="36" t="s">
        <v>632</v>
      </c>
      <c r="D11" s="36" t="s">
        <v>633</v>
      </c>
      <c r="E11" s="37">
        <v>4288</v>
      </c>
      <c r="F11" s="38">
        <v>112.319872</v>
      </c>
      <c r="G11" s="39">
        <v>1.0206430000000001E-2</v>
      </c>
      <c r="H11" s="34" t="s">
        <v>143</v>
      </c>
    </row>
    <row r="12" spans="1:9" x14ac:dyDescent="0.2">
      <c r="A12" s="35">
        <v>6</v>
      </c>
      <c r="B12" s="36" t="s">
        <v>759</v>
      </c>
      <c r="C12" s="36" t="s">
        <v>760</v>
      </c>
      <c r="D12" s="36" t="s">
        <v>22</v>
      </c>
      <c r="E12" s="37">
        <v>12704</v>
      </c>
      <c r="F12" s="38">
        <v>112.01752</v>
      </c>
      <c r="G12" s="39">
        <v>1.0178960000000001E-2</v>
      </c>
      <c r="H12" s="34" t="s">
        <v>143</v>
      </c>
    </row>
    <row r="13" spans="1:9" ht="25.5" x14ac:dyDescent="0.2">
      <c r="A13" s="35">
        <v>7</v>
      </c>
      <c r="B13" s="36" t="s">
        <v>761</v>
      </c>
      <c r="C13" s="36" t="s">
        <v>762</v>
      </c>
      <c r="D13" s="36" t="s">
        <v>201</v>
      </c>
      <c r="E13" s="37">
        <v>3286</v>
      </c>
      <c r="F13" s="38">
        <v>111.993452</v>
      </c>
      <c r="G13" s="39">
        <v>1.017677E-2</v>
      </c>
      <c r="H13" s="34" t="s">
        <v>143</v>
      </c>
    </row>
    <row r="14" spans="1:9" ht="25.5" x14ac:dyDescent="0.2">
      <c r="A14" s="35">
        <v>8</v>
      </c>
      <c r="B14" s="36" t="s">
        <v>23</v>
      </c>
      <c r="C14" s="36" t="s">
        <v>24</v>
      </c>
      <c r="D14" s="36" t="s">
        <v>25</v>
      </c>
      <c r="E14" s="37">
        <v>926</v>
      </c>
      <c r="F14" s="38">
        <v>111.98117999999999</v>
      </c>
      <c r="G14" s="39">
        <v>1.017565E-2</v>
      </c>
      <c r="H14" s="34" t="s">
        <v>143</v>
      </c>
    </row>
    <row r="15" spans="1:9" x14ac:dyDescent="0.2">
      <c r="A15" s="35">
        <v>9</v>
      </c>
      <c r="B15" s="36" t="s">
        <v>37</v>
      </c>
      <c r="C15" s="36" t="s">
        <v>38</v>
      </c>
      <c r="D15" s="36" t="s">
        <v>16</v>
      </c>
      <c r="E15" s="37">
        <v>33712</v>
      </c>
      <c r="F15" s="38">
        <v>111.90698399999999</v>
      </c>
      <c r="G15" s="39">
        <v>1.016891E-2</v>
      </c>
      <c r="H15" s="34" t="s">
        <v>143</v>
      </c>
    </row>
    <row r="16" spans="1:9" x14ac:dyDescent="0.2">
      <c r="A16" s="35">
        <v>10</v>
      </c>
      <c r="B16" s="36" t="s">
        <v>722</v>
      </c>
      <c r="C16" s="36" t="s">
        <v>723</v>
      </c>
      <c r="D16" s="36" t="s">
        <v>195</v>
      </c>
      <c r="E16" s="37">
        <v>1545</v>
      </c>
      <c r="F16" s="38">
        <v>111.88890000000001</v>
      </c>
      <c r="G16" s="39">
        <v>1.0167270000000001E-2</v>
      </c>
      <c r="H16" s="34" t="s">
        <v>143</v>
      </c>
    </row>
    <row r="17" spans="1:8" x14ac:dyDescent="0.2">
      <c r="A17" s="35">
        <v>11</v>
      </c>
      <c r="B17" s="36" t="s">
        <v>763</v>
      </c>
      <c r="C17" s="36" t="s">
        <v>764</v>
      </c>
      <c r="D17" s="36" t="s">
        <v>192</v>
      </c>
      <c r="E17" s="37">
        <v>778</v>
      </c>
      <c r="F17" s="38">
        <v>111.86862000000001</v>
      </c>
      <c r="G17" s="39">
        <v>1.016542E-2</v>
      </c>
      <c r="H17" s="34" t="s">
        <v>143</v>
      </c>
    </row>
    <row r="18" spans="1:8" x14ac:dyDescent="0.2">
      <c r="A18" s="35">
        <v>12</v>
      </c>
      <c r="B18" s="36" t="s">
        <v>92</v>
      </c>
      <c r="C18" s="36" t="s">
        <v>93</v>
      </c>
      <c r="D18" s="36" t="s">
        <v>94</v>
      </c>
      <c r="E18" s="37">
        <v>58609</v>
      </c>
      <c r="F18" s="38">
        <v>111.8494156</v>
      </c>
      <c r="G18" s="39">
        <v>1.016368E-2</v>
      </c>
      <c r="H18" s="34" t="s">
        <v>143</v>
      </c>
    </row>
    <row r="19" spans="1:8" ht="25.5" x14ac:dyDescent="0.2">
      <c r="A19" s="35">
        <v>13</v>
      </c>
      <c r="B19" s="36" t="s">
        <v>56</v>
      </c>
      <c r="C19" s="36" t="s">
        <v>57</v>
      </c>
      <c r="D19" s="36" t="s">
        <v>58</v>
      </c>
      <c r="E19" s="37">
        <v>7698</v>
      </c>
      <c r="F19" s="38">
        <v>111.636396</v>
      </c>
      <c r="G19" s="39">
        <v>1.014432E-2</v>
      </c>
      <c r="H19" s="34" t="s">
        <v>143</v>
      </c>
    </row>
    <row r="20" spans="1:8" x14ac:dyDescent="0.2">
      <c r="A20" s="35">
        <v>14</v>
      </c>
      <c r="B20" s="36" t="s">
        <v>684</v>
      </c>
      <c r="C20" s="36" t="s">
        <v>685</v>
      </c>
      <c r="D20" s="36" t="s">
        <v>55</v>
      </c>
      <c r="E20" s="37">
        <v>4767</v>
      </c>
      <c r="F20" s="38">
        <v>111.60023700000001</v>
      </c>
      <c r="G20" s="39">
        <v>1.014104E-2</v>
      </c>
      <c r="H20" s="34" t="s">
        <v>143</v>
      </c>
    </row>
    <row r="21" spans="1:8" x14ac:dyDescent="0.2">
      <c r="A21" s="35">
        <v>15</v>
      </c>
      <c r="B21" s="36" t="s">
        <v>644</v>
      </c>
      <c r="C21" s="36" t="s">
        <v>645</v>
      </c>
      <c r="D21" s="36" t="s">
        <v>16</v>
      </c>
      <c r="E21" s="37">
        <v>75846</v>
      </c>
      <c r="F21" s="38">
        <v>111.4632816</v>
      </c>
      <c r="G21" s="39">
        <v>1.012859E-2</v>
      </c>
      <c r="H21" s="34" t="s">
        <v>143</v>
      </c>
    </row>
    <row r="22" spans="1:8" x14ac:dyDescent="0.2">
      <c r="A22" s="35">
        <v>16</v>
      </c>
      <c r="B22" s="36" t="s">
        <v>446</v>
      </c>
      <c r="C22" s="36" t="s">
        <v>447</v>
      </c>
      <c r="D22" s="36" t="s">
        <v>33</v>
      </c>
      <c r="E22" s="37">
        <v>12779</v>
      </c>
      <c r="F22" s="38">
        <v>111.44565900000001</v>
      </c>
      <c r="G22" s="39">
        <v>1.0126990000000001E-2</v>
      </c>
      <c r="H22" s="34" t="s">
        <v>143</v>
      </c>
    </row>
    <row r="23" spans="1:8" x14ac:dyDescent="0.2">
      <c r="A23" s="35">
        <v>17</v>
      </c>
      <c r="B23" s="36" t="s">
        <v>50</v>
      </c>
      <c r="C23" s="36" t="s">
        <v>51</v>
      </c>
      <c r="D23" s="36" t="s">
        <v>52</v>
      </c>
      <c r="E23" s="37">
        <v>1862</v>
      </c>
      <c r="F23" s="38">
        <v>111.28243000000001</v>
      </c>
      <c r="G23" s="39">
        <v>1.011216E-2</v>
      </c>
      <c r="H23" s="34" t="s">
        <v>143</v>
      </c>
    </row>
    <row r="24" spans="1:8" x14ac:dyDescent="0.2">
      <c r="A24" s="35">
        <v>18</v>
      </c>
      <c r="B24" s="36" t="s">
        <v>640</v>
      </c>
      <c r="C24" s="36" t="s">
        <v>641</v>
      </c>
      <c r="D24" s="36" t="s">
        <v>22</v>
      </c>
      <c r="E24" s="37">
        <v>21303</v>
      </c>
      <c r="F24" s="38">
        <v>111.22296299999999</v>
      </c>
      <c r="G24" s="39">
        <v>1.0106749999999999E-2</v>
      </c>
      <c r="H24" s="34" t="s">
        <v>143</v>
      </c>
    </row>
    <row r="25" spans="1:8" x14ac:dyDescent="0.2">
      <c r="A25" s="35">
        <v>19</v>
      </c>
      <c r="B25" s="36" t="s">
        <v>11</v>
      </c>
      <c r="C25" s="36" t="s">
        <v>12</v>
      </c>
      <c r="D25" s="36" t="s">
        <v>13</v>
      </c>
      <c r="E25" s="37">
        <v>5530</v>
      </c>
      <c r="F25" s="38">
        <v>111.13088</v>
      </c>
      <c r="G25" s="39">
        <v>1.009839E-2</v>
      </c>
      <c r="H25" s="34" t="s">
        <v>143</v>
      </c>
    </row>
    <row r="26" spans="1:8" x14ac:dyDescent="0.2">
      <c r="A26" s="35">
        <v>20</v>
      </c>
      <c r="B26" s="36" t="s">
        <v>277</v>
      </c>
      <c r="C26" s="36" t="s">
        <v>278</v>
      </c>
      <c r="D26" s="36" t="s">
        <v>192</v>
      </c>
      <c r="E26" s="37">
        <v>15712</v>
      </c>
      <c r="F26" s="38">
        <v>111.060272</v>
      </c>
      <c r="G26" s="39">
        <v>1.009197E-2</v>
      </c>
      <c r="H26" s="34" t="s">
        <v>143</v>
      </c>
    </row>
    <row r="27" spans="1:8" x14ac:dyDescent="0.2">
      <c r="A27" s="35">
        <v>21</v>
      </c>
      <c r="B27" s="36" t="s">
        <v>29</v>
      </c>
      <c r="C27" s="36" t="s">
        <v>30</v>
      </c>
      <c r="D27" s="36" t="s">
        <v>22</v>
      </c>
      <c r="E27" s="37">
        <v>37020</v>
      </c>
      <c r="F27" s="38">
        <v>111.02298</v>
      </c>
      <c r="G27" s="39">
        <v>1.008858E-2</v>
      </c>
      <c r="H27" s="34" t="s">
        <v>143</v>
      </c>
    </row>
    <row r="28" spans="1:8" ht="25.5" x14ac:dyDescent="0.2">
      <c r="A28" s="35">
        <v>22</v>
      </c>
      <c r="B28" s="36" t="s">
        <v>101</v>
      </c>
      <c r="C28" s="36" t="s">
        <v>102</v>
      </c>
      <c r="D28" s="36" t="s">
        <v>25</v>
      </c>
      <c r="E28" s="37">
        <v>19204</v>
      </c>
      <c r="F28" s="38">
        <v>110.89349799999999</v>
      </c>
      <c r="G28" s="39">
        <v>1.007682E-2</v>
      </c>
      <c r="H28" s="34" t="s">
        <v>143</v>
      </c>
    </row>
    <row r="29" spans="1:8" x14ac:dyDescent="0.2">
      <c r="A29" s="35">
        <v>23</v>
      </c>
      <c r="B29" s="36" t="s">
        <v>435</v>
      </c>
      <c r="C29" s="36" t="s">
        <v>436</v>
      </c>
      <c r="D29" s="36" t="s">
        <v>437</v>
      </c>
      <c r="E29" s="37">
        <v>15997</v>
      </c>
      <c r="F29" s="38">
        <v>110.83521450000001</v>
      </c>
      <c r="G29" s="39">
        <v>1.007152E-2</v>
      </c>
      <c r="H29" s="34" t="s">
        <v>143</v>
      </c>
    </row>
    <row r="30" spans="1:8" x14ac:dyDescent="0.2">
      <c r="A30" s="35">
        <v>24</v>
      </c>
      <c r="B30" s="36" t="s">
        <v>765</v>
      </c>
      <c r="C30" s="36" t="s">
        <v>766</v>
      </c>
      <c r="D30" s="36" t="s">
        <v>22</v>
      </c>
      <c r="E30" s="37">
        <v>10799</v>
      </c>
      <c r="F30" s="38">
        <v>110.754544</v>
      </c>
      <c r="G30" s="39">
        <v>1.0064190000000001E-2</v>
      </c>
      <c r="H30" s="34" t="s">
        <v>143</v>
      </c>
    </row>
    <row r="31" spans="1:8" x14ac:dyDescent="0.2">
      <c r="A31" s="35">
        <v>25</v>
      </c>
      <c r="B31" s="36" t="s">
        <v>767</v>
      </c>
      <c r="C31" s="36" t="s">
        <v>768</v>
      </c>
      <c r="D31" s="36" t="s">
        <v>459</v>
      </c>
      <c r="E31" s="37">
        <v>4492</v>
      </c>
      <c r="F31" s="38">
        <v>110.741276</v>
      </c>
      <c r="G31" s="39">
        <v>1.0062979999999999E-2</v>
      </c>
      <c r="H31" s="34" t="s">
        <v>143</v>
      </c>
    </row>
    <row r="32" spans="1:8" x14ac:dyDescent="0.2">
      <c r="A32" s="35">
        <v>26</v>
      </c>
      <c r="B32" s="36" t="s">
        <v>26</v>
      </c>
      <c r="C32" s="36" t="s">
        <v>27</v>
      </c>
      <c r="D32" s="36" t="s">
        <v>28</v>
      </c>
      <c r="E32" s="37">
        <v>26165</v>
      </c>
      <c r="F32" s="38">
        <v>110.28547500000001</v>
      </c>
      <c r="G32" s="39">
        <v>1.002157E-2</v>
      </c>
      <c r="H32" s="34" t="s">
        <v>143</v>
      </c>
    </row>
    <row r="33" spans="1:8" x14ac:dyDescent="0.2">
      <c r="A33" s="35">
        <v>27</v>
      </c>
      <c r="B33" s="36" t="s">
        <v>668</v>
      </c>
      <c r="C33" s="36" t="s">
        <v>669</v>
      </c>
      <c r="D33" s="36" t="s">
        <v>459</v>
      </c>
      <c r="E33" s="37">
        <v>1883</v>
      </c>
      <c r="F33" s="38">
        <v>110.17433</v>
      </c>
      <c r="G33" s="39">
        <v>1.001147E-2</v>
      </c>
      <c r="H33" s="34" t="s">
        <v>143</v>
      </c>
    </row>
    <row r="34" spans="1:8" x14ac:dyDescent="0.2">
      <c r="A34" s="35">
        <v>28</v>
      </c>
      <c r="B34" s="36" t="s">
        <v>415</v>
      </c>
      <c r="C34" s="36" t="s">
        <v>416</v>
      </c>
      <c r="D34" s="36" t="s">
        <v>136</v>
      </c>
      <c r="E34" s="37">
        <v>68945</v>
      </c>
      <c r="F34" s="38">
        <v>110.14653199999999</v>
      </c>
      <c r="G34" s="39">
        <v>1.0008939999999999E-2</v>
      </c>
      <c r="H34" s="34" t="s">
        <v>143</v>
      </c>
    </row>
    <row r="35" spans="1:8" x14ac:dyDescent="0.2">
      <c r="A35" s="35">
        <v>29</v>
      </c>
      <c r="B35" s="36" t="s">
        <v>769</v>
      </c>
      <c r="C35" s="36" t="s">
        <v>770</v>
      </c>
      <c r="D35" s="36" t="s">
        <v>192</v>
      </c>
      <c r="E35" s="37">
        <v>25771</v>
      </c>
      <c r="F35" s="38">
        <v>110.14525399999999</v>
      </c>
      <c r="G35" s="39">
        <v>1.000882E-2</v>
      </c>
      <c r="H35" s="34" t="s">
        <v>143</v>
      </c>
    </row>
    <row r="36" spans="1:8" ht="25.5" x14ac:dyDescent="0.2">
      <c r="A36" s="35">
        <v>30</v>
      </c>
      <c r="B36" s="36" t="s">
        <v>346</v>
      </c>
      <c r="C36" s="36" t="s">
        <v>347</v>
      </c>
      <c r="D36" s="36" t="s">
        <v>192</v>
      </c>
      <c r="E36" s="37">
        <v>6765</v>
      </c>
      <c r="F36" s="38">
        <v>110.13420000000001</v>
      </c>
      <c r="G36" s="39">
        <v>1.0007820000000001E-2</v>
      </c>
      <c r="H36" s="34" t="s">
        <v>143</v>
      </c>
    </row>
    <row r="37" spans="1:8" x14ac:dyDescent="0.2">
      <c r="A37" s="35">
        <v>31</v>
      </c>
      <c r="B37" s="36" t="s">
        <v>14</v>
      </c>
      <c r="C37" s="36" t="s">
        <v>15</v>
      </c>
      <c r="D37" s="36" t="s">
        <v>16</v>
      </c>
      <c r="E37" s="37">
        <v>7332</v>
      </c>
      <c r="F37" s="38">
        <v>110.02399200000001</v>
      </c>
      <c r="G37" s="39">
        <v>9.9977999999999994E-3</v>
      </c>
      <c r="H37" s="34" t="s">
        <v>143</v>
      </c>
    </row>
    <row r="38" spans="1:8" x14ac:dyDescent="0.2">
      <c r="A38" s="35">
        <v>32</v>
      </c>
      <c r="B38" s="36" t="s">
        <v>771</v>
      </c>
      <c r="C38" s="36" t="s">
        <v>772</v>
      </c>
      <c r="D38" s="36" t="s">
        <v>251</v>
      </c>
      <c r="E38" s="37">
        <v>4956</v>
      </c>
      <c r="F38" s="38">
        <v>110.008332</v>
      </c>
      <c r="G38" s="39">
        <v>9.9963799999999992E-3</v>
      </c>
      <c r="H38" s="34" t="s">
        <v>143</v>
      </c>
    </row>
    <row r="39" spans="1:8" x14ac:dyDescent="0.2">
      <c r="A39" s="35">
        <v>33</v>
      </c>
      <c r="B39" s="36" t="s">
        <v>275</v>
      </c>
      <c r="C39" s="36" t="s">
        <v>276</v>
      </c>
      <c r="D39" s="36" t="s">
        <v>256</v>
      </c>
      <c r="E39" s="37">
        <v>16717</v>
      </c>
      <c r="F39" s="38">
        <v>109.981143</v>
      </c>
      <c r="G39" s="39">
        <v>9.9939099999999999E-3</v>
      </c>
      <c r="H39" s="34" t="s">
        <v>143</v>
      </c>
    </row>
    <row r="40" spans="1:8" x14ac:dyDescent="0.2">
      <c r="A40" s="35">
        <v>34</v>
      </c>
      <c r="B40" s="36" t="s">
        <v>20</v>
      </c>
      <c r="C40" s="36" t="s">
        <v>21</v>
      </c>
      <c r="D40" s="36" t="s">
        <v>22</v>
      </c>
      <c r="E40" s="37">
        <v>32836</v>
      </c>
      <c r="F40" s="38">
        <v>109.967764</v>
      </c>
      <c r="G40" s="39">
        <v>9.9927000000000002E-3</v>
      </c>
      <c r="H40" s="34" t="s">
        <v>143</v>
      </c>
    </row>
    <row r="41" spans="1:8" x14ac:dyDescent="0.2">
      <c r="A41" s="35">
        <v>35</v>
      </c>
      <c r="B41" s="36" t="s">
        <v>521</v>
      </c>
      <c r="C41" s="36" t="s">
        <v>522</v>
      </c>
      <c r="D41" s="36" t="s">
        <v>256</v>
      </c>
      <c r="E41" s="37">
        <v>13504</v>
      </c>
      <c r="F41" s="38">
        <v>109.963072</v>
      </c>
      <c r="G41" s="39">
        <v>9.9922699999999993E-3</v>
      </c>
      <c r="H41" s="34" t="s">
        <v>143</v>
      </c>
    </row>
    <row r="42" spans="1:8" ht="25.5" x14ac:dyDescent="0.2">
      <c r="A42" s="35">
        <v>36</v>
      </c>
      <c r="B42" s="36" t="s">
        <v>525</v>
      </c>
      <c r="C42" s="36" t="s">
        <v>526</v>
      </c>
      <c r="D42" s="36" t="s">
        <v>201</v>
      </c>
      <c r="E42" s="37">
        <v>1613</v>
      </c>
      <c r="F42" s="38">
        <v>109.83723500000001</v>
      </c>
      <c r="G42" s="39">
        <v>9.9808299999999996E-3</v>
      </c>
      <c r="H42" s="34" t="s">
        <v>143</v>
      </c>
    </row>
    <row r="43" spans="1:8" x14ac:dyDescent="0.2">
      <c r="A43" s="35">
        <v>37</v>
      </c>
      <c r="B43" s="36" t="s">
        <v>31</v>
      </c>
      <c r="C43" s="36" t="s">
        <v>32</v>
      </c>
      <c r="D43" s="36" t="s">
        <v>33</v>
      </c>
      <c r="E43" s="37">
        <v>7586</v>
      </c>
      <c r="F43" s="38">
        <v>109.678388</v>
      </c>
      <c r="G43" s="39">
        <v>9.9664000000000003E-3</v>
      </c>
      <c r="H43" s="34" t="s">
        <v>143</v>
      </c>
    </row>
    <row r="44" spans="1:8" x14ac:dyDescent="0.2">
      <c r="A44" s="35">
        <v>38</v>
      </c>
      <c r="B44" s="36" t="s">
        <v>773</v>
      </c>
      <c r="C44" s="36" t="s">
        <v>774</v>
      </c>
      <c r="D44" s="36" t="s">
        <v>251</v>
      </c>
      <c r="E44" s="37">
        <v>1938</v>
      </c>
      <c r="F44" s="38">
        <v>109.62297</v>
      </c>
      <c r="G44" s="39">
        <v>9.9613600000000007E-3</v>
      </c>
      <c r="H44" s="34" t="s">
        <v>143</v>
      </c>
    </row>
    <row r="45" spans="1:8" x14ac:dyDescent="0.2">
      <c r="A45" s="35">
        <v>39</v>
      </c>
      <c r="B45" s="36" t="s">
        <v>134</v>
      </c>
      <c r="C45" s="36" t="s">
        <v>135</v>
      </c>
      <c r="D45" s="36" t="s">
        <v>136</v>
      </c>
      <c r="E45" s="37">
        <v>11626</v>
      </c>
      <c r="F45" s="38">
        <v>109.48204200000001</v>
      </c>
      <c r="G45" s="39">
        <v>9.9485600000000004E-3</v>
      </c>
      <c r="H45" s="34" t="s">
        <v>143</v>
      </c>
    </row>
    <row r="46" spans="1:8" x14ac:dyDescent="0.2">
      <c r="A46" s="35">
        <v>40</v>
      </c>
      <c r="B46" s="36" t="s">
        <v>775</v>
      </c>
      <c r="C46" s="36" t="s">
        <v>776</v>
      </c>
      <c r="D46" s="36" t="s">
        <v>43</v>
      </c>
      <c r="E46" s="37">
        <v>335</v>
      </c>
      <c r="F46" s="38">
        <v>109.47799999999999</v>
      </c>
      <c r="G46" s="39">
        <v>9.9481900000000009E-3</v>
      </c>
      <c r="H46" s="34" t="s">
        <v>143</v>
      </c>
    </row>
    <row r="47" spans="1:8" x14ac:dyDescent="0.2">
      <c r="A47" s="35">
        <v>41</v>
      </c>
      <c r="B47" s="36" t="s">
        <v>527</v>
      </c>
      <c r="C47" s="36" t="s">
        <v>528</v>
      </c>
      <c r="D47" s="36" t="s">
        <v>294</v>
      </c>
      <c r="E47" s="37">
        <v>22559</v>
      </c>
      <c r="F47" s="38">
        <v>109.46754749999999</v>
      </c>
      <c r="G47" s="39">
        <v>9.9472399999999996E-3</v>
      </c>
      <c r="H47" s="34" t="s">
        <v>143</v>
      </c>
    </row>
    <row r="48" spans="1:8" x14ac:dyDescent="0.2">
      <c r="A48" s="35">
        <v>42</v>
      </c>
      <c r="B48" s="36" t="s">
        <v>519</v>
      </c>
      <c r="C48" s="36" t="s">
        <v>520</v>
      </c>
      <c r="D48" s="36" t="s">
        <v>192</v>
      </c>
      <c r="E48" s="37">
        <v>5324</v>
      </c>
      <c r="F48" s="38">
        <v>109.46144</v>
      </c>
      <c r="G48" s="39">
        <v>9.9466899999999994E-3</v>
      </c>
      <c r="H48" s="34" t="s">
        <v>143</v>
      </c>
    </row>
    <row r="49" spans="1:8" ht="25.5" x14ac:dyDescent="0.2">
      <c r="A49" s="35">
        <v>43</v>
      </c>
      <c r="B49" s="36" t="s">
        <v>777</v>
      </c>
      <c r="C49" s="36" t="s">
        <v>778</v>
      </c>
      <c r="D49" s="36" t="s">
        <v>270</v>
      </c>
      <c r="E49" s="37">
        <v>3583</v>
      </c>
      <c r="F49" s="38">
        <v>109.43915200000001</v>
      </c>
      <c r="G49" s="39">
        <v>9.9446599999999993E-3</v>
      </c>
      <c r="H49" s="34" t="s">
        <v>143</v>
      </c>
    </row>
    <row r="50" spans="1:8" ht="25.5" x14ac:dyDescent="0.2">
      <c r="A50" s="35">
        <v>44</v>
      </c>
      <c r="B50" s="36" t="s">
        <v>281</v>
      </c>
      <c r="C50" s="36" t="s">
        <v>282</v>
      </c>
      <c r="D50" s="36" t="s">
        <v>201</v>
      </c>
      <c r="E50" s="37">
        <v>11050</v>
      </c>
      <c r="F50" s="38">
        <v>109.389475</v>
      </c>
      <c r="G50" s="39">
        <v>9.94015E-3</v>
      </c>
      <c r="H50" s="34" t="s">
        <v>143</v>
      </c>
    </row>
    <row r="51" spans="1:8" x14ac:dyDescent="0.2">
      <c r="A51" s="35">
        <v>45</v>
      </c>
      <c r="B51" s="36" t="s">
        <v>103</v>
      </c>
      <c r="C51" s="36" t="s">
        <v>104</v>
      </c>
      <c r="D51" s="36" t="s">
        <v>36</v>
      </c>
      <c r="E51" s="37">
        <v>1799</v>
      </c>
      <c r="F51" s="38">
        <v>109.388195</v>
      </c>
      <c r="G51" s="39">
        <v>9.9400300000000007E-3</v>
      </c>
      <c r="H51" s="34" t="s">
        <v>143</v>
      </c>
    </row>
    <row r="52" spans="1:8" x14ac:dyDescent="0.2">
      <c r="A52" s="35">
        <v>46</v>
      </c>
      <c r="B52" s="36" t="s">
        <v>779</v>
      </c>
      <c r="C52" s="36" t="s">
        <v>780</v>
      </c>
      <c r="D52" s="36" t="s">
        <v>287</v>
      </c>
      <c r="E52" s="37">
        <v>27319</v>
      </c>
      <c r="F52" s="38">
        <v>109.385276</v>
      </c>
      <c r="G52" s="39">
        <v>9.9397700000000005E-3</v>
      </c>
      <c r="H52" s="34" t="s">
        <v>143</v>
      </c>
    </row>
    <row r="53" spans="1:8" x14ac:dyDescent="0.2">
      <c r="A53" s="35">
        <v>47</v>
      </c>
      <c r="B53" s="36" t="s">
        <v>322</v>
      </c>
      <c r="C53" s="36" t="s">
        <v>323</v>
      </c>
      <c r="D53" s="36" t="s">
        <v>33</v>
      </c>
      <c r="E53" s="37">
        <v>5462</v>
      </c>
      <c r="F53" s="38">
        <v>109.32192999999999</v>
      </c>
      <c r="G53" s="39">
        <v>9.9340100000000001E-3</v>
      </c>
      <c r="H53" s="34" t="s">
        <v>143</v>
      </c>
    </row>
    <row r="54" spans="1:8" x14ac:dyDescent="0.2">
      <c r="A54" s="35">
        <v>48</v>
      </c>
      <c r="B54" s="36" t="s">
        <v>39</v>
      </c>
      <c r="C54" s="36" t="s">
        <v>40</v>
      </c>
      <c r="D54" s="36" t="s">
        <v>22</v>
      </c>
      <c r="E54" s="37">
        <v>26932</v>
      </c>
      <c r="F54" s="38">
        <v>109.19579400000001</v>
      </c>
      <c r="G54" s="39">
        <v>9.9225500000000005E-3</v>
      </c>
      <c r="H54" s="34" t="s">
        <v>143</v>
      </c>
    </row>
    <row r="55" spans="1:8" x14ac:dyDescent="0.2">
      <c r="A55" s="35">
        <v>49</v>
      </c>
      <c r="B55" s="36" t="s">
        <v>336</v>
      </c>
      <c r="C55" s="36" t="s">
        <v>337</v>
      </c>
      <c r="D55" s="36" t="s">
        <v>28</v>
      </c>
      <c r="E55" s="37">
        <v>2242</v>
      </c>
      <c r="F55" s="38">
        <v>109.180916</v>
      </c>
      <c r="G55" s="39">
        <v>9.9211999999999998E-3</v>
      </c>
      <c r="H55" s="34" t="s">
        <v>143</v>
      </c>
    </row>
    <row r="56" spans="1:8" x14ac:dyDescent="0.2">
      <c r="A56" s="35">
        <v>50</v>
      </c>
      <c r="B56" s="36" t="s">
        <v>427</v>
      </c>
      <c r="C56" s="36" t="s">
        <v>428</v>
      </c>
      <c r="D56" s="36" t="s">
        <v>251</v>
      </c>
      <c r="E56" s="37">
        <v>15869</v>
      </c>
      <c r="F56" s="38">
        <v>109.17872</v>
      </c>
      <c r="G56" s="39">
        <v>9.9209999999999993E-3</v>
      </c>
      <c r="H56" s="34" t="s">
        <v>143</v>
      </c>
    </row>
    <row r="57" spans="1:8" x14ac:dyDescent="0.2">
      <c r="A57" s="35">
        <v>51</v>
      </c>
      <c r="B57" s="36" t="s">
        <v>301</v>
      </c>
      <c r="C57" s="36" t="s">
        <v>302</v>
      </c>
      <c r="D57" s="36" t="s">
        <v>287</v>
      </c>
      <c r="E57" s="37">
        <v>1755</v>
      </c>
      <c r="F57" s="38">
        <v>109.117125</v>
      </c>
      <c r="G57" s="39">
        <v>9.9153999999999996E-3</v>
      </c>
      <c r="H57" s="34" t="s">
        <v>143</v>
      </c>
    </row>
    <row r="58" spans="1:8" x14ac:dyDescent="0.2">
      <c r="A58" s="35">
        <v>52</v>
      </c>
      <c r="B58" s="36" t="s">
        <v>17</v>
      </c>
      <c r="C58" s="36" t="s">
        <v>18</v>
      </c>
      <c r="D58" s="36" t="s">
        <v>19</v>
      </c>
      <c r="E58" s="37">
        <v>2971</v>
      </c>
      <c r="F58" s="38">
        <v>109.029758</v>
      </c>
      <c r="G58" s="39">
        <v>9.9074599999999999E-3</v>
      </c>
      <c r="H58" s="34" t="s">
        <v>143</v>
      </c>
    </row>
    <row r="59" spans="1:8" x14ac:dyDescent="0.2">
      <c r="A59" s="35">
        <v>53</v>
      </c>
      <c r="B59" s="36" t="s">
        <v>720</v>
      </c>
      <c r="C59" s="36" t="s">
        <v>721</v>
      </c>
      <c r="D59" s="36" t="s">
        <v>287</v>
      </c>
      <c r="E59" s="37">
        <v>2493</v>
      </c>
      <c r="F59" s="38">
        <v>109.001439</v>
      </c>
      <c r="G59" s="39">
        <v>9.9048899999999995E-3</v>
      </c>
      <c r="H59" s="34" t="s">
        <v>143</v>
      </c>
    </row>
    <row r="60" spans="1:8" x14ac:dyDescent="0.2">
      <c r="A60" s="35">
        <v>54</v>
      </c>
      <c r="B60" s="36" t="s">
        <v>334</v>
      </c>
      <c r="C60" s="36" t="s">
        <v>335</v>
      </c>
      <c r="D60" s="36" t="s">
        <v>33</v>
      </c>
      <c r="E60" s="37">
        <v>43800</v>
      </c>
      <c r="F60" s="38">
        <v>108.96563999999999</v>
      </c>
      <c r="G60" s="39">
        <v>9.9016299999999998E-3</v>
      </c>
      <c r="H60" s="34" t="s">
        <v>143</v>
      </c>
    </row>
    <row r="61" spans="1:8" x14ac:dyDescent="0.2">
      <c r="A61" s="35">
        <v>55</v>
      </c>
      <c r="B61" s="36" t="s">
        <v>332</v>
      </c>
      <c r="C61" s="36" t="s">
        <v>333</v>
      </c>
      <c r="D61" s="36" t="s">
        <v>192</v>
      </c>
      <c r="E61" s="37">
        <v>11627</v>
      </c>
      <c r="F61" s="38">
        <v>108.886855</v>
      </c>
      <c r="G61" s="39">
        <v>9.8944700000000007E-3</v>
      </c>
      <c r="H61" s="34" t="s">
        <v>143</v>
      </c>
    </row>
    <row r="62" spans="1:8" x14ac:dyDescent="0.2">
      <c r="A62" s="35">
        <v>56</v>
      </c>
      <c r="B62" s="36" t="s">
        <v>350</v>
      </c>
      <c r="C62" s="36" t="s">
        <v>351</v>
      </c>
      <c r="D62" s="36" t="s">
        <v>287</v>
      </c>
      <c r="E62" s="37">
        <v>41122</v>
      </c>
      <c r="F62" s="38">
        <v>108.623763</v>
      </c>
      <c r="G62" s="39">
        <v>9.8705700000000004E-3</v>
      </c>
      <c r="H62" s="34" t="s">
        <v>143</v>
      </c>
    </row>
    <row r="63" spans="1:8" x14ac:dyDescent="0.2">
      <c r="A63" s="35">
        <v>57</v>
      </c>
      <c r="B63" s="36" t="s">
        <v>781</v>
      </c>
      <c r="C63" s="36" t="s">
        <v>782</v>
      </c>
      <c r="D63" s="36" t="s">
        <v>43</v>
      </c>
      <c r="E63" s="37">
        <v>70129</v>
      </c>
      <c r="F63" s="38">
        <v>108.5807307</v>
      </c>
      <c r="G63" s="39">
        <v>9.8666599999999993E-3</v>
      </c>
      <c r="H63" s="34" t="s">
        <v>143</v>
      </c>
    </row>
    <row r="64" spans="1:8" x14ac:dyDescent="0.2">
      <c r="A64" s="35">
        <v>58</v>
      </c>
      <c r="B64" s="36" t="s">
        <v>634</v>
      </c>
      <c r="C64" s="36" t="s">
        <v>635</v>
      </c>
      <c r="D64" s="36" t="s">
        <v>33</v>
      </c>
      <c r="E64" s="37">
        <v>98230</v>
      </c>
      <c r="F64" s="38">
        <v>108.54415</v>
      </c>
      <c r="G64" s="39">
        <v>9.86333E-3</v>
      </c>
      <c r="H64" s="34" t="s">
        <v>143</v>
      </c>
    </row>
    <row r="65" spans="1:8" x14ac:dyDescent="0.2">
      <c r="A65" s="35">
        <v>59</v>
      </c>
      <c r="B65" s="36" t="s">
        <v>499</v>
      </c>
      <c r="C65" s="36" t="s">
        <v>500</v>
      </c>
      <c r="D65" s="36" t="s">
        <v>192</v>
      </c>
      <c r="E65" s="37">
        <v>26960</v>
      </c>
      <c r="F65" s="38">
        <v>108.48703999999999</v>
      </c>
      <c r="G65" s="39">
        <v>9.8581399999999996E-3</v>
      </c>
      <c r="H65" s="34" t="s">
        <v>143</v>
      </c>
    </row>
    <row r="66" spans="1:8" x14ac:dyDescent="0.2">
      <c r="A66" s="35">
        <v>60</v>
      </c>
      <c r="B66" s="36" t="s">
        <v>46</v>
      </c>
      <c r="C66" s="36" t="s">
        <v>47</v>
      </c>
      <c r="D66" s="36" t="s">
        <v>33</v>
      </c>
      <c r="E66" s="37">
        <v>13222</v>
      </c>
      <c r="F66" s="38">
        <v>108.466677</v>
      </c>
      <c r="G66" s="39">
        <v>9.8562900000000002E-3</v>
      </c>
      <c r="H66" s="34" t="s">
        <v>143</v>
      </c>
    </row>
    <row r="67" spans="1:8" ht="25.5" x14ac:dyDescent="0.2">
      <c r="A67" s="35">
        <v>61</v>
      </c>
      <c r="B67" s="36" t="s">
        <v>342</v>
      </c>
      <c r="C67" s="36" t="s">
        <v>343</v>
      </c>
      <c r="D67" s="36" t="s">
        <v>25</v>
      </c>
      <c r="E67" s="37">
        <v>3808</v>
      </c>
      <c r="F67" s="38">
        <v>108.31856000000001</v>
      </c>
      <c r="G67" s="39">
        <v>9.8428300000000003E-3</v>
      </c>
      <c r="H67" s="34" t="s">
        <v>143</v>
      </c>
    </row>
    <row r="68" spans="1:8" x14ac:dyDescent="0.2">
      <c r="A68" s="35">
        <v>62</v>
      </c>
      <c r="B68" s="36" t="s">
        <v>68</v>
      </c>
      <c r="C68" s="36" t="s">
        <v>69</v>
      </c>
      <c r="D68" s="36" t="s">
        <v>70</v>
      </c>
      <c r="E68" s="37">
        <v>44334</v>
      </c>
      <c r="F68" s="38">
        <v>108.26806139999999</v>
      </c>
      <c r="G68" s="39">
        <v>9.8382399999999998E-3</v>
      </c>
      <c r="H68" s="34" t="s">
        <v>143</v>
      </c>
    </row>
    <row r="69" spans="1:8" x14ac:dyDescent="0.2">
      <c r="A69" s="35">
        <v>63</v>
      </c>
      <c r="B69" s="36" t="s">
        <v>444</v>
      </c>
      <c r="C69" s="36" t="s">
        <v>445</v>
      </c>
      <c r="D69" s="36" t="s">
        <v>354</v>
      </c>
      <c r="E69" s="37">
        <v>4717</v>
      </c>
      <c r="F69" s="38">
        <v>108.236282</v>
      </c>
      <c r="G69" s="39">
        <v>9.8353599999999996E-3</v>
      </c>
      <c r="H69" s="34" t="s">
        <v>143</v>
      </c>
    </row>
    <row r="70" spans="1:8" x14ac:dyDescent="0.2">
      <c r="A70" s="35">
        <v>64</v>
      </c>
      <c r="B70" s="36" t="s">
        <v>429</v>
      </c>
      <c r="C70" s="36" t="s">
        <v>430</v>
      </c>
      <c r="D70" s="36" t="s">
        <v>198</v>
      </c>
      <c r="E70" s="37">
        <v>6261</v>
      </c>
      <c r="F70" s="38">
        <v>108.22764599999999</v>
      </c>
      <c r="G70" s="39">
        <v>9.8345700000000008E-3</v>
      </c>
      <c r="H70" s="34" t="s">
        <v>143</v>
      </c>
    </row>
    <row r="71" spans="1:8" x14ac:dyDescent="0.2">
      <c r="A71" s="35">
        <v>65</v>
      </c>
      <c r="B71" s="36" t="s">
        <v>783</v>
      </c>
      <c r="C71" s="36" t="s">
        <v>784</v>
      </c>
      <c r="D71" s="36" t="s">
        <v>256</v>
      </c>
      <c r="E71" s="37">
        <v>11120</v>
      </c>
      <c r="F71" s="38">
        <v>108.17536</v>
      </c>
      <c r="G71" s="39">
        <v>9.8298199999999995E-3</v>
      </c>
      <c r="H71" s="34" t="s">
        <v>143</v>
      </c>
    </row>
    <row r="72" spans="1:8" x14ac:dyDescent="0.2">
      <c r="A72" s="35">
        <v>66</v>
      </c>
      <c r="B72" s="36" t="s">
        <v>785</v>
      </c>
      <c r="C72" s="36" t="s">
        <v>786</v>
      </c>
      <c r="D72" s="36" t="s">
        <v>55</v>
      </c>
      <c r="E72" s="37">
        <v>6971</v>
      </c>
      <c r="F72" s="38">
        <v>108.12718099999999</v>
      </c>
      <c r="G72" s="39">
        <v>9.8254399999999995E-3</v>
      </c>
      <c r="H72" s="34" t="s">
        <v>143</v>
      </c>
    </row>
    <row r="73" spans="1:8" x14ac:dyDescent="0.2">
      <c r="A73" s="35">
        <v>67</v>
      </c>
      <c r="B73" s="36" t="s">
        <v>636</v>
      </c>
      <c r="C73" s="36" t="s">
        <v>637</v>
      </c>
      <c r="D73" s="36" t="s">
        <v>33</v>
      </c>
      <c r="E73" s="37">
        <v>94598</v>
      </c>
      <c r="F73" s="38">
        <v>108.030916</v>
      </c>
      <c r="G73" s="39">
        <v>9.8166999999999994E-3</v>
      </c>
      <c r="H73" s="34" t="s">
        <v>143</v>
      </c>
    </row>
    <row r="74" spans="1:8" x14ac:dyDescent="0.2">
      <c r="A74" s="35">
        <v>68</v>
      </c>
      <c r="B74" s="36" t="s">
        <v>665</v>
      </c>
      <c r="C74" s="36" t="s">
        <v>666</v>
      </c>
      <c r="D74" s="36" t="s">
        <v>667</v>
      </c>
      <c r="E74" s="37">
        <v>27546</v>
      </c>
      <c r="F74" s="38">
        <v>107.96654700000001</v>
      </c>
      <c r="G74" s="39">
        <v>9.8108499999999994E-3</v>
      </c>
      <c r="H74" s="34" t="s">
        <v>143</v>
      </c>
    </row>
    <row r="75" spans="1:8" x14ac:dyDescent="0.2">
      <c r="A75" s="35">
        <v>69</v>
      </c>
      <c r="B75" s="36" t="s">
        <v>249</v>
      </c>
      <c r="C75" s="36" t="s">
        <v>250</v>
      </c>
      <c r="D75" s="36" t="s">
        <v>251</v>
      </c>
      <c r="E75" s="37">
        <v>3699</v>
      </c>
      <c r="F75" s="38">
        <v>107.93682</v>
      </c>
      <c r="G75" s="39">
        <v>9.8081399999999999E-3</v>
      </c>
      <c r="H75" s="34" t="s">
        <v>143</v>
      </c>
    </row>
    <row r="76" spans="1:8" x14ac:dyDescent="0.2">
      <c r="A76" s="35">
        <v>70</v>
      </c>
      <c r="B76" s="36" t="s">
        <v>787</v>
      </c>
      <c r="C76" s="36" t="s">
        <v>788</v>
      </c>
      <c r="D76" s="36" t="s">
        <v>192</v>
      </c>
      <c r="E76" s="37">
        <v>88542</v>
      </c>
      <c r="F76" s="38">
        <v>107.88842699999999</v>
      </c>
      <c r="G76" s="39">
        <v>9.80375E-3</v>
      </c>
      <c r="H76" s="34" t="s">
        <v>143</v>
      </c>
    </row>
    <row r="77" spans="1:8" x14ac:dyDescent="0.2">
      <c r="A77" s="35">
        <v>71</v>
      </c>
      <c r="B77" s="36" t="s">
        <v>789</v>
      </c>
      <c r="C77" s="36" t="s">
        <v>790</v>
      </c>
      <c r="D77" s="36" t="s">
        <v>192</v>
      </c>
      <c r="E77" s="37">
        <v>76086</v>
      </c>
      <c r="F77" s="38">
        <v>107.8290792</v>
      </c>
      <c r="G77" s="39">
        <v>9.7983500000000008E-3</v>
      </c>
      <c r="H77" s="34" t="s">
        <v>143</v>
      </c>
    </row>
    <row r="78" spans="1:8" x14ac:dyDescent="0.2">
      <c r="A78" s="35">
        <v>72</v>
      </c>
      <c r="B78" s="36" t="s">
        <v>359</v>
      </c>
      <c r="C78" s="36" t="s">
        <v>360</v>
      </c>
      <c r="D78" s="36" t="s">
        <v>55</v>
      </c>
      <c r="E78" s="37">
        <v>2922</v>
      </c>
      <c r="F78" s="38">
        <v>107.82764400000001</v>
      </c>
      <c r="G78" s="39">
        <v>9.7982199999999998E-3</v>
      </c>
      <c r="H78" s="34" t="s">
        <v>143</v>
      </c>
    </row>
    <row r="79" spans="1:8" x14ac:dyDescent="0.2">
      <c r="A79" s="35">
        <v>73</v>
      </c>
      <c r="B79" s="36" t="s">
        <v>95</v>
      </c>
      <c r="C79" s="36" t="s">
        <v>96</v>
      </c>
      <c r="D79" s="36" t="s">
        <v>36</v>
      </c>
      <c r="E79" s="37">
        <v>3312</v>
      </c>
      <c r="F79" s="38">
        <v>107.68968</v>
      </c>
      <c r="G79" s="39">
        <v>9.7856899999999997E-3</v>
      </c>
      <c r="H79" s="34" t="s">
        <v>143</v>
      </c>
    </row>
    <row r="80" spans="1:8" x14ac:dyDescent="0.2">
      <c r="A80" s="35">
        <v>74</v>
      </c>
      <c r="B80" s="36" t="s">
        <v>352</v>
      </c>
      <c r="C80" s="36" t="s">
        <v>353</v>
      </c>
      <c r="D80" s="36" t="s">
        <v>354</v>
      </c>
      <c r="E80" s="37">
        <v>25858</v>
      </c>
      <c r="F80" s="38">
        <v>107.685641</v>
      </c>
      <c r="G80" s="39">
        <v>9.7853200000000001E-3</v>
      </c>
      <c r="H80" s="34" t="s">
        <v>143</v>
      </c>
    </row>
    <row r="81" spans="1:8" x14ac:dyDescent="0.2">
      <c r="A81" s="35">
        <v>75</v>
      </c>
      <c r="B81" s="36" t="s">
        <v>691</v>
      </c>
      <c r="C81" s="36" t="s">
        <v>692</v>
      </c>
      <c r="D81" s="36" t="s">
        <v>136</v>
      </c>
      <c r="E81" s="37">
        <v>10546</v>
      </c>
      <c r="F81" s="38">
        <v>107.62193000000001</v>
      </c>
      <c r="G81" s="39">
        <v>9.7795299999999998E-3</v>
      </c>
      <c r="H81" s="34" t="s">
        <v>143</v>
      </c>
    </row>
    <row r="82" spans="1:8" x14ac:dyDescent="0.2">
      <c r="A82" s="35">
        <v>76</v>
      </c>
      <c r="B82" s="36" t="s">
        <v>433</v>
      </c>
      <c r="C82" s="36" t="s">
        <v>434</v>
      </c>
      <c r="D82" s="36" t="s">
        <v>198</v>
      </c>
      <c r="E82" s="37">
        <v>3107</v>
      </c>
      <c r="F82" s="38">
        <v>107.56434</v>
      </c>
      <c r="G82" s="39">
        <v>9.7742999999999997E-3</v>
      </c>
      <c r="H82" s="34" t="s">
        <v>143</v>
      </c>
    </row>
    <row r="83" spans="1:8" x14ac:dyDescent="0.2">
      <c r="A83" s="35">
        <v>77</v>
      </c>
      <c r="B83" s="36" t="s">
        <v>344</v>
      </c>
      <c r="C83" s="36" t="s">
        <v>345</v>
      </c>
      <c r="D83" s="36" t="s">
        <v>287</v>
      </c>
      <c r="E83" s="37">
        <v>7226</v>
      </c>
      <c r="F83" s="38">
        <v>107.54455799999999</v>
      </c>
      <c r="G83" s="39">
        <v>9.7724999999999999E-3</v>
      </c>
      <c r="H83" s="34" t="s">
        <v>143</v>
      </c>
    </row>
    <row r="84" spans="1:8" ht="25.5" x14ac:dyDescent="0.2">
      <c r="A84" s="35">
        <v>78</v>
      </c>
      <c r="B84" s="36" t="s">
        <v>438</v>
      </c>
      <c r="C84" s="36" t="s">
        <v>439</v>
      </c>
      <c r="D84" s="36" t="s">
        <v>209</v>
      </c>
      <c r="E84" s="37">
        <v>9786</v>
      </c>
      <c r="F84" s="38">
        <v>107.538354</v>
      </c>
      <c r="G84" s="39">
        <v>9.7719399999999998E-3</v>
      </c>
      <c r="H84" s="34" t="s">
        <v>143</v>
      </c>
    </row>
    <row r="85" spans="1:8" x14ac:dyDescent="0.2">
      <c r="A85" s="35">
        <v>79</v>
      </c>
      <c r="B85" s="36" t="s">
        <v>357</v>
      </c>
      <c r="C85" s="36" t="s">
        <v>358</v>
      </c>
      <c r="D85" s="36" t="s">
        <v>226</v>
      </c>
      <c r="E85" s="37">
        <v>23500</v>
      </c>
      <c r="F85" s="38">
        <v>107.52424999999999</v>
      </c>
      <c r="G85" s="39">
        <v>9.7706600000000005E-3</v>
      </c>
      <c r="H85" s="34" t="s">
        <v>143</v>
      </c>
    </row>
    <row r="86" spans="1:8" x14ac:dyDescent="0.2">
      <c r="A86" s="35">
        <v>80</v>
      </c>
      <c r="B86" s="36" t="s">
        <v>714</v>
      </c>
      <c r="C86" s="36" t="s">
        <v>715</v>
      </c>
      <c r="D86" s="36" t="s">
        <v>256</v>
      </c>
      <c r="E86" s="37">
        <v>5270</v>
      </c>
      <c r="F86" s="38">
        <v>107.51854</v>
      </c>
      <c r="G86" s="39">
        <v>9.7701400000000001E-3</v>
      </c>
      <c r="H86" s="34" t="s">
        <v>143</v>
      </c>
    </row>
    <row r="87" spans="1:8" x14ac:dyDescent="0.2">
      <c r="A87" s="35">
        <v>81</v>
      </c>
      <c r="B87" s="36" t="s">
        <v>791</v>
      </c>
      <c r="C87" s="36" t="s">
        <v>792</v>
      </c>
      <c r="D87" s="36" t="s">
        <v>36</v>
      </c>
      <c r="E87" s="37">
        <v>15753</v>
      </c>
      <c r="F87" s="38">
        <v>107.4590895</v>
      </c>
      <c r="G87" s="39">
        <v>9.7647299999999992E-3</v>
      </c>
      <c r="H87" s="34" t="s">
        <v>143</v>
      </c>
    </row>
    <row r="88" spans="1:8" ht="25.5" x14ac:dyDescent="0.2">
      <c r="A88" s="35">
        <v>82</v>
      </c>
      <c r="B88" s="36" t="s">
        <v>348</v>
      </c>
      <c r="C88" s="36" t="s">
        <v>349</v>
      </c>
      <c r="D88" s="36" t="s">
        <v>201</v>
      </c>
      <c r="E88" s="37">
        <v>6412</v>
      </c>
      <c r="F88" s="38">
        <v>107.44588400000001</v>
      </c>
      <c r="G88" s="39">
        <v>9.7635299999999994E-3</v>
      </c>
      <c r="H88" s="34" t="s">
        <v>143</v>
      </c>
    </row>
    <row r="89" spans="1:8" x14ac:dyDescent="0.2">
      <c r="A89" s="35">
        <v>83</v>
      </c>
      <c r="B89" s="36" t="s">
        <v>509</v>
      </c>
      <c r="C89" s="36" t="s">
        <v>510</v>
      </c>
      <c r="D89" s="36" t="s">
        <v>251</v>
      </c>
      <c r="E89" s="37">
        <v>2533</v>
      </c>
      <c r="F89" s="38">
        <v>107.325743</v>
      </c>
      <c r="G89" s="39">
        <v>9.75262E-3</v>
      </c>
      <c r="H89" s="34" t="s">
        <v>143</v>
      </c>
    </row>
    <row r="90" spans="1:8" x14ac:dyDescent="0.2">
      <c r="A90" s="35">
        <v>84</v>
      </c>
      <c r="B90" s="36" t="s">
        <v>324</v>
      </c>
      <c r="C90" s="36" t="s">
        <v>325</v>
      </c>
      <c r="D90" s="36" t="s">
        <v>33</v>
      </c>
      <c r="E90" s="37">
        <v>8942</v>
      </c>
      <c r="F90" s="38">
        <v>107.23246399999999</v>
      </c>
      <c r="G90" s="39">
        <v>9.7441400000000001E-3</v>
      </c>
      <c r="H90" s="34" t="s">
        <v>143</v>
      </c>
    </row>
    <row r="91" spans="1:8" x14ac:dyDescent="0.2">
      <c r="A91" s="35">
        <v>85</v>
      </c>
      <c r="B91" s="36" t="s">
        <v>431</v>
      </c>
      <c r="C91" s="36" t="s">
        <v>432</v>
      </c>
      <c r="D91" s="36" t="s">
        <v>256</v>
      </c>
      <c r="E91" s="37">
        <v>5833</v>
      </c>
      <c r="F91" s="38">
        <v>107.228039</v>
      </c>
      <c r="G91" s="39">
        <v>9.7437400000000007E-3</v>
      </c>
      <c r="H91" s="34" t="s">
        <v>143</v>
      </c>
    </row>
    <row r="92" spans="1:8" x14ac:dyDescent="0.2">
      <c r="A92" s="35">
        <v>86</v>
      </c>
      <c r="B92" s="36" t="s">
        <v>511</v>
      </c>
      <c r="C92" s="36" t="s">
        <v>512</v>
      </c>
      <c r="D92" s="36" t="s">
        <v>251</v>
      </c>
      <c r="E92" s="37">
        <v>1280</v>
      </c>
      <c r="F92" s="38">
        <v>107.2128</v>
      </c>
      <c r="G92" s="39">
        <v>9.7423500000000003E-3</v>
      </c>
      <c r="H92" s="34" t="s">
        <v>143</v>
      </c>
    </row>
    <row r="93" spans="1:8" ht="25.5" x14ac:dyDescent="0.2">
      <c r="A93" s="35">
        <v>87</v>
      </c>
      <c r="B93" s="36" t="s">
        <v>440</v>
      </c>
      <c r="C93" s="36" t="s">
        <v>441</v>
      </c>
      <c r="D93" s="36" t="s">
        <v>201</v>
      </c>
      <c r="E93" s="37">
        <v>7112</v>
      </c>
      <c r="F93" s="38">
        <v>107.099608</v>
      </c>
      <c r="G93" s="39">
        <v>9.7320700000000007E-3</v>
      </c>
      <c r="H93" s="34" t="s">
        <v>143</v>
      </c>
    </row>
    <row r="94" spans="1:8" x14ac:dyDescent="0.2">
      <c r="A94" s="35">
        <v>88</v>
      </c>
      <c r="B94" s="36" t="s">
        <v>793</v>
      </c>
      <c r="C94" s="36" t="s">
        <v>794</v>
      </c>
      <c r="D94" s="36" t="s">
        <v>294</v>
      </c>
      <c r="E94" s="37">
        <v>9084</v>
      </c>
      <c r="F94" s="38">
        <v>107.045856</v>
      </c>
      <c r="G94" s="39">
        <v>9.7271800000000002E-3</v>
      </c>
      <c r="H94" s="34" t="s">
        <v>143</v>
      </c>
    </row>
    <row r="95" spans="1:8" x14ac:dyDescent="0.2">
      <c r="A95" s="35">
        <v>89</v>
      </c>
      <c r="B95" s="36" t="s">
        <v>326</v>
      </c>
      <c r="C95" s="36" t="s">
        <v>327</v>
      </c>
      <c r="D95" s="36" t="s">
        <v>33</v>
      </c>
      <c r="E95" s="37">
        <v>4946</v>
      </c>
      <c r="F95" s="38">
        <v>107.00671</v>
      </c>
      <c r="G95" s="39">
        <v>9.7236300000000005E-3</v>
      </c>
      <c r="H95" s="34" t="s">
        <v>143</v>
      </c>
    </row>
    <row r="96" spans="1:8" x14ac:dyDescent="0.2">
      <c r="A96" s="35">
        <v>90</v>
      </c>
      <c r="B96" s="36" t="s">
        <v>338</v>
      </c>
      <c r="C96" s="36" t="s">
        <v>339</v>
      </c>
      <c r="D96" s="36" t="s">
        <v>251</v>
      </c>
      <c r="E96" s="37">
        <v>3361</v>
      </c>
      <c r="F96" s="38">
        <v>106.987352</v>
      </c>
      <c r="G96" s="39">
        <v>9.7218700000000005E-3</v>
      </c>
      <c r="H96" s="34" t="s">
        <v>143</v>
      </c>
    </row>
    <row r="97" spans="1:8" x14ac:dyDescent="0.2">
      <c r="A97" s="35">
        <v>91</v>
      </c>
      <c r="B97" s="36" t="s">
        <v>328</v>
      </c>
      <c r="C97" s="36" t="s">
        <v>329</v>
      </c>
      <c r="D97" s="36" t="s">
        <v>198</v>
      </c>
      <c r="E97" s="37">
        <v>6671</v>
      </c>
      <c r="F97" s="38">
        <v>106.856078</v>
      </c>
      <c r="G97" s="39">
        <v>9.7099400000000002E-3</v>
      </c>
      <c r="H97" s="34" t="s">
        <v>143</v>
      </c>
    </row>
    <row r="98" spans="1:8" x14ac:dyDescent="0.2">
      <c r="A98" s="35">
        <v>92</v>
      </c>
      <c r="B98" s="36" t="s">
        <v>507</v>
      </c>
      <c r="C98" s="36" t="s">
        <v>508</v>
      </c>
      <c r="D98" s="36" t="s">
        <v>226</v>
      </c>
      <c r="E98" s="37">
        <v>7458</v>
      </c>
      <c r="F98" s="38">
        <v>106.507698</v>
      </c>
      <c r="G98" s="39">
        <v>9.6782799999999992E-3</v>
      </c>
      <c r="H98" s="34" t="s">
        <v>143</v>
      </c>
    </row>
    <row r="99" spans="1:8" x14ac:dyDescent="0.2">
      <c r="A99" s="35">
        <v>93</v>
      </c>
      <c r="B99" s="36" t="s">
        <v>513</v>
      </c>
      <c r="C99" s="36" t="s">
        <v>514</v>
      </c>
      <c r="D99" s="36" t="s">
        <v>198</v>
      </c>
      <c r="E99" s="37">
        <v>6310</v>
      </c>
      <c r="F99" s="38">
        <v>106.44970000000001</v>
      </c>
      <c r="G99" s="39">
        <v>9.6730099999999992E-3</v>
      </c>
      <c r="H99" s="34" t="s">
        <v>143</v>
      </c>
    </row>
    <row r="100" spans="1:8" x14ac:dyDescent="0.2">
      <c r="A100" s="35">
        <v>94</v>
      </c>
      <c r="B100" s="36" t="s">
        <v>448</v>
      </c>
      <c r="C100" s="36" t="s">
        <v>449</v>
      </c>
      <c r="D100" s="36" t="s">
        <v>198</v>
      </c>
      <c r="E100" s="37">
        <v>39998</v>
      </c>
      <c r="F100" s="38">
        <v>106.3866804</v>
      </c>
      <c r="G100" s="39">
        <v>9.6672800000000003E-3</v>
      </c>
      <c r="H100" s="34" t="s">
        <v>143</v>
      </c>
    </row>
    <row r="101" spans="1:8" x14ac:dyDescent="0.2">
      <c r="A101" s="35">
        <v>95</v>
      </c>
      <c r="B101" s="36" t="s">
        <v>642</v>
      </c>
      <c r="C101" s="36" t="s">
        <v>643</v>
      </c>
      <c r="D101" s="36" t="s">
        <v>61</v>
      </c>
      <c r="E101" s="37">
        <v>12672</v>
      </c>
      <c r="F101" s="38">
        <v>106.166016</v>
      </c>
      <c r="G101" s="39">
        <v>9.6472299999999997E-3</v>
      </c>
      <c r="H101" s="34" t="s">
        <v>143</v>
      </c>
    </row>
    <row r="102" spans="1:8" x14ac:dyDescent="0.2">
      <c r="A102" s="35">
        <v>96</v>
      </c>
      <c r="B102" s="36" t="s">
        <v>503</v>
      </c>
      <c r="C102" s="36" t="s">
        <v>504</v>
      </c>
      <c r="D102" s="36" t="s">
        <v>251</v>
      </c>
      <c r="E102" s="37">
        <v>853</v>
      </c>
      <c r="F102" s="38">
        <v>105.77200000000001</v>
      </c>
      <c r="G102" s="39">
        <v>9.6114300000000007E-3</v>
      </c>
      <c r="H102" s="34" t="s">
        <v>143</v>
      </c>
    </row>
    <row r="103" spans="1:8" x14ac:dyDescent="0.2">
      <c r="A103" s="35">
        <v>97</v>
      </c>
      <c r="B103" s="36" t="s">
        <v>311</v>
      </c>
      <c r="C103" s="36" t="s">
        <v>312</v>
      </c>
      <c r="D103" s="36" t="s">
        <v>221</v>
      </c>
      <c r="E103" s="37">
        <v>13910</v>
      </c>
      <c r="F103" s="38">
        <v>105.75773</v>
      </c>
      <c r="G103" s="39">
        <v>9.6101299999999997E-3</v>
      </c>
      <c r="H103" s="34" t="s">
        <v>143</v>
      </c>
    </row>
    <row r="104" spans="1:8" x14ac:dyDescent="0.2">
      <c r="A104" s="35">
        <v>98</v>
      </c>
      <c r="B104" s="36" t="s">
        <v>795</v>
      </c>
      <c r="C104" s="36" t="s">
        <v>796</v>
      </c>
      <c r="D104" s="36" t="s">
        <v>198</v>
      </c>
      <c r="E104" s="37">
        <v>1984</v>
      </c>
      <c r="F104" s="38">
        <v>105.48927999999999</v>
      </c>
      <c r="G104" s="39">
        <v>9.5857400000000006E-3</v>
      </c>
      <c r="H104" s="34" t="s">
        <v>143</v>
      </c>
    </row>
    <row r="105" spans="1:8" ht="25.5" x14ac:dyDescent="0.2">
      <c r="A105" s="35">
        <v>99</v>
      </c>
      <c r="B105" s="36" t="s">
        <v>716</v>
      </c>
      <c r="C105" s="36" t="s">
        <v>717</v>
      </c>
      <c r="D105" s="36" t="s">
        <v>201</v>
      </c>
      <c r="E105" s="37">
        <v>8155</v>
      </c>
      <c r="F105" s="38">
        <v>104.653115</v>
      </c>
      <c r="G105" s="39">
        <v>9.5097600000000008E-3</v>
      </c>
      <c r="H105" s="34" t="s">
        <v>143</v>
      </c>
    </row>
    <row r="106" spans="1:8" x14ac:dyDescent="0.2">
      <c r="A106" s="35">
        <v>100</v>
      </c>
      <c r="B106" s="36" t="s">
        <v>797</v>
      </c>
      <c r="C106" s="36" t="s">
        <v>798</v>
      </c>
      <c r="D106" s="36" t="s">
        <v>61</v>
      </c>
      <c r="E106" s="37">
        <v>7541</v>
      </c>
      <c r="F106" s="38">
        <v>104.38252199999999</v>
      </c>
      <c r="G106" s="39">
        <v>9.4851699999999994E-3</v>
      </c>
      <c r="H106" s="34" t="s">
        <v>143</v>
      </c>
    </row>
    <row r="107" spans="1:8" x14ac:dyDescent="0.2">
      <c r="A107" s="41"/>
      <c r="B107" s="41"/>
      <c r="C107" s="42" t="s">
        <v>142</v>
      </c>
      <c r="D107" s="41"/>
      <c r="E107" s="41" t="s">
        <v>143</v>
      </c>
      <c r="F107" s="43">
        <v>10914.3441879</v>
      </c>
      <c r="G107" s="44">
        <v>0.99177899000000003</v>
      </c>
      <c r="H107" s="34" t="s">
        <v>143</v>
      </c>
    </row>
    <row r="108" spans="1:8" x14ac:dyDescent="0.2">
      <c r="A108" s="41"/>
      <c r="B108" s="41"/>
      <c r="C108" s="45"/>
      <c r="D108" s="41"/>
      <c r="E108" s="41"/>
      <c r="F108" s="46"/>
      <c r="G108" s="46"/>
      <c r="H108" s="34" t="s">
        <v>143</v>
      </c>
    </row>
    <row r="109" spans="1:8" x14ac:dyDescent="0.2">
      <c r="A109" s="41"/>
      <c r="B109" s="41"/>
      <c r="C109" s="42" t="s">
        <v>144</v>
      </c>
      <c r="D109" s="41"/>
      <c r="E109" s="41"/>
      <c r="F109" s="41"/>
      <c r="G109" s="41"/>
      <c r="H109" s="34" t="s">
        <v>143</v>
      </c>
    </row>
    <row r="110" spans="1:8" x14ac:dyDescent="0.2">
      <c r="A110" s="41"/>
      <c r="B110" s="41"/>
      <c r="C110" s="42" t="s">
        <v>142</v>
      </c>
      <c r="D110" s="41"/>
      <c r="E110" s="41" t="s">
        <v>143</v>
      </c>
      <c r="F110" s="47" t="s">
        <v>145</v>
      </c>
      <c r="G110" s="44">
        <v>0</v>
      </c>
      <c r="H110" s="34" t="s">
        <v>143</v>
      </c>
    </row>
    <row r="111" spans="1:8" x14ac:dyDescent="0.2">
      <c r="A111" s="41"/>
      <c r="B111" s="41"/>
      <c r="C111" s="45"/>
      <c r="D111" s="41"/>
      <c r="E111" s="41"/>
      <c r="F111" s="46"/>
      <c r="G111" s="46"/>
      <c r="H111" s="34" t="s">
        <v>143</v>
      </c>
    </row>
    <row r="112" spans="1:8" x14ac:dyDescent="0.2">
      <c r="A112" s="41"/>
      <c r="B112" s="41"/>
      <c r="C112" s="42" t="s">
        <v>146</v>
      </c>
      <c r="D112" s="41"/>
      <c r="E112" s="41"/>
      <c r="F112" s="41"/>
      <c r="G112" s="41"/>
      <c r="H112" s="34" t="s">
        <v>143</v>
      </c>
    </row>
    <row r="113" spans="1:8" x14ac:dyDescent="0.2">
      <c r="A113" s="41"/>
      <c r="B113" s="41"/>
      <c r="C113" s="42" t="s">
        <v>142</v>
      </c>
      <c r="D113" s="41"/>
      <c r="E113" s="41" t="s">
        <v>143</v>
      </c>
      <c r="F113" s="47" t="s">
        <v>145</v>
      </c>
      <c r="G113" s="44">
        <v>0</v>
      </c>
      <c r="H113" s="34" t="s">
        <v>143</v>
      </c>
    </row>
    <row r="114" spans="1:8" x14ac:dyDescent="0.2">
      <c r="A114" s="41"/>
      <c r="B114" s="41"/>
      <c r="C114" s="45"/>
      <c r="D114" s="41"/>
      <c r="E114" s="41"/>
      <c r="F114" s="46"/>
      <c r="G114" s="46"/>
      <c r="H114" s="34" t="s">
        <v>143</v>
      </c>
    </row>
    <row r="115" spans="1:8" x14ac:dyDescent="0.2">
      <c r="A115" s="41"/>
      <c r="B115" s="41"/>
      <c r="C115" s="42" t="s">
        <v>147</v>
      </c>
      <c r="D115" s="41"/>
      <c r="E115" s="41"/>
      <c r="F115" s="41"/>
      <c r="G115" s="41"/>
      <c r="H115" s="34" t="s">
        <v>143</v>
      </c>
    </row>
    <row r="116" spans="1:8" x14ac:dyDescent="0.2">
      <c r="A116" s="41"/>
      <c r="B116" s="41"/>
      <c r="C116" s="42" t="s">
        <v>142</v>
      </c>
      <c r="D116" s="41"/>
      <c r="E116" s="41" t="s">
        <v>143</v>
      </c>
      <c r="F116" s="47" t="s">
        <v>145</v>
      </c>
      <c r="G116" s="44">
        <v>0</v>
      </c>
      <c r="H116" s="34" t="s">
        <v>143</v>
      </c>
    </row>
    <row r="117" spans="1:8" x14ac:dyDescent="0.2">
      <c r="A117" s="41"/>
      <c r="B117" s="41"/>
      <c r="C117" s="45"/>
      <c r="D117" s="41"/>
      <c r="E117" s="41"/>
      <c r="F117" s="46"/>
      <c r="G117" s="46"/>
      <c r="H117" s="34" t="s">
        <v>143</v>
      </c>
    </row>
    <row r="118" spans="1:8" x14ac:dyDescent="0.2">
      <c r="A118" s="41"/>
      <c r="B118" s="41"/>
      <c r="C118" s="42" t="s">
        <v>148</v>
      </c>
      <c r="D118" s="41"/>
      <c r="E118" s="41"/>
      <c r="F118" s="46"/>
      <c r="G118" s="46"/>
      <c r="H118" s="34" t="s">
        <v>143</v>
      </c>
    </row>
    <row r="119" spans="1:8" x14ac:dyDescent="0.2">
      <c r="A119" s="41"/>
      <c r="B119" s="41"/>
      <c r="C119" s="42" t="s">
        <v>142</v>
      </c>
      <c r="D119" s="41"/>
      <c r="E119" s="41" t="s">
        <v>143</v>
      </c>
      <c r="F119" s="47" t="s">
        <v>145</v>
      </c>
      <c r="G119" s="44">
        <v>0</v>
      </c>
      <c r="H119" s="34" t="s">
        <v>143</v>
      </c>
    </row>
    <row r="120" spans="1:8" x14ac:dyDescent="0.2">
      <c r="A120" s="41"/>
      <c r="B120" s="41"/>
      <c r="C120" s="45"/>
      <c r="D120" s="41"/>
      <c r="E120" s="41"/>
      <c r="F120" s="46"/>
      <c r="G120" s="46"/>
      <c r="H120" s="34" t="s">
        <v>143</v>
      </c>
    </row>
    <row r="121" spans="1:8" x14ac:dyDescent="0.2">
      <c r="A121" s="41"/>
      <c r="B121" s="41"/>
      <c r="C121" s="42" t="s">
        <v>149</v>
      </c>
      <c r="D121" s="41"/>
      <c r="E121" s="41"/>
      <c r="F121" s="46"/>
      <c r="G121" s="46"/>
      <c r="H121" s="34" t="s">
        <v>143</v>
      </c>
    </row>
    <row r="122" spans="1:8" x14ac:dyDescent="0.2">
      <c r="A122" s="41"/>
      <c r="B122" s="41"/>
      <c r="C122" s="42" t="s">
        <v>142</v>
      </c>
      <c r="D122" s="41"/>
      <c r="E122" s="41" t="s">
        <v>143</v>
      </c>
      <c r="F122" s="47" t="s">
        <v>145</v>
      </c>
      <c r="G122" s="44">
        <v>0</v>
      </c>
      <c r="H122" s="34" t="s">
        <v>143</v>
      </c>
    </row>
    <row r="123" spans="1:8" x14ac:dyDescent="0.2">
      <c r="A123" s="41"/>
      <c r="B123" s="41"/>
      <c r="C123" s="45"/>
      <c r="D123" s="41"/>
      <c r="E123" s="41"/>
      <c r="F123" s="46"/>
      <c r="G123" s="46"/>
      <c r="H123" s="34" t="s">
        <v>143</v>
      </c>
    </row>
    <row r="124" spans="1:8" x14ac:dyDescent="0.2">
      <c r="A124" s="41"/>
      <c r="B124" s="41"/>
      <c r="C124" s="42" t="s">
        <v>150</v>
      </c>
      <c r="D124" s="41"/>
      <c r="E124" s="41"/>
      <c r="F124" s="43">
        <v>10914.3441879</v>
      </c>
      <c r="G124" s="44">
        <v>0.99177899000000003</v>
      </c>
      <c r="H124" s="34" t="s">
        <v>143</v>
      </c>
    </row>
    <row r="125" spans="1:8" x14ac:dyDescent="0.2">
      <c r="A125" s="41"/>
      <c r="B125" s="41"/>
      <c r="C125" s="45"/>
      <c r="D125" s="41"/>
      <c r="E125" s="41"/>
      <c r="F125" s="46"/>
      <c r="G125" s="46"/>
      <c r="H125" s="34" t="s">
        <v>143</v>
      </c>
    </row>
    <row r="126" spans="1:8" x14ac:dyDescent="0.2">
      <c r="A126" s="41"/>
      <c r="B126" s="41"/>
      <c r="C126" s="42" t="s">
        <v>151</v>
      </c>
      <c r="D126" s="41"/>
      <c r="E126" s="41"/>
      <c r="F126" s="46"/>
      <c r="G126" s="46"/>
      <c r="H126" s="34" t="s">
        <v>143</v>
      </c>
    </row>
    <row r="127" spans="1:8" x14ac:dyDescent="0.2">
      <c r="A127" s="41"/>
      <c r="B127" s="41"/>
      <c r="C127" s="42" t="s">
        <v>10</v>
      </c>
      <c r="D127" s="41"/>
      <c r="E127" s="41"/>
      <c r="F127" s="46"/>
      <c r="G127" s="46"/>
      <c r="H127" s="34" t="s">
        <v>143</v>
      </c>
    </row>
    <row r="128" spans="1:8" x14ac:dyDescent="0.2">
      <c r="A128" s="41"/>
      <c r="B128" s="41"/>
      <c r="C128" s="42" t="s">
        <v>142</v>
      </c>
      <c r="D128" s="41"/>
      <c r="E128" s="41" t="s">
        <v>143</v>
      </c>
      <c r="F128" s="47" t="s">
        <v>145</v>
      </c>
      <c r="G128" s="44">
        <v>0</v>
      </c>
      <c r="H128" s="34" t="s">
        <v>143</v>
      </c>
    </row>
    <row r="129" spans="1:8" x14ac:dyDescent="0.2">
      <c r="A129" s="41"/>
      <c r="B129" s="41"/>
      <c r="C129" s="45"/>
      <c r="D129" s="41"/>
      <c r="E129" s="41"/>
      <c r="F129" s="46"/>
      <c r="G129" s="46"/>
      <c r="H129" s="34" t="s">
        <v>143</v>
      </c>
    </row>
    <row r="130" spans="1:8" x14ac:dyDescent="0.2">
      <c r="A130" s="41"/>
      <c r="B130" s="41"/>
      <c r="C130" s="42" t="s">
        <v>152</v>
      </c>
      <c r="D130" s="41"/>
      <c r="E130" s="41"/>
      <c r="F130" s="41"/>
      <c r="G130" s="41"/>
      <c r="H130" s="34" t="s">
        <v>143</v>
      </c>
    </row>
    <row r="131" spans="1:8" x14ac:dyDescent="0.2">
      <c r="A131" s="41"/>
      <c r="B131" s="41"/>
      <c r="C131" s="42" t="s">
        <v>142</v>
      </c>
      <c r="D131" s="41"/>
      <c r="E131" s="41" t="s">
        <v>143</v>
      </c>
      <c r="F131" s="47" t="s">
        <v>145</v>
      </c>
      <c r="G131" s="44">
        <v>0</v>
      </c>
      <c r="H131" s="34" t="s">
        <v>143</v>
      </c>
    </row>
    <row r="132" spans="1:8" x14ac:dyDescent="0.2">
      <c r="A132" s="41"/>
      <c r="B132" s="41"/>
      <c r="C132" s="45"/>
      <c r="D132" s="41"/>
      <c r="E132" s="41"/>
      <c r="F132" s="46"/>
      <c r="G132" s="46"/>
      <c r="H132" s="34" t="s">
        <v>143</v>
      </c>
    </row>
    <row r="133" spans="1:8" x14ac:dyDescent="0.2">
      <c r="A133" s="41"/>
      <c r="B133" s="41"/>
      <c r="C133" s="42" t="s">
        <v>153</v>
      </c>
      <c r="D133" s="41"/>
      <c r="E133" s="41"/>
      <c r="F133" s="41"/>
      <c r="G133" s="41"/>
      <c r="H133" s="34" t="s">
        <v>143</v>
      </c>
    </row>
    <row r="134" spans="1:8" x14ac:dyDescent="0.2">
      <c r="A134" s="41"/>
      <c r="B134" s="41"/>
      <c r="C134" s="42" t="s">
        <v>142</v>
      </c>
      <c r="D134" s="41"/>
      <c r="E134" s="41" t="s">
        <v>143</v>
      </c>
      <c r="F134" s="47" t="s">
        <v>145</v>
      </c>
      <c r="G134" s="44">
        <v>0</v>
      </c>
      <c r="H134" s="34" t="s">
        <v>143</v>
      </c>
    </row>
    <row r="135" spans="1:8" x14ac:dyDescent="0.2">
      <c r="A135" s="41"/>
      <c r="B135" s="41"/>
      <c r="C135" s="45"/>
      <c r="D135" s="41"/>
      <c r="E135" s="41"/>
      <c r="F135" s="46"/>
      <c r="G135" s="46"/>
      <c r="H135" s="34" t="s">
        <v>143</v>
      </c>
    </row>
    <row r="136" spans="1:8" x14ac:dyDescent="0.2">
      <c r="A136" s="41"/>
      <c r="B136" s="41"/>
      <c r="C136" s="42" t="s">
        <v>154</v>
      </c>
      <c r="D136" s="41"/>
      <c r="E136" s="41"/>
      <c r="F136" s="46"/>
      <c r="G136" s="46"/>
      <c r="H136" s="34" t="s">
        <v>143</v>
      </c>
    </row>
    <row r="137" spans="1:8" x14ac:dyDescent="0.2">
      <c r="A137" s="41"/>
      <c r="B137" s="41"/>
      <c r="C137" s="42" t="s">
        <v>142</v>
      </c>
      <c r="D137" s="41"/>
      <c r="E137" s="41" t="s">
        <v>143</v>
      </c>
      <c r="F137" s="47" t="s">
        <v>145</v>
      </c>
      <c r="G137" s="44">
        <v>0</v>
      </c>
      <c r="H137" s="34" t="s">
        <v>143</v>
      </c>
    </row>
    <row r="138" spans="1:8" x14ac:dyDescent="0.2">
      <c r="A138" s="41"/>
      <c r="B138" s="41"/>
      <c r="C138" s="45"/>
      <c r="D138" s="41"/>
      <c r="E138" s="41"/>
      <c r="F138" s="46"/>
      <c r="G138" s="46"/>
      <c r="H138" s="34" t="s">
        <v>143</v>
      </c>
    </row>
    <row r="139" spans="1:8" x14ac:dyDescent="0.2">
      <c r="A139" s="41"/>
      <c r="B139" s="41"/>
      <c r="C139" s="42" t="s">
        <v>155</v>
      </c>
      <c r="D139" s="41"/>
      <c r="E139" s="41"/>
      <c r="F139" s="43">
        <v>0</v>
      </c>
      <c r="G139" s="44">
        <v>0</v>
      </c>
      <c r="H139" s="34" t="s">
        <v>143</v>
      </c>
    </row>
    <row r="140" spans="1:8" x14ac:dyDescent="0.2">
      <c r="A140" s="41"/>
      <c r="B140" s="41"/>
      <c r="C140" s="45"/>
      <c r="D140" s="41"/>
      <c r="E140" s="41"/>
      <c r="F140" s="46"/>
      <c r="G140" s="46"/>
      <c r="H140" s="34" t="s">
        <v>143</v>
      </c>
    </row>
    <row r="141" spans="1:8" x14ac:dyDescent="0.2">
      <c r="A141" s="41"/>
      <c r="B141" s="41"/>
      <c r="C141" s="42" t="s">
        <v>156</v>
      </c>
      <c r="D141" s="41"/>
      <c r="E141" s="41"/>
      <c r="F141" s="46"/>
      <c r="G141" s="46"/>
      <c r="H141" s="34" t="s">
        <v>143</v>
      </c>
    </row>
    <row r="142" spans="1:8" x14ac:dyDescent="0.2">
      <c r="A142" s="41"/>
      <c r="B142" s="41"/>
      <c r="C142" s="42" t="s">
        <v>157</v>
      </c>
      <c r="D142" s="41"/>
      <c r="E142" s="41"/>
      <c r="F142" s="46"/>
      <c r="G142" s="46"/>
      <c r="H142" s="34" t="s">
        <v>143</v>
      </c>
    </row>
    <row r="143" spans="1:8" x14ac:dyDescent="0.2">
      <c r="A143" s="41"/>
      <c r="B143" s="41"/>
      <c r="C143" s="42" t="s">
        <v>142</v>
      </c>
      <c r="D143" s="41"/>
      <c r="E143" s="41" t="s">
        <v>143</v>
      </c>
      <c r="F143" s="47" t="s">
        <v>145</v>
      </c>
      <c r="G143" s="44">
        <v>0</v>
      </c>
      <c r="H143" s="34" t="s">
        <v>143</v>
      </c>
    </row>
    <row r="144" spans="1:8" x14ac:dyDescent="0.2">
      <c r="A144" s="41"/>
      <c r="B144" s="41"/>
      <c r="C144" s="45"/>
      <c r="D144" s="41"/>
      <c r="E144" s="41"/>
      <c r="F144" s="46"/>
      <c r="G144" s="46"/>
      <c r="H144" s="34" t="s">
        <v>143</v>
      </c>
    </row>
    <row r="145" spans="1:8" x14ac:dyDescent="0.2">
      <c r="A145" s="41"/>
      <c r="B145" s="41"/>
      <c r="C145" s="42" t="s">
        <v>158</v>
      </c>
      <c r="D145" s="41"/>
      <c r="E145" s="41"/>
      <c r="F145" s="46"/>
      <c r="G145" s="46"/>
      <c r="H145" s="34" t="s">
        <v>143</v>
      </c>
    </row>
    <row r="146" spans="1:8" x14ac:dyDescent="0.2">
      <c r="A146" s="41"/>
      <c r="B146" s="41"/>
      <c r="C146" s="42" t="s">
        <v>142</v>
      </c>
      <c r="D146" s="41"/>
      <c r="E146" s="41" t="s">
        <v>143</v>
      </c>
      <c r="F146" s="47" t="s">
        <v>145</v>
      </c>
      <c r="G146" s="44">
        <v>0</v>
      </c>
      <c r="H146" s="34" t="s">
        <v>143</v>
      </c>
    </row>
    <row r="147" spans="1:8" x14ac:dyDescent="0.2">
      <c r="A147" s="41"/>
      <c r="B147" s="41"/>
      <c r="C147" s="45"/>
      <c r="D147" s="41"/>
      <c r="E147" s="41"/>
      <c r="F147" s="46"/>
      <c r="G147" s="46"/>
      <c r="H147" s="34" t="s">
        <v>143</v>
      </c>
    </row>
    <row r="148" spans="1:8" x14ac:dyDescent="0.2">
      <c r="A148" s="41"/>
      <c r="B148" s="41"/>
      <c r="C148" s="42" t="s">
        <v>159</v>
      </c>
      <c r="D148" s="41"/>
      <c r="E148" s="41"/>
      <c r="F148" s="46"/>
      <c r="G148" s="46"/>
      <c r="H148" s="34" t="s">
        <v>143</v>
      </c>
    </row>
    <row r="149" spans="1:8" x14ac:dyDescent="0.2">
      <c r="A149" s="41"/>
      <c r="B149" s="41"/>
      <c r="C149" s="42" t="s">
        <v>142</v>
      </c>
      <c r="D149" s="41"/>
      <c r="E149" s="41" t="s">
        <v>143</v>
      </c>
      <c r="F149" s="47" t="s">
        <v>145</v>
      </c>
      <c r="G149" s="44">
        <v>0</v>
      </c>
      <c r="H149" s="34" t="s">
        <v>143</v>
      </c>
    </row>
    <row r="150" spans="1:8" x14ac:dyDescent="0.2">
      <c r="A150" s="41"/>
      <c r="B150" s="41"/>
      <c r="C150" s="45"/>
      <c r="D150" s="41"/>
      <c r="E150" s="41"/>
      <c r="F150" s="46"/>
      <c r="G150" s="46"/>
      <c r="H150" s="34" t="s">
        <v>143</v>
      </c>
    </row>
    <row r="151" spans="1:8" x14ac:dyDescent="0.2">
      <c r="A151" s="41"/>
      <c r="B151" s="41"/>
      <c r="C151" s="42" t="s">
        <v>160</v>
      </c>
      <c r="D151" s="41"/>
      <c r="E151" s="41"/>
      <c r="F151" s="46"/>
      <c r="G151" s="46"/>
      <c r="H151" s="34" t="s">
        <v>143</v>
      </c>
    </row>
    <row r="152" spans="1:8" x14ac:dyDescent="0.2">
      <c r="A152" s="35">
        <v>1</v>
      </c>
      <c r="B152" s="36"/>
      <c r="C152" s="36" t="s">
        <v>161</v>
      </c>
      <c r="D152" s="36"/>
      <c r="E152" s="48"/>
      <c r="F152" s="38">
        <v>80.025704000000005</v>
      </c>
      <c r="G152" s="39">
        <v>7.2718799999999997E-3</v>
      </c>
      <c r="H152" s="34">
        <v>5.47</v>
      </c>
    </row>
    <row r="153" spans="1:8" x14ac:dyDescent="0.2">
      <c r="A153" s="41"/>
      <c r="B153" s="41"/>
      <c r="C153" s="42" t="s">
        <v>142</v>
      </c>
      <c r="D153" s="41"/>
      <c r="E153" s="41" t="s">
        <v>143</v>
      </c>
      <c r="F153" s="43">
        <v>80.025704000000005</v>
      </c>
      <c r="G153" s="44">
        <v>7.2718799999999997E-3</v>
      </c>
      <c r="H153" s="34" t="s">
        <v>143</v>
      </c>
    </row>
    <row r="154" spans="1:8" x14ac:dyDescent="0.2">
      <c r="A154" s="41"/>
      <c r="B154" s="41"/>
      <c r="C154" s="45"/>
      <c r="D154" s="41"/>
      <c r="E154" s="41"/>
      <c r="F154" s="46"/>
      <c r="G154" s="46"/>
      <c r="H154" s="34" t="s">
        <v>143</v>
      </c>
    </row>
    <row r="155" spans="1:8" x14ac:dyDescent="0.2">
      <c r="A155" s="41"/>
      <c r="B155" s="41"/>
      <c r="C155" s="42" t="s">
        <v>162</v>
      </c>
      <c r="D155" s="41"/>
      <c r="E155" s="41"/>
      <c r="F155" s="43">
        <v>80.025704000000005</v>
      </c>
      <c r="G155" s="44">
        <v>7.2718799999999997E-3</v>
      </c>
      <c r="H155" s="34" t="s">
        <v>143</v>
      </c>
    </row>
    <row r="156" spans="1:8" x14ac:dyDescent="0.2">
      <c r="A156" s="41"/>
      <c r="B156" s="41"/>
      <c r="C156" s="46"/>
      <c r="D156" s="41"/>
      <c r="E156" s="41"/>
      <c r="F156" s="41"/>
      <c r="G156" s="41"/>
      <c r="H156" s="34" t="s">
        <v>143</v>
      </c>
    </row>
    <row r="157" spans="1:8" x14ac:dyDescent="0.2">
      <c r="A157" s="41"/>
      <c r="B157" s="41"/>
      <c r="C157" s="42" t="s">
        <v>163</v>
      </c>
      <c r="D157" s="41"/>
      <c r="E157" s="41"/>
      <c r="F157" s="41"/>
      <c r="G157" s="41"/>
      <c r="H157" s="34" t="s">
        <v>143</v>
      </c>
    </row>
    <row r="158" spans="1:8" x14ac:dyDescent="0.2">
      <c r="A158" s="41"/>
      <c r="B158" s="41"/>
      <c r="C158" s="42" t="s">
        <v>164</v>
      </c>
      <c r="D158" s="41"/>
      <c r="E158" s="41"/>
      <c r="F158" s="41"/>
      <c r="G158" s="41"/>
      <c r="H158" s="34" t="s">
        <v>143</v>
      </c>
    </row>
    <row r="159" spans="1:8" x14ac:dyDescent="0.2">
      <c r="A159" s="41"/>
      <c r="B159" s="41"/>
      <c r="C159" s="42" t="s">
        <v>142</v>
      </c>
      <c r="D159" s="41"/>
      <c r="E159" s="41" t="s">
        <v>143</v>
      </c>
      <c r="F159" s="47" t="s">
        <v>145</v>
      </c>
      <c r="G159" s="44">
        <v>0</v>
      </c>
      <c r="H159" s="34" t="s">
        <v>143</v>
      </c>
    </row>
    <row r="160" spans="1:8" x14ac:dyDescent="0.2">
      <c r="A160" s="41"/>
      <c r="B160" s="41"/>
      <c r="C160" s="45"/>
      <c r="D160" s="41"/>
      <c r="E160" s="41"/>
      <c r="F160" s="46"/>
      <c r="G160" s="46"/>
      <c r="H160" s="34" t="s">
        <v>143</v>
      </c>
    </row>
    <row r="161" spans="1:17" x14ac:dyDescent="0.2">
      <c r="A161" s="41"/>
      <c r="B161" s="41"/>
      <c r="C161" s="42" t="s">
        <v>165</v>
      </c>
      <c r="D161" s="41"/>
      <c r="E161" s="41"/>
      <c r="F161" s="41"/>
      <c r="G161" s="41"/>
      <c r="H161" s="34" t="s">
        <v>143</v>
      </c>
    </row>
    <row r="162" spans="1:17" x14ac:dyDescent="0.2">
      <c r="A162" s="41"/>
      <c r="B162" s="41"/>
      <c r="C162" s="42" t="s">
        <v>166</v>
      </c>
      <c r="D162" s="41"/>
      <c r="E162" s="41"/>
      <c r="F162" s="41"/>
      <c r="G162" s="41"/>
      <c r="H162" s="34" t="s">
        <v>143</v>
      </c>
    </row>
    <row r="163" spans="1:17" x14ac:dyDescent="0.2">
      <c r="A163" s="41"/>
      <c r="B163" s="41"/>
      <c r="C163" s="42" t="s">
        <v>142</v>
      </c>
      <c r="D163" s="41"/>
      <c r="E163" s="41" t="s">
        <v>143</v>
      </c>
      <c r="F163" s="47" t="s">
        <v>145</v>
      </c>
      <c r="G163" s="44">
        <v>0</v>
      </c>
      <c r="H163" s="34" t="s">
        <v>143</v>
      </c>
    </row>
    <row r="164" spans="1:17" x14ac:dyDescent="0.2">
      <c r="A164" s="41"/>
      <c r="B164" s="41"/>
      <c r="C164" s="45"/>
      <c r="D164" s="41"/>
      <c r="E164" s="41"/>
      <c r="F164" s="46"/>
      <c r="G164" s="46"/>
      <c r="H164" s="34" t="s">
        <v>143</v>
      </c>
    </row>
    <row r="165" spans="1:17" x14ac:dyDescent="0.2">
      <c r="A165" s="41"/>
      <c r="B165" s="41"/>
      <c r="C165" s="42" t="s">
        <v>167</v>
      </c>
      <c r="D165" s="41"/>
      <c r="E165" s="41"/>
      <c r="F165" s="46"/>
      <c r="G165" s="46"/>
      <c r="H165" s="34" t="s">
        <v>143</v>
      </c>
    </row>
    <row r="166" spans="1:17" x14ac:dyDescent="0.2">
      <c r="A166" s="41"/>
      <c r="B166" s="41"/>
      <c r="C166" s="42" t="s">
        <v>142</v>
      </c>
      <c r="D166" s="41"/>
      <c r="E166" s="41" t="s">
        <v>143</v>
      </c>
      <c r="F166" s="47" t="s">
        <v>145</v>
      </c>
      <c r="G166" s="44">
        <v>0</v>
      </c>
      <c r="H166" s="34" t="s">
        <v>143</v>
      </c>
    </row>
    <row r="167" spans="1:17" x14ac:dyDescent="0.2">
      <c r="A167" s="41"/>
      <c r="B167" s="41"/>
      <c r="C167" s="45"/>
      <c r="D167" s="41"/>
      <c r="E167" s="41"/>
      <c r="F167" s="46"/>
      <c r="G167" s="46"/>
      <c r="H167" s="34" t="s">
        <v>143</v>
      </c>
    </row>
    <row r="168" spans="1:17" x14ac:dyDescent="0.2">
      <c r="A168" s="48"/>
      <c r="B168" s="36"/>
      <c r="C168" s="36" t="s">
        <v>168</v>
      </c>
      <c r="D168" s="36"/>
      <c r="E168" s="48"/>
      <c r="F168" s="38">
        <v>10.44559334</v>
      </c>
      <c r="G168" s="39">
        <v>9.4917999999999999E-4</v>
      </c>
      <c r="H168" s="34" t="s">
        <v>143</v>
      </c>
    </row>
    <row r="169" spans="1:17" x14ac:dyDescent="0.2">
      <c r="A169" s="45"/>
      <c r="B169" s="45"/>
      <c r="C169" s="42" t="s">
        <v>169</v>
      </c>
      <c r="D169" s="46"/>
      <c r="E169" s="46"/>
      <c r="F169" s="43">
        <v>11004.81548524</v>
      </c>
      <c r="G169" s="51">
        <v>1.0000000499999999</v>
      </c>
      <c r="H169" s="34" t="s">
        <v>143</v>
      </c>
    </row>
    <row r="170" spans="1:17" x14ac:dyDescent="0.2">
      <c r="A170" s="52"/>
      <c r="B170" s="52"/>
      <c r="C170" s="52"/>
      <c r="D170" s="53"/>
      <c r="E170" s="53"/>
      <c r="F170" s="53"/>
      <c r="G170" s="53"/>
    </row>
    <row r="171" spans="1:17" x14ac:dyDescent="0.2">
      <c r="A171" s="54"/>
      <c r="B171" s="158" t="s">
        <v>852</v>
      </c>
      <c r="C171" s="158"/>
      <c r="D171" s="158"/>
      <c r="E171" s="158"/>
      <c r="F171" s="158"/>
      <c r="G171" s="158"/>
      <c r="H171" s="158"/>
      <c r="J171" s="56"/>
    </row>
    <row r="172" spans="1:17" x14ac:dyDescent="0.2">
      <c r="A172" s="54"/>
      <c r="B172" s="158" t="s">
        <v>853</v>
      </c>
      <c r="C172" s="158"/>
      <c r="D172" s="158"/>
      <c r="E172" s="158"/>
      <c r="F172" s="158"/>
      <c r="G172" s="158"/>
      <c r="H172" s="158"/>
      <c r="J172" s="56"/>
    </row>
    <row r="173" spans="1:17" x14ac:dyDescent="0.2">
      <c r="A173" s="54"/>
      <c r="B173" s="158" t="s">
        <v>854</v>
      </c>
      <c r="C173" s="158"/>
      <c r="D173" s="158"/>
      <c r="E173" s="158"/>
      <c r="F173" s="158"/>
      <c r="G173" s="158"/>
      <c r="H173" s="158"/>
      <c r="J173" s="56"/>
    </row>
    <row r="174" spans="1:17" s="58" customFormat="1" ht="51.75" customHeight="1" x14ac:dyDescent="0.25">
      <c r="A174" s="57"/>
      <c r="B174" s="159" t="s">
        <v>855</v>
      </c>
      <c r="C174" s="159"/>
      <c r="D174" s="159"/>
      <c r="E174" s="159"/>
      <c r="F174" s="159"/>
      <c r="G174" s="159"/>
      <c r="H174" s="159"/>
      <c r="I174"/>
      <c r="J174" s="56"/>
      <c r="K174"/>
      <c r="L174"/>
      <c r="M174"/>
      <c r="N174"/>
      <c r="O174"/>
      <c r="P174"/>
      <c r="Q174"/>
    </row>
    <row r="175" spans="1:17" x14ac:dyDescent="0.2">
      <c r="A175" s="54"/>
      <c r="B175" s="158" t="s">
        <v>856</v>
      </c>
      <c r="C175" s="158"/>
      <c r="D175" s="158"/>
      <c r="E175" s="158"/>
      <c r="F175" s="158"/>
      <c r="G175" s="158"/>
      <c r="H175" s="158"/>
      <c r="J175" s="56"/>
    </row>
    <row r="176" spans="1:17" x14ac:dyDescent="0.2">
      <c r="A176" s="54"/>
      <c r="B176" s="54"/>
      <c r="C176" s="54"/>
      <c r="D176" s="59"/>
      <c r="E176" s="59"/>
      <c r="F176" s="59"/>
      <c r="G176" s="59"/>
    </row>
    <row r="177" spans="1:10" x14ac:dyDescent="0.2">
      <c r="A177" s="54"/>
      <c r="B177" s="160" t="s">
        <v>170</v>
      </c>
      <c r="C177" s="161"/>
      <c r="D177" s="162"/>
      <c r="E177" s="60"/>
      <c r="F177" s="59"/>
      <c r="G177" s="59"/>
    </row>
    <row r="178" spans="1:10" ht="27.75" customHeight="1" x14ac:dyDescent="0.2">
      <c r="A178" s="54"/>
      <c r="B178" s="154" t="s">
        <v>171</v>
      </c>
      <c r="C178" s="155"/>
      <c r="D178" s="33" t="s">
        <v>172</v>
      </c>
      <c r="E178" s="60"/>
      <c r="F178" s="59"/>
      <c r="G178" s="59"/>
    </row>
    <row r="179" spans="1:10" ht="12.75" customHeight="1" x14ac:dyDescent="0.2">
      <c r="A179" s="54"/>
      <c r="B179" s="154" t="s">
        <v>857</v>
      </c>
      <c r="C179" s="155"/>
      <c r="D179" s="33" t="s">
        <v>172</v>
      </c>
      <c r="E179" s="60"/>
      <c r="F179" s="59"/>
      <c r="G179" s="59"/>
    </row>
    <row r="180" spans="1:10" x14ac:dyDescent="0.2">
      <c r="A180" s="54"/>
      <c r="B180" s="154" t="s">
        <v>173</v>
      </c>
      <c r="C180" s="155"/>
      <c r="D180" s="61" t="s">
        <v>143</v>
      </c>
      <c r="E180" s="60"/>
      <c r="F180" s="59"/>
      <c r="G180" s="59"/>
    </row>
    <row r="181" spans="1:10" x14ac:dyDescent="0.2">
      <c r="A181" s="62"/>
      <c r="B181" s="63" t="s">
        <v>143</v>
      </c>
      <c r="C181" s="63" t="s">
        <v>858</v>
      </c>
      <c r="D181" s="63" t="s">
        <v>174</v>
      </c>
      <c r="E181" s="62"/>
      <c r="F181" s="62"/>
      <c r="G181" s="62"/>
      <c r="H181" s="62"/>
      <c r="J181" s="56"/>
    </row>
    <row r="182" spans="1:10" x14ac:dyDescent="0.2">
      <c r="A182" s="62"/>
      <c r="B182" s="64" t="s">
        <v>175</v>
      </c>
      <c r="C182" s="65">
        <v>45808</v>
      </c>
      <c r="D182" s="65">
        <v>45838</v>
      </c>
      <c r="E182" s="62"/>
      <c r="F182" s="62"/>
      <c r="G182" s="62"/>
      <c r="J182" s="56"/>
    </row>
    <row r="183" spans="1:10" x14ac:dyDescent="0.2">
      <c r="A183" s="66"/>
      <c r="B183" s="36" t="s">
        <v>176</v>
      </c>
      <c r="C183" s="67">
        <v>179.2527</v>
      </c>
      <c r="D183" s="67">
        <v>185.8399</v>
      </c>
      <c r="E183" s="66"/>
      <c r="F183" s="68"/>
      <c r="G183" s="69"/>
    </row>
    <row r="184" spans="1:10" x14ac:dyDescent="0.2">
      <c r="A184" s="66"/>
      <c r="B184" s="36" t="s">
        <v>1086</v>
      </c>
      <c r="C184" s="67">
        <v>84.512100000000004</v>
      </c>
      <c r="D184" s="67">
        <v>87.617800000000003</v>
      </c>
      <c r="E184" s="66"/>
      <c r="F184" s="68"/>
      <c r="G184" s="69"/>
    </row>
    <row r="185" spans="1:10" x14ac:dyDescent="0.2">
      <c r="A185" s="66"/>
      <c r="B185" s="36" t="s">
        <v>177</v>
      </c>
      <c r="C185" s="67">
        <v>170.28360000000001</v>
      </c>
      <c r="D185" s="67">
        <v>176.47300000000001</v>
      </c>
      <c r="E185" s="66"/>
      <c r="F185" s="68"/>
      <c r="G185" s="69"/>
    </row>
    <row r="186" spans="1:10" x14ac:dyDescent="0.2">
      <c r="A186" s="66"/>
      <c r="B186" s="36" t="s">
        <v>1087</v>
      </c>
      <c r="C186" s="67">
        <v>80.286799999999999</v>
      </c>
      <c r="D186" s="67">
        <v>83.204999999999998</v>
      </c>
      <c r="E186" s="66"/>
      <c r="F186" s="68"/>
      <c r="G186" s="69"/>
    </row>
    <row r="187" spans="1:10" x14ac:dyDescent="0.2">
      <c r="A187" s="66"/>
      <c r="B187" s="66"/>
      <c r="C187" s="66"/>
      <c r="D187" s="66"/>
      <c r="E187" s="66"/>
      <c r="F187" s="66"/>
      <c r="G187" s="66"/>
    </row>
    <row r="188" spans="1:10" x14ac:dyDescent="0.2">
      <c r="A188" s="62"/>
      <c r="B188" s="154" t="s">
        <v>860</v>
      </c>
      <c r="C188" s="155"/>
      <c r="D188" s="33" t="s">
        <v>172</v>
      </c>
      <c r="E188" s="62"/>
      <c r="F188" s="62"/>
      <c r="G188" s="62"/>
    </row>
    <row r="189" spans="1:10" x14ac:dyDescent="0.2">
      <c r="A189" s="62"/>
      <c r="B189" s="70"/>
      <c r="C189" s="70"/>
      <c r="D189" s="70"/>
      <c r="E189" s="62"/>
      <c r="F189" s="62"/>
      <c r="G189" s="62"/>
    </row>
    <row r="190" spans="1:10" x14ac:dyDescent="0.2">
      <c r="A190" s="62"/>
      <c r="B190" s="154" t="s">
        <v>178</v>
      </c>
      <c r="C190" s="155"/>
      <c r="D190" s="33" t="s">
        <v>172</v>
      </c>
      <c r="E190" s="71"/>
      <c r="F190" s="62"/>
      <c r="G190" s="62"/>
    </row>
    <row r="191" spans="1:10" x14ac:dyDescent="0.2">
      <c r="A191" s="62"/>
      <c r="B191" s="154" t="s">
        <v>179</v>
      </c>
      <c r="C191" s="155"/>
      <c r="D191" s="33" t="s">
        <v>172</v>
      </c>
      <c r="E191" s="71"/>
      <c r="F191" s="62"/>
      <c r="G191" s="62"/>
    </row>
    <row r="192" spans="1:10" x14ac:dyDescent="0.2">
      <c r="A192" s="62"/>
      <c r="B192" s="154" t="s">
        <v>180</v>
      </c>
      <c r="C192" s="155"/>
      <c r="D192" s="33" t="s">
        <v>172</v>
      </c>
      <c r="E192" s="71"/>
      <c r="F192" s="62"/>
      <c r="G192" s="62"/>
    </row>
    <row r="193" spans="1:10" x14ac:dyDescent="0.2">
      <c r="A193" s="62"/>
      <c r="B193" s="154" t="s">
        <v>181</v>
      </c>
      <c r="C193" s="155"/>
      <c r="D193" s="72">
        <v>0.31631328131286773</v>
      </c>
      <c r="E193" s="62"/>
      <c r="F193" s="55"/>
      <c r="G193" s="73"/>
    </row>
    <row r="195" spans="1:10" x14ac:dyDescent="0.2">
      <c r="B195" s="156" t="s">
        <v>861</v>
      </c>
      <c r="C195" s="156"/>
    </row>
    <row r="197" spans="1:10" ht="153.75" customHeight="1" x14ac:dyDescent="0.2"/>
    <row r="199" spans="1:10" x14ac:dyDescent="0.2">
      <c r="B199" s="79" t="s">
        <v>862</v>
      </c>
      <c r="C199" s="80"/>
      <c r="D199" s="79"/>
    </row>
    <row r="200" spans="1:10" x14ac:dyDescent="0.2">
      <c r="B200" s="79" t="s">
        <v>930</v>
      </c>
      <c r="D200" s="79"/>
    </row>
    <row r="201" spans="1:10" ht="165" customHeight="1" x14ac:dyDescent="0.2"/>
    <row r="203" spans="1:10" x14ac:dyDescent="0.2">
      <c r="J203" s="31"/>
    </row>
  </sheetData>
  <mergeCells count="18">
    <mergeCell ref="A1:H1"/>
    <mergeCell ref="A2:H2"/>
    <mergeCell ref="A3:H3"/>
    <mergeCell ref="B171:H171"/>
    <mergeCell ref="B172:H172"/>
    <mergeCell ref="B173:H173"/>
    <mergeCell ref="B174:H174"/>
    <mergeCell ref="B175:H175"/>
    <mergeCell ref="B177:D177"/>
    <mergeCell ref="B178:C178"/>
    <mergeCell ref="B179:C179"/>
    <mergeCell ref="B180:C180"/>
    <mergeCell ref="B195:C195"/>
    <mergeCell ref="B188:C188"/>
    <mergeCell ref="B192:C192"/>
    <mergeCell ref="B193:C193"/>
    <mergeCell ref="B190:C190"/>
    <mergeCell ref="B191:C191"/>
  </mergeCells>
  <hyperlinks>
    <hyperlink ref="I1" location="Index!B2" display="Index" xr:uid="{F6FFD2AD-C5C9-4C0D-B4C9-E3C0F13BFAF7}"/>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53B0A-A76B-4EE5-987B-2044C272247C}">
  <sheetPr>
    <outlinePr summaryBelow="0" summaryRight="0"/>
  </sheetPr>
  <dimension ref="A1:Q169"/>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799</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322</v>
      </c>
      <c r="C7" s="36" t="s">
        <v>323</v>
      </c>
      <c r="D7" s="36" t="s">
        <v>33</v>
      </c>
      <c r="E7" s="37">
        <v>644000</v>
      </c>
      <c r="F7" s="38">
        <v>12889.66</v>
      </c>
      <c r="G7" s="39">
        <v>9.2430600000000002E-2</v>
      </c>
      <c r="H7" s="34" t="s">
        <v>143</v>
      </c>
    </row>
    <row r="8" spans="1:9" x14ac:dyDescent="0.2">
      <c r="A8" s="35">
        <v>2</v>
      </c>
      <c r="B8" s="36" t="s">
        <v>31</v>
      </c>
      <c r="C8" s="36" t="s">
        <v>32</v>
      </c>
      <c r="D8" s="36" t="s">
        <v>33</v>
      </c>
      <c r="E8" s="37">
        <v>737000</v>
      </c>
      <c r="F8" s="38">
        <v>10655.546</v>
      </c>
      <c r="G8" s="39">
        <v>7.6409969999999994E-2</v>
      </c>
      <c r="H8" s="34" t="s">
        <v>143</v>
      </c>
    </row>
    <row r="9" spans="1:9" x14ac:dyDescent="0.2">
      <c r="A9" s="35">
        <v>3</v>
      </c>
      <c r="B9" s="36" t="s">
        <v>14</v>
      </c>
      <c r="C9" s="36" t="s">
        <v>15</v>
      </c>
      <c r="D9" s="36" t="s">
        <v>16</v>
      </c>
      <c r="E9" s="37">
        <v>434000</v>
      </c>
      <c r="F9" s="38">
        <v>6512.6040000000003</v>
      </c>
      <c r="G9" s="39">
        <v>4.6701300000000001E-2</v>
      </c>
      <c r="H9" s="34" t="s">
        <v>143</v>
      </c>
    </row>
    <row r="10" spans="1:9" x14ac:dyDescent="0.2">
      <c r="A10" s="35">
        <v>4</v>
      </c>
      <c r="B10" s="36" t="s">
        <v>324</v>
      </c>
      <c r="C10" s="36" t="s">
        <v>325</v>
      </c>
      <c r="D10" s="36" t="s">
        <v>33</v>
      </c>
      <c r="E10" s="37">
        <v>440000</v>
      </c>
      <c r="F10" s="38">
        <v>5276.48</v>
      </c>
      <c r="G10" s="39">
        <v>3.7837170000000003E-2</v>
      </c>
      <c r="H10" s="34" t="s">
        <v>143</v>
      </c>
    </row>
    <row r="11" spans="1:9" x14ac:dyDescent="0.2">
      <c r="A11" s="35">
        <v>5</v>
      </c>
      <c r="B11" s="36" t="s">
        <v>17</v>
      </c>
      <c r="C11" s="36" t="s">
        <v>18</v>
      </c>
      <c r="D11" s="36" t="s">
        <v>19</v>
      </c>
      <c r="E11" s="37">
        <v>126000</v>
      </c>
      <c r="F11" s="38">
        <v>4623.9480000000003</v>
      </c>
      <c r="G11" s="39">
        <v>3.315792E-2</v>
      </c>
      <c r="H11" s="34" t="s">
        <v>143</v>
      </c>
    </row>
    <row r="12" spans="1:9" x14ac:dyDescent="0.2">
      <c r="A12" s="35">
        <v>6</v>
      </c>
      <c r="B12" s="36" t="s">
        <v>328</v>
      </c>
      <c r="C12" s="36" t="s">
        <v>329</v>
      </c>
      <c r="D12" s="36" t="s">
        <v>198</v>
      </c>
      <c r="E12" s="37">
        <v>276000</v>
      </c>
      <c r="F12" s="38">
        <v>4420.9679999999998</v>
      </c>
      <c r="G12" s="39">
        <v>3.1702370000000001E-2</v>
      </c>
      <c r="H12" s="34" t="s">
        <v>143</v>
      </c>
    </row>
    <row r="13" spans="1:9" x14ac:dyDescent="0.2">
      <c r="A13" s="35">
        <v>7</v>
      </c>
      <c r="B13" s="36" t="s">
        <v>46</v>
      </c>
      <c r="C13" s="36" t="s">
        <v>47</v>
      </c>
      <c r="D13" s="36" t="s">
        <v>33</v>
      </c>
      <c r="E13" s="37">
        <v>532000</v>
      </c>
      <c r="F13" s="38">
        <v>4364.2619999999997</v>
      </c>
      <c r="G13" s="39">
        <v>3.1295730000000001E-2</v>
      </c>
      <c r="H13" s="34" t="s">
        <v>143</v>
      </c>
    </row>
    <row r="14" spans="1:9" x14ac:dyDescent="0.2">
      <c r="A14" s="35">
        <v>8</v>
      </c>
      <c r="B14" s="36" t="s">
        <v>326</v>
      </c>
      <c r="C14" s="36" t="s">
        <v>327</v>
      </c>
      <c r="D14" s="36" t="s">
        <v>33</v>
      </c>
      <c r="E14" s="37">
        <v>190000</v>
      </c>
      <c r="F14" s="38">
        <v>4110.6499999999996</v>
      </c>
      <c r="G14" s="39">
        <v>2.9477099999999999E-2</v>
      </c>
      <c r="H14" s="34" t="s">
        <v>143</v>
      </c>
    </row>
    <row r="15" spans="1:9" x14ac:dyDescent="0.2">
      <c r="A15" s="35">
        <v>9</v>
      </c>
      <c r="B15" s="36" t="s">
        <v>352</v>
      </c>
      <c r="C15" s="36" t="s">
        <v>353</v>
      </c>
      <c r="D15" s="36" t="s">
        <v>354</v>
      </c>
      <c r="E15" s="37">
        <v>951000</v>
      </c>
      <c r="F15" s="38">
        <v>3960.4395</v>
      </c>
      <c r="G15" s="39">
        <v>2.8399959999999998E-2</v>
      </c>
      <c r="H15" s="34" t="s">
        <v>143</v>
      </c>
    </row>
    <row r="16" spans="1:9" ht="25.5" x14ac:dyDescent="0.2">
      <c r="A16" s="35">
        <v>10</v>
      </c>
      <c r="B16" s="36" t="s">
        <v>23</v>
      </c>
      <c r="C16" s="36" t="s">
        <v>24</v>
      </c>
      <c r="D16" s="36" t="s">
        <v>25</v>
      </c>
      <c r="E16" s="37">
        <v>27000</v>
      </c>
      <c r="F16" s="38">
        <v>3265.11</v>
      </c>
      <c r="G16" s="39">
        <v>2.341381E-2</v>
      </c>
      <c r="H16" s="34" t="s">
        <v>143</v>
      </c>
    </row>
    <row r="17" spans="1:8" x14ac:dyDescent="0.2">
      <c r="A17" s="35">
        <v>11</v>
      </c>
      <c r="B17" s="36" t="s">
        <v>444</v>
      </c>
      <c r="C17" s="36" t="s">
        <v>445</v>
      </c>
      <c r="D17" s="36" t="s">
        <v>354</v>
      </c>
      <c r="E17" s="37">
        <v>125000</v>
      </c>
      <c r="F17" s="38">
        <v>2868.25</v>
      </c>
      <c r="G17" s="39">
        <v>2.0567970000000001E-2</v>
      </c>
      <c r="H17" s="34" t="s">
        <v>143</v>
      </c>
    </row>
    <row r="18" spans="1:8" x14ac:dyDescent="0.2">
      <c r="A18" s="35">
        <v>12</v>
      </c>
      <c r="B18" s="36" t="s">
        <v>503</v>
      </c>
      <c r="C18" s="36" t="s">
        <v>504</v>
      </c>
      <c r="D18" s="36" t="s">
        <v>251</v>
      </c>
      <c r="E18" s="37">
        <v>20000</v>
      </c>
      <c r="F18" s="38">
        <v>2480</v>
      </c>
      <c r="G18" s="39">
        <v>1.7783859999999999E-2</v>
      </c>
      <c r="H18" s="34" t="s">
        <v>143</v>
      </c>
    </row>
    <row r="19" spans="1:8" x14ac:dyDescent="0.2">
      <c r="A19" s="35">
        <v>13</v>
      </c>
      <c r="B19" s="36" t="s">
        <v>800</v>
      </c>
      <c r="C19" s="36" t="s">
        <v>801</v>
      </c>
      <c r="D19" s="36" t="s">
        <v>251</v>
      </c>
      <c r="E19" s="37">
        <v>14000</v>
      </c>
      <c r="F19" s="38">
        <v>2250.7800000000002</v>
      </c>
      <c r="G19" s="39">
        <v>1.6140140000000001E-2</v>
      </c>
      <c r="H19" s="34" t="s">
        <v>143</v>
      </c>
    </row>
    <row r="20" spans="1:8" ht="25.5" x14ac:dyDescent="0.2">
      <c r="A20" s="35">
        <v>14</v>
      </c>
      <c r="B20" s="36" t="s">
        <v>348</v>
      </c>
      <c r="C20" s="36" t="s">
        <v>349</v>
      </c>
      <c r="D20" s="36" t="s">
        <v>201</v>
      </c>
      <c r="E20" s="37">
        <v>134000</v>
      </c>
      <c r="F20" s="38">
        <v>2245.4380000000001</v>
      </c>
      <c r="G20" s="39">
        <v>1.6101839999999999E-2</v>
      </c>
      <c r="H20" s="34" t="s">
        <v>143</v>
      </c>
    </row>
    <row r="21" spans="1:8" ht="25.5" x14ac:dyDescent="0.2">
      <c r="A21" s="35">
        <v>15</v>
      </c>
      <c r="B21" s="36" t="s">
        <v>346</v>
      </c>
      <c r="C21" s="36" t="s">
        <v>347</v>
      </c>
      <c r="D21" s="36" t="s">
        <v>192</v>
      </c>
      <c r="E21" s="37">
        <v>133000</v>
      </c>
      <c r="F21" s="38">
        <v>2165.2399999999998</v>
      </c>
      <c r="G21" s="39">
        <v>1.5526740000000001E-2</v>
      </c>
      <c r="H21" s="34" t="s">
        <v>143</v>
      </c>
    </row>
    <row r="22" spans="1:8" x14ac:dyDescent="0.2">
      <c r="A22" s="35">
        <v>16</v>
      </c>
      <c r="B22" s="36" t="s">
        <v>446</v>
      </c>
      <c r="C22" s="36" t="s">
        <v>447</v>
      </c>
      <c r="D22" s="36" t="s">
        <v>33</v>
      </c>
      <c r="E22" s="37">
        <v>241000</v>
      </c>
      <c r="F22" s="38">
        <v>2101.761</v>
      </c>
      <c r="G22" s="39">
        <v>1.507154E-2</v>
      </c>
      <c r="H22" s="34" t="s">
        <v>143</v>
      </c>
    </row>
    <row r="23" spans="1:8" x14ac:dyDescent="0.2">
      <c r="A23" s="35">
        <v>17</v>
      </c>
      <c r="B23" s="36" t="s">
        <v>779</v>
      </c>
      <c r="C23" s="36" t="s">
        <v>780</v>
      </c>
      <c r="D23" s="36" t="s">
        <v>287</v>
      </c>
      <c r="E23" s="37">
        <v>503000</v>
      </c>
      <c r="F23" s="38">
        <v>2014.0119999999999</v>
      </c>
      <c r="G23" s="39">
        <v>1.44423E-2</v>
      </c>
      <c r="H23" s="34" t="s">
        <v>143</v>
      </c>
    </row>
    <row r="24" spans="1:8" x14ac:dyDescent="0.2">
      <c r="A24" s="35">
        <v>18</v>
      </c>
      <c r="B24" s="36" t="s">
        <v>11</v>
      </c>
      <c r="C24" s="36" t="s">
        <v>12</v>
      </c>
      <c r="D24" s="36" t="s">
        <v>13</v>
      </c>
      <c r="E24" s="37">
        <v>90000</v>
      </c>
      <c r="F24" s="38">
        <v>1808.64</v>
      </c>
      <c r="G24" s="39">
        <v>1.29696E-2</v>
      </c>
      <c r="H24" s="34" t="s">
        <v>143</v>
      </c>
    </row>
    <row r="25" spans="1:8" ht="25.5" x14ac:dyDescent="0.2">
      <c r="A25" s="35">
        <v>19</v>
      </c>
      <c r="B25" s="36" t="s">
        <v>101</v>
      </c>
      <c r="C25" s="36" t="s">
        <v>102</v>
      </c>
      <c r="D25" s="36" t="s">
        <v>25</v>
      </c>
      <c r="E25" s="37">
        <v>303000</v>
      </c>
      <c r="F25" s="38">
        <v>1749.6735000000001</v>
      </c>
      <c r="G25" s="39">
        <v>1.2546750000000001E-2</v>
      </c>
      <c r="H25" s="34" t="s">
        <v>143</v>
      </c>
    </row>
    <row r="26" spans="1:8" x14ac:dyDescent="0.2">
      <c r="A26" s="35">
        <v>20</v>
      </c>
      <c r="B26" s="36" t="s">
        <v>50</v>
      </c>
      <c r="C26" s="36" t="s">
        <v>51</v>
      </c>
      <c r="D26" s="36" t="s">
        <v>52</v>
      </c>
      <c r="E26" s="37">
        <v>28445</v>
      </c>
      <c r="F26" s="38">
        <v>1700.0154250000001</v>
      </c>
      <c r="G26" s="39">
        <v>1.2190660000000001E-2</v>
      </c>
      <c r="H26" s="34" t="s">
        <v>143</v>
      </c>
    </row>
    <row r="27" spans="1:8" x14ac:dyDescent="0.2">
      <c r="A27" s="35">
        <v>21</v>
      </c>
      <c r="B27" s="36" t="s">
        <v>20</v>
      </c>
      <c r="C27" s="36" t="s">
        <v>21</v>
      </c>
      <c r="D27" s="36" t="s">
        <v>22</v>
      </c>
      <c r="E27" s="37">
        <v>502000</v>
      </c>
      <c r="F27" s="38">
        <v>1681.1980000000001</v>
      </c>
      <c r="G27" s="39">
        <v>1.2055720000000001E-2</v>
      </c>
      <c r="H27" s="34" t="s">
        <v>143</v>
      </c>
    </row>
    <row r="28" spans="1:8" x14ac:dyDescent="0.2">
      <c r="A28" s="35">
        <v>22</v>
      </c>
      <c r="B28" s="36" t="s">
        <v>734</v>
      </c>
      <c r="C28" s="36" t="s">
        <v>735</v>
      </c>
      <c r="D28" s="36" t="s">
        <v>195</v>
      </c>
      <c r="E28" s="37">
        <v>98000</v>
      </c>
      <c r="F28" s="38">
        <v>1672.076</v>
      </c>
      <c r="G28" s="39">
        <v>1.1990310000000001E-2</v>
      </c>
      <c r="H28" s="34" t="s">
        <v>143</v>
      </c>
    </row>
    <row r="29" spans="1:8" ht="25.5" x14ac:dyDescent="0.2">
      <c r="A29" s="35">
        <v>23</v>
      </c>
      <c r="B29" s="36" t="s">
        <v>802</v>
      </c>
      <c r="C29" s="36" t="s">
        <v>803</v>
      </c>
      <c r="D29" s="36" t="s">
        <v>185</v>
      </c>
      <c r="E29" s="37">
        <v>241000</v>
      </c>
      <c r="F29" s="38">
        <v>1593.6125</v>
      </c>
      <c r="G29" s="39">
        <v>1.1427649999999999E-2</v>
      </c>
      <c r="H29" s="34" t="s">
        <v>143</v>
      </c>
    </row>
    <row r="30" spans="1:8" x14ac:dyDescent="0.2">
      <c r="A30" s="35">
        <v>24</v>
      </c>
      <c r="B30" s="36" t="s">
        <v>338</v>
      </c>
      <c r="C30" s="36" t="s">
        <v>339</v>
      </c>
      <c r="D30" s="36" t="s">
        <v>251</v>
      </c>
      <c r="E30" s="37">
        <v>50000</v>
      </c>
      <c r="F30" s="38">
        <v>1591.6</v>
      </c>
      <c r="G30" s="39">
        <v>1.141322E-2</v>
      </c>
      <c r="H30" s="34" t="s">
        <v>143</v>
      </c>
    </row>
    <row r="31" spans="1:8" x14ac:dyDescent="0.2">
      <c r="A31" s="35">
        <v>25</v>
      </c>
      <c r="B31" s="36" t="s">
        <v>186</v>
      </c>
      <c r="C31" s="36" t="s">
        <v>187</v>
      </c>
      <c r="D31" s="36" t="s">
        <v>33</v>
      </c>
      <c r="E31" s="37">
        <v>722000</v>
      </c>
      <c r="F31" s="38">
        <v>1538.7264</v>
      </c>
      <c r="G31" s="39">
        <v>1.103407E-2</v>
      </c>
      <c r="H31" s="34" t="s">
        <v>143</v>
      </c>
    </row>
    <row r="32" spans="1:8" x14ac:dyDescent="0.2">
      <c r="A32" s="35">
        <v>26</v>
      </c>
      <c r="B32" s="36" t="s">
        <v>107</v>
      </c>
      <c r="C32" s="36" t="s">
        <v>108</v>
      </c>
      <c r="D32" s="36" t="s">
        <v>52</v>
      </c>
      <c r="E32" s="37">
        <v>398000</v>
      </c>
      <c r="F32" s="38">
        <v>1523.5440000000001</v>
      </c>
      <c r="G32" s="39">
        <v>1.0925199999999999E-2</v>
      </c>
      <c r="H32" s="34" t="s">
        <v>143</v>
      </c>
    </row>
    <row r="33" spans="1:8" x14ac:dyDescent="0.2">
      <c r="A33" s="35">
        <v>27</v>
      </c>
      <c r="B33" s="36" t="s">
        <v>722</v>
      </c>
      <c r="C33" s="36" t="s">
        <v>723</v>
      </c>
      <c r="D33" s="36" t="s">
        <v>195</v>
      </c>
      <c r="E33" s="37">
        <v>21000</v>
      </c>
      <c r="F33" s="38">
        <v>1520.82</v>
      </c>
      <c r="G33" s="39">
        <v>1.0905669999999999E-2</v>
      </c>
      <c r="H33" s="34" t="s">
        <v>143</v>
      </c>
    </row>
    <row r="34" spans="1:8" ht="25.5" x14ac:dyDescent="0.2">
      <c r="A34" s="35">
        <v>28</v>
      </c>
      <c r="B34" s="36" t="s">
        <v>283</v>
      </c>
      <c r="C34" s="36" t="s">
        <v>284</v>
      </c>
      <c r="D34" s="36" t="s">
        <v>185</v>
      </c>
      <c r="E34" s="37">
        <v>37000</v>
      </c>
      <c r="F34" s="38">
        <v>1518.739</v>
      </c>
      <c r="G34" s="39">
        <v>1.0890739999999999E-2</v>
      </c>
      <c r="H34" s="34" t="s">
        <v>143</v>
      </c>
    </row>
    <row r="35" spans="1:8" x14ac:dyDescent="0.2">
      <c r="A35" s="35">
        <v>29</v>
      </c>
      <c r="B35" s="36" t="s">
        <v>350</v>
      </c>
      <c r="C35" s="36" t="s">
        <v>351</v>
      </c>
      <c r="D35" s="36" t="s">
        <v>287</v>
      </c>
      <c r="E35" s="37">
        <v>549000</v>
      </c>
      <c r="F35" s="38">
        <v>1450.1835000000001</v>
      </c>
      <c r="G35" s="39">
        <v>1.0399139999999999E-2</v>
      </c>
      <c r="H35" s="34" t="s">
        <v>143</v>
      </c>
    </row>
    <row r="36" spans="1:8" x14ac:dyDescent="0.2">
      <c r="A36" s="35">
        <v>30</v>
      </c>
      <c r="B36" s="36" t="s">
        <v>34</v>
      </c>
      <c r="C36" s="36" t="s">
        <v>35</v>
      </c>
      <c r="D36" s="36" t="s">
        <v>36</v>
      </c>
      <c r="E36" s="37">
        <v>60000</v>
      </c>
      <c r="F36" s="38">
        <v>1416.66</v>
      </c>
      <c r="G36" s="39">
        <v>1.0158739999999999E-2</v>
      </c>
      <c r="H36" s="34" t="s">
        <v>143</v>
      </c>
    </row>
    <row r="37" spans="1:8" ht="25.5" x14ac:dyDescent="0.2">
      <c r="A37" s="35">
        <v>31</v>
      </c>
      <c r="B37" s="36" t="s">
        <v>440</v>
      </c>
      <c r="C37" s="36" t="s">
        <v>441</v>
      </c>
      <c r="D37" s="36" t="s">
        <v>201</v>
      </c>
      <c r="E37" s="37">
        <v>93000</v>
      </c>
      <c r="F37" s="38">
        <v>1400.4870000000001</v>
      </c>
      <c r="G37" s="39">
        <v>1.0042769999999999E-2</v>
      </c>
      <c r="H37" s="34" t="s">
        <v>143</v>
      </c>
    </row>
    <row r="38" spans="1:8" x14ac:dyDescent="0.2">
      <c r="A38" s="35">
        <v>32</v>
      </c>
      <c r="B38" s="36" t="s">
        <v>92</v>
      </c>
      <c r="C38" s="36" t="s">
        <v>93</v>
      </c>
      <c r="D38" s="36" t="s">
        <v>94</v>
      </c>
      <c r="E38" s="37">
        <v>725000</v>
      </c>
      <c r="F38" s="38">
        <v>1383.59</v>
      </c>
      <c r="G38" s="39">
        <v>9.9215999999999992E-3</v>
      </c>
      <c r="H38" s="34" t="s">
        <v>143</v>
      </c>
    </row>
    <row r="39" spans="1:8" ht="25.5" x14ac:dyDescent="0.2">
      <c r="A39" s="35">
        <v>33</v>
      </c>
      <c r="B39" s="36" t="s">
        <v>638</v>
      </c>
      <c r="C39" s="36" t="s">
        <v>639</v>
      </c>
      <c r="D39" s="36" t="s">
        <v>201</v>
      </c>
      <c r="E39" s="37">
        <v>120000</v>
      </c>
      <c r="F39" s="38">
        <v>1361.76</v>
      </c>
      <c r="G39" s="39">
        <v>9.7650600000000008E-3</v>
      </c>
      <c r="H39" s="34" t="s">
        <v>143</v>
      </c>
    </row>
    <row r="40" spans="1:8" x14ac:dyDescent="0.2">
      <c r="A40" s="35">
        <v>34</v>
      </c>
      <c r="B40" s="36" t="s">
        <v>273</v>
      </c>
      <c r="C40" s="36" t="s">
        <v>274</v>
      </c>
      <c r="D40" s="36" t="s">
        <v>221</v>
      </c>
      <c r="E40" s="37">
        <v>800000</v>
      </c>
      <c r="F40" s="38">
        <v>1342.16</v>
      </c>
      <c r="G40" s="39">
        <v>9.6245099999999993E-3</v>
      </c>
      <c r="H40" s="34" t="s">
        <v>143</v>
      </c>
    </row>
    <row r="41" spans="1:8" x14ac:dyDescent="0.2">
      <c r="A41" s="35">
        <v>35</v>
      </c>
      <c r="B41" s="36" t="s">
        <v>344</v>
      </c>
      <c r="C41" s="36" t="s">
        <v>345</v>
      </c>
      <c r="D41" s="36" t="s">
        <v>287</v>
      </c>
      <c r="E41" s="37">
        <v>90000</v>
      </c>
      <c r="F41" s="38">
        <v>1339.47</v>
      </c>
      <c r="G41" s="39">
        <v>9.6052199999999994E-3</v>
      </c>
      <c r="H41" s="34" t="s">
        <v>143</v>
      </c>
    </row>
    <row r="42" spans="1:8" ht="25.5" x14ac:dyDescent="0.2">
      <c r="A42" s="35">
        <v>36</v>
      </c>
      <c r="B42" s="36" t="s">
        <v>117</v>
      </c>
      <c r="C42" s="36" t="s">
        <v>118</v>
      </c>
      <c r="D42" s="36" t="s">
        <v>119</v>
      </c>
      <c r="E42" s="37">
        <v>261000</v>
      </c>
      <c r="F42" s="38">
        <v>1328.0985000000001</v>
      </c>
      <c r="G42" s="39">
        <v>9.5236799999999996E-3</v>
      </c>
      <c r="H42" s="34" t="s">
        <v>143</v>
      </c>
    </row>
    <row r="43" spans="1:8" ht="25.5" x14ac:dyDescent="0.2">
      <c r="A43" s="35">
        <v>37</v>
      </c>
      <c r="B43" s="36" t="s">
        <v>438</v>
      </c>
      <c r="C43" s="36" t="s">
        <v>439</v>
      </c>
      <c r="D43" s="36" t="s">
        <v>209</v>
      </c>
      <c r="E43" s="37">
        <v>120522</v>
      </c>
      <c r="F43" s="38">
        <v>1324.416258</v>
      </c>
      <c r="G43" s="39">
        <v>9.4972700000000004E-3</v>
      </c>
      <c r="H43" s="34" t="s">
        <v>143</v>
      </c>
    </row>
    <row r="44" spans="1:8" x14ac:dyDescent="0.2">
      <c r="A44" s="35">
        <v>38</v>
      </c>
      <c r="B44" s="36" t="s">
        <v>219</v>
      </c>
      <c r="C44" s="36" t="s">
        <v>220</v>
      </c>
      <c r="D44" s="36" t="s">
        <v>221</v>
      </c>
      <c r="E44" s="37">
        <v>188000</v>
      </c>
      <c r="F44" s="38">
        <v>1319.384</v>
      </c>
      <c r="G44" s="39">
        <v>9.4611899999999995E-3</v>
      </c>
      <c r="H44" s="34" t="s">
        <v>143</v>
      </c>
    </row>
    <row r="45" spans="1:8" x14ac:dyDescent="0.2">
      <c r="A45" s="35">
        <v>39</v>
      </c>
      <c r="B45" s="36" t="s">
        <v>427</v>
      </c>
      <c r="C45" s="36" t="s">
        <v>428</v>
      </c>
      <c r="D45" s="36" t="s">
        <v>251</v>
      </c>
      <c r="E45" s="37">
        <v>189000</v>
      </c>
      <c r="F45" s="38">
        <v>1300.32</v>
      </c>
      <c r="G45" s="39">
        <v>9.3244799999999996E-3</v>
      </c>
      <c r="H45" s="34" t="s">
        <v>143</v>
      </c>
    </row>
    <row r="46" spans="1:8" x14ac:dyDescent="0.2">
      <c r="A46" s="35">
        <v>40</v>
      </c>
      <c r="B46" s="36" t="s">
        <v>507</v>
      </c>
      <c r="C46" s="36" t="s">
        <v>508</v>
      </c>
      <c r="D46" s="36" t="s">
        <v>226</v>
      </c>
      <c r="E46" s="37">
        <v>88000</v>
      </c>
      <c r="F46" s="38">
        <v>1256.7280000000001</v>
      </c>
      <c r="G46" s="39">
        <v>9.0118799999999999E-3</v>
      </c>
      <c r="H46" s="34" t="s">
        <v>143</v>
      </c>
    </row>
    <row r="47" spans="1:8" x14ac:dyDescent="0.2">
      <c r="A47" s="35">
        <v>41</v>
      </c>
      <c r="B47" s="36" t="s">
        <v>513</v>
      </c>
      <c r="C47" s="36" t="s">
        <v>514</v>
      </c>
      <c r="D47" s="36" t="s">
        <v>198</v>
      </c>
      <c r="E47" s="37">
        <v>74000</v>
      </c>
      <c r="F47" s="38">
        <v>1248.3800000000001</v>
      </c>
      <c r="G47" s="39">
        <v>8.9520199999999998E-3</v>
      </c>
      <c r="H47" s="34" t="s">
        <v>143</v>
      </c>
    </row>
    <row r="48" spans="1:8" x14ac:dyDescent="0.2">
      <c r="A48" s="35">
        <v>42</v>
      </c>
      <c r="B48" s="36" t="s">
        <v>804</v>
      </c>
      <c r="C48" s="36" t="s">
        <v>805</v>
      </c>
      <c r="D48" s="36" t="s">
        <v>55</v>
      </c>
      <c r="E48" s="37">
        <v>95000</v>
      </c>
      <c r="F48" s="38">
        <v>1160.1400000000001</v>
      </c>
      <c r="G48" s="39">
        <v>8.3192600000000002E-3</v>
      </c>
      <c r="H48" s="34" t="s">
        <v>143</v>
      </c>
    </row>
    <row r="49" spans="1:8" x14ac:dyDescent="0.2">
      <c r="A49" s="35">
        <v>43</v>
      </c>
      <c r="B49" s="36" t="s">
        <v>309</v>
      </c>
      <c r="C49" s="36" t="s">
        <v>310</v>
      </c>
      <c r="D49" s="36" t="s">
        <v>206</v>
      </c>
      <c r="E49" s="37">
        <v>27000</v>
      </c>
      <c r="F49" s="38">
        <v>1158.354</v>
      </c>
      <c r="G49" s="39">
        <v>8.3064499999999999E-3</v>
      </c>
      <c r="H49" s="34" t="s">
        <v>143</v>
      </c>
    </row>
    <row r="50" spans="1:8" x14ac:dyDescent="0.2">
      <c r="A50" s="35">
        <v>44</v>
      </c>
      <c r="B50" s="36" t="s">
        <v>728</v>
      </c>
      <c r="C50" s="36" t="s">
        <v>729</v>
      </c>
      <c r="D50" s="36" t="s">
        <v>55</v>
      </c>
      <c r="E50" s="37">
        <v>65375</v>
      </c>
      <c r="F50" s="38">
        <v>1069.2735</v>
      </c>
      <c r="G50" s="39">
        <v>7.6676699999999997E-3</v>
      </c>
      <c r="H50" s="34" t="s">
        <v>143</v>
      </c>
    </row>
    <row r="51" spans="1:8" x14ac:dyDescent="0.2">
      <c r="A51" s="35">
        <v>45</v>
      </c>
      <c r="B51" s="36" t="s">
        <v>736</v>
      </c>
      <c r="C51" s="36" t="s">
        <v>737</v>
      </c>
      <c r="D51" s="36" t="s">
        <v>55</v>
      </c>
      <c r="E51" s="37">
        <v>98690</v>
      </c>
      <c r="F51" s="38">
        <v>1066.8389</v>
      </c>
      <c r="G51" s="39">
        <v>7.6502100000000002E-3</v>
      </c>
      <c r="H51" s="34" t="s">
        <v>143</v>
      </c>
    </row>
    <row r="52" spans="1:8" x14ac:dyDescent="0.2">
      <c r="A52" s="35">
        <v>46</v>
      </c>
      <c r="B52" s="36" t="s">
        <v>336</v>
      </c>
      <c r="C52" s="36" t="s">
        <v>337</v>
      </c>
      <c r="D52" s="36" t="s">
        <v>28</v>
      </c>
      <c r="E52" s="37">
        <v>20800</v>
      </c>
      <c r="F52" s="38">
        <v>1012.9184</v>
      </c>
      <c r="G52" s="39">
        <v>7.2635499999999997E-3</v>
      </c>
      <c r="H52" s="34" t="s">
        <v>143</v>
      </c>
    </row>
    <row r="53" spans="1:8" x14ac:dyDescent="0.2">
      <c r="A53" s="35">
        <v>47</v>
      </c>
      <c r="B53" s="36" t="s">
        <v>254</v>
      </c>
      <c r="C53" s="36" t="s">
        <v>255</v>
      </c>
      <c r="D53" s="36" t="s">
        <v>256</v>
      </c>
      <c r="E53" s="37">
        <v>55000</v>
      </c>
      <c r="F53" s="38">
        <v>905.90499999999997</v>
      </c>
      <c r="G53" s="39">
        <v>6.49616E-3</v>
      </c>
      <c r="H53" s="34" t="s">
        <v>143</v>
      </c>
    </row>
    <row r="54" spans="1:8" x14ac:dyDescent="0.2">
      <c r="A54" s="35">
        <v>48</v>
      </c>
      <c r="B54" s="36" t="s">
        <v>239</v>
      </c>
      <c r="C54" s="36" t="s">
        <v>240</v>
      </c>
      <c r="D54" s="36" t="s">
        <v>73</v>
      </c>
      <c r="E54" s="37">
        <v>20000</v>
      </c>
      <c r="F54" s="38">
        <v>878.28</v>
      </c>
      <c r="G54" s="39">
        <v>6.2980700000000002E-3</v>
      </c>
      <c r="H54" s="34" t="s">
        <v>143</v>
      </c>
    </row>
    <row r="55" spans="1:8" x14ac:dyDescent="0.2">
      <c r="A55" s="35">
        <v>49</v>
      </c>
      <c r="B55" s="36" t="s">
        <v>113</v>
      </c>
      <c r="C55" s="36" t="s">
        <v>114</v>
      </c>
      <c r="D55" s="36" t="s">
        <v>73</v>
      </c>
      <c r="E55" s="37">
        <v>100000</v>
      </c>
      <c r="F55" s="38">
        <v>851.05</v>
      </c>
      <c r="G55" s="39">
        <v>6.1028000000000002E-3</v>
      </c>
      <c r="H55" s="34" t="s">
        <v>143</v>
      </c>
    </row>
    <row r="56" spans="1:8" x14ac:dyDescent="0.2">
      <c r="A56" s="35">
        <v>50</v>
      </c>
      <c r="B56" s="36" t="s">
        <v>340</v>
      </c>
      <c r="C56" s="36" t="s">
        <v>341</v>
      </c>
      <c r="D56" s="36" t="s">
        <v>265</v>
      </c>
      <c r="E56" s="37">
        <v>42000</v>
      </c>
      <c r="F56" s="38">
        <v>839.28599999999994</v>
      </c>
      <c r="G56" s="39">
        <v>6.0184499999999998E-3</v>
      </c>
      <c r="H56" s="34" t="s">
        <v>143</v>
      </c>
    </row>
    <row r="57" spans="1:8" x14ac:dyDescent="0.2">
      <c r="A57" s="35">
        <v>51</v>
      </c>
      <c r="B57" s="36" t="s">
        <v>202</v>
      </c>
      <c r="C57" s="36" t="s">
        <v>203</v>
      </c>
      <c r="D57" s="36" t="s">
        <v>16</v>
      </c>
      <c r="E57" s="37">
        <v>180000</v>
      </c>
      <c r="F57" s="38">
        <v>788.49</v>
      </c>
      <c r="G57" s="39">
        <v>5.6541899999999999E-3</v>
      </c>
      <c r="H57" s="34" t="s">
        <v>143</v>
      </c>
    </row>
    <row r="58" spans="1:8" ht="25.5" x14ac:dyDescent="0.2">
      <c r="A58" s="35">
        <v>52</v>
      </c>
      <c r="B58" s="36" t="s">
        <v>247</v>
      </c>
      <c r="C58" s="36" t="s">
        <v>248</v>
      </c>
      <c r="D58" s="36" t="s">
        <v>201</v>
      </c>
      <c r="E58" s="37">
        <v>14500</v>
      </c>
      <c r="F58" s="38">
        <v>716.15499999999997</v>
      </c>
      <c r="G58" s="39">
        <v>5.1354800000000004E-3</v>
      </c>
      <c r="H58" s="34" t="s">
        <v>143</v>
      </c>
    </row>
    <row r="59" spans="1:8" x14ac:dyDescent="0.2">
      <c r="A59" s="35">
        <v>53</v>
      </c>
      <c r="B59" s="36" t="s">
        <v>357</v>
      </c>
      <c r="C59" s="36" t="s">
        <v>358</v>
      </c>
      <c r="D59" s="36" t="s">
        <v>226</v>
      </c>
      <c r="E59" s="37">
        <v>150000</v>
      </c>
      <c r="F59" s="38">
        <v>686.32500000000005</v>
      </c>
      <c r="G59" s="39">
        <v>4.9215800000000001E-3</v>
      </c>
      <c r="H59" s="34" t="s">
        <v>143</v>
      </c>
    </row>
    <row r="60" spans="1:8" ht="25.5" x14ac:dyDescent="0.2">
      <c r="A60" s="35">
        <v>54</v>
      </c>
      <c r="B60" s="36" t="s">
        <v>56</v>
      </c>
      <c r="C60" s="36" t="s">
        <v>57</v>
      </c>
      <c r="D60" s="36" t="s">
        <v>58</v>
      </c>
      <c r="E60" s="37">
        <v>47000</v>
      </c>
      <c r="F60" s="38">
        <v>681.59400000000005</v>
      </c>
      <c r="G60" s="39">
        <v>4.8876500000000003E-3</v>
      </c>
      <c r="H60" s="34" t="s">
        <v>143</v>
      </c>
    </row>
    <row r="61" spans="1:8" ht="25.5" x14ac:dyDescent="0.2">
      <c r="A61" s="35">
        <v>55</v>
      </c>
      <c r="B61" s="36" t="s">
        <v>468</v>
      </c>
      <c r="C61" s="36" t="s">
        <v>469</v>
      </c>
      <c r="D61" s="36" t="s">
        <v>201</v>
      </c>
      <c r="E61" s="37">
        <v>5576</v>
      </c>
      <c r="F61" s="38">
        <v>669.12</v>
      </c>
      <c r="G61" s="39">
        <v>4.7981999999999999E-3</v>
      </c>
      <c r="H61" s="34" t="s">
        <v>143</v>
      </c>
    </row>
    <row r="62" spans="1:8" x14ac:dyDescent="0.2">
      <c r="A62" s="35">
        <v>56</v>
      </c>
      <c r="B62" s="36" t="s">
        <v>111</v>
      </c>
      <c r="C62" s="36" t="s">
        <v>112</v>
      </c>
      <c r="D62" s="36" t="s">
        <v>73</v>
      </c>
      <c r="E62" s="37">
        <v>20823</v>
      </c>
      <c r="F62" s="38">
        <v>362.13279299999999</v>
      </c>
      <c r="G62" s="39">
        <v>2.5968200000000001E-3</v>
      </c>
      <c r="H62" s="34" t="s">
        <v>143</v>
      </c>
    </row>
    <row r="63" spans="1:8" ht="25.5" x14ac:dyDescent="0.2">
      <c r="A63" s="35">
        <v>57</v>
      </c>
      <c r="B63" s="36" t="s">
        <v>261</v>
      </c>
      <c r="C63" s="36" t="s">
        <v>262</v>
      </c>
      <c r="D63" s="36" t="s">
        <v>201</v>
      </c>
      <c r="E63" s="37">
        <v>12215</v>
      </c>
      <c r="F63" s="38">
        <v>283.36356999999998</v>
      </c>
      <c r="G63" s="39">
        <v>2.0319800000000001E-3</v>
      </c>
      <c r="H63" s="34" t="s">
        <v>143</v>
      </c>
    </row>
    <row r="64" spans="1:8" x14ac:dyDescent="0.2">
      <c r="A64" s="41"/>
      <c r="B64" s="41"/>
      <c r="C64" s="42" t="s">
        <v>142</v>
      </c>
      <c r="D64" s="41"/>
      <c r="E64" s="41" t="s">
        <v>143</v>
      </c>
      <c r="F64" s="43">
        <f>SUM(F7:F63)</f>
        <v>124704.65674600002</v>
      </c>
      <c r="G64" s="44">
        <f>SUM(G7:G63)</f>
        <v>0.89424598999999982</v>
      </c>
      <c r="H64" s="34" t="s">
        <v>143</v>
      </c>
    </row>
    <row r="65" spans="1:8" x14ac:dyDescent="0.2">
      <c r="A65" s="41"/>
      <c r="B65" s="41"/>
      <c r="C65" s="45"/>
      <c r="D65" s="41"/>
      <c r="E65" s="41"/>
      <c r="F65" s="46"/>
      <c r="G65" s="46"/>
      <c r="H65" s="34" t="s">
        <v>143</v>
      </c>
    </row>
    <row r="66" spans="1:8" x14ac:dyDescent="0.2">
      <c r="A66" s="41"/>
      <c r="B66" s="41"/>
      <c r="C66" s="42" t="s">
        <v>144</v>
      </c>
      <c r="D66" s="41"/>
      <c r="E66" s="41"/>
      <c r="F66" s="41"/>
      <c r="G66" s="41"/>
      <c r="H66" s="34" t="s">
        <v>143</v>
      </c>
    </row>
    <row r="67" spans="1:8" x14ac:dyDescent="0.2">
      <c r="A67" s="41"/>
      <c r="B67" s="41"/>
      <c r="C67" s="42" t="s">
        <v>142</v>
      </c>
      <c r="D67" s="41"/>
      <c r="E67" s="41" t="s">
        <v>143</v>
      </c>
      <c r="F67" s="47" t="s">
        <v>145</v>
      </c>
      <c r="G67" s="44">
        <v>0</v>
      </c>
      <c r="H67" s="34" t="s">
        <v>143</v>
      </c>
    </row>
    <row r="68" spans="1:8" x14ac:dyDescent="0.2">
      <c r="A68" s="41"/>
      <c r="B68" s="41"/>
      <c r="C68" s="45"/>
      <c r="D68" s="41"/>
      <c r="E68" s="41"/>
      <c r="F68" s="46"/>
      <c r="G68" s="46"/>
      <c r="H68" s="34" t="s">
        <v>143</v>
      </c>
    </row>
    <row r="69" spans="1:8" x14ac:dyDescent="0.2">
      <c r="A69" s="41"/>
      <c r="B69" s="41"/>
      <c r="C69" s="42" t="s">
        <v>146</v>
      </c>
      <c r="D69" s="41"/>
      <c r="E69" s="41"/>
      <c r="F69" s="41"/>
      <c r="G69" s="41"/>
      <c r="H69" s="34" t="s">
        <v>143</v>
      </c>
    </row>
    <row r="70" spans="1:8" x14ac:dyDescent="0.2">
      <c r="A70" s="35">
        <v>1</v>
      </c>
      <c r="B70" s="36" t="s">
        <v>529</v>
      </c>
      <c r="C70" s="50" t="s">
        <v>950</v>
      </c>
      <c r="D70" s="36" t="s">
        <v>221</v>
      </c>
      <c r="E70" s="37">
        <v>374002</v>
      </c>
      <c r="F70" s="38">
        <v>61.261527600000001</v>
      </c>
      <c r="G70" s="39">
        <v>4.393E-4</v>
      </c>
      <c r="H70" s="34" t="s">
        <v>143</v>
      </c>
    </row>
    <row r="71" spans="1:8" x14ac:dyDescent="0.2">
      <c r="A71" s="35">
        <v>2</v>
      </c>
      <c r="B71" s="36" t="s">
        <v>741</v>
      </c>
      <c r="C71" s="50" t="s">
        <v>1034</v>
      </c>
      <c r="D71" s="36"/>
      <c r="E71" s="37">
        <v>200000</v>
      </c>
      <c r="F71" s="38">
        <v>1.9999999999999999E-6</v>
      </c>
      <c r="G71" s="48" t="s">
        <v>141</v>
      </c>
      <c r="H71" s="34" t="s">
        <v>143</v>
      </c>
    </row>
    <row r="72" spans="1:8" x14ac:dyDescent="0.2">
      <c r="A72" s="41"/>
      <c r="B72" s="41"/>
      <c r="C72" s="42" t="s">
        <v>142</v>
      </c>
      <c r="D72" s="41"/>
      <c r="E72" s="41" t="s">
        <v>143</v>
      </c>
      <c r="F72" s="43">
        <f>SUM(F70:F71)</f>
        <v>61.261529600000003</v>
      </c>
      <c r="G72" s="44">
        <f>SUM(G70:G71)</f>
        <v>4.393E-4</v>
      </c>
      <c r="H72" s="34" t="s">
        <v>143</v>
      </c>
    </row>
    <row r="73" spans="1:8" x14ac:dyDescent="0.2">
      <c r="A73" s="41"/>
      <c r="B73" s="41"/>
      <c r="C73" s="45"/>
      <c r="D73" s="41"/>
      <c r="E73" s="41"/>
      <c r="F73" s="46"/>
      <c r="G73" s="46"/>
      <c r="H73" s="34" t="s">
        <v>143</v>
      </c>
    </row>
    <row r="74" spans="1:8" x14ac:dyDescent="0.2">
      <c r="A74" s="41"/>
      <c r="B74" s="41"/>
      <c r="C74" s="42" t="s">
        <v>147</v>
      </c>
      <c r="D74" s="41"/>
      <c r="E74" s="41"/>
      <c r="F74" s="41"/>
      <c r="G74" s="41"/>
      <c r="H74" s="34" t="s">
        <v>143</v>
      </c>
    </row>
    <row r="75" spans="1:8" x14ac:dyDescent="0.2">
      <c r="A75" s="35">
        <v>1</v>
      </c>
      <c r="B75" s="36" t="s">
        <v>806</v>
      </c>
      <c r="C75" s="50" t="s">
        <v>1038</v>
      </c>
      <c r="D75" s="36" t="s">
        <v>13</v>
      </c>
      <c r="E75" s="37">
        <v>193000</v>
      </c>
      <c r="F75" s="38">
        <v>2952.0315000000001</v>
      </c>
      <c r="G75" s="39">
        <v>2.1168759999999998E-2</v>
      </c>
      <c r="H75" s="34" t="s">
        <v>143</v>
      </c>
    </row>
    <row r="76" spans="1:8" x14ac:dyDescent="0.2">
      <c r="A76" s="41"/>
      <c r="B76" s="41"/>
      <c r="C76" s="42" t="s">
        <v>142</v>
      </c>
      <c r="D76" s="41"/>
      <c r="E76" s="41" t="s">
        <v>143</v>
      </c>
      <c r="F76" s="43">
        <v>2952.0315000000001</v>
      </c>
      <c r="G76" s="44">
        <v>2.1168759999999998E-2</v>
      </c>
      <c r="H76" s="34" t="s">
        <v>143</v>
      </c>
    </row>
    <row r="77" spans="1:8" x14ac:dyDescent="0.2">
      <c r="A77" s="41"/>
      <c r="B77" s="41"/>
      <c r="C77" s="45"/>
      <c r="D77" s="41"/>
      <c r="E77" s="41"/>
      <c r="F77" s="46"/>
      <c r="G77" s="46"/>
      <c r="H77" s="34" t="s">
        <v>143</v>
      </c>
    </row>
    <row r="78" spans="1:8" x14ac:dyDescent="0.2">
      <c r="A78" s="41"/>
      <c r="B78" s="41"/>
      <c r="C78" s="42" t="s">
        <v>148</v>
      </c>
      <c r="D78" s="41"/>
      <c r="E78" s="41"/>
      <c r="F78" s="46"/>
      <c r="G78" s="46"/>
      <c r="H78" s="34" t="s">
        <v>143</v>
      </c>
    </row>
    <row r="79" spans="1:8" x14ac:dyDescent="0.2">
      <c r="A79" s="41"/>
      <c r="B79" s="41"/>
      <c r="C79" s="42" t="s">
        <v>142</v>
      </c>
      <c r="D79" s="41"/>
      <c r="E79" s="41" t="s">
        <v>143</v>
      </c>
      <c r="F79" s="47" t="s">
        <v>145</v>
      </c>
      <c r="G79" s="44">
        <v>0</v>
      </c>
      <c r="H79" s="34" t="s">
        <v>143</v>
      </c>
    </row>
    <row r="80" spans="1:8" x14ac:dyDescent="0.2">
      <c r="A80" s="41"/>
      <c r="B80" s="41"/>
      <c r="C80" s="45"/>
      <c r="D80" s="41"/>
      <c r="E80" s="41"/>
      <c r="F80" s="46"/>
      <c r="G80" s="46"/>
      <c r="H80" s="34" t="s">
        <v>143</v>
      </c>
    </row>
    <row r="81" spans="1:8" x14ac:dyDescent="0.2">
      <c r="A81" s="41"/>
      <c r="B81" s="41"/>
      <c r="C81" s="42" t="s">
        <v>149</v>
      </c>
      <c r="D81" s="41"/>
      <c r="E81" s="41"/>
      <c r="F81" s="46"/>
      <c r="G81" s="46"/>
      <c r="H81" s="34" t="s">
        <v>143</v>
      </c>
    </row>
    <row r="82" spans="1:8" x14ac:dyDescent="0.2">
      <c r="A82" s="41"/>
      <c r="B82" s="41"/>
      <c r="C82" s="42" t="s">
        <v>142</v>
      </c>
      <c r="D82" s="41"/>
      <c r="E82" s="41" t="s">
        <v>143</v>
      </c>
      <c r="F82" s="47" t="s">
        <v>145</v>
      </c>
      <c r="G82" s="44">
        <v>0</v>
      </c>
      <c r="H82" s="34" t="s">
        <v>143</v>
      </c>
    </row>
    <row r="83" spans="1:8" x14ac:dyDescent="0.2">
      <c r="A83" s="41"/>
      <c r="B83" s="41"/>
      <c r="C83" s="45"/>
      <c r="D83" s="41"/>
      <c r="E83" s="41"/>
      <c r="F83" s="46"/>
      <c r="G83" s="46"/>
      <c r="H83" s="34" t="s">
        <v>143</v>
      </c>
    </row>
    <row r="84" spans="1:8" x14ac:dyDescent="0.2">
      <c r="A84" s="41"/>
      <c r="B84" s="41"/>
      <c r="C84" s="42" t="s">
        <v>150</v>
      </c>
      <c r="D84" s="41"/>
      <c r="E84" s="41"/>
      <c r="F84" s="43">
        <v>127717.94977560001</v>
      </c>
      <c r="G84" s="44">
        <v>0.91585404999999998</v>
      </c>
      <c r="H84" s="34" t="s">
        <v>143</v>
      </c>
    </row>
    <row r="85" spans="1:8" x14ac:dyDescent="0.2">
      <c r="A85" s="41"/>
      <c r="B85" s="41"/>
      <c r="C85" s="45"/>
      <c r="D85" s="41"/>
      <c r="E85" s="41"/>
      <c r="F85" s="46"/>
      <c r="G85" s="46"/>
      <c r="H85" s="34" t="s">
        <v>143</v>
      </c>
    </row>
    <row r="86" spans="1:8" x14ac:dyDescent="0.2">
      <c r="A86" s="41"/>
      <c r="B86" s="41"/>
      <c r="C86" s="42" t="s">
        <v>151</v>
      </c>
      <c r="D86" s="41"/>
      <c r="E86" s="41"/>
      <c r="F86" s="46"/>
      <c r="G86" s="46"/>
      <c r="H86" s="34" t="s">
        <v>143</v>
      </c>
    </row>
    <row r="87" spans="1:8" x14ac:dyDescent="0.2">
      <c r="A87" s="41"/>
      <c r="B87" s="41"/>
      <c r="C87" s="42" t="s">
        <v>10</v>
      </c>
      <c r="D87" s="41"/>
      <c r="E87" s="41"/>
      <c r="F87" s="46"/>
      <c r="G87" s="46"/>
      <c r="H87" s="34" t="s">
        <v>143</v>
      </c>
    </row>
    <row r="88" spans="1:8" x14ac:dyDescent="0.2">
      <c r="A88" s="41"/>
      <c r="B88" s="41"/>
      <c r="C88" s="42" t="s">
        <v>142</v>
      </c>
      <c r="D88" s="41"/>
      <c r="E88" s="41" t="s">
        <v>143</v>
      </c>
      <c r="F88" s="47" t="s">
        <v>145</v>
      </c>
      <c r="G88" s="44">
        <v>0</v>
      </c>
      <c r="H88" s="34" t="s">
        <v>143</v>
      </c>
    </row>
    <row r="89" spans="1:8" x14ac:dyDescent="0.2">
      <c r="A89" s="41"/>
      <c r="B89" s="41"/>
      <c r="C89" s="45"/>
      <c r="D89" s="41"/>
      <c r="E89" s="41"/>
      <c r="F89" s="46"/>
      <c r="G89" s="46"/>
      <c r="H89" s="34" t="s">
        <v>143</v>
      </c>
    </row>
    <row r="90" spans="1:8" x14ac:dyDescent="0.2">
      <c r="A90" s="41"/>
      <c r="B90" s="41"/>
      <c r="C90" s="42" t="s">
        <v>152</v>
      </c>
      <c r="D90" s="41"/>
      <c r="E90" s="41"/>
      <c r="F90" s="41"/>
      <c r="G90" s="41"/>
      <c r="H90" s="34" t="s">
        <v>143</v>
      </c>
    </row>
    <row r="91" spans="1:8" x14ac:dyDescent="0.2">
      <c r="A91" s="41"/>
      <c r="B91" s="41"/>
      <c r="C91" s="42" t="s">
        <v>142</v>
      </c>
      <c r="D91" s="41"/>
      <c r="E91" s="41" t="s">
        <v>143</v>
      </c>
      <c r="F91" s="47" t="s">
        <v>145</v>
      </c>
      <c r="G91" s="44">
        <v>0</v>
      </c>
      <c r="H91" s="34" t="s">
        <v>143</v>
      </c>
    </row>
    <row r="92" spans="1:8" x14ac:dyDescent="0.2">
      <c r="A92" s="41"/>
      <c r="B92" s="41"/>
      <c r="C92" s="45"/>
      <c r="D92" s="41"/>
      <c r="E92" s="41"/>
      <c r="F92" s="46"/>
      <c r="G92" s="46"/>
      <c r="H92" s="34" t="s">
        <v>143</v>
      </c>
    </row>
    <row r="93" spans="1:8" x14ac:dyDescent="0.2">
      <c r="A93" s="41"/>
      <c r="B93" s="41"/>
      <c r="C93" s="42" t="s">
        <v>153</v>
      </c>
      <c r="D93" s="41"/>
      <c r="E93" s="41"/>
      <c r="F93" s="41"/>
      <c r="G93" s="41"/>
      <c r="H93" s="34" t="s">
        <v>143</v>
      </c>
    </row>
    <row r="94" spans="1:8" x14ac:dyDescent="0.2">
      <c r="A94" s="41"/>
      <c r="B94" s="41"/>
      <c r="C94" s="42" t="s">
        <v>142</v>
      </c>
      <c r="D94" s="41"/>
      <c r="E94" s="41" t="s">
        <v>143</v>
      </c>
      <c r="F94" s="47" t="s">
        <v>145</v>
      </c>
      <c r="G94" s="44">
        <v>0</v>
      </c>
      <c r="H94" s="34" t="s">
        <v>143</v>
      </c>
    </row>
    <row r="95" spans="1:8" x14ac:dyDescent="0.2">
      <c r="A95" s="41"/>
      <c r="B95" s="41"/>
      <c r="C95" s="45"/>
      <c r="D95" s="41"/>
      <c r="E95" s="41"/>
      <c r="F95" s="46"/>
      <c r="G95" s="46"/>
      <c r="H95" s="34" t="s">
        <v>143</v>
      </c>
    </row>
    <row r="96" spans="1:8" x14ac:dyDescent="0.2">
      <c r="A96" s="41"/>
      <c r="B96" s="41"/>
      <c r="C96" s="42" t="s">
        <v>154</v>
      </c>
      <c r="D96" s="41"/>
      <c r="E96" s="41"/>
      <c r="F96" s="46"/>
      <c r="G96" s="46"/>
      <c r="H96" s="34" t="s">
        <v>143</v>
      </c>
    </row>
    <row r="97" spans="1:8" x14ac:dyDescent="0.2">
      <c r="A97" s="41"/>
      <c r="B97" s="41"/>
      <c r="C97" s="42" t="s">
        <v>142</v>
      </c>
      <c r="D97" s="41"/>
      <c r="E97" s="41" t="s">
        <v>143</v>
      </c>
      <c r="F97" s="47" t="s">
        <v>145</v>
      </c>
      <c r="G97" s="44">
        <v>0</v>
      </c>
      <c r="H97" s="34" t="s">
        <v>143</v>
      </c>
    </row>
    <row r="98" spans="1:8" x14ac:dyDescent="0.2">
      <c r="A98" s="41"/>
      <c r="B98" s="41"/>
      <c r="C98" s="45"/>
      <c r="D98" s="41"/>
      <c r="E98" s="41"/>
      <c r="F98" s="46"/>
      <c r="G98" s="46"/>
      <c r="H98" s="34" t="s">
        <v>143</v>
      </c>
    </row>
    <row r="99" spans="1:8" x14ac:dyDescent="0.2">
      <c r="A99" s="41"/>
      <c r="B99" s="41"/>
      <c r="C99" s="42" t="s">
        <v>155</v>
      </c>
      <c r="D99" s="41"/>
      <c r="E99" s="41"/>
      <c r="F99" s="43">
        <v>0</v>
      </c>
      <c r="G99" s="44">
        <v>0</v>
      </c>
      <c r="H99" s="34" t="s">
        <v>143</v>
      </c>
    </row>
    <row r="100" spans="1:8" x14ac:dyDescent="0.2">
      <c r="A100" s="41"/>
      <c r="B100" s="41"/>
      <c r="C100" s="45"/>
      <c r="D100" s="41"/>
      <c r="E100" s="41"/>
      <c r="F100" s="46"/>
      <c r="G100" s="46"/>
      <c r="H100" s="34" t="s">
        <v>143</v>
      </c>
    </row>
    <row r="101" spans="1:8" x14ac:dyDescent="0.2">
      <c r="A101" s="41"/>
      <c r="B101" s="41"/>
      <c r="C101" s="42" t="s">
        <v>156</v>
      </c>
      <c r="D101" s="41"/>
      <c r="E101" s="41"/>
      <c r="F101" s="46"/>
      <c r="G101" s="46"/>
      <c r="H101" s="34" t="s">
        <v>143</v>
      </c>
    </row>
    <row r="102" spans="1:8" x14ac:dyDescent="0.2">
      <c r="A102" s="41"/>
      <c r="B102" s="41"/>
      <c r="C102" s="42" t="s">
        <v>157</v>
      </c>
      <c r="D102" s="41"/>
      <c r="E102" s="41"/>
      <c r="F102" s="46"/>
      <c r="G102" s="46"/>
      <c r="H102" s="34" t="s">
        <v>143</v>
      </c>
    </row>
    <row r="103" spans="1:8" x14ac:dyDescent="0.2">
      <c r="A103" s="41"/>
      <c r="B103" s="41"/>
      <c r="C103" s="42" t="s">
        <v>142</v>
      </c>
      <c r="D103" s="41"/>
      <c r="E103" s="41" t="s">
        <v>143</v>
      </c>
      <c r="F103" s="47" t="s">
        <v>145</v>
      </c>
      <c r="G103" s="44">
        <v>0</v>
      </c>
      <c r="H103" s="34" t="s">
        <v>143</v>
      </c>
    </row>
    <row r="104" spans="1:8" x14ac:dyDescent="0.2">
      <c r="A104" s="41"/>
      <c r="B104" s="41"/>
      <c r="C104" s="45"/>
      <c r="D104" s="41"/>
      <c r="E104" s="41"/>
      <c r="F104" s="46"/>
      <c r="G104" s="46"/>
      <c r="H104" s="34" t="s">
        <v>143</v>
      </c>
    </row>
    <row r="105" spans="1:8" x14ac:dyDescent="0.2">
      <c r="A105" s="41"/>
      <c r="B105" s="41"/>
      <c r="C105" s="42" t="s">
        <v>158</v>
      </c>
      <c r="D105" s="41"/>
      <c r="E105" s="41"/>
      <c r="F105" s="46"/>
      <c r="G105" s="46"/>
      <c r="H105" s="34" t="s">
        <v>143</v>
      </c>
    </row>
    <row r="106" spans="1:8" x14ac:dyDescent="0.2">
      <c r="A106" s="41"/>
      <c r="B106" s="41"/>
      <c r="C106" s="42" t="s">
        <v>142</v>
      </c>
      <c r="D106" s="41"/>
      <c r="E106" s="41" t="s">
        <v>143</v>
      </c>
      <c r="F106" s="47" t="s">
        <v>145</v>
      </c>
      <c r="G106" s="44">
        <v>0</v>
      </c>
      <c r="H106" s="34" t="s">
        <v>143</v>
      </c>
    </row>
    <row r="107" spans="1:8" x14ac:dyDescent="0.2">
      <c r="A107" s="41"/>
      <c r="B107" s="41"/>
      <c r="C107" s="45"/>
      <c r="D107" s="41"/>
      <c r="E107" s="41"/>
      <c r="F107" s="46"/>
      <c r="G107" s="46"/>
      <c r="H107" s="34" t="s">
        <v>143</v>
      </c>
    </row>
    <row r="108" spans="1:8" x14ac:dyDescent="0.2">
      <c r="A108" s="41"/>
      <c r="B108" s="41"/>
      <c r="C108" s="42" t="s">
        <v>159</v>
      </c>
      <c r="D108" s="41"/>
      <c r="E108" s="41"/>
      <c r="F108" s="46"/>
      <c r="G108" s="46"/>
      <c r="H108" s="34" t="s">
        <v>143</v>
      </c>
    </row>
    <row r="109" spans="1:8" x14ac:dyDescent="0.2">
      <c r="A109" s="41"/>
      <c r="B109" s="41"/>
      <c r="C109" s="42" t="s">
        <v>142</v>
      </c>
      <c r="D109" s="41"/>
      <c r="E109" s="41" t="s">
        <v>143</v>
      </c>
      <c r="F109" s="47" t="s">
        <v>145</v>
      </c>
      <c r="G109" s="44">
        <v>0</v>
      </c>
      <c r="H109" s="34" t="s">
        <v>143</v>
      </c>
    </row>
    <row r="110" spans="1:8" x14ac:dyDescent="0.2">
      <c r="A110" s="41"/>
      <c r="B110" s="41"/>
      <c r="C110" s="45"/>
      <c r="D110" s="41"/>
      <c r="E110" s="41"/>
      <c r="F110" s="46"/>
      <c r="G110" s="46"/>
      <c r="H110" s="34" t="s">
        <v>143</v>
      </c>
    </row>
    <row r="111" spans="1:8" x14ac:dyDescent="0.2">
      <c r="A111" s="41"/>
      <c r="B111" s="41"/>
      <c r="C111" s="42" t="s">
        <v>160</v>
      </c>
      <c r="D111" s="41"/>
      <c r="E111" s="41"/>
      <c r="F111" s="46"/>
      <c r="G111" s="46"/>
      <c r="H111" s="34" t="s">
        <v>143</v>
      </c>
    </row>
    <row r="112" spans="1:8" x14ac:dyDescent="0.2">
      <c r="A112" s="35">
        <v>1</v>
      </c>
      <c r="B112" s="36"/>
      <c r="C112" s="36" t="s">
        <v>161</v>
      </c>
      <c r="D112" s="36"/>
      <c r="E112" s="48"/>
      <c r="F112" s="38">
        <v>6669.629801</v>
      </c>
      <c r="G112" s="39">
        <v>4.782732E-2</v>
      </c>
      <c r="H112" s="34">
        <v>5.47</v>
      </c>
    </row>
    <row r="113" spans="1:8" x14ac:dyDescent="0.2">
      <c r="A113" s="41"/>
      <c r="B113" s="41"/>
      <c r="C113" s="42" t="s">
        <v>142</v>
      </c>
      <c r="D113" s="41"/>
      <c r="E113" s="41" t="s">
        <v>143</v>
      </c>
      <c r="F113" s="43">
        <v>6669.629801</v>
      </c>
      <c r="G113" s="44">
        <v>4.782732E-2</v>
      </c>
      <c r="H113" s="34" t="s">
        <v>143</v>
      </c>
    </row>
    <row r="114" spans="1:8" x14ac:dyDescent="0.2">
      <c r="A114" s="41"/>
      <c r="B114" s="41"/>
      <c r="C114" s="45"/>
      <c r="D114" s="41"/>
      <c r="E114" s="41"/>
      <c r="F114" s="46"/>
      <c r="G114" s="46"/>
      <c r="H114" s="34" t="s">
        <v>143</v>
      </c>
    </row>
    <row r="115" spans="1:8" x14ac:dyDescent="0.2">
      <c r="A115" s="41"/>
      <c r="B115" s="41"/>
      <c r="C115" s="42" t="s">
        <v>162</v>
      </c>
      <c r="D115" s="41"/>
      <c r="E115" s="41"/>
      <c r="F115" s="43">
        <v>6669.629801</v>
      </c>
      <c r="G115" s="44">
        <v>4.782732E-2</v>
      </c>
      <c r="H115" s="34" t="s">
        <v>143</v>
      </c>
    </row>
    <row r="116" spans="1:8" x14ac:dyDescent="0.2">
      <c r="A116" s="41"/>
      <c r="B116" s="41"/>
      <c r="C116" s="46"/>
      <c r="D116" s="41"/>
      <c r="E116" s="41"/>
      <c r="F116" s="41"/>
      <c r="G116" s="41"/>
      <c r="H116" s="34" t="s">
        <v>143</v>
      </c>
    </row>
    <row r="117" spans="1:8" x14ac:dyDescent="0.2">
      <c r="A117" s="41"/>
      <c r="B117" s="41"/>
      <c r="C117" s="42" t="s">
        <v>163</v>
      </c>
      <c r="D117" s="41"/>
      <c r="E117" s="41"/>
      <c r="F117" s="41"/>
      <c r="G117" s="41"/>
      <c r="H117" s="34" t="s">
        <v>143</v>
      </c>
    </row>
    <row r="118" spans="1:8" x14ac:dyDescent="0.2">
      <c r="A118" s="41"/>
      <c r="B118" s="41"/>
      <c r="C118" s="42" t="s">
        <v>164</v>
      </c>
      <c r="D118" s="41"/>
      <c r="E118" s="41"/>
      <c r="F118" s="41"/>
      <c r="G118" s="41"/>
      <c r="H118" s="34" t="s">
        <v>143</v>
      </c>
    </row>
    <row r="119" spans="1:8" x14ac:dyDescent="0.2">
      <c r="A119" s="35">
        <v>1</v>
      </c>
      <c r="B119" s="36" t="s">
        <v>319</v>
      </c>
      <c r="C119" s="36" t="s">
        <v>320</v>
      </c>
      <c r="D119" s="36"/>
      <c r="E119" s="49">
        <v>214777.08499999999</v>
      </c>
      <c r="F119" s="38">
        <v>5004.5320259930004</v>
      </c>
      <c r="G119" s="39">
        <v>3.5887049999999997E-2</v>
      </c>
      <c r="H119" s="34" t="s">
        <v>143</v>
      </c>
    </row>
    <row r="120" spans="1:8" x14ac:dyDescent="0.2">
      <c r="A120" s="41"/>
      <c r="B120" s="41"/>
      <c r="C120" s="42" t="s">
        <v>142</v>
      </c>
      <c r="D120" s="41"/>
      <c r="E120" s="41" t="s">
        <v>143</v>
      </c>
      <c r="F120" s="43">
        <v>5004.5320259930004</v>
      </c>
      <c r="G120" s="44">
        <v>3.5887049999999997E-2</v>
      </c>
      <c r="H120" s="34" t="s">
        <v>143</v>
      </c>
    </row>
    <row r="121" spans="1:8" x14ac:dyDescent="0.2">
      <c r="A121" s="41"/>
      <c r="B121" s="41"/>
      <c r="C121" s="45"/>
      <c r="D121" s="41"/>
      <c r="E121" s="41"/>
      <c r="F121" s="46"/>
      <c r="G121" s="46"/>
      <c r="H121" s="34" t="s">
        <v>143</v>
      </c>
    </row>
    <row r="122" spans="1:8" x14ac:dyDescent="0.2">
      <c r="A122" s="41"/>
      <c r="B122" s="41"/>
      <c r="C122" s="42" t="s">
        <v>165</v>
      </c>
      <c r="D122" s="41"/>
      <c r="E122" s="41"/>
      <c r="F122" s="41"/>
      <c r="G122" s="41"/>
      <c r="H122" s="34" t="s">
        <v>143</v>
      </c>
    </row>
    <row r="123" spans="1:8" x14ac:dyDescent="0.2">
      <c r="A123" s="41"/>
      <c r="B123" s="41"/>
      <c r="C123" s="42" t="s">
        <v>166</v>
      </c>
      <c r="D123" s="41"/>
      <c r="E123" s="41"/>
      <c r="F123" s="41"/>
      <c r="G123" s="41"/>
      <c r="H123" s="34" t="s">
        <v>143</v>
      </c>
    </row>
    <row r="124" spans="1:8" x14ac:dyDescent="0.2">
      <c r="A124" s="41"/>
      <c r="B124" s="41"/>
      <c r="C124" s="42" t="s">
        <v>142</v>
      </c>
      <c r="D124" s="41"/>
      <c r="E124" s="41" t="s">
        <v>143</v>
      </c>
      <c r="F124" s="47" t="s">
        <v>145</v>
      </c>
      <c r="G124" s="44">
        <v>0</v>
      </c>
      <c r="H124" s="34" t="s">
        <v>143</v>
      </c>
    </row>
    <row r="125" spans="1:8" x14ac:dyDescent="0.2">
      <c r="A125" s="41"/>
      <c r="B125" s="41"/>
      <c r="C125" s="45"/>
      <c r="D125" s="41"/>
      <c r="E125" s="41"/>
      <c r="F125" s="46"/>
      <c r="G125" s="46"/>
      <c r="H125" s="34" t="s">
        <v>143</v>
      </c>
    </row>
    <row r="126" spans="1:8" x14ac:dyDescent="0.2">
      <c r="A126" s="41"/>
      <c r="B126" s="41"/>
      <c r="C126" s="42" t="s">
        <v>167</v>
      </c>
      <c r="D126" s="41"/>
      <c r="E126" s="41"/>
      <c r="F126" s="46"/>
      <c r="G126" s="46"/>
      <c r="H126" s="34" t="s">
        <v>143</v>
      </c>
    </row>
    <row r="127" spans="1:8" x14ac:dyDescent="0.2">
      <c r="A127" s="41"/>
      <c r="B127" s="41"/>
      <c r="C127" s="42" t="s">
        <v>142</v>
      </c>
      <c r="D127" s="41"/>
      <c r="E127" s="41" t="s">
        <v>143</v>
      </c>
      <c r="F127" s="47" t="s">
        <v>145</v>
      </c>
      <c r="G127" s="44">
        <v>0</v>
      </c>
      <c r="H127" s="34" t="s">
        <v>143</v>
      </c>
    </row>
    <row r="128" spans="1:8" x14ac:dyDescent="0.2">
      <c r="A128" s="41"/>
      <c r="B128" s="41"/>
      <c r="C128" s="45"/>
      <c r="D128" s="41"/>
      <c r="E128" s="41"/>
      <c r="F128" s="46"/>
      <c r="G128" s="46"/>
      <c r="H128" s="34" t="s">
        <v>143</v>
      </c>
    </row>
    <row r="129" spans="1:17" x14ac:dyDescent="0.2">
      <c r="A129" s="48"/>
      <c r="B129" s="36"/>
      <c r="C129" s="36" t="s">
        <v>168</v>
      </c>
      <c r="D129" s="36"/>
      <c r="E129" s="48"/>
      <c r="F129" s="38">
        <v>60.187996849999998</v>
      </c>
      <c r="G129" s="39">
        <v>4.3159999999999997E-4</v>
      </c>
      <c r="H129" s="34" t="s">
        <v>143</v>
      </c>
    </row>
    <row r="130" spans="1:17" x14ac:dyDescent="0.2">
      <c r="A130" s="45"/>
      <c r="B130" s="45"/>
      <c r="C130" s="42" t="s">
        <v>169</v>
      </c>
      <c r="D130" s="46"/>
      <c r="E130" s="46"/>
      <c r="F130" s="43">
        <v>139452.29959944301</v>
      </c>
      <c r="G130" s="51">
        <v>1.0000000200000001</v>
      </c>
      <c r="H130" s="34" t="s">
        <v>143</v>
      </c>
    </row>
    <row r="131" spans="1:17" x14ac:dyDescent="0.2">
      <c r="A131" s="52"/>
      <c r="B131" s="52"/>
      <c r="C131" s="52"/>
      <c r="D131" s="53"/>
      <c r="E131" s="53"/>
      <c r="F131" s="53"/>
      <c r="G131" s="53"/>
    </row>
    <row r="132" spans="1:17" ht="12.75" customHeight="1" x14ac:dyDescent="0.2">
      <c r="A132" s="54"/>
      <c r="B132" s="158" t="s">
        <v>852</v>
      </c>
      <c r="C132" s="158"/>
      <c r="D132" s="158"/>
      <c r="E132" s="158"/>
      <c r="F132" s="158"/>
      <c r="G132" s="158"/>
      <c r="H132" s="158"/>
      <c r="J132" s="56"/>
    </row>
    <row r="133" spans="1:17" ht="12.75" customHeight="1" x14ac:dyDescent="0.2">
      <c r="A133" s="54"/>
      <c r="B133" s="158" t="s">
        <v>853</v>
      </c>
      <c r="C133" s="158"/>
      <c r="D133" s="158"/>
      <c r="E133" s="158"/>
      <c r="F133" s="158"/>
      <c r="G133" s="158"/>
      <c r="H133" s="158"/>
      <c r="J133" s="56"/>
    </row>
    <row r="134" spans="1:17" ht="12.75" customHeight="1" x14ac:dyDescent="0.2">
      <c r="A134" s="54"/>
      <c r="B134" s="158" t="s">
        <v>854</v>
      </c>
      <c r="C134" s="158"/>
      <c r="D134" s="158"/>
      <c r="E134" s="158"/>
      <c r="F134" s="158"/>
      <c r="G134" s="158"/>
      <c r="H134" s="158"/>
      <c r="J134" s="56"/>
    </row>
    <row r="135" spans="1:17" s="58" customFormat="1" ht="51.75" customHeight="1" x14ac:dyDescent="0.25">
      <c r="A135" s="57"/>
      <c r="B135" s="159" t="s">
        <v>855</v>
      </c>
      <c r="C135" s="159"/>
      <c r="D135" s="159"/>
      <c r="E135" s="159"/>
      <c r="F135" s="159"/>
      <c r="G135" s="159"/>
      <c r="H135" s="159"/>
      <c r="I135"/>
      <c r="J135" s="56"/>
      <c r="K135"/>
      <c r="L135"/>
      <c r="M135"/>
      <c r="N135"/>
      <c r="O135"/>
      <c r="P135"/>
      <c r="Q135"/>
    </row>
    <row r="136" spans="1:17" ht="12.75" customHeight="1" x14ac:dyDescent="0.2">
      <c r="A136" s="54"/>
      <c r="B136" s="158" t="s">
        <v>856</v>
      </c>
      <c r="C136" s="158"/>
      <c r="D136" s="158"/>
      <c r="E136" s="158"/>
      <c r="F136" s="158"/>
      <c r="G136" s="158"/>
      <c r="H136" s="158"/>
      <c r="J136" s="56"/>
    </row>
    <row r="137" spans="1:17" x14ac:dyDescent="0.2">
      <c r="A137" s="54"/>
      <c r="B137" s="54"/>
      <c r="C137" s="54"/>
      <c r="D137" s="59"/>
      <c r="E137" s="59"/>
      <c r="F137" s="59"/>
      <c r="G137" s="59"/>
    </row>
    <row r="138" spans="1:17" x14ac:dyDescent="0.2">
      <c r="A138" s="54"/>
      <c r="B138" s="160" t="s">
        <v>170</v>
      </c>
      <c r="C138" s="161"/>
      <c r="D138" s="162"/>
      <c r="E138" s="60"/>
      <c r="F138" s="59"/>
      <c r="G138" s="59"/>
    </row>
    <row r="139" spans="1:17" ht="27.75" customHeight="1" x14ac:dyDescent="0.2">
      <c r="A139" s="54"/>
      <c r="B139" s="154" t="s">
        <v>171</v>
      </c>
      <c r="C139" s="155"/>
      <c r="D139" s="33" t="s">
        <v>986</v>
      </c>
      <c r="E139" s="60"/>
      <c r="F139" s="59"/>
      <c r="G139" s="59"/>
    </row>
    <row r="140" spans="1:17" ht="12.75" customHeight="1" x14ac:dyDescent="0.2">
      <c r="A140" s="54"/>
      <c r="B140" s="154" t="s">
        <v>857</v>
      </c>
      <c r="C140" s="155"/>
      <c r="D140" s="88" t="str">
        <f>"Rs. "&amp;TEXT(F72,"0.00")&amp;" lacs/ "&amp;TEXT(ROUND(G72*100,2),"0.00")&amp;"%"</f>
        <v>Rs. 61.26 lacs/ 0.04%</v>
      </c>
      <c r="E140" s="60"/>
      <c r="F140" s="59"/>
      <c r="G140" s="59"/>
    </row>
    <row r="141" spans="1:17" ht="12.75" customHeight="1" x14ac:dyDescent="0.2">
      <c r="A141" s="54"/>
      <c r="B141" s="154" t="s">
        <v>173</v>
      </c>
      <c r="C141" s="155"/>
      <c r="D141" s="61" t="s">
        <v>143</v>
      </c>
      <c r="E141" s="60"/>
      <c r="F141" s="59"/>
      <c r="G141" s="59"/>
    </row>
    <row r="142" spans="1:17" x14ac:dyDescent="0.2">
      <c r="A142" s="62"/>
      <c r="B142" s="63" t="s">
        <v>143</v>
      </c>
      <c r="C142" s="63" t="s">
        <v>858</v>
      </c>
      <c r="D142" s="63" t="s">
        <v>174</v>
      </c>
      <c r="E142" s="62"/>
      <c r="F142" s="62"/>
      <c r="G142" s="62"/>
      <c r="H142" s="62"/>
      <c r="J142" s="56"/>
    </row>
    <row r="143" spans="1:17" x14ac:dyDescent="0.2">
      <c r="A143" s="62"/>
      <c r="B143" s="64" t="s">
        <v>175</v>
      </c>
      <c r="C143" s="65">
        <v>45808</v>
      </c>
      <c r="D143" s="65">
        <v>45838</v>
      </c>
      <c r="E143" s="62"/>
      <c r="F143" s="62"/>
      <c r="G143" s="62"/>
      <c r="J143" s="56"/>
    </row>
    <row r="144" spans="1:17" x14ac:dyDescent="0.2">
      <c r="A144" s="66"/>
      <c r="B144" s="36" t="s">
        <v>176</v>
      </c>
      <c r="C144" s="67">
        <v>533.62099999999998</v>
      </c>
      <c r="D144" s="67">
        <v>549.51570000000004</v>
      </c>
      <c r="E144" s="66"/>
      <c r="F144" s="68"/>
      <c r="G144" s="69"/>
    </row>
    <row r="145" spans="1:7" x14ac:dyDescent="0.2">
      <c r="A145" s="66"/>
      <c r="B145" s="36" t="s">
        <v>1086</v>
      </c>
      <c r="C145" s="67">
        <v>533.08370000000002</v>
      </c>
      <c r="D145" s="67">
        <v>548.9624</v>
      </c>
      <c r="E145" s="66"/>
      <c r="F145" s="68"/>
      <c r="G145" s="69"/>
    </row>
    <row r="146" spans="1:7" x14ac:dyDescent="0.2">
      <c r="A146" s="66"/>
      <c r="B146" s="36" t="s">
        <v>177</v>
      </c>
      <c r="C146" s="67">
        <v>499.50240000000002</v>
      </c>
      <c r="D146" s="67">
        <v>514.1653</v>
      </c>
      <c r="E146" s="66"/>
      <c r="F146" s="68"/>
      <c r="G146" s="69"/>
    </row>
    <row r="147" spans="1:7" x14ac:dyDescent="0.2">
      <c r="A147" s="66"/>
      <c r="B147" s="36" t="s">
        <v>1087</v>
      </c>
      <c r="C147" s="67">
        <v>400.57580000000002</v>
      </c>
      <c r="D147" s="67">
        <v>412.3347</v>
      </c>
      <c r="E147" s="66"/>
      <c r="F147" s="68"/>
      <c r="G147" s="69"/>
    </row>
    <row r="148" spans="1:7" x14ac:dyDescent="0.2">
      <c r="A148" s="66"/>
      <c r="B148" s="66"/>
      <c r="C148" s="66"/>
      <c r="D148" s="66"/>
      <c r="E148" s="66"/>
      <c r="F148" s="66"/>
      <c r="G148" s="66"/>
    </row>
    <row r="149" spans="1:7" x14ac:dyDescent="0.2">
      <c r="A149" s="66"/>
      <c r="B149" s="163" t="s">
        <v>860</v>
      </c>
      <c r="C149" s="164"/>
      <c r="D149" s="33" t="s">
        <v>172</v>
      </c>
      <c r="E149" s="66"/>
      <c r="F149" s="66"/>
      <c r="G149" s="66"/>
    </row>
    <row r="150" spans="1:7" x14ac:dyDescent="0.2">
      <c r="A150" s="66"/>
      <c r="B150" s="70"/>
      <c r="C150" s="70"/>
      <c r="D150" s="70"/>
      <c r="E150" s="66"/>
      <c r="F150" s="66"/>
      <c r="G150" s="66"/>
    </row>
    <row r="151" spans="1:7" ht="29.1" customHeight="1" x14ac:dyDescent="0.2">
      <c r="A151" s="62"/>
      <c r="B151" s="154" t="s">
        <v>178</v>
      </c>
      <c r="C151" s="155"/>
      <c r="D151" s="33" t="s">
        <v>172</v>
      </c>
      <c r="E151" s="71"/>
      <c r="F151" s="62"/>
      <c r="G151" s="62"/>
    </row>
    <row r="152" spans="1:7" ht="29.1" customHeight="1" x14ac:dyDescent="0.2">
      <c r="A152" s="62"/>
      <c r="B152" s="154" t="s">
        <v>179</v>
      </c>
      <c r="C152" s="155"/>
      <c r="D152" s="33" t="s">
        <v>172</v>
      </c>
      <c r="E152" s="71"/>
      <c r="F152" s="62"/>
      <c r="G152" s="62"/>
    </row>
    <row r="153" spans="1:7" ht="17.100000000000001" customHeight="1" x14ac:dyDescent="0.2">
      <c r="A153" s="62"/>
      <c r="B153" s="154" t="s">
        <v>180</v>
      </c>
      <c r="C153" s="155"/>
      <c r="D153" s="33" t="s">
        <v>172</v>
      </c>
      <c r="E153" s="71"/>
      <c r="F153" s="62"/>
      <c r="G153" s="62"/>
    </row>
    <row r="154" spans="1:7" ht="17.100000000000001" customHeight="1" x14ac:dyDescent="0.2">
      <c r="A154" s="62"/>
      <c r="B154" s="154" t="s">
        <v>181</v>
      </c>
      <c r="C154" s="155"/>
      <c r="D154" s="72">
        <v>0.40317763268365042</v>
      </c>
      <c r="E154" s="62"/>
      <c r="F154" s="55"/>
      <c r="G154" s="73"/>
    </row>
    <row r="156" spans="1:7" ht="13.5" x14ac:dyDescent="0.25">
      <c r="B156" s="89" t="s">
        <v>942</v>
      </c>
      <c r="C156" s="90"/>
      <c r="D156" s="90"/>
      <c r="E156" s="12"/>
      <c r="F156" s="13"/>
    </row>
    <row r="157" spans="1:7" ht="40.5" x14ac:dyDescent="0.25">
      <c r="B157" s="91" t="s">
        <v>916</v>
      </c>
      <c r="C157" s="91" t="s">
        <v>917</v>
      </c>
      <c r="D157" s="91" t="s">
        <v>918</v>
      </c>
      <c r="E157" s="91" t="s">
        <v>919</v>
      </c>
      <c r="F157" s="91" t="s">
        <v>920</v>
      </c>
    </row>
    <row r="158" spans="1:7" ht="13.5" x14ac:dyDescent="0.2">
      <c r="B158" s="92" t="s">
        <v>931</v>
      </c>
      <c r="C158" s="93" t="s">
        <v>922</v>
      </c>
      <c r="D158" s="14">
        <v>0</v>
      </c>
      <c r="E158" s="15">
        <v>0</v>
      </c>
      <c r="F158" s="94">
        <v>0.54925000000000002</v>
      </c>
    </row>
    <row r="160" spans="1:7" x14ac:dyDescent="0.2">
      <c r="B160" s="156" t="s">
        <v>861</v>
      </c>
      <c r="C160" s="156"/>
    </row>
    <row r="162" spans="2:10" ht="153.75" customHeight="1" x14ac:dyDescent="0.2"/>
    <row r="165" spans="2:10" x14ac:dyDescent="0.2">
      <c r="B165" s="79" t="s">
        <v>862</v>
      </c>
      <c r="C165" s="80"/>
      <c r="D165" s="79"/>
    </row>
    <row r="166" spans="2:10" x14ac:dyDescent="0.2">
      <c r="B166" s="79" t="s">
        <v>932</v>
      </c>
      <c r="D166" s="79"/>
    </row>
    <row r="167" spans="2:10" ht="165" customHeight="1" x14ac:dyDescent="0.2"/>
    <row r="169" spans="2:10" x14ac:dyDescent="0.2">
      <c r="J169" s="31"/>
    </row>
  </sheetData>
  <mergeCells count="18">
    <mergeCell ref="B153:C153"/>
    <mergeCell ref="B154:C154"/>
    <mergeCell ref="B151:C151"/>
    <mergeCell ref="B152:C152"/>
    <mergeCell ref="B160:C160"/>
    <mergeCell ref="A1:H1"/>
    <mergeCell ref="A2:H2"/>
    <mergeCell ref="A3:H3"/>
    <mergeCell ref="B132:H132"/>
    <mergeCell ref="B133:H133"/>
    <mergeCell ref="B140:C140"/>
    <mergeCell ref="B141:C141"/>
    <mergeCell ref="B149:C149"/>
    <mergeCell ref="B134:H134"/>
    <mergeCell ref="B135:H135"/>
    <mergeCell ref="B136:H136"/>
    <mergeCell ref="B138:D138"/>
    <mergeCell ref="B139:C139"/>
  </mergeCells>
  <hyperlinks>
    <hyperlink ref="I1" location="Index!B2" display="Index" xr:uid="{6B374929-6361-4DA4-8EF8-2DC196D381B4}"/>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C5C02-BDF2-45B9-A227-467015321C47}">
  <sheetPr>
    <outlinePr summaryBelow="0" summaryRight="0"/>
  </sheetPr>
  <dimension ref="A1:Q136"/>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807</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11</v>
      </c>
      <c r="C7" s="36" t="s">
        <v>12</v>
      </c>
      <c r="D7" s="36" t="s">
        <v>13</v>
      </c>
      <c r="E7" s="37">
        <v>789519</v>
      </c>
      <c r="F7" s="38">
        <v>15866.173824</v>
      </c>
      <c r="G7" s="39">
        <v>9.9421869999999996E-2</v>
      </c>
      <c r="H7" s="34" t="s">
        <v>143</v>
      </c>
    </row>
    <row r="8" spans="1:9" x14ac:dyDescent="0.2">
      <c r="A8" s="35">
        <v>2</v>
      </c>
      <c r="B8" s="36" t="s">
        <v>352</v>
      </c>
      <c r="C8" s="36" t="s">
        <v>353</v>
      </c>
      <c r="D8" s="36" t="s">
        <v>354</v>
      </c>
      <c r="E8" s="37">
        <v>2991251</v>
      </c>
      <c r="F8" s="38">
        <v>12457.0647895</v>
      </c>
      <c r="G8" s="39">
        <v>7.8059439999999994E-2</v>
      </c>
      <c r="H8" s="34" t="s">
        <v>143</v>
      </c>
    </row>
    <row r="9" spans="1:9" x14ac:dyDescent="0.2">
      <c r="A9" s="35">
        <v>3</v>
      </c>
      <c r="B9" s="36" t="s">
        <v>338</v>
      </c>
      <c r="C9" s="36" t="s">
        <v>339</v>
      </c>
      <c r="D9" s="36" t="s">
        <v>251</v>
      </c>
      <c r="E9" s="37">
        <v>390720</v>
      </c>
      <c r="F9" s="38">
        <v>12437.39904</v>
      </c>
      <c r="G9" s="39">
        <v>7.7936210000000006E-2</v>
      </c>
      <c r="H9" s="34" t="s">
        <v>143</v>
      </c>
    </row>
    <row r="10" spans="1:9" x14ac:dyDescent="0.2">
      <c r="A10" s="35">
        <v>4</v>
      </c>
      <c r="B10" s="36" t="s">
        <v>444</v>
      </c>
      <c r="C10" s="36" t="s">
        <v>445</v>
      </c>
      <c r="D10" s="36" t="s">
        <v>354</v>
      </c>
      <c r="E10" s="37">
        <v>440212</v>
      </c>
      <c r="F10" s="38">
        <v>10101.104552000001</v>
      </c>
      <c r="G10" s="39">
        <v>6.3296340000000006E-2</v>
      </c>
      <c r="H10" s="34" t="s">
        <v>143</v>
      </c>
    </row>
    <row r="11" spans="1:9" x14ac:dyDescent="0.2">
      <c r="A11" s="35">
        <v>5</v>
      </c>
      <c r="B11" s="36" t="s">
        <v>350</v>
      </c>
      <c r="C11" s="36" t="s">
        <v>351</v>
      </c>
      <c r="D11" s="36" t="s">
        <v>287</v>
      </c>
      <c r="E11" s="37">
        <v>3000962</v>
      </c>
      <c r="F11" s="38">
        <v>7927.041123</v>
      </c>
      <c r="G11" s="39">
        <v>4.9673050000000003E-2</v>
      </c>
      <c r="H11" s="34" t="s">
        <v>143</v>
      </c>
    </row>
    <row r="12" spans="1:9" x14ac:dyDescent="0.2">
      <c r="A12" s="35">
        <v>6</v>
      </c>
      <c r="B12" s="36" t="s">
        <v>359</v>
      </c>
      <c r="C12" s="36" t="s">
        <v>360</v>
      </c>
      <c r="D12" s="36" t="s">
        <v>55</v>
      </c>
      <c r="E12" s="37">
        <v>212692</v>
      </c>
      <c r="F12" s="38">
        <v>7848.7601839999998</v>
      </c>
      <c r="G12" s="39">
        <v>4.918252E-2</v>
      </c>
      <c r="H12" s="34" t="s">
        <v>143</v>
      </c>
    </row>
    <row r="13" spans="1:9" x14ac:dyDescent="0.2">
      <c r="A13" s="35">
        <v>7</v>
      </c>
      <c r="B13" s="36" t="s">
        <v>503</v>
      </c>
      <c r="C13" s="36" t="s">
        <v>504</v>
      </c>
      <c r="D13" s="36" t="s">
        <v>251</v>
      </c>
      <c r="E13" s="37">
        <v>58511</v>
      </c>
      <c r="F13" s="38">
        <v>7255.3639999999996</v>
      </c>
      <c r="G13" s="39">
        <v>4.5464129999999998E-2</v>
      </c>
      <c r="H13" s="34" t="s">
        <v>143</v>
      </c>
    </row>
    <row r="14" spans="1:9" x14ac:dyDescent="0.2">
      <c r="A14" s="35">
        <v>8</v>
      </c>
      <c r="B14" s="36" t="s">
        <v>722</v>
      </c>
      <c r="C14" s="36" t="s">
        <v>723</v>
      </c>
      <c r="D14" s="36" t="s">
        <v>195</v>
      </c>
      <c r="E14" s="37">
        <v>79027</v>
      </c>
      <c r="F14" s="38">
        <v>5723.1353399999998</v>
      </c>
      <c r="G14" s="39">
        <v>3.586276E-2</v>
      </c>
      <c r="H14" s="34" t="s">
        <v>143</v>
      </c>
    </row>
    <row r="15" spans="1:9" x14ac:dyDescent="0.2">
      <c r="A15" s="35">
        <v>9</v>
      </c>
      <c r="B15" s="36" t="s">
        <v>301</v>
      </c>
      <c r="C15" s="36" t="s">
        <v>302</v>
      </c>
      <c r="D15" s="36" t="s">
        <v>287</v>
      </c>
      <c r="E15" s="37">
        <v>86291</v>
      </c>
      <c r="F15" s="38">
        <v>5365.1429250000001</v>
      </c>
      <c r="G15" s="39">
        <v>3.361948E-2</v>
      </c>
      <c r="H15" s="34" t="s">
        <v>143</v>
      </c>
    </row>
    <row r="16" spans="1:9" x14ac:dyDescent="0.2">
      <c r="A16" s="35">
        <v>10</v>
      </c>
      <c r="B16" s="36" t="s">
        <v>763</v>
      </c>
      <c r="C16" s="36" t="s">
        <v>764</v>
      </c>
      <c r="D16" s="36" t="s">
        <v>192</v>
      </c>
      <c r="E16" s="37">
        <v>34697</v>
      </c>
      <c r="F16" s="38">
        <v>4989.0816299999997</v>
      </c>
      <c r="G16" s="39">
        <v>3.1262980000000003E-2</v>
      </c>
      <c r="H16" s="34" t="s">
        <v>143</v>
      </c>
    </row>
    <row r="17" spans="1:8" x14ac:dyDescent="0.2">
      <c r="A17" s="35">
        <v>11</v>
      </c>
      <c r="B17" s="36" t="s">
        <v>507</v>
      </c>
      <c r="C17" s="36" t="s">
        <v>508</v>
      </c>
      <c r="D17" s="36" t="s">
        <v>226</v>
      </c>
      <c r="E17" s="37">
        <v>348670</v>
      </c>
      <c r="F17" s="38">
        <v>4979.3562700000002</v>
      </c>
      <c r="G17" s="39">
        <v>3.1202029999999999E-2</v>
      </c>
      <c r="H17" s="34" t="s">
        <v>143</v>
      </c>
    </row>
    <row r="18" spans="1:8" x14ac:dyDescent="0.2">
      <c r="A18" s="35">
        <v>12</v>
      </c>
      <c r="B18" s="36" t="s">
        <v>368</v>
      </c>
      <c r="C18" s="36" t="s">
        <v>369</v>
      </c>
      <c r="D18" s="36" t="s">
        <v>55</v>
      </c>
      <c r="E18" s="37">
        <v>225560</v>
      </c>
      <c r="F18" s="38">
        <v>4867.5847999999996</v>
      </c>
      <c r="G18" s="39">
        <v>3.050164E-2</v>
      </c>
      <c r="H18" s="34" t="s">
        <v>143</v>
      </c>
    </row>
    <row r="19" spans="1:8" x14ac:dyDescent="0.2">
      <c r="A19" s="35">
        <v>13</v>
      </c>
      <c r="B19" s="36" t="s">
        <v>188</v>
      </c>
      <c r="C19" s="36" t="s">
        <v>189</v>
      </c>
      <c r="D19" s="36" t="s">
        <v>55</v>
      </c>
      <c r="E19" s="37">
        <v>837090</v>
      </c>
      <c r="F19" s="38">
        <v>4652.9647649999997</v>
      </c>
      <c r="G19" s="39">
        <v>2.9156769999999999E-2</v>
      </c>
      <c r="H19" s="34" t="s">
        <v>143</v>
      </c>
    </row>
    <row r="20" spans="1:8" x14ac:dyDescent="0.2">
      <c r="A20" s="35">
        <v>14</v>
      </c>
      <c r="B20" s="36" t="s">
        <v>767</v>
      </c>
      <c r="C20" s="36" t="s">
        <v>768</v>
      </c>
      <c r="D20" s="36" t="s">
        <v>459</v>
      </c>
      <c r="E20" s="37">
        <v>169170</v>
      </c>
      <c r="F20" s="38">
        <v>4170.5480100000004</v>
      </c>
      <c r="G20" s="39">
        <v>2.6133819999999999E-2</v>
      </c>
      <c r="H20" s="34" t="s">
        <v>143</v>
      </c>
    </row>
    <row r="21" spans="1:8" x14ac:dyDescent="0.2">
      <c r="A21" s="35">
        <v>15</v>
      </c>
      <c r="B21" s="36" t="s">
        <v>668</v>
      </c>
      <c r="C21" s="36" t="s">
        <v>669</v>
      </c>
      <c r="D21" s="36" t="s">
        <v>459</v>
      </c>
      <c r="E21" s="37">
        <v>66325</v>
      </c>
      <c r="F21" s="38">
        <v>3880.6757499999999</v>
      </c>
      <c r="G21" s="39">
        <v>2.4317399999999999E-2</v>
      </c>
      <c r="H21" s="34" t="s">
        <v>143</v>
      </c>
    </row>
    <row r="22" spans="1:8" x14ac:dyDescent="0.2">
      <c r="A22" s="35">
        <v>16</v>
      </c>
      <c r="B22" s="36" t="s">
        <v>720</v>
      </c>
      <c r="C22" s="36" t="s">
        <v>721</v>
      </c>
      <c r="D22" s="36" t="s">
        <v>287</v>
      </c>
      <c r="E22" s="37">
        <v>80568</v>
      </c>
      <c r="F22" s="38">
        <v>3522.6746640000001</v>
      </c>
      <c r="G22" s="39">
        <v>2.207406E-2</v>
      </c>
      <c r="H22" s="34" t="s">
        <v>143</v>
      </c>
    </row>
    <row r="23" spans="1:8" x14ac:dyDescent="0.2">
      <c r="A23" s="35">
        <v>17</v>
      </c>
      <c r="B23" s="36" t="s">
        <v>59</v>
      </c>
      <c r="C23" s="36" t="s">
        <v>60</v>
      </c>
      <c r="D23" s="36" t="s">
        <v>61</v>
      </c>
      <c r="E23" s="37">
        <v>312286</v>
      </c>
      <c r="F23" s="38">
        <v>3465.7500279999999</v>
      </c>
      <c r="G23" s="39">
        <v>2.1717360000000002E-2</v>
      </c>
      <c r="H23" s="34" t="s">
        <v>143</v>
      </c>
    </row>
    <row r="24" spans="1:8" x14ac:dyDescent="0.2">
      <c r="A24" s="35">
        <v>18</v>
      </c>
      <c r="B24" s="36" t="s">
        <v>344</v>
      </c>
      <c r="C24" s="36" t="s">
        <v>345</v>
      </c>
      <c r="D24" s="36" t="s">
        <v>287</v>
      </c>
      <c r="E24" s="37">
        <v>217005</v>
      </c>
      <c r="F24" s="38">
        <v>3229.6854149999999</v>
      </c>
      <c r="G24" s="39">
        <v>2.023811E-2</v>
      </c>
      <c r="H24" s="34" t="s">
        <v>143</v>
      </c>
    </row>
    <row r="25" spans="1:8" x14ac:dyDescent="0.2">
      <c r="A25" s="35">
        <v>19</v>
      </c>
      <c r="B25" s="36" t="s">
        <v>731</v>
      </c>
      <c r="C25" s="36" t="s">
        <v>732</v>
      </c>
      <c r="D25" s="36" t="s">
        <v>733</v>
      </c>
      <c r="E25" s="37">
        <v>897068</v>
      </c>
      <c r="F25" s="38">
        <v>3105.2008820000001</v>
      </c>
      <c r="G25" s="39">
        <v>1.9458050000000001E-2</v>
      </c>
      <c r="H25" s="34" t="s">
        <v>143</v>
      </c>
    </row>
    <row r="26" spans="1:8" x14ac:dyDescent="0.2">
      <c r="A26" s="35">
        <v>20</v>
      </c>
      <c r="B26" s="36" t="s">
        <v>41</v>
      </c>
      <c r="C26" s="36" t="s">
        <v>42</v>
      </c>
      <c r="D26" s="36" t="s">
        <v>43</v>
      </c>
      <c r="E26" s="37">
        <v>236298</v>
      </c>
      <c r="F26" s="38">
        <v>3031.9396379999998</v>
      </c>
      <c r="G26" s="39">
        <v>1.8998979999999999E-2</v>
      </c>
      <c r="H26" s="34" t="s">
        <v>143</v>
      </c>
    </row>
    <row r="27" spans="1:8" x14ac:dyDescent="0.2">
      <c r="A27" s="35">
        <v>21</v>
      </c>
      <c r="B27" s="36" t="s">
        <v>219</v>
      </c>
      <c r="C27" s="36" t="s">
        <v>220</v>
      </c>
      <c r="D27" s="36" t="s">
        <v>221</v>
      </c>
      <c r="E27" s="37">
        <v>355836</v>
      </c>
      <c r="F27" s="38">
        <v>2497.2570479999999</v>
      </c>
      <c r="G27" s="39">
        <v>1.5648510000000001E-2</v>
      </c>
      <c r="H27" s="34" t="s">
        <v>143</v>
      </c>
    </row>
    <row r="28" spans="1:8" x14ac:dyDescent="0.2">
      <c r="A28" s="35">
        <v>22</v>
      </c>
      <c r="B28" s="36" t="s">
        <v>509</v>
      </c>
      <c r="C28" s="36" t="s">
        <v>510</v>
      </c>
      <c r="D28" s="36" t="s">
        <v>251</v>
      </c>
      <c r="E28" s="37">
        <v>58394</v>
      </c>
      <c r="F28" s="38">
        <v>2474.2121739999998</v>
      </c>
      <c r="G28" s="39">
        <v>1.55041E-2</v>
      </c>
      <c r="H28" s="34" t="s">
        <v>143</v>
      </c>
    </row>
    <row r="29" spans="1:8" ht="25.5" x14ac:dyDescent="0.2">
      <c r="A29" s="35">
        <v>23</v>
      </c>
      <c r="B29" s="36" t="s">
        <v>438</v>
      </c>
      <c r="C29" s="36" t="s">
        <v>439</v>
      </c>
      <c r="D29" s="36" t="s">
        <v>209</v>
      </c>
      <c r="E29" s="37">
        <v>215942</v>
      </c>
      <c r="F29" s="38">
        <v>2372.9866379999999</v>
      </c>
      <c r="G29" s="39">
        <v>1.4869800000000001E-2</v>
      </c>
      <c r="H29" s="34" t="s">
        <v>143</v>
      </c>
    </row>
    <row r="30" spans="1:8" x14ac:dyDescent="0.2">
      <c r="A30" s="35">
        <v>24</v>
      </c>
      <c r="B30" s="36" t="s">
        <v>684</v>
      </c>
      <c r="C30" s="36" t="s">
        <v>685</v>
      </c>
      <c r="D30" s="36" t="s">
        <v>55</v>
      </c>
      <c r="E30" s="37">
        <v>96237</v>
      </c>
      <c r="F30" s="38">
        <v>2253.0044069999999</v>
      </c>
      <c r="G30" s="39">
        <v>1.4117950000000001E-2</v>
      </c>
      <c r="H30" s="34" t="s">
        <v>143</v>
      </c>
    </row>
    <row r="31" spans="1:8" x14ac:dyDescent="0.2">
      <c r="A31" s="35">
        <v>25</v>
      </c>
      <c r="B31" s="36" t="s">
        <v>511</v>
      </c>
      <c r="C31" s="36" t="s">
        <v>512</v>
      </c>
      <c r="D31" s="36" t="s">
        <v>251</v>
      </c>
      <c r="E31" s="37">
        <v>25666</v>
      </c>
      <c r="F31" s="38">
        <v>2149.7841600000002</v>
      </c>
      <c r="G31" s="39">
        <v>1.3471149999999999E-2</v>
      </c>
      <c r="H31" s="34" t="s">
        <v>143</v>
      </c>
    </row>
    <row r="32" spans="1:8" x14ac:dyDescent="0.2">
      <c r="A32" s="35">
        <v>26</v>
      </c>
      <c r="B32" s="36" t="s">
        <v>489</v>
      </c>
      <c r="C32" s="36" t="s">
        <v>490</v>
      </c>
      <c r="D32" s="36" t="s">
        <v>287</v>
      </c>
      <c r="E32" s="37">
        <v>1458975</v>
      </c>
      <c r="F32" s="38">
        <v>2134.3345275000001</v>
      </c>
      <c r="G32" s="39">
        <v>1.337434E-2</v>
      </c>
      <c r="H32" s="34" t="s">
        <v>143</v>
      </c>
    </row>
    <row r="33" spans="1:8" x14ac:dyDescent="0.2">
      <c r="A33" s="35">
        <v>27</v>
      </c>
      <c r="B33" s="36" t="s">
        <v>273</v>
      </c>
      <c r="C33" s="36" t="s">
        <v>274</v>
      </c>
      <c r="D33" s="36" t="s">
        <v>221</v>
      </c>
      <c r="E33" s="37">
        <v>1256156</v>
      </c>
      <c r="F33" s="38">
        <v>2107.4529212000002</v>
      </c>
      <c r="G33" s="39">
        <v>1.320589E-2</v>
      </c>
      <c r="H33" s="34" t="s">
        <v>143</v>
      </c>
    </row>
    <row r="34" spans="1:8" x14ac:dyDescent="0.2">
      <c r="A34" s="35">
        <v>28</v>
      </c>
      <c r="B34" s="36" t="s">
        <v>224</v>
      </c>
      <c r="C34" s="36" t="s">
        <v>225</v>
      </c>
      <c r="D34" s="36" t="s">
        <v>226</v>
      </c>
      <c r="E34" s="37">
        <v>94931</v>
      </c>
      <c r="F34" s="38">
        <v>1852.1987409999999</v>
      </c>
      <c r="G34" s="39">
        <v>1.1606389999999999E-2</v>
      </c>
      <c r="H34" s="34" t="s">
        <v>143</v>
      </c>
    </row>
    <row r="35" spans="1:8" x14ac:dyDescent="0.2">
      <c r="A35" s="35">
        <v>29</v>
      </c>
      <c r="B35" s="36" t="s">
        <v>808</v>
      </c>
      <c r="C35" s="36" t="s">
        <v>809</v>
      </c>
      <c r="D35" s="36" t="s">
        <v>287</v>
      </c>
      <c r="E35" s="37">
        <v>190902</v>
      </c>
      <c r="F35" s="38">
        <v>1689.1008959999999</v>
      </c>
      <c r="G35" s="39">
        <v>1.0584379999999999E-2</v>
      </c>
      <c r="H35" s="34" t="s">
        <v>143</v>
      </c>
    </row>
    <row r="36" spans="1:8" x14ac:dyDescent="0.2">
      <c r="A36" s="35">
        <v>30</v>
      </c>
      <c r="B36" s="36" t="s">
        <v>357</v>
      </c>
      <c r="C36" s="36" t="s">
        <v>358</v>
      </c>
      <c r="D36" s="36" t="s">
        <v>226</v>
      </c>
      <c r="E36" s="37">
        <v>294842</v>
      </c>
      <c r="F36" s="38">
        <v>1349.049571</v>
      </c>
      <c r="G36" s="39">
        <v>8.4535200000000008E-3</v>
      </c>
      <c r="H36" s="34" t="s">
        <v>143</v>
      </c>
    </row>
    <row r="37" spans="1:8" x14ac:dyDescent="0.2">
      <c r="A37" s="35">
        <v>31</v>
      </c>
      <c r="B37" s="36" t="s">
        <v>810</v>
      </c>
      <c r="C37" s="36" t="s">
        <v>811</v>
      </c>
      <c r="D37" s="36" t="s">
        <v>55</v>
      </c>
      <c r="E37" s="37">
        <v>92508</v>
      </c>
      <c r="F37" s="38">
        <v>1296.4071120000001</v>
      </c>
      <c r="G37" s="39">
        <v>8.1236499999999996E-3</v>
      </c>
      <c r="H37" s="34" t="s">
        <v>143</v>
      </c>
    </row>
    <row r="38" spans="1:8" x14ac:dyDescent="0.2">
      <c r="A38" s="35">
        <v>32</v>
      </c>
      <c r="B38" s="36" t="s">
        <v>249</v>
      </c>
      <c r="C38" s="36" t="s">
        <v>250</v>
      </c>
      <c r="D38" s="36" t="s">
        <v>251</v>
      </c>
      <c r="E38" s="37">
        <v>16314</v>
      </c>
      <c r="F38" s="38">
        <v>476.04252000000002</v>
      </c>
      <c r="G38" s="39">
        <v>2.9830199999999999E-3</v>
      </c>
      <c r="H38" s="34" t="s">
        <v>143</v>
      </c>
    </row>
    <row r="39" spans="1:8" x14ac:dyDescent="0.2">
      <c r="A39" s="41"/>
      <c r="B39" s="41"/>
      <c r="C39" s="42" t="s">
        <v>142</v>
      </c>
      <c r="D39" s="41"/>
      <c r="E39" s="41" t="s">
        <v>143</v>
      </c>
      <c r="F39" s="43">
        <v>151528.47834520001</v>
      </c>
      <c r="G39" s="44">
        <v>0.94951969999999997</v>
      </c>
      <c r="H39" s="34" t="s">
        <v>143</v>
      </c>
    </row>
    <row r="40" spans="1:8" x14ac:dyDescent="0.2">
      <c r="A40" s="41"/>
      <c r="B40" s="41"/>
      <c r="C40" s="45"/>
      <c r="D40" s="41"/>
      <c r="E40" s="41"/>
      <c r="F40" s="46"/>
      <c r="G40" s="46"/>
      <c r="H40" s="34" t="s">
        <v>143</v>
      </c>
    </row>
    <row r="41" spans="1:8" x14ac:dyDescent="0.2">
      <c r="A41" s="41"/>
      <c r="B41" s="41"/>
      <c r="C41" s="42" t="s">
        <v>144</v>
      </c>
      <c r="D41" s="41"/>
      <c r="E41" s="41"/>
      <c r="F41" s="41"/>
      <c r="G41" s="41"/>
      <c r="H41" s="34" t="s">
        <v>143</v>
      </c>
    </row>
    <row r="42" spans="1:8" x14ac:dyDescent="0.2">
      <c r="A42" s="41"/>
      <c r="B42" s="41"/>
      <c r="C42" s="42" t="s">
        <v>142</v>
      </c>
      <c r="D42" s="41"/>
      <c r="E42" s="41" t="s">
        <v>143</v>
      </c>
      <c r="F42" s="47" t="s">
        <v>145</v>
      </c>
      <c r="G42" s="44">
        <v>0</v>
      </c>
      <c r="H42" s="34" t="s">
        <v>143</v>
      </c>
    </row>
    <row r="43" spans="1:8" x14ac:dyDescent="0.2">
      <c r="A43" s="41"/>
      <c r="B43" s="41"/>
      <c r="C43" s="45"/>
      <c r="D43" s="41"/>
      <c r="E43" s="41"/>
      <c r="F43" s="46"/>
      <c r="G43" s="46"/>
      <c r="H43" s="34" t="s">
        <v>143</v>
      </c>
    </row>
    <row r="44" spans="1:8" x14ac:dyDescent="0.2">
      <c r="A44" s="41"/>
      <c r="B44" s="41"/>
      <c r="C44" s="42" t="s">
        <v>146</v>
      </c>
      <c r="D44" s="41"/>
      <c r="E44" s="41"/>
      <c r="F44" s="41"/>
      <c r="G44" s="41"/>
      <c r="H44" s="34" t="s">
        <v>143</v>
      </c>
    </row>
    <row r="45" spans="1:8" x14ac:dyDescent="0.2">
      <c r="A45" s="41"/>
      <c r="B45" s="41"/>
      <c r="C45" s="42" t="s">
        <v>142</v>
      </c>
      <c r="D45" s="41"/>
      <c r="E45" s="41" t="s">
        <v>143</v>
      </c>
      <c r="F45" s="47" t="s">
        <v>145</v>
      </c>
      <c r="G45" s="44">
        <v>0</v>
      </c>
      <c r="H45" s="34" t="s">
        <v>143</v>
      </c>
    </row>
    <row r="46" spans="1:8" x14ac:dyDescent="0.2">
      <c r="A46" s="41"/>
      <c r="B46" s="41"/>
      <c r="C46" s="45"/>
      <c r="D46" s="41"/>
      <c r="E46" s="41"/>
      <c r="F46" s="46"/>
      <c r="G46" s="46"/>
      <c r="H46" s="34" t="s">
        <v>143</v>
      </c>
    </row>
    <row r="47" spans="1:8" x14ac:dyDescent="0.2">
      <c r="A47" s="41"/>
      <c r="B47" s="41"/>
      <c r="C47" s="42" t="s">
        <v>147</v>
      </c>
      <c r="D47" s="41"/>
      <c r="E47" s="41"/>
      <c r="F47" s="41"/>
      <c r="G47" s="41"/>
      <c r="H47" s="34" t="s">
        <v>143</v>
      </c>
    </row>
    <row r="48" spans="1:8" x14ac:dyDescent="0.2">
      <c r="A48" s="41"/>
      <c r="B48" s="41"/>
      <c r="C48" s="42" t="s">
        <v>142</v>
      </c>
      <c r="D48" s="41"/>
      <c r="E48" s="41" t="s">
        <v>143</v>
      </c>
      <c r="F48" s="47" t="s">
        <v>145</v>
      </c>
      <c r="G48" s="44">
        <v>0</v>
      </c>
      <c r="H48" s="34" t="s">
        <v>143</v>
      </c>
    </row>
    <row r="49" spans="1:8" x14ac:dyDescent="0.2">
      <c r="A49" s="41"/>
      <c r="B49" s="41"/>
      <c r="C49" s="45"/>
      <c r="D49" s="41"/>
      <c r="E49" s="41"/>
      <c r="F49" s="46"/>
      <c r="G49" s="46"/>
      <c r="H49" s="34" t="s">
        <v>143</v>
      </c>
    </row>
    <row r="50" spans="1:8" x14ac:dyDescent="0.2">
      <c r="A50" s="41"/>
      <c r="B50" s="41"/>
      <c r="C50" s="42" t="s">
        <v>148</v>
      </c>
      <c r="D50" s="41"/>
      <c r="E50" s="41"/>
      <c r="F50" s="46"/>
      <c r="G50" s="46"/>
      <c r="H50" s="34" t="s">
        <v>143</v>
      </c>
    </row>
    <row r="51" spans="1:8" x14ac:dyDescent="0.2">
      <c r="A51" s="41"/>
      <c r="B51" s="41"/>
      <c r="C51" s="42" t="s">
        <v>142</v>
      </c>
      <c r="D51" s="41"/>
      <c r="E51" s="41" t="s">
        <v>143</v>
      </c>
      <c r="F51" s="47" t="s">
        <v>145</v>
      </c>
      <c r="G51" s="44">
        <v>0</v>
      </c>
      <c r="H51" s="34" t="s">
        <v>143</v>
      </c>
    </row>
    <row r="52" spans="1:8" x14ac:dyDescent="0.2">
      <c r="A52" s="41"/>
      <c r="B52" s="41"/>
      <c r="C52" s="45"/>
      <c r="D52" s="41"/>
      <c r="E52" s="41"/>
      <c r="F52" s="46"/>
      <c r="G52" s="46"/>
      <c r="H52" s="34" t="s">
        <v>143</v>
      </c>
    </row>
    <row r="53" spans="1:8" x14ac:dyDescent="0.2">
      <c r="A53" s="41"/>
      <c r="B53" s="41"/>
      <c r="C53" s="42" t="s">
        <v>149</v>
      </c>
      <c r="D53" s="41"/>
      <c r="E53" s="41"/>
      <c r="F53" s="46"/>
      <c r="G53" s="46"/>
      <c r="H53" s="34" t="s">
        <v>143</v>
      </c>
    </row>
    <row r="54" spans="1:8" x14ac:dyDescent="0.2">
      <c r="A54" s="41"/>
      <c r="B54" s="41"/>
      <c r="C54" s="42" t="s">
        <v>142</v>
      </c>
      <c r="D54" s="41"/>
      <c r="E54" s="41" t="s">
        <v>143</v>
      </c>
      <c r="F54" s="47" t="s">
        <v>145</v>
      </c>
      <c r="G54" s="44">
        <v>0</v>
      </c>
      <c r="H54" s="34" t="s">
        <v>143</v>
      </c>
    </row>
    <row r="55" spans="1:8" x14ac:dyDescent="0.2">
      <c r="A55" s="41"/>
      <c r="B55" s="41"/>
      <c r="C55" s="45"/>
      <c r="D55" s="41"/>
      <c r="E55" s="41"/>
      <c r="F55" s="46"/>
      <c r="G55" s="46"/>
      <c r="H55" s="34" t="s">
        <v>143</v>
      </c>
    </row>
    <row r="56" spans="1:8" x14ac:dyDescent="0.2">
      <c r="A56" s="41"/>
      <c r="B56" s="41"/>
      <c r="C56" s="42" t="s">
        <v>150</v>
      </c>
      <c r="D56" s="41"/>
      <c r="E56" s="41"/>
      <c r="F56" s="43">
        <v>151528.47834520001</v>
      </c>
      <c r="G56" s="44">
        <v>0.94951969999999997</v>
      </c>
      <c r="H56" s="34" t="s">
        <v>143</v>
      </c>
    </row>
    <row r="57" spans="1:8" x14ac:dyDescent="0.2">
      <c r="A57" s="41"/>
      <c r="B57" s="41"/>
      <c r="C57" s="45"/>
      <c r="D57" s="41"/>
      <c r="E57" s="41"/>
      <c r="F57" s="46"/>
      <c r="G57" s="46"/>
      <c r="H57" s="34" t="s">
        <v>143</v>
      </c>
    </row>
    <row r="58" spans="1:8" x14ac:dyDescent="0.2">
      <c r="A58" s="41"/>
      <c r="B58" s="41"/>
      <c r="C58" s="42" t="s">
        <v>151</v>
      </c>
      <c r="D58" s="41"/>
      <c r="E58" s="41"/>
      <c r="F58" s="46"/>
      <c r="G58" s="46"/>
      <c r="H58" s="34" t="s">
        <v>143</v>
      </c>
    </row>
    <row r="59" spans="1:8" x14ac:dyDescent="0.2">
      <c r="A59" s="41"/>
      <c r="B59" s="41"/>
      <c r="C59" s="42" t="s">
        <v>10</v>
      </c>
      <c r="D59" s="41"/>
      <c r="E59" s="41"/>
      <c r="F59" s="46"/>
      <c r="G59" s="46"/>
      <c r="H59" s="34" t="s">
        <v>143</v>
      </c>
    </row>
    <row r="60" spans="1:8" x14ac:dyDescent="0.2">
      <c r="A60" s="41"/>
      <c r="B60" s="41"/>
      <c r="C60" s="42" t="s">
        <v>142</v>
      </c>
      <c r="D60" s="41"/>
      <c r="E60" s="41" t="s">
        <v>143</v>
      </c>
      <c r="F60" s="47" t="s">
        <v>145</v>
      </c>
      <c r="G60" s="44">
        <v>0</v>
      </c>
      <c r="H60" s="34" t="s">
        <v>143</v>
      </c>
    </row>
    <row r="61" spans="1:8" x14ac:dyDescent="0.2">
      <c r="A61" s="41"/>
      <c r="B61" s="41"/>
      <c r="C61" s="45"/>
      <c r="D61" s="41"/>
      <c r="E61" s="41"/>
      <c r="F61" s="46"/>
      <c r="G61" s="46"/>
      <c r="H61" s="34" t="s">
        <v>143</v>
      </c>
    </row>
    <row r="62" spans="1:8" x14ac:dyDescent="0.2">
      <c r="A62" s="41"/>
      <c r="B62" s="41"/>
      <c r="C62" s="42" t="s">
        <v>152</v>
      </c>
      <c r="D62" s="41"/>
      <c r="E62" s="41"/>
      <c r="F62" s="41"/>
      <c r="G62" s="41"/>
      <c r="H62" s="34" t="s">
        <v>143</v>
      </c>
    </row>
    <row r="63" spans="1:8" x14ac:dyDescent="0.2">
      <c r="A63" s="41"/>
      <c r="B63" s="41"/>
      <c r="C63" s="42" t="s">
        <v>142</v>
      </c>
      <c r="D63" s="41"/>
      <c r="E63" s="41" t="s">
        <v>143</v>
      </c>
      <c r="F63" s="47" t="s">
        <v>145</v>
      </c>
      <c r="G63" s="44">
        <v>0</v>
      </c>
      <c r="H63" s="34" t="s">
        <v>143</v>
      </c>
    </row>
    <row r="64" spans="1:8" x14ac:dyDescent="0.2">
      <c r="A64" s="41"/>
      <c r="B64" s="41"/>
      <c r="C64" s="45"/>
      <c r="D64" s="41"/>
      <c r="E64" s="41"/>
      <c r="F64" s="46"/>
      <c r="G64" s="46"/>
      <c r="H64" s="34" t="s">
        <v>143</v>
      </c>
    </row>
    <row r="65" spans="1:8" x14ac:dyDescent="0.2">
      <c r="A65" s="41"/>
      <c r="B65" s="41"/>
      <c r="C65" s="42" t="s">
        <v>153</v>
      </c>
      <c r="D65" s="41"/>
      <c r="E65" s="41"/>
      <c r="F65" s="41"/>
      <c r="G65" s="41"/>
      <c r="H65" s="34" t="s">
        <v>143</v>
      </c>
    </row>
    <row r="66" spans="1:8" x14ac:dyDescent="0.2">
      <c r="A66" s="41"/>
      <c r="B66" s="41"/>
      <c r="C66" s="42" t="s">
        <v>142</v>
      </c>
      <c r="D66" s="41"/>
      <c r="E66" s="41" t="s">
        <v>143</v>
      </c>
      <c r="F66" s="47" t="s">
        <v>145</v>
      </c>
      <c r="G66" s="44">
        <v>0</v>
      </c>
      <c r="H66" s="34" t="s">
        <v>143</v>
      </c>
    </row>
    <row r="67" spans="1:8" x14ac:dyDescent="0.2">
      <c r="A67" s="41"/>
      <c r="B67" s="41"/>
      <c r="C67" s="45"/>
      <c r="D67" s="41"/>
      <c r="E67" s="41"/>
      <c r="F67" s="46"/>
      <c r="G67" s="46"/>
      <c r="H67" s="34" t="s">
        <v>143</v>
      </c>
    </row>
    <row r="68" spans="1:8" x14ac:dyDescent="0.2">
      <c r="A68" s="41"/>
      <c r="B68" s="41"/>
      <c r="C68" s="42" t="s">
        <v>154</v>
      </c>
      <c r="D68" s="41"/>
      <c r="E68" s="41"/>
      <c r="F68" s="46"/>
      <c r="G68" s="46"/>
      <c r="H68" s="34" t="s">
        <v>143</v>
      </c>
    </row>
    <row r="69" spans="1:8" x14ac:dyDescent="0.2">
      <c r="A69" s="41"/>
      <c r="B69" s="41"/>
      <c r="C69" s="42" t="s">
        <v>142</v>
      </c>
      <c r="D69" s="41"/>
      <c r="E69" s="41" t="s">
        <v>143</v>
      </c>
      <c r="F69" s="47" t="s">
        <v>145</v>
      </c>
      <c r="G69" s="44">
        <v>0</v>
      </c>
      <c r="H69" s="34" t="s">
        <v>143</v>
      </c>
    </row>
    <row r="70" spans="1:8" x14ac:dyDescent="0.2">
      <c r="A70" s="41"/>
      <c r="B70" s="41"/>
      <c r="C70" s="45"/>
      <c r="D70" s="41"/>
      <c r="E70" s="41"/>
      <c r="F70" s="46"/>
      <c r="G70" s="46"/>
      <c r="H70" s="34" t="s">
        <v>143</v>
      </c>
    </row>
    <row r="71" spans="1:8" x14ac:dyDescent="0.2">
      <c r="A71" s="41"/>
      <c r="B71" s="41"/>
      <c r="C71" s="42" t="s">
        <v>155</v>
      </c>
      <c r="D71" s="41"/>
      <c r="E71" s="41"/>
      <c r="F71" s="43">
        <v>0</v>
      </c>
      <c r="G71" s="44">
        <v>0</v>
      </c>
      <c r="H71" s="34" t="s">
        <v>143</v>
      </c>
    </row>
    <row r="72" spans="1:8" x14ac:dyDescent="0.2">
      <c r="A72" s="41"/>
      <c r="B72" s="41"/>
      <c r="C72" s="45"/>
      <c r="D72" s="41"/>
      <c r="E72" s="41"/>
      <c r="F72" s="46"/>
      <c r="G72" s="46"/>
      <c r="H72" s="34" t="s">
        <v>143</v>
      </c>
    </row>
    <row r="73" spans="1:8" x14ac:dyDescent="0.2">
      <c r="A73" s="41"/>
      <c r="B73" s="41"/>
      <c r="C73" s="42" t="s">
        <v>156</v>
      </c>
      <c r="D73" s="41"/>
      <c r="E73" s="41"/>
      <c r="F73" s="46"/>
      <c r="G73" s="46"/>
      <c r="H73" s="34" t="s">
        <v>143</v>
      </c>
    </row>
    <row r="74" spans="1:8" x14ac:dyDescent="0.2">
      <c r="A74" s="41"/>
      <c r="B74" s="41"/>
      <c r="C74" s="42" t="s">
        <v>157</v>
      </c>
      <c r="D74" s="41"/>
      <c r="E74" s="41"/>
      <c r="F74" s="46"/>
      <c r="G74" s="46"/>
      <c r="H74" s="34" t="s">
        <v>143</v>
      </c>
    </row>
    <row r="75" spans="1:8" x14ac:dyDescent="0.2">
      <c r="A75" s="41"/>
      <c r="B75" s="41"/>
      <c r="C75" s="42" t="s">
        <v>142</v>
      </c>
      <c r="D75" s="41"/>
      <c r="E75" s="41" t="s">
        <v>143</v>
      </c>
      <c r="F75" s="47" t="s">
        <v>145</v>
      </c>
      <c r="G75" s="44">
        <v>0</v>
      </c>
      <c r="H75" s="34" t="s">
        <v>143</v>
      </c>
    </row>
    <row r="76" spans="1:8" x14ac:dyDescent="0.2">
      <c r="A76" s="41"/>
      <c r="B76" s="41"/>
      <c r="C76" s="45"/>
      <c r="D76" s="41"/>
      <c r="E76" s="41"/>
      <c r="F76" s="46"/>
      <c r="G76" s="46"/>
      <c r="H76" s="34" t="s">
        <v>143</v>
      </c>
    </row>
    <row r="77" spans="1:8" x14ac:dyDescent="0.2">
      <c r="A77" s="41"/>
      <c r="B77" s="41"/>
      <c r="C77" s="42" t="s">
        <v>158</v>
      </c>
      <c r="D77" s="41"/>
      <c r="E77" s="41"/>
      <c r="F77" s="46"/>
      <c r="G77" s="46"/>
      <c r="H77" s="34" t="s">
        <v>143</v>
      </c>
    </row>
    <row r="78" spans="1:8" x14ac:dyDescent="0.2">
      <c r="A78" s="41"/>
      <c r="B78" s="41"/>
      <c r="C78" s="42" t="s">
        <v>142</v>
      </c>
      <c r="D78" s="41"/>
      <c r="E78" s="41" t="s">
        <v>143</v>
      </c>
      <c r="F78" s="47" t="s">
        <v>145</v>
      </c>
      <c r="G78" s="44">
        <v>0</v>
      </c>
      <c r="H78" s="34" t="s">
        <v>143</v>
      </c>
    </row>
    <row r="79" spans="1:8" x14ac:dyDescent="0.2">
      <c r="A79" s="41"/>
      <c r="B79" s="41"/>
      <c r="C79" s="45"/>
      <c r="D79" s="41"/>
      <c r="E79" s="41"/>
      <c r="F79" s="46"/>
      <c r="G79" s="46"/>
      <c r="H79" s="34" t="s">
        <v>143</v>
      </c>
    </row>
    <row r="80" spans="1:8" x14ac:dyDescent="0.2">
      <c r="A80" s="41"/>
      <c r="B80" s="41"/>
      <c r="C80" s="42" t="s">
        <v>159</v>
      </c>
      <c r="D80" s="41"/>
      <c r="E80" s="41"/>
      <c r="F80" s="46"/>
      <c r="G80" s="46"/>
      <c r="H80" s="34" t="s">
        <v>143</v>
      </c>
    </row>
    <row r="81" spans="1:8" x14ac:dyDescent="0.2">
      <c r="A81" s="41"/>
      <c r="B81" s="41"/>
      <c r="C81" s="42" t="s">
        <v>142</v>
      </c>
      <c r="D81" s="41"/>
      <c r="E81" s="41" t="s">
        <v>143</v>
      </c>
      <c r="F81" s="47" t="s">
        <v>145</v>
      </c>
      <c r="G81" s="44">
        <v>0</v>
      </c>
      <c r="H81" s="34" t="s">
        <v>143</v>
      </c>
    </row>
    <row r="82" spans="1:8" x14ac:dyDescent="0.2">
      <c r="A82" s="41"/>
      <c r="B82" s="41"/>
      <c r="C82" s="45"/>
      <c r="D82" s="41"/>
      <c r="E82" s="41"/>
      <c r="F82" s="46"/>
      <c r="G82" s="46"/>
      <c r="H82" s="34" t="s">
        <v>143</v>
      </c>
    </row>
    <row r="83" spans="1:8" x14ac:dyDescent="0.2">
      <c r="A83" s="41"/>
      <c r="B83" s="41"/>
      <c r="C83" s="42" t="s">
        <v>160</v>
      </c>
      <c r="D83" s="41"/>
      <c r="E83" s="41"/>
      <c r="F83" s="46"/>
      <c r="G83" s="46"/>
      <c r="H83" s="34" t="s">
        <v>143</v>
      </c>
    </row>
    <row r="84" spans="1:8" x14ac:dyDescent="0.2">
      <c r="A84" s="35">
        <v>1</v>
      </c>
      <c r="B84" s="36"/>
      <c r="C84" s="36" t="s">
        <v>161</v>
      </c>
      <c r="D84" s="36"/>
      <c r="E84" s="48"/>
      <c r="F84" s="38">
        <v>6920.7327519700002</v>
      </c>
      <c r="G84" s="39">
        <v>4.3367240000000001E-2</v>
      </c>
      <c r="H84" s="34">
        <v>5.47</v>
      </c>
    </row>
    <row r="85" spans="1:8" x14ac:dyDescent="0.2">
      <c r="A85" s="41"/>
      <c r="B85" s="41"/>
      <c r="C85" s="42" t="s">
        <v>142</v>
      </c>
      <c r="D85" s="41"/>
      <c r="E85" s="41" t="s">
        <v>143</v>
      </c>
      <c r="F85" s="43">
        <v>6920.7327519700002</v>
      </c>
      <c r="G85" s="44">
        <v>4.3367240000000001E-2</v>
      </c>
      <c r="H85" s="34" t="s">
        <v>143</v>
      </c>
    </row>
    <row r="86" spans="1:8" x14ac:dyDescent="0.2">
      <c r="A86" s="41"/>
      <c r="B86" s="41"/>
      <c r="C86" s="45"/>
      <c r="D86" s="41"/>
      <c r="E86" s="41"/>
      <c r="F86" s="46"/>
      <c r="G86" s="46"/>
      <c r="H86" s="34" t="s">
        <v>143</v>
      </c>
    </row>
    <row r="87" spans="1:8" x14ac:dyDescent="0.2">
      <c r="A87" s="41"/>
      <c r="B87" s="41"/>
      <c r="C87" s="42" t="s">
        <v>162</v>
      </c>
      <c r="D87" s="41"/>
      <c r="E87" s="41"/>
      <c r="F87" s="43">
        <v>6920.7327519700002</v>
      </c>
      <c r="G87" s="44">
        <v>4.3367240000000001E-2</v>
      </c>
      <c r="H87" s="34" t="s">
        <v>143</v>
      </c>
    </row>
    <row r="88" spans="1:8" x14ac:dyDescent="0.2">
      <c r="A88" s="41"/>
      <c r="B88" s="41"/>
      <c r="C88" s="46"/>
      <c r="D88" s="41"/>
      <c r="E88" s="41"/>
      <c r="F88" s="41"/>
      <c r="G88" s="41"/>
      <c r="H88" s="34" t="s">
        <v>143</v>
      </c>
    </row>
    <row r="89" spans="1:8" x14ac:dyDescent="0.2">
      <c r="A89" s="41"/>
      <c r="B89" s="41"/>
      <c r="C89" s="42" t="s">
        <v>163</v>
      </c>
      <c r="D89" s="41"/>
      <c r="E89" s="41"/>
      <c r="F89" s="41"/>
      <c r="G89" s="41"/>
      <c r="H89" s="34" t="s">
        <v>143</v>
      </c>
    </row>
    <row r="90" spans="1:8" x14ac:dyDescent="0.2">
      <c r="A90" s="41"/>
      <c r="B90" s="41"/>
      <c r="C90" s="42" t="s">
        <v>164</v>
      </c>
      <c r="D90" s="41"/>
      <c r="E90" s="41"/>
      <c r="F90" s="41"/>
      <c r="G90" s="41"/>
      <c r="H90" s="34" t="s">
        <v>143</v>
      </c>
    </row>
    <row r="91" spans="1:8" x14ac:dyDescent="0.2">
      <c r="A91" s="41"/>
      <c r="B91" s="41"/>
      <c r="C91" s="42" t="s">
        <v>142</v>
      </c>
      <c r="D91" s="41"/>
      <c r="E91" s="41" t="s">
        <v>143</v>
      </c>
      <c r="F91" s="47" t="s">
        <v>145</v>
      </c>
      <c r="G91" s="44">
        <v>0</v>
      </c>
      <c r="H91" s="34" t="s">
        <v>143</v>
      </c>
    </row>
    <row r="92" spans="1:8" x14ac:dyDescent="0.2">
      <c r="A92" s="41"/>
      <c r="B92" s="41"/>
      <c r="C92" s="45"/>
      <c r="D92" s="41"/>
      <c r="E92" s="41"/>
      <c r="F92" s="46"/>
      <c r="G92" s="46"/>
      <c r="H92" s="34" t="s">
        <v>143</v>
      </c>
    </row>
    <row r="93" spans="1:8" x14ac:dyDescent="0.2">
      <c r="A93" s="41"/>
      <c r="B93" s="41"/>
      <c r="C93" s="42" t="s">
        <v>165</v>
      </c>
      <c r="D93" s="41"/>
      <c r="E93" s="41"/>
      <c r="F93" s="41"/>
      <c r="G93" s="41"/>
      <c r="H93" s="34" t="s">
        <v>143</v>
      </c>
    </row>
    <row r="94" spans="1:8" x14ac:dyDescent="0.2">
      <c r="A94" s="41"/>
      <c r="B94" s="41"/>
      <c r="C94" s="42" t="s">
        <v>166</v>
      </c>
      <c r="D94" s="41"/>
      <c r="E94" s="41"/>
      <c r="F94" s="41"/>
      <c r="G94" s="41"/>
      <c r="H94" s="34" t="s">
        <v>143</v>
      </c>
    </row>
    <row r="95" spans="1:8" x14ac:dyDescent="0.2">
      <c r="A95" s="41"/>
      <c r="B95" s="41"/>
      <c r="C95" s="42" t="s">
        <v>142</v>
      </c>
      <c r="D95" s="41"/>
      <c r="E95" s="41" t="s">
        <v>143</v>
      </c>
      <c r="F95" s="47" t="s">
        <v>145</v>
      </c>
      <c r="G95" s="44">
        <v>0</v>
      </c>
      <c r="H95" s="34" t="s">
        <v>143</v>
      </c>
    </row>
    <row r="96" spans="1:8" x14ac:dyDescent="0.2">
      <c r="A96" s="41"/>
      <c r="B96" s="41"/>
      <c r="C96" s="45"/>
      <c r="D96" s="41"/>
      <c r="E96" s="41"/>
      <c r="F96" s="46"/>
      <c r="G96" s="46"/>
      <c r="H96" s="34" t="s">
        <v>143</v>
      </c>
    </row>
    <row r="97" spans="1:17" x14ac:dyDescent="0.2">
      <c r="A97" s="41"/>
      <c r="B97" s="41"/>
      <c r="C97" s="42" t="s">
        <v>167</v>
      </c>
      <c r="D97" s="41"/>
      <c r="E97" s="41"/>
      <c r="F97" s="46"/>
      <c r="G97" s="46"/>
      <c r="H97" s="34" t="s">
        <v>143</v>
      </c>
    </row>
    <row r="98" spans="1:17" x14ac:dyDescent="0.2">
      <c r="A98" s="41"/>
      <c r="B98" s="41"/>
      <c r="C98" s="42" t="s">
        <v>142</v>
      </c>
      <c r="D98" s="41"/>
      <c r="E98" s="41" t="s">
        <v>143</v>
      </c>
      <c r="F98" s="47" t="s">
        <v>145</v>
      </c>
      <c r="G98" s="44">
        <v>0</v>
      </c>
      <c r="H98" s="34" t="s">
        <v>143</v>
      </c>
    </row>
    <row r="99" spans="1:17" x14ac:dyDescent="0.2">
      <c r="A99" s="41"/>
      <c r="B99" s="41"/>
      <c r="C99" s="45"/>
      <c r="D99" s="41"/>
      <c r="E99" s="41"/>
      <c r="F99" s="46"/>
      <c r="G99" s="46"/>
      <c r="H99" s="34" t="s">
        <v>143</v>
      </c>
    </row>
    <row r="100" spans="1:17" x14ac:dyDescent="0.2">
      <c r="A100" s="48"/>
      <c r="B100" s="36"/>
      <c r="C100" s="36" t="s">
        <v>168</v>
      </c>
      <c r="D100" s="36"/>
      <c r="E100" s="48"/>
      <c r="F100" s="38">
        <v>1135.1405732000001</v>
      </c>
      <c r="G100" s="39">
        <v>7.1131099999999997E-3</v>
      </c>
      <c r="H100" s="34" t="s">
        <v>143</v>
      </c>
    </row>
    <row r="101" spans="1:17" x14ac:dyDescent="0.2">
      <c r="A101" s="45"/>
      <c r="B101" s="45"/>
      <c r="C101" s="42" t="s">
        <v>169</v>
      </c>
      <c r="D101" s="46"/>
      <c r="E101" s="46"/>
      <c r="F101" s="43">
        <v>159584.35167037</v>
      </c>
      <c r="G101" s="51">
        <v>1.0000000499999999</v>
      </c>
      <c r="H101" s="34" t="s">
        <v>143</v>
      </c>
    </row>
    <row r="102" spans="1:17" x14ac:dyDescent="0.2">
      <c r="A102" s="52"/>
      <c r="B102" s="52"/>
      <c r="C102" s="52"/>
      <c r="D102" s="53"/>
      <c r="E102" s="53"/>
      <c r="F102" s="53"/>
      <c r="G102" s="53"/>
    </row>
    <row r="103" spans="1:17" ht="12.75" customHeight="1" x14ac:dyDescent="0.2">
      <c r="A103" s="54"/>
      <c r="B103" s="158" t="s">
        <v>852</v>
      </c>
      <c r="C103" s="158"/>
      <c r="D103" s="158"/>
      <c r="E103" s="158"/>
      <c r="F103" s="158"/>
      <c r="G103" s="158"/>
      <c r="H103" s="158"/>
      <c r="J103" s="56"/>
    </row>
    <row r="104" spans="1:17" ht="12.75" customHeight="1" x14ac:dyDescent="0.2">
      <c r="A104" s="54"/>
      <c r="B104" s="158" t="s">
        <v>853</v>
      </c>
      <c r="C104" s="158"/>
      <c r="D104" s="158"/>
      <c r="E104" s="158"/>
      <c r="F104" s="158"/>
      <c r="G104" s="158"/>
      <c r="H104" s="158"/>
      <c r="J104" s="56"/>
    </row>
    <row r="105" spans="1:17" ht="12.75" customHeight="1" x14ac:dyDescent="0.2">
      <c r="A105" s="54"/>
      <c r="B105" s="158" t="s">
        <v>854</v>
      </c>
      <c r="C105" s="158"/>
      <c r="D105" s="158"/>
      <c r="E105" s="158"/>
      <c r="F105" s="158"/>
      <c r="G105" s="158"/>
      <c r="H105" s="158"/>
      <c r="J105" s="56"/>
    </row>
    <row r="106" spans="1:17" s="58" customFormat="1" ht="52.5" customHeight="1" x14ac:dyDescent="0.25">
      <c r="A106" s="57"/>
      <c r="B106" s="159" t="s">
        <v>855</v>
      </c>
      <c r="C106" s="159"/>
      <c r="D106" s="159"/>
      <c r="E106" s="159"/>
      <c r="F106" s="159"/>
      <c r="G106" s="159"/>
      <c r="H106" s="159"/>
      <c r="I106"/>
      <c r="J106" s="56"/>
      <c r="K106"/>
      <c r="L106"/>
      <c r="M106"/>
      <c r="N106"/>
      <c r="O106"/>
      <c r="P106"/>
      <c r="Q106"/>
    </row>
    <row r="107" spans="1:17" ht="12.75" customHeight="1" x14ac:dyDescent="0.2">
      <c r="A107" s="54"/>
      <c r="B107" s="158" t="s">
        <v>856</v>
      </c>
      <c r="C107" s="158"/>
      <c r="D107" s="158"/>
      <c r="E107" s="158"/>
      <c r="F107" s="158"/>
      <c r="G107" s="158"/>
      <c r="H107" s="158"/>
      <c r="J107" s="56"/>
    </row>
    <row r="108" spans="1:17" x14ac:dyDescent="0.2">
      <c r="A108" s="54"/>
      <c r="B108" s="54"/>
      <c r="C108" s="54"/>
      <c r="D108" s="59"/>
      <c r="E108" s="59"/>
      <c r="F108" s="59"/>
      <c r="G108" s="59"/>
    </row>
    <row r="109" spans="1:17" x14ac:dyDescent="0.2">
      <c r="A109" s="54"/>
      <c r="B109" s="160" t="s">
        <v>170</v>
      </c>
      <c r="C109" s="161"/>
      <c r="D109" s="162"/>
      <c r="E109" s="60"/>
      <c r="F109" s="59"/>
      <c r="G109" s="59"/>
    </row>
    <row r="110" spans="1:17" ht="27.75" customHeight="1" x14ac:dyDescent="0.2">
      <c r="A110" s="54"/>
      <c r="B110" s="154" t="s">
        <v>171</v>
      </c>
      <c r="C110" s="155"/>
      <c r="D110" s="33" t="s">
        <v>172</v>
      </c>
      <c r="E110" s="60"/>
      <c r="F110" s="59"/>
      <c r="G110" s="59"/>
    </row>
    <row r="111" spans="1:17" ht="12.75" customHeight="1" x14ac:dyDescent="0.2">
      <c r="A111" s="54"/>
      <c r="B111" s="154" t="s">
        <v>857</v>
      </c>
      <c r="C111" s="155"/>
      <c r="D111" s="33" t="s">
        <v>172</v>
      </c>
      <c r="E111" s="60"/>
      <c r="F111" s="59"/>
      <c r="G111" s="59"/>
    </row>
    <row r="112" spans="1:17" ht="12.75" customHeight="1" x14ac:dyDescent="0.2">
      <c r="A112" s="54"/>
      <c r="B112" s="154" t="s">
        <v>173</v>
      </c>
      <c r="C112" s="155"/>
      <c r="D112" s="61" t="s">
        <v>143</v>
      </c>
      <c r="E112" s="60"/>
      <c r="F112" s="59"/>
      <c r="G112" s="59"/>
    </row>
    <row r="113" spans="1:10" x14ac:dyDescent="0.2">
      <c r="A113" s="62"/>
      <c r="B113" s="63" t="s">
        <v>143</v>
      </c>
      <c r="C113" s="63" t="s">
        <v>858</v>
      </c>
      <c r="D113" s="63" t="s">
        <v>174</v>
      </c>
      <c r="E113" s="62"/>
      <c r="F113" s="62"/>
      <c r="G113" s="62"/>
      <c r="H113" s="62"/>
      <c r="J113" s="56"/>
    </row>
    <row r="114" spans="1:10" x14ac:dyDescent="0.2">
      <c r="A114" s="62"/>
      <c r="B114" s="64" t="s">
        <v>175</v>
      </c>
      <c r="C114" s="65">
        <v>45808</v>
      </c>
      <c r="D114" s="65">
        <v>45838</v>
      </c>
      <c r="E114" s="62"/>
      <c r="F114" s="62"/>
      <c r="G114" s="62"/>
      <c r="J114" s="56"/>
    </row>
    <row r="115" spans="1:10" x14ac:dyDescent="0.2">
      <c r="A115" s="66"/>
      <c r="B115" s="36" t="s">
        <v>176</v>
      </c>
      <c r="C115" s="67">
        <v>104.32299999999999</v>
      </c>
      <c r="D115" s="67">
        <v>107.8396</v>
      </c>
      <c r="E115" s="66"/>
      <c r="F115" s="68"/>
      <c r="G115" s="69"/>
    </row>
    <row r="116" spans="1:10" x14ac:dyDescent="0.2">
      <c r="A116" s="66"/>
      <c r="B116" s="36" t="s">
        <v>1086</v>
      </c>
      <c r="C116" s="67">
        <v>32.211199999999998</v>
      </c>
      <c r="D116" s="67">
        <v>33.296999999999997</v>
      </c>
      <c r="E116" s="66"/>
      <c r="F116" s="68"/>
      <c r="G116" s="69"/>
    </row>
    <row r="117" spans="1:10" x14ac:dyDescent="0.2">
      <c r="A117" s="66"/>
      <c r="B117" s="36" t="s">
        <v>177</v>
      </c>
      <c r="C117" s="67">
        <v>95.273700000000005</v>
      </c>
      <c r="D117" s="67">
        <v>98.415700000000001</v>
      </c>
      <c r="E117" s="66"/>
      <c r="F117" s="68"/>
      <c r="G117" s="69"/>
    </row>
    <row r="118" spans="1:10" x14ac:dyDescent="0.2">
      <c r="A118" s="66"/>
      <c r="B118" s="36" t="s">
        <v>1087</v>
      </c>
      <c r="C118" s="67">
        <v>28.929500000000001</v>
      </c>
      <c r="D118" s="67">
        <v>29.883500000000002</v>
      </c>
      <c r="E118" s="66"/>
      <c r="F118" s="68"/>
      <c r="G118" s="69"/>
    </row>
    <row r="119" spans="1:10" x14ac:dyDescent="0.2">
      <c r="A119" s="66"/>
      <c r="B119" s="66"/>
      <c r="C119" s="66"/>
      <c r="D119" s="66"/>
      <c r="E119" s="66"/>
      <c r="F119" s="66"/>
      <c r="G119" s="66"/>
    </row>
    <row r="120" spans="1:10" x14ac:dyDescent="0.2">
      <c r="A120" s="62"/>
      <c r="B120" s="154" t="s">
        <v>860</v>
      </c>
      <c r="C120" s="155"/>
      <c r="D120" s="33" t="s">
        <v>172</v>
      </c>
      <c r="E120" s="62"/>
      <c r="F120" s="62"/>
      <c r="G120" s="62"/>
    </row>
    <row r="121" spans="1:10" x14ac:dyDescent="0.2">
      <c r="A121" s="62"/>
      <c r="B121" s="70"/>
      <c r="C121" s="70"/>
      <c r="D121" s="70"/>
      <c r="E121" s="62"/>
      <c r="F121" s="62"/>
      <c r="G121" s="62"/>
    </row>
    <row r="122" spans="1:10" x14ac:dyDescent="0.2">
      <c r="A122" s="62"/>
      <c r="B122" s="154" t="s">
        <v>178</v>
      </c>
      <c r="C122" s="155"/>
      <c r="D122" s="33" t="s">
        <v>172</v>
      </c>
      <c r="E122" s="71"/>
      <c r="F122" s="62"/>
      <c r="G122" s="62"/>
    </row>
    <row r="123" spans="1:10" x14ac:dyDescent="0.2">
      <c r="A123" s="62"/>
      <c r="B123" s="154" t="s">
        <v>179</v>
      </c>
      <c r="C123" s="155"/>
      <c r="D123" s="33" t="s">
        <v>172</v>
      </c>
      <c r="E123" s="71"/>
      <c r="F123" s="62"/>
      <c r="G123" s="62"/>
    </row>
    <row r="124" spans="1:10" ht="17.100000000000001" customHeight="1" x14ac:dyDescent="0.2">
      <c r="A124" s="62"/>
      <c r="B124" s="154" t="s">
        <v>180</v>
      </c>
      <c r="C124" s="155"/>
      <c r="D124" s="33" t="s">
        <v>172</v>
      </c>
      <c r="E124" s="71"/>
      <c r="F124" s="62"/>
      <c r="G124" s="62"/>
    </row>
    <row r="125" spans="1:10" ht="17.100000000000001" customHeight="1" x14ac:dyDescent="0.2">
      <c r="A125" s="62"/>
      <c r="B125" s="154" t="s">
        <v>181</v>
      </c>
      <c r="C125" s="155"/>
      <c r="D125" s="72">
        <v>0.26919470466810486</v>
      </c>
      <c r="E125" s="62"/>
      <c r="F125" s="55"/>
      <c r="G125" s="73"/>
    </row>
    <row r="127" spans="1:10" x14ac:dyDescent="0.2">
      <c r="B127" s="156" t="s">
        <v>861</v>
      </c>
      <c r="C127" s="156"/>
    </row>
    <row r="129" spans="2:10" ht="153.75" customHeight="1" x14ac:dyDescent="0.2"/>
    <row r="132" spans="2:10" x14ac:dyDescent="0.2">
      <c r="B132" s="79" t="s">
        <v>862</v>
      </c>
      <c r="C132" s="80"/>
      <c r="D132" s="79"/>
    </row>
    <row r="133" spans="2:10" x14ac:dyDescent="0.2">
      <c r="B133" s="79" t="s">
        <v>933</v>
      </c>
      <c r="D133" s="79"/>
    </row>
    <row r="134" spans="2:10" ht="165" customHeight="1" x14ac:dyDescent="0.2"/>
    <row r="136" spans="2:10" x14ac:dyDescent="0.2">
      <c r="J136" s="31"/>
    </row>
  </sheetData>
  <mergeCells count="18">
    <mergeCell ref="A1:H1"/>
    <mergeCell ref="A2:H2"/>
    <mergeCell ref="A3:H3"/>
    <mergeCell ref="B103:H103"/>
    <mergeCell ref="B104:H104"/>
    <mergeCell ref="B105:H105"/>
    <mergeCell ref="B106:H106"/>
    <mergeCell ref="B107:H107"/>
    <mergeCell ref="B109:D109"/>
    <mergeCell ref="B110:C110"/>
    <mergeCell ref="B111:C111"/>
    <mergeCell ref="B112:C112"/>
    <mergeCell ref="B127:C127"/>
    <mergeCell ref="B120:C120"/>
    <mergeCell ref="B124:C124"/>
    <mergeCell ref="B125:C125"/>
    <mergeCell ref="B122:C122"/>
    <mergeCell ref="B123:C123"/>
  </mergeCells>
  <hyperlinks>
    <hyperlink ref="I1" location="Index!B2" display="Index" xr:uid="{8E3A7A2E-4CA5-40A3-B87F-12C424FC6C15}"/>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B79BE-5700-41ED-BED4-C568C95ABBA7}">
  <sheetPr>
    <outlinePr summaryBelow="0" summaryRight="0"/>
  </sheetPr>
  <dimension ref="A1:Q154"/>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812</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11</v>
      </c>
      <c r="C7" s="36" t="s">
        <v>12</v>
      </c>
      <c r="D7" s="36" t="s">
        <v>13</v>
      </c>
      <c r="E7" s="37">
        <v>1811705</v>
      </c>
      <c r="F7" s="38">
        <v>36408.023679999998</v>
      </c>
      <c r="G7" s="39">
        <v>8.2208039999999996E-2</v>
      </c>
      <c r="H7" s="34" t="s">
        <v>143</v>
      </c>
    </row>
    <row r="8" spans="1:9" x14ac:dyDescent="0.2">
      <c r="A8" s="35">
        <v>2</v>
      </c>
      <c r="B8" s="36" t="s">
        <v>322</v>
      </c>
      <c r="C8" s="36" t="s">
        <v>323</v>
      </c>
      <c r="D8" s="36" t="s">
        <v>33</v>
      </c>
      <c r="E8" s="37">
        <v>1619559</v>
      </c>
      <c r="F8" s="38">
        <v>32415.473385000001</v>
      </c>
      <c r="G8" s="39">
        <v>7.3192999999999994E-2</v>
      </c>
      <c r="H8" s="34" t="s">
        <v>143</v>
      </c>
    </row>
    <row r="9" spans="1:9" x14ac:dyDescent="0.2">
      <c r="A9" s="35">
        <v>3</v>
      </c>
      <c r="B9" s="36" t="s">
        <v>14</v>
      </c>
      <c r="C9" s="36" t="s">
        <v>15</v>
      </c>
      <c r="D9" s="36" t="s">
        <v>16</v>
      </c>
      <c r="E9" s="37">
        <v>1532287</v>
      </c>
      <c r="F9" s="38">
        <v>22993.498722</v>
      </c>
      <c r="G9" s="39">
        <v>5.1918510000000001E-2</v>
      </c>
      <c r="H9" s="34" t="s">
        <v>143</v>
      </c>
    </row>
    <row r="10" spans="1:9" x14ac:dyDescent="0.2">
      <c r="A10" s="35">
        <v>4</v>
      </c>
      <c r="B10" s="36" t="s">
        <v>350</v>
      </c>
      <c r="C10" s="36" t="s">
        <v>351</v>
      </c>
      <c r="D10" s="36" t="s">
        <v>287</v>
      </c>
      <c r="E10" s="37">
        <v>6560070</v>
      </c>
      <c r="F10" s="38">
        <v>17328.424905</v>
      </c>
      <c r="G10" s="39">
        <v>3.9126969999999997E-2</v>
      </c>
      <c r="H10" s="34" t="s">
        <v>143</v>
      </c>
    </row>
    <row r="11" spans="1:9" x14ac:dyDescent="0.2">
      <c r="A11" s="35">
        <v>5</v>
      </c>
      <c r="B11" s="36" t="s">
        <v>324</v>
      </c>
      <c r="C11" s="36" t="s">
        <v>325</v>
      </c>
      <c r="D11" s="36" t="s">
        <v>33</v>
      </c>
      <c r="E11" s="37">
        <v>1343771</v>
      </c>
      <c r="F11" s="38">
        <v>16114.501832</v>
      </c>
      <c r="G11" s="39">
        <v>3.6385979999999998E-2</v>
      </c>
      <c r="H11" s="34" t="s">
        <v>143</v>
      </c>
    </row>
    <row r="12" spans="1:9" ht="25.5" x14ac:dyDescent="0.2">
      <c r="A12" s="35">
        <v>6</v>
      </c>
      <c r="B12" s="36" t="s">
        <v>56</v>
      </c>
      <c r="C12" s="36" t="s">
        <v>57</v>
      </c>
      <c r="D12" s="36" t="s">
        <v>58</v>
      </c>
      <c r="E12" s="37">
        <v>1090073</v>
      </c>
      <c r="F12" s="38">
        <v>15808.238646</v>
      </c>
      <c r="G12" s="39">
        <v>3.5694450000000003E-2</v>
      </c>
      <c r="H12" s="34" t="s">
        <v>143</v>
      </c>
    </row>
    <row r="13" spans="1:9" x14ac:dyDescent="0.2">
      <c r="A13" s="35">
        <v>7</v>
      </c>
      <c r="B13" s="36" t="s">
        <v>400</v>
      </c>
      <c r="C13" s="36" t="s">
        <v>401</v>
      </c>
      <c r="D13" s="36" t="s">
        <v>192</v>
      </c>
      <c r="E13" s="37">
        <v>1201250</v>
      </c>
      <c r="F13" s="38">
        <v>13326.6675</v>
      </c>
      <c r="G13" s="39">
        <v>3.0091150000000001E-2</v>
      </c>
      <c r="H13" s="34" t="s">
        <v>143</v>
      </c>
    </row>
    <row r="14" spans="1:9" x14ac:dyDescent="0.2">
      <c r="A14" s="35">
        <v>8</v>
      </c>
      <c r="B14" s="36" t="s">
        <v>275</v>
      </c>
      <c r="C14" s="36" t="s">
        <v>276</v>
      </c>
      <c r="D14" s="36" t="s">
        <v>256</v>
      </c>
      <c r="E14" s="37">
        <v>1864265</v>
      </c>
      <c r="F14" s="38">
        <v>12264.999435</v>
      </c>
      <c r="G14" s="39">
        <v>2.769394E-2</v>
      </c>
      <c r="H14" s="34" t="s">
        <v>143</v>
      </c>
    </row>
    <row r="15" spans="1:9" x14ac:dyDescent="0.2">
      <c r="A15" s="35">
        <v>9</v>
      </c>
      <c r="B15" s="36" t="s">
        <v>31</v>
      </c>
      <c r="C15" s="36" t="s">
        <v>32</v>
      </c>
      <c r="D15" s="36" t="s">
        <v>33</v>
      </c>
      <c r="E15" s="37">
        <v>829125</v>
      </c>
      <c r="F15" s="38">
        <v>11987.489250000001</v>
      </c>
      <c r="G15" s="39">
        <v>2.7067330000000001E-2</v>
      </c>
      <c r="H15" s="34" t="s">
        <v>143</v>
      </c>
    </row>
    <row r="16" spans="1:9" x14ac:dyDescent="0.2">
      <c r="A16" s="35">
        <v>10</v>
      </c>
      <c r="B16" s="36" t="s">
        <v>722</v>
      </c>
      <c r="C16" s="36" t="s">
        <v>723</v>
      </c>
      <c r="D16" s="36" t="s">
        <v>195</v>
      </c>
      <c r="E16" s="37">
        <v>164533</v>
      </c>
      <c r="F16" s="38">
        <v>11915.479859999999</v>
      </c>
      <c r="G16" s="39">
        <v>2.6904730000000002E-2</v>
      </c>
      <c r="H16" s="34" t="s">
        <v>143</v>
      </c>
    </row>
    <row r="17" spans="1:8" x14ac:dyDescent="0.2">
      <c r="A17" s="35">
        <v>11</v>
      </c>
      <c r="B17" s="36" t="s">
        <v>519</v>
      </c>
      <c r="C17" s="36" t="s">
        <v>520</v>
      </c>
      <c r="D17" s="36" t="s">
        <v>192</v>
      </c>
      <c r="E17" s="37">
        <v>545635</v>
      </c>
      <c r="F17" s="38">
        <v>11218.2556</v>
      </c>
      <c r="G17" s="39">
        <v>2.5330430000000001E-2</v>
      </c>
      <c r="H17" s="34" t="s">
        <v>143</v>
      </c>
    </row>
    <row r="18" spans="1:8" x14ac:dyDescent="0.2">
      <c r="A18" s="35">
        <v>12</v>
      </c>
      <c r="B18" s="36" t="s">
        <v>277</v>
      </c>
      <c r="C18" s="36" t="s">
        <v>278</v>
      </c>
      <c r="D18" s="36" t="s">
        <v>192</v>
      </c>
      <c r="E18" s="37">
        <v>1557344</v>
      </c>
      <c r="F18" s="38">
        <v>11008.086063999999</v>
      </c>
      <c r="G18" s="39">
        <v>2.4855869999999999E-2</v>
      </c>
      <c r="H18" s="34" t="s">
        <v>143</v>
      </c>
    </row>
    <row r="19" spans="1:8" x14ac:dyDescent="0.2">
      <c r="A19" s="35">
        <v>13</v>
      </c>
      <c r="B19" s="36" t="s">
        <v>62</v>
      </c>
      <c r="C19" s="36" t="s">
        <v>63</v>
      </c>
      <c r="D19" s="36" t="s">
        <v>13</v>
      </c>
      <c r="E19" s="37">
        <v>2418626</v>
      </c>
      <c r="F19" s="38">
        <v>10184.834086000001</v>
      </c>
      <c r="G19" s="39">
        <v>2.2997E-2</v>
      </c>
      <c r="H19" s="34" t="s">
        <v>143</v>
      </c>
    </row>
    <row r="20" spans="1:8" x14ac:dyDescent="0.2">
      <c r="A20" s="35">
        <v>14</v>
      </c>
      <c r="B20" s="36" t="s">
        <v>359</v>
      </c>
      <c r="C20" s="36" t="s">
        <v>360</v>
      </c>
      <c r="D20" s="36" t="s">
        <v>55</v>
      </c>
      <c r="E20" s="37">
        <v>275874</v>
      </c>
      <c r="F20" s="38">
        <v>10180.302347999999</v>
      </c>
      <c r="G20" s="39">
        <v>2.2986759999999998E-2</v>
      </c>
      <c r="H20" s="34" t="s">
        <v>143</v>
      </c>
    </row>
    <row r="21" spans="1:8" x14ac:dyDescent="0.2">
      <c r="A21" s="35">
        <v>15</v>
      </c>
      <c r="B21" s="36" t="s">
        <v>340</v>
      </c>
      <c r="C21" s="36" t="s">
        <v>341</v>
      </c>
      <c r="D21" s="36" t="s">
        <v>265</v>
      </c>
      <c r="E21" s="37">
        <v>504624</v>
      </c>
      <c r="F21" s="38">
        <v>10083.901392</v>
      </c>
      <c r="G21" s="39">
        <v>2.2769089999999999E-2</v>
      </c>
      <c r="H21" s="34" t="s">
        <v>143</v>
      </c>
    </row>
    <row r="22" spans="1:8" x14ac:dyDescent="0.2">
      <c r="A22" s="35">
        <v>16</v>
      </c>
      <c r="B22" s="36" t="s">
        <v>364</v>
      </c>
      <c r="C22" s="36" t="s">
        <v>365</v>
      </c>
      <c r="D22" s="36" t="s">
        <v>195</v>
      </c>
      <c r="E22" s="37">
        <v>1639820</v>
      </c>
      <c r="F22" s="38">
        <v>9774.1471099999999</v>
      </c>
      <c r="G22" s="39">
        <v>2.2069680000000001E-2</v>
      </c>
      <c r="H22" s="34" t="s">
        <v>143</v>
      </c>
    </row>
    <row r="23" spans="1:8" x14ac:dyDescent="0.2">
      <c r="A23" s="35">
        <v>17</v>
      </c>
      <c r="B23" s="36" t="s">
        <v>446</v>
      </c>
      <c r="C23" s="36" t="s">
        <v>447</v>
      </c>
      <c r="D23" s="36" t="s">
        <v>33</v>
      </c>
      <c r="E23" s="37">
        <v>1003431</v>
      </c>
      <c r="F23" s="38">
        <v>8750.9217509999999</v>
      </c>
      <c r="G23" s="39">
        <v>1.9759269999999999E-2</v>
      </c>
      <c r="H23" s="34" t="s">
        <v>143</v>
      </c>
    </row>
    <row r="24" spans="1:8" x14ac:dyDescent="0.2">
      <c r="A24" s="35">
        <v>18</v>
      </c>
      <c r="B24" s="36" t="s">
        <v>344</v>
      </c>
      <c r="C24" s="36" t="s">
        <v>345</v>
      </c>
      <c r="D24" s="36" t="s">
        <v>287</v>
      </c>
      <c r="E24" s="37">
        <v>569857</v>
      </c>
      <c r="F24" s="38">
        <v>8481.1817310000006</v>
      </c>
      <c r="G24" s="39">
        <v>1.9150210000000001E-2</v>
      </c>
      <c r="H24" s="34" t="s">
        <v>143</v>
      </c>
    </row>
    <row r="25" spans="1:8" x14ac:dyDescent="0.2">
      <c r="A25" s="35">
        <v>19</v>
      </c>
      <c r="B25" s="36" t="s">
        <v>370</v>
      </c>
      <c r="C25" s="36" t="s">
        <v>371</v>
      </c>
      <c r="D25" s="36" t="s">
        <v>33</v>
      </c>
      <c r="E25" s="37">
        <v>16826796</v>
      </c>
      <c r="F25" s="38">
        <v>8250.1780787999996</v>
      </c>
      <c r="G25" s="39">
        <v>1.862861E-2</v>
      </c>
      <c r="H25" s="34" t="s">
        <v>143</v>
      </c>
    </row>
    <row r="26" spans="1:8" x14ac:dyDescent="0.2">
      <c r="A26" s="35">
        <v>20</v>
      </c>
      <c r="B26" s="36" t="s">
        <v>217</v>
      </c>
      <c r="C26" s="36" t="s">
        <v>218</v>
      </c>
      <c r="D26" s="36" t="s">
        <v>61</v>
      </c>
      <c r="E26" s="37">
        <v>457842</v>
      </c>
      <c r="F26" s="38">
        <v>7150.1185139999998</v>
      </c>
      <c r="G26" s="39">
        <v>1.6144720000000001E-2</v>
      </c>
      <c r="H26" s="34" t="s">
        <v>143</v>
      </c>
    </row>
    <row r="27" spans="1:8" x14ac:dyDescent="0.2">
      <c r="A27" s="35">
        <v>21</v>
      </c>
      <c r="B27" s="36" t="s">
        <v>366</v>
      </c>
      <c r="C27" s="36" t="s">
        <v>367</v>
      </c>
      <c r="D27" s="36" t="s">
        <v>221</v>
      </c>
      <c r="E27" s="37">
        <v>1990973</v>
      </c>
      <c r="F27" s="38">
        <v>6546.3192239999998</v>
      </c>
      <c r="G27" s="39">
        <v>1.478136E-2</v>
      </c>
      <c r="H27" s="34" t="s">
        <v>143</v>
      </c>
    </row>
    <row r="28" spans="1:8" x14ac:dyDescent="0.2">
      <c r="A28" s="35">
        <v>22</v>
      </c>
      <c r="B28" s="36" t="s">
        <v>376</v>
      </c>
      <c r="C28" s="36" t="s">
        <v>377</v>
      </c>
      <c r="D28" s="36" t="s">
        <v>206</v>
      </c>
      <c r="E28" s="37">
        <v>223340</v>
      </c>
      <c r="F28" s="38">
        <v>6527.7815199999995</v>
      </c>
      <c r="G28" s="39">
        <v>1.4739500000000001E-2</v>
      </c>
      <c r="H28" s="34" t="s">
        <v>143</v>
      </c>
    </row>
    <row r="29" spans="1:8" x14ac:dyDescent="0.2">
      <c r="A29" s="35">
        <v>23</v>
      </c>
      <c r="B29" s="36" t="s">
        <v>372</v>
      </c>
      <c r="C29" s="36" t="s">
        <v>373</v>
      </c>
      <c r="D29" s="36" t="s">
        <v>33</v>
      </c>
      <c r="E29" s="37">
        <v>1561198</v>
      </c>
      <c r="F29" s="38">
        <v>6155.8037139999997</v>
      </c>
      <c r="G29" s="39">
        <v>1.389959E-2</v>
      </c>
      <c r="H29" s="34" t="s">
        <v>143</v>
      </c>
    </row>
    <row r="30" spans="1:8" x14ac:dyDescent="0.2">
      <c r="A30" s="35">
        <v>24</v>
      </c>
      <c r="B30" s="36" t="s">
        <v>380</v>
      </c>
      <c r="C30" s="36" t="s">
        <v>381</v>
      </c>
      <c r="D30" s="36" t="s">
        <v>33</v>
      </c>
      <c r="E30" s="37">
        <v>9120524</v>
      </c>
      <c r="F30" s="38">
        <v>6120.7836563999999</v>
      </c>
      <c r="G30" s="39">
        <v>1.3820509999999999E-2</v>
      </c>
      <c r="H30" s="34" t="s">
        <v>143</v>
      </c>
    </row>
    <row r="31" spans="1:8" x14ac:dyDescent="0.2">
      <c r="A31" s="35">
        <v>25</v>
      </c>
      <c r="B31" s="36" t="s">
        <v>231</v>
      </c>
      <c r="C31" s="36" t="s">
        <v>232</v>
      </c>
      <c r="D31" s="36" t="s">
        <v>221</v>
      </c>
      <c r="E31" s="37">
        <v>663825</v>
      </c>
      <c r="F31" s="38">
        <v>6117.4792875000003</v>
      </c>
      <c r="G31" s="39">
        <v>1.381305E-2</v>
      </c>
      <c r="H31" s="34" t="s">
        <v>143</v>
      </c>
    </row>
    <row r="32" spans="1:8" x14ac:dyDescent="0.2">
      <c r="A32" s="35">
        <v>26</v>
      </c>
      <c r="B32" s="36" t="s">
        <v>795</v>
      </c>
      <c r="C32" s="36" t="s">
        <v>796</v>
      </c>
      <c r="D32" s="36" t="s">
        <v>198</v>
      </c>
      <c r="E32" s="37">
        <v>109074</v>
      </c>
      <c r="F32" s="38">
        <v>5799.4645799999998</v>
      </c>
      <c r="G32" s="39">
        <v>1.3094990000000001E-2</v>
      </c>
      <c r="H32" s="34" t="s">
        <v>143</v>
      </c>
    </row>
    <row r="33" spans="1:8" x14ac:dyDescent="0.2">
      <c r="A33" s="35">
        <v>27</v>
      </c>
      <c r="B33" s="36" t="s">
        <v>328</v>
      </c>
      <c r="C33" s="36" t="s">
        <v>329</v>
      </c>
      <c r="D33" s="36" t="s">
        <v>198</v>
      </c>
      <c r="E33" s="37">
        <v>344194</v>
      </c>
      <c r="F33" s="38">
        <v>5513.2994920000001</v>
      </c>
      <c r="G33" s="39">
        <v>1.2448839999999999E-2</v>
      </c>
      <c r="H33" s="34" t="s">
        <v>143</v>
      </c>
    </row>
    <row r="34" spans="1:8" x14ac:dyDescent="0.2">
      <c r="A34" s="35">
        <v>28</v>
      </c>
      <c r="B34" s="36" t="s">
        <v>402</v>
      </c>
      <c r="C34" s="36" t="s">
        <v>403</v>
      </c>
      <c r="D34" s="36" t="s">
        <v>221</v>
      </c>
      <c r="E34" s="37">
        <v>717133</v>
      </c>
      <c r="F34" s="38">
        <v>5343.3579829999999</v>
      </c>
      <c r="G34" s="39">
        <v>1.206511E-2</v>
      </c>
      <c r="H34" s="34" t="s">
        <v>143</v>
      </c>
    </row>
    <row r="35" spans="1:8" x14ac:dyDescent="0.2">
      <c r="A35" s="35">
        <v>29</v>
      </c>
      <c r="B35" s="36" t="s">
        <v>386</v>
      </c>
      <c r="C35" s="36" t="s">
        <v>387</v>
      </c>
      <c r="D35" s="36" t="s">
        <v>192</v>
      </c>
      <c r="E35" s="37">
        <v>246050</v>
      </c>
      <c r="F35" s="38">
        <v>5329.4430000000002</v>
      </c>
      <c r="G35" s="39">
        <v>1.20337E-2</v>
      </c>
      <c r="H35" s="34" t="s">
        <v>143</v>
      </c>
    </row>
    <row r="36" spans="1:8" x14ac:dyDescent="0.2">
      <c r="A36" s="35">
        <v>30</v>
      </c>
      <c r="B36" s="36" t="s">
        <v>193</v>
      </c>
      <c r="C36" s="36" t="s">
        <v>194</v>
      </c>
      <c r="D36" s="36" t="s">
        <v>195</v>
      </c>
      <c r="E36" s="37">
        <v>670186</v>
      </c>
      <c r="F36" s="38">
        <v>5324.6277700000001</v>
      </c>
      <c r="G36" s="39">
        <v>1.202282E-2</v>
      </c>
      <c r="H36" s="34" t="s">
        <v>143</v>
      </c>
    </row>
    <row r="37" spans="1:8" x14ac:dyDescent="0.2">
      <c r="A37" s="35">
        <v>31</v>
      </c>
      <c r="B37" s="36" t="s">
        <v>107</v>
      </c>
      <c r="C37" s="36" t="s">
        <v>108</v>
      </c>
      <c r="D37" s="36" t="s">
        <v>52</v>
      </c>
      <c r="E37" s="37">
        <v>1343146</v>
      </c>
      <c r="F37" s="38">
        <v>5141.5628880000004</v>
      </c>
      <c r="G37" s="39">
        <v>1.160947E-2</v>
      </c>
      <c r="H37" s="34" t="s">
        <v>143</v>
      </c>
    </row>
    <row r="38" spans="1:8" x14ac:dyDescent="0.2">
      <c r="A38" s="35">
        <v>32</v>
      </c>
      <c r="B38" s="36" t="s">
        <v>499</v>
      </c>
      <c r="C38" s="36" t="s">
        <v>500</v>
      </c>
      <c r="D38" s="36" t="s">
        <v>192</v>
      </c>
      <c r="E38" s="37">
        <v>1260897</v>
      </c>
      <c r="F38" s="38">
        <v>5073.8495279999997</v>
      </c>
      <c r="G38" s="39">
        <v>1.1456569999999999E-2</v>
      </c>
      <c r="H38" s="34" t="s">
        <v>143</v>
      </c>
    </row>
    <row r="39" spans="1:8" x14ac:dyDescent="0.2">
      <c r="A39" s="35">
        <v>33</v>
      </c>
      <c r="B39" s="36" t="s">
        <v>408</v>
      </c>
      <c r="C39" s="36" t="s">
        <v>409</v>
      </c>
      <c r="D39" s="36" t="s">
        <v>265</v>
      </c>
      <c r="E39" s="37">
        <v>1096915</v>
      </c>
      <c r="F39" s="38">
        <v>5043.0667125</v>
      </c>
      <c r="G39" s="39">
        <v>1.1387069999999999E-2</v>
      </c>
      <c r="H39" s="34" t="s">
        <v>143</v>
      </c>
    </row>
    <row r="40" spans="1:8" x14ac:dyDescent="0.2">
      <c r="A40" s="35">
        <v>34</v>
      </c>
      <c r="B40" s="36" t="s">
        <v>479</v>
      </c>
      <c r="C40" s="36" t="s">
        <v>480</v>
      </c>
      <c r="D40" s="36" t="s">
        <v>256</v>
      </c>
      <c r="E40" s="37">
        <v>909737</v>
      </c>
      <c r="F40" s="38">
        <v>4843.4397879999997</v>
      </c>
      <c r="G40" s="39">
        <v>1.0936319999999999E-2</v>
      </c>
      <c r="H40" s="34" t="s">
        <v>143</v>
      </c>
    </row>
    <row r="41" spans="1:8" x14ac:dyDescent="0.2">
      <c r="A41" s="35">
        <v>35</v>
      </c>
      <c r="B41" s="36" t="s">
        <v>395</v>
      </c>
      <c r="C41" s="36" t="s">
        <v>396</v>
      </c>
      <c r="D41" s="36" t="s">
        <v>198</v>
      </c>
      <c r="E41" s="37">
        <v>1037243</v>
      </c>
      <c r="F41" s="38">
        <v>4745.3867250000003</v>
      </c>
      <c r="G41" s="39">
        <v>1.0714919999999999E-2</v>
      </c>
      <c r="H41" s="34" t="s">
        <v>143</v>
      </c>
    </row>
    <row r="42" spans="1:8" x14ac:dyDescent="0.2">
      <c r="A42" s="35">
        <v>36</v>
      </c>
      <c r="B42" s="36" t="s">
        <v>513</v>
      </c>
      <c r="C42" s="36" t="s">
        <v>514</v>
      </c>
      <c r="D42" s="36" t="s">
        <v>198</v>
      </c>
      <c r="E42" s="37">
        <v>275867</v>
      </c>
      <c r="F42" s="38">
        <v>4653.8762900000002</v>
      </c>
      <c r="G42" s="39">
        <v>1.050829E-2</v>
      </c>
      <c r="H42" s="34" t="s">
        <v>143</v>
      </c>
    </row>
    <row r="43" spans="1:8" x14ac:dyDescent="0.2">
      <c r="A43" s="35">
        <v>37</v>
      </c>
      <c r="B43" s="36" t="s">
        <v>397</v>
      </c>
      <c r="C43" s="36" t="s">
        <v>398</v>
      </c>
      <c r="D43" s="36" t="s">
        <v>399</v>
      </c>
      <c r="E43" s="37">
        <v>425515</v>
      </c>
      <c r="F43" s="38">
        <v>4127.9210149999999</v>
      </c>
      <c r="G43" s="39">
        <v>9.3206999999999995E-3</v>
      </c>
      <c r="H43" s="34" t="s">
        <v>143</v>
      </c>
    </row>
    <row r="44" spans="1:8" x14ac:dyDescent="0.2">
      <c r="A44" s="35">
        <v>38</v>
      </c>
      <c r="B44" s="36" t="s">
        <v>330</v>
      </c>
      <c r="C44" s="36" t="s">
        <v>331</v>
      </c>
      <c r="D44" s="36" t="s">
        <v>206</v>
      </c>
      <c r="E44" s="37">
        <v>44914</v>
      </c>
      <c r="F44" s="38">
        <v>4017.1081600000002</v>
      </c>
      <c r="G44" s="39">
        <v>9.0704900000000005E-3</v>
      </c>
      <c r="H44" s="34" t="s">
        <v>143</v>
      </c>
    </row>
    <row r="45" spans="1:8" x14ac:dyDescent="0.2">
      <c r="A45" s="35">
        <v>39</v>
      </c>
      <c r="B45" s="36" t="s">
        <v>212</v>
      </c>
      <c r="C45" s="36" t="s">
        <v>213</v>
      </c>
      <c r="D45" s="36" t="s">
        <v>198</v>
      </c>
      <c r="E45" s="37">
        <v>193170</v>
      </c>
      <c r="F45" s="38">
        <v>3717.55665</v>
      </c>
      <c r="G45" s="39">
        <v>8.3941099999999998E-3</v>
      </c>
      <c r="H45" s="34" t="s">
        <v>143</v>
      </c>
    </row>
    <row r="46" spans="1:8" x14ac:dyDescent="0.2">
      <c r="A46" s="35">
        <v>40</v>
      </c>
      <c r="B46" s="36" t="s">
        <v>779</v>
      </c>
      <c r="C46" s="36" t="s">
        <v>780</v>
      </c>
      <c r="D46" s="36" t="s">
        <v>287</v>
      </c>
      <c r="E46" s="37">
        <v>918536</v>
      </c>
      <c r="F46" s="38">
        <v>3677.8181439999998</v>
      </c>
      <c r="G46" s="39">
        <v>8.3043800000000001E-3</v>
      </c>
      <c r="H46" s="34" t="s">
        <v>143</v>
      </c>
    </row>
    <row r="47" spans="1:8" x14ac:dyDescent="0.2">
      <c r="A47" s="35">
        <v>41</v>
      </c>
      <c r="B47" s="36" t="s">
        <v>485</v>
      </c>
      <c r="C47" s="36" t="s">
        <v>486</v>
      </c>
      <c r="D47" s="36" t="s">
        <v>206</v>
      </c>
      <c r="E47" s="37">
        <v>130000</v>
      </c>
      <c r="F47" s="38">
        <v>3521.96</v>
      </c>
      <c r="G47" s="39">
        <v>7.9524599999999997E-3</v>
      </c>
      <c r="H47" s="34" t="s">
        <v>143</v>
      </c>
    </row>
    <row r="48" spans="1:8" x14ac:dyDescent="0.2">
      <c r="A48" s="35">
        <v>42</v>
      </c>
      <c r="B48" s="36" t="s">
        <v>734</v>
      </c>
      <c r="C48" s="36" t="s">
        <v>735</v>
      </c>
      <c r="D48" s="36" t="s">
        <v>195</v>
      </c>
      <c r="E48" s="37">
        <v>206251</v>
      </c>
      <c r="F48" s="38">
        <v>3519.0545619999998</v>
      </c>
      <c r="G48" s="39">
        <v>7.9459000000000005E-3</v>
      </c>
      <c r="H48" s="34" t="s">
        <v>143</v>
      </c>
    </row>
    <row r="49" spans="1:8" x14ac:dyDescent="0.2">
      <c r="A49" s="35">
        <v>43</v>
      </c>
      <c r="B49" s="36" t="s">
        <v>326</v>
      </c>
      <c r="C49" s="36" t="s">
        <v>327</v>
      </c>
      <c r="D49" s="36" t="s">
        <v>33</v>
      </c>
      <c r="E49" s="37">
        <v>150600</v>
      </c>
      <c r="F49" s="38">
        <v>3258.2310000000002</v>
      </c>
      <c r="G49" s="39">
        <v>7.35697E-3</v>
      </c>
      <c r="H49" s="34" t="s">
        <v>143</v>
      </c>
    </row>
    <row r="50" spans="1:8" ht="25.5" x14ac:dyDescent="0.2">
      <c r="A50" s="35">
        <v>44</v>
      </c>
      <c r="B50" s="36" t="s">
        <v>390</v>
      </c>
      <c r="C50" s="36" t="s">
        <v>391</v>
      </c>
      <c r="D50" s="36" t="s">
        <v>392</v>
      </c>
      <c r="E50" s="37">
        <v>840615</v>
      </c>
      <c r="F50" s="38">
        <v>3112.797345</v>
      </c>
      <c r="G50" s="39">
        <v>7.0285900000000004E-3</v>
      </c>
      <c r="H50" s="34" t="s">
        <v>143</v>
      </c>
    </row>
    <row r="51" spans="1:8" x14ac:dyDescent="0.2">
      <c r="A51" s="35">
        <v>45</v>
      </c>
      <c r="B51" s="36" t="s">
        <v>50</v>
      </c>
      <c r="C51" s="36" t="s">
        <v>51</v>
      </c>
      <c r="D51" s="36" t="s">
        <v>52</v>
      </c>
      <c r="E51" s="37">
        <v>44887</v>
      </c>
      <c r="F51" s="38">
        <v>2682.6715549999999</v>
      </c>
      <c r="G51" s="39">
        <v>6.0573800000000002E-3</v>
      </c>
      <c r="H51" s="34" t="s">
        <v>143</v>
      </c>
    </row>
    <row r="52" spans="1:8" x14ac:dyDescent="0.2">
      <c r="A52" s="35">
        <v>46</v>
      </c>
      <c r="B52" s="36" t="s">
        <v>491</v>
      </c>
      <c r="C52" s="36" t="s">
        <v>492</v>
      </c>
      <c r="D52" s="36" t="s">
        <v>206</v>
      </c>
      <c r="E52" s="37">
        <v>202966</v>
      </c>
      <c r="F52" s="38">
        <v>2619.8851279999999</v>
      </c>
      <c r="G52" s="39">
        <v>5.91561E-3</v>
      </c>
      <c r="H52" s="34" t="s">
        <v>143</v>
      </c>
    </row>
    <row r="53" spans="1:8" x14ac:dyDescent="0.2">
      <c r="A53" s="35">
        <v>47</v>
      </c>
      <c r="B53" s="36" t="s">
        <v>497</v>
      </c>
      <c r="C53" s="36" t="s">
        <v>498</v>
      </c>
      <c r="D53" s="36" t="s">
        <v>55</v>
      </c>
      <c r="E53" s="37">
        <v>756074</v>
      </c>
      <c r="F53" s="38">
        <v>2595.224005</v>
      </c>
      <c r="G53" s="39">
        <v>5.8599200000000002E-3</v>
      </c>
      <c r="H53" s="34" t="s">
        <v>143</v>
      </c>
    </row>
    <row r="54" spans="1:8" x14ac:dyDescent="0.2">
      <c r="A54" s="35">
        <v>48</v>
      </c>
      <c r="B54" s="36" t="s">
        <v>406</v>
      </c>
      <c r="C54" s="36" t="s">
        <v>407</v>
      </c>
      <c r="D54" s="36" t="s">
        <v>192</v>
      </c>
      <c r="E54" s="37">
        <v>18938</v>
      </c>
      <c r="F54" s="38">
        <v>229.092986</v>
      </c>
      <c r="G54" s="39">
        <v>5.1727999999999995E-4</v>
      </c>
      <c r="H54" s="34" t="s">
        <v>143</v>
      </c>
    </row>
    <row r="55" spans="1:8" x14ac:dyDescent="0.2">
      <c r="A55" s="41"/>
      <c r="B55" s="41"/>
      <c r="C55" s="42" t="s">
        <v>142</v>
      </c>
      <c r="D55" s="41"/>
      <c r="E55" s="41" t="s">
        <v>143</v>
      </c>
      <c r="F55" s="43">
        <v>411003.58659820003</v>
      </c>
      <c r="G55" s="44">
        <v>0.92803164000000005</v>
      </c>
      <c r="H55" s="34" t="s">
        <v>143</v>
      </c>
    </row>
    <row r="56" spans="1:8" x14ac:dyDescent="0.2">
      <c r="A56" s="41"/>
      <c r="B56" s="41"/>
      <c r="C56" s="45"/>
      <c r="D56" s="41"/>
      <c r="E56" s="41"/>
      <c r="F56" s="46"/>
      <c r="G56" s="46"/>
      <c r="H56" s="34" t="s">
        <v>143</v>
      </c>
    </row>
    <row r="57" spans="1:8" x14ac:dyDescent="0.2">
      <c r="A57" s="41"/>
      <c r="B57" s="41"/>
      <c r="C57" s="42" t="s">
        <v>144</v>
      </c>
      <c r="D57" s="41"/>
      <c r="E57" s="41"/>
      <c r="F57" s="41"/>
      <c r="G57" s="41"/>
      <c r="H57" s="34" t="s">
        <v>143</v>
      </c>
    </row>
    <row r="58" spans="1:8" x14ac:dyDescent="0.2">
      <c r="A58" s="35">
        <v>1</v>
      </c>
      <c r="B58" s="36" t="s">
        <v>813</v>
      </c>
      <c r="C58" s="50" t="s">
        <v>1039</v>
      </c>
      <c r="D58" s="36" t="s">
        <v>221</v>
      </c>
      <c r="E58" s="37">
        <v>37829</v>
      </c>
      <c r="F58" s="38">
        <v>3171.9665972769999</v>
      </c>
      <c r="G58" s="39">
        <v>7.1621899999999997E-3</v>
      </c>
      <c r="H58" s="34" t="s">
        <v>143</v>
      </c>
    </row>
    <row r="59" spans="1:8" x14ac:dyDescent="0.2">
      <c r="A59" s="41"/>
      <c r="B59" s="41"/>
      <c r="C59" s="42" t="s">
        <v>142</v>
      </c>
      <c r="D59" s="41"/>
      <c r="E59" s="41" t="s">
        <v>143</v>
      </c>
      <c r="F59" s="43">
        <v>3171.9665972769999</v>
      </c>
      <c r="G59" s="44">
        <v>7.1621899999999997E-3</v>
      </c>
      <c r="H59" s="34" t="s">
        <v>143</v>
      </c>
    </row>
    <row r="60" spans="1:8" x14ac:dyDescent="0.2">
      <c r="A60" s="41"/>
      <c r="B60" s="41"/>
      <c r="C60" s="45"/>
      <c r="D60" s="41"/>
      <c r="E60" s="41"/>
      <c r="F60" s="46"/>
      <c r="G60" s="46"/>
      <c r="H60" s="34" t="s">
        <v>143</v>
      </c>
    </row>
    <row r="61" spans="1:8" x14ac:dyDescent="0.2">
      <c r="A61" s="41"/>
      <c r="B61" s="41"/>
      <c r="C61" s="42" t="s">
        <v>146</v>
      </c>
      <c r="D61" s="41"/>
      <c r="E61" s="41"/>
      <c r="F61" s="41"/>
      <c r="G61" s="41"/>
      <c r="H61" s="34" t="s">
        <v>143</v>
      </c>
    </row>
    <row r="62" spans="1:8" x14ac:dyDescent="0.2">
      <c r="A62" s="41"/>
      <c r="B62" s="41"/>
      <c r="C62" s="42" t="s">
        <v>142</v>
      </c>
      <c r="D62" s="41"/>
      <c r="E62" s="41" t="s">
        <v>143</v>
      </c>
      <c r="F62" s="47" t="s">
        <v>145</v>
      </c>
      <c r="G62" s="44">
        <v>0</v>
      </c>
      <c r="H62" s="34" t="s">
        <v>143</v>
      </c>
    </row>
    <row r="63" spans="1:8" x14ac:dyDescent="0.2">
      <c r="A63" s="41"/>
      <c r="B63" s="41"/>
      <c r="C63" s="45"/>
      <c r="D63" s="41"/>
      <c r="E63" s="41"/>
      <c r="F63" s="46"/>
      <c r="G63" s="46"/>
      <c r="H63" s="34" t="s">
        <v>143</v>
      </c>
    </row>
    <row r="64" spans="1:8" x14ac:dyDescent="0.2">
      <c r="A64" s="41"/>
      <c r="B64" s="41"/>
      <c r="C64" s="42" t="s">
        <v>147</v>
      </c>
      <c r="D64" s="41"/>
      <c r="E64" s="41"/>
      <c r="F64" s="41"/>
      <c r="G64" s="41"/>
      <c r="H64" s="34" t="s">
        <v>143</v>
      </c>
    </row>
    <row r="65" spans="1:8" x14ac:dyDescent="0.2">
      <c r="A65" s="41"/>
      <c r="B65" s="41"/>
      <c r="C65" s="42" t="s">
        <v>142</v>
      </c>
      <c r="D65" s="41"/>
      <c r="E65" s="41" t="s">
        <v>143</v>
      </c>
      <c r="F65" s="47" t="s">
        <v>145</v>
      </c>
      <c r="G65" s="44">
        <v>0</v>
      </c>
      <c r="H65" s="34" t="s">
        <v>143</v>
      </c>
    </row>
    <row r="66" spans="1:8" x14ac:dyDescent="0.2">
      <c r="A66" s="41"/>
      <c r="B66" s="41"/>
      <c r="C66" s="45"/>
      <c r="D66" s="41"/>
      <c r="E66" s="41"/>
      <c r="F66" s="46"/>
      <c r="G66" s="46"/>
      <c r="H66" s="34" t="s">
        <v>143</v>
      </c>
    </row>
    <row r="67" spans="1:8" x14ac:dyDescent="0.2">
      <c r="A67" s="41"/>
      <c r="B67" s="41"/>
      <c r="C67" s="42" t="s">
        <v>148</v>
      </c>
      <c r="D67" s="41"/>
      <c r="E67" s="41"/>
      <c r="F67" s="46"/>
      <c r="G67" s="46"/>
      <c r="H67" s="34" t="s">
        <v>143</v>
      </c>
    </row>
    <row r="68" spans="1:8" x14ac:dyDescent="0.2">
      <c r="A68" s="41"/>
      <c r="B68" s="41"/>
      <c r="C68" s="42" t="s">
        <v>142</v>
      </c>
      <c r="D68" s="41"/>
      <c r="E68" s="41" t="s">
        <v>143</v>
      </c>
      <c r="F68" s="47" t="s">
        <v>145</v>
      </c>
      <c r="G68" s="44">
        <v>0</v>
      </c>
      <c r="H68" s="34" t="s">
        <v>143</v>
      </c>
    </row>
    <row r="69" spans="1:8" x14ac:dyDescent="0.2">
      <c r="A69" s="41"/>
      <c r="B69" s="41"/>
      <c r="C69" s="45"/>
      <c r="D69" s="41"/>
      <c r="E69" s="41"/>
      <c r="F69" s="46"/>
      <c r="G69" s="46"/>
      <c r="H69" s="34" t="s">
        <v>143</v>
      </c>
    </row>
    <row r="70" spans="1:8" x14ac:dyDescent="0.2">
      <c r="A70" s="41"/>
      <c r="B70" s="41"/>
      <c r="C70" s="42" t="s">
        <v>149</v>
      </c>
      <c r="D70" s="41"/>
      <c r="E70" s="41"/>
      <c r="F70" s="46"/>
      <c r="G70" s="46"/>
      <c r="H70" s="34" t="s">
        <v>143</v>
      </c>
    </row>
    <row r="71" spans="1:8" x14ac:dyDescent="0.2">
      <c r="A71" s="41"/>
      <c r="B71" s="41"/>
      <c r="C71" s="42" t="s">
        <v>142</v>
      </c>
      <c r="D71" s="41"/>
      <c r="E71" s="41" t="s">
        <v>143</v>
      </c>
      <c r="F71" s="47" t="s">
        <v>145</v>
      </c>
      <c r="G71" s="44">
        <v>0</v>
      </c>
      <c r="H71" s="34" t="s">
        <v>143</v>
      </c>
    </row>
    <row r="72" spans="1:8" x14ac:dyDescent="0.2">
      <c r="A72" s="41"/>
      <c r="B72" s="41"/>
      <c r="C72" s="45"/>
      <c r="D72" s="41"/>
      <c r="E72" s="41"/>
      <c r="F72" s="46"/>
      <c r="G72" s="46"/>
      <c r="H72" s="34" t="s">
        <v>143</v>
      </c>
    </row>
    <row r="73" spans="1:8" x14ac:dyDescent="0.2">
      <c r="A73" s="41"/>
      <c r="B73" s="41"/>
      <c r="C73" s="42" t="s">
        <v>150</v>
      </c>
      <c r="D73" s="41"/>
      <c r="E73" s="41"/>
      <c r="F73" s="43">
        <v>414175.553195477</v>
      </c>
      <c r="G73" s="44">
        <v>0.93519383</v>
      </c>
      <c r="H73" s="34" t="s">
        <v>143</v>
      </c>
    </row>
    <row r="74" spans="1:8" x14ac:dyDescent="0.2">
      <c r="A74" s="41"/>
      <c r="B74" s="41"/>
      <c r="C74" s="45"/>
      <c r="D74" s="41"/>
      <c r="E74" s="41"/>
      <c r="F74" s="46"/>
      <c r="G74" s="46"/>
      <c r="H74" s="34" t="s">
        <v>143</v>
      </c>
    </row>
    <row r="75" spans="1:8" x14ac:dyDescent="0.2">
      <c r="A75" s="41"/>
      <c r="B75" s="41"/>
      <c r="C75" s="42" t="s">
        <v>151</v>
      </c>
      <c r="D75" s="41"/>
      <c r="E75" s="41"/>
      <c r="F75" s="46"/>
      <c r="G75" s="46"/>
      <c r="H75" s="34" t="s">
        <v>143</v>
      </c>
    </row>
    <row r="76" spans="1:8" x14ac:dyDescent="0.2">
      <c r="A76" s="41"/>
      <c r="B76" s="41"/>
      <c r="C76" s="42" t="s">
        <v>10</v>
      </c>
      <c r="D76" s="41"/>
      <c r="E76" s="41"/>
      <c r="F76" s="46"/>
      <c r="G76" s="46"/>
      <c r="H76" s="34" t="s">
        <v>143</v>
      </c>
    </row>
    <row r="77" spans="1:8" x14ac:dyDescent="0.2">
      <c r="A77" s="41"/>
      <c r="B77" s="41"/>
      <c r="C77" s="42" t="s">
        <v>142</v>
      </c>
      <c r="D77" s="41"/>
      <c r="E77" s="41" t="s">
        <v>143</v>
      </c>
      <c r="F77" s="47" t="s">
        <v>145</v>
      </c>
      <c r="G77" s="44">
        <v>0</v>
      </c>
      <c r="H77" s="34" t="s">
        <v>143</v>
      </c>
    </row>
    <row r="78" spans="1:8" x14ac:dyDescent="0.2">
      <c r="A78" s="41"/>
      <c r="B78" s="41"/>
      <c r="C78" s="45"/>
      <c r="D78" s="41"/>
      <c r="E78" s="41"/>
      <c r="F78" s="46"/>
      <c r="G78" s="46"/>
      <c r="H78" s="34" t="s">
        <v>143</v>
      </c>
    </row>
    <row r="79" spans="1:8" x14ac:dyDescent="0.2">
      <c r="A79" s="41"/>
      <c r="B79" s="41"/>
      <c r="C79" s="42" t="s">
        <v>152</v>
      </c>
      <c r="D79" s="41"/>
      <c r="E79" s="41"/>
      <c r="F79" s="41"/>
      <c r="G79" s="41"/>
      <c r="H79" s="34" t="s">
        <v>143</v>
      </c>
    </row>
    <row r="80" spans="1:8" x14ac:dyDescent="0.2">
      <c r="A80" s="41"/>
      <c r="B80" s="41"/>
      <c r="C80" s="42" t="s">
        <v>142</v>
      </c>
      <c r="D80" s="41"/>
      <c r="E80" s="41" t="s">
        <v>143</v>
      </c>
      <c r="F80" s="47" t="s">
        <v>145</v>
      </c>
      <c r="G80" s="44">
        <v>0</v>
      </c>
      <c r="H80" s="34" t="s">
        <v>143</v>
      </c>
    </row>
    <row r="81" spans="1:8" x14ac:dyDescent="0.2">
      <c r="A81" s="41"/>
      <c r="B81" s="41"/>
      <c r="C81" s="45"/>
      <c r="D81" s="41"/>
      <c r="E81" s="41"/>
      <c r="F81" s="46"/>
      <c r="G81" s="46"/>
      <c r="H81" s="34" t="s">
        <v>143</v>
      </c>
    </row>
    <row r="82" spans="1:8" x14ac:dyDescent="0.2">
      <c r="A82" s="41"/>
      <c r="B82" s="41"/>
      <c r="C82" s="42" t="s">
        <v>153</v>
      </c>
      <c r="D82" s="41"/>
      <c r="E82" s="41"/>
      <c r="F82" s="41"/>
      <c r="G82" s="41"/>
      <c r="H82" s="34" t="s">
        <v>143</v>
      </c>
    </row>
    <row r="83" spans="1:8" x14ac:dyDescent="0.2">
      <c r="A83" s="41"/>
      <c r="B83" s="41"/>
      <c r="C83" s="42" t="s">
        <v>142</v>
      </c>
      <c r="D83" s="41"/>
      <c r="E83" s="41" t="s">
        <v>143</v>
      </c>
      <c r="F83" s="47" t="s">
        <v>145</v>
      </c>
      <c r="G83" s="44">
        <v>0</v>
      </c>
      <c r="H83" s="34" t="s">
        <v>143</v>
      </c>
    </row>
    <row r="84" spans="1:8" x14ac:dyDescent="0.2">
      <c r="A84" s="41"/>
      <c r="B84" s="41"/>
      <c r="C84" s="45"/>
      <c r="D84" s="41"/>
      <c r="E84" s="41"/>
      <c r="F84" s="46"/>
      <c r="G84" s="46"/>
      <c r="H84" s="34" t="s">
        <v>143</v>
      </c>
    </row>
    <row r="85" spans="1:8" x14ac:dyDescent="0.2">
      <c r="A85" s="41"/>
      <c r="B85" s="41"/>
      <c r="C85" s="42" t="s">
        <v>154</v>
      </c>
      <c r="D85" s="41"/>
      <c r="E85" s="41"/>
      <c r="F85" s="46"/>
      <c r="G85" s="46"/>
      <c r="H85" s="34" t="s">
        <v>143</v>
      </c>
    </row>
    <row r="86" spans="1:8" x14ac:dyDescent="0.2">
      <c r="A86" s="41"/>
      <c r="B86" s="41"/>
      <c r="C86" s="42" t="s">
        <v>142</v>
      </c>
      <c r="D86" s="41"/>
      <c r="E86" s="41" t="s">
        <v>143</v>
      </c>
      <c r="F86" s="47" t="s">
        <v>145</v>
      </c>
      <c r="G86" s="44">
        <v>0</v>
      </c>
      <c r="H86" s="34" t="s">
        <v>143</v>
      </c>
    </row>
    <row r="87" spans="1:8" x14ac:dyDescent="0.2">
      <c r="A87" s="41"/>
      <c r="B87" s="41"/>
      <c r="C87" s="45"/>
      <c r="D87" s="41"/>
      <c r="E87" s="41"/>
      <c r="F87" s="46"/>
      <c r="G87" s="46"/>
      <c r="H87" s="34" t="s">
        <v>143</v>
      </c>
    </row>
    <row r="88" spans="1:8" x14ac:dyDescent="0.2">
      <c r="A88" s="41"/>
      <c r="B88" s="41"/>
      <c r="C88" s="42" t="s">
        <v>155</v>
      </c>
      <c r="D88" s="41"/>
      <c r="E88" s="41"/>
      <c r="F88" s="43">
        <v>0</v>
      </c>
      <c r="G88" s="44">
        <v>0</v>
      </c>
      <c r="H88" s="34" t="s">
        <v>143</v>
      </c>
    </row>
    <row r="89" spans="1:8" x14ac:dyDescent="0.2">
      <c r="A89" s="41"/>
      <c r="B89" s="41"/>
      <c r="C89" s="45"/>
      <c r="D89" s="41"/>
      <c r="E89" s="41"/>
      <c r="F89" s="46"/>
      <c r="G89" s="46"/>
      <c r="H89" s="34" t="s">
        <v>143</v>
      </c>
    </row>
    <row r="90" spans="1:8" x14ac:dyDescent="0.2">
      <c r="A90" s="41"/>
      <c r="B90" s="41"/>
      <c r="C90" s="42" t="s">
        <v>156</v>
      </c>
      <c r="D90" s="41"/>
      <c r="E90" s="41"/>
      <c r="F90" s="46"/>
      <c r="G90" s="46"/>
      <c r="H90" s="34" t="s">
        <v>143</v>
      </c>
    </row>
    <row r="91" spans="1:8" x14ac:dyDescent="0.2">
      <c r="A91" s="41"/>
      <c r="B91" s="41"/>
      <c r="C91" s="42" t="s">
        <v>157</v>
      </c>
      <c r="D91" s="41"/>
      <c r="E91" s="41"/>
      <c r="F91" s="46"/>
      <c r="G91" s="46"/>
      <c r="H91" s="34" t="s">
        <v>143</v>
      </c>
    </row>
    <row r="92" spans="1:8" x14ac:dyDescent="0.2">
      <c r="A92" s="41"/>
      <c r="B92" s="41"/>
      <c r="C92" s="42" t="s">
        <v>142</v>
      </c>
      <c r="D92" s="41"/>
      <c r="E92" s="41" t="s">
        <v>143</v>
      </c>
      <c r="F92" s="47" t="s">
        <v>145</v>
      </c>
      <c r="G92" s="44">
        <v>0</v>
      </c>
      <c r="H92" s="34" t="s">
        <v>143</v>
      </c>
    </row>
    <row r="93" spans="1:8" x14ac:dyDescent="0.2">
      <c r="A93" s="41"/>
      <c r="B93" s="41"/>
      <c r="C93" s="45"/>
      <c r="D93" s="41"/>
      <c r="E93" s="41"/>
      <c r="F93" s="46"/>
      <c r="G93" s="46"/>
      <c r="H93" s="34" t="s">
        <v>143</v>
      </c>
    </row>
    <row r="94" spans="1:8" x14ac:dyDescent="0.2">
      <c r="A94" s="41"/>
      <c r="B94" s="41"/>
      <c r="C94" s="42" t="s">
        <v>158</v>
      </c>
      <c r="D94" s="41"/>
      <c r="E94" s="41"/>
      <c r="F94" s="46"/>
      <c r="G94" s="46"/>
      <c r="H94" s="34" t="s">
        <v>143</v>
      </c>
    </row>
    <row r="95" spans="1:8" x14ac:dyDescent="0.2">
      <c r="A95" s="41"/>
      <c r="B95" s="41"/>
      <c r="C95" s="42" t="s">
        <v>142</v>
      </c>
      <c r="D95" s="41"/>
      <c r="E95" s="41" t="s">
        <v>143</v>
      </c>
      <c r="F95" s="47" t="s">
        <v>145</v>
      </c>
      <c r="G95" s="44">
        <v>0</v>
      </c>
      <c r="H95" s="34" t="s">
        <v>143</v>
      </c>
    </row>
    <row r="96" spans="1:8" x14ac:dyDescent="0.2">
      <c r="A96" s="41"/>
      <c r="B96" s="41"/>
      <c r="C96" s="45"/>
      <c r="D96" s="41"/>
      <c r="E96" s="41"/>
      <c r="F96" s="46"/>
      <c r="G96" s="46"/>
      <c r="H96" s="34" t="s">
        <v>143</v>
      </c>
    </row>
    <row r="97" spans="1:8" x14ac:dyDescent="0.2">
      <c r="A97" s="41"/>
      <c r="B97" s="41"/>
      <c r="C97" s="42" t="s">
        <v>159</v>
      </c>
      <c r="D97" s="41"/>
      <c r="E97" s="41"/>
      <c r="F97" s="46"/>
      <c r="G97" s="46"/>
      <c r="H97" s="34" t="s">
        <v>143</v>
      </c>
    </row>
    <row r="98" spans="1:8" x14ac:dyDescent="0.2">
      <c r="A98" s="35">
        <v>1</v>
      </c>
      <c r="B98" s="36" t="s">
        <v>651</v>
      </c>
      <c r="C98" s="36" t="s">
        <v>1092</v>
      </c>
      <c r="D98" s="36" t="s">
        <v>610</v>
      </c>
      <c r="E98" s="37">
        <v>3000000</v>
      </c>
      <c r="F98" s="38">
        <v>2968.569</v>
      </c>
      <c r="G98" s="39">
        <v>6.7029200000000002E-3</v>
      </c>
      <c r="H98" s="34">
        <v>5.3677000000000001</v>
      </c>
    </row>
    <row r="99" spans="1:8" x14ac:dyDescent="0.2">
      <c r="A99" s="41"/>
      <c r="B99" s="41"/>
      <c r="C99" s="42" t="s">
        <v>142</v>
      </c>
      <c r="D99" s="41"/>
      <c r="E99" s="41" t="s">
        <v>143</v>
      </c>
      <c r="F99" s="43">
        <v>2968.569</v>
      </c>
      <c r="G99" s="44">
        <v>6.7029200000000002E-3</v>
      </c>
      <c r="H99" s="34" t="s">
        <v>143</v>
      </c>
    </row>
    <row r="100" spans="1:8" x14ac:dyDescent="0.2">
      <c r="A100" s="41"/>
      <c r="B100" s="41"/>
      <c r="C100" s="45"/>
      <c r="D100" s="41"/>
      <c r="E100" s="41"/>
      <c r="F100" s="46"/>
      <c r="G100" s="46"/>
      <c r="H100" s="34" t="s">
        <v>143</v>
      </c>
    </row>
    <row r="101" spans="1:8" x14ac:dyDescent="0.2">
      <c r="A101" s="41"/>
      <c r="B101" s="41"/>
      <c r="C101" s="42" t="s">
        <v>160</v>
      </c>
      <c r="D101" s="41"/>
      <c r="E101" s="41"/>
      <c r="F101" s="46"/>
      <c r="G101" s="46"/>
      <c r="H101" s="34" t="s">
        <v>143</v>
      </c>
    </row>
    <row r="102" spans="1:8" x14ac:dyDescent="0.2">
      <c r="A102" s="35">
        <v>1</v>
      </c>
      <c r="B102" s="36"/>
      <c r="C102" s="36" t="s">
        <v>161</v>
      </c>
      <c r="D102" s="36"/>
      <c r="E102" s="48"/>
      <c r="F102" s="38">
        <v>5001.566773992</v>
      </c>
      <c r="G102" s="39">
        <v>1.1293360000000001E-2</v>
      </c>
      <c r="H102" s="34">
        <v>5.47</v>
      </c>
    </row>
    <row r="103" spans="1:8" x14ac:dyDescent="0.2">
      <c r="A103" s="41"/>
      <c r="B103" s="41"/>
      <c r="C103" s="42" t="s">
        <v>142</v>
      </c>
      <c r="D103" s="41"/>
      <c r="E103" s="41" t="s">
        <v>143</v>
      </c>
      <c r="F103" s="43">
        <v>5001.566773992</v>
      </c>
      <c r="G103" s="44">
        <v>1.1293360000000001E-2</v>
      </c>
      <c r="H103" s="34" t="s">
        <v>143</v>
      </c>
    </row>
    <row r="104" spans="1:8" x14ac:dyDescent="0.2">
      <c r="A104" s="41"/>
      <c r="B104" s="41"/>
      <c r="C104" s="45"/>
      <c r="D104" s="41"/>
      <c r="E104" s="41"/>
      <c r="F104" s="46"/>
      <c r="G104" s="46"/>
      <c r="H104" s="34" t="s">
        <v>143</v>
      </c>
    </row>
    <row r="105" spans="1:8" x14ac:dyDescent="0.2">
      <c r="A105" s="41"/>
      <c r="B105" s="41"/>
      <c r="C105" s="42" t="s">
        <v>162</v>
      </c>
      <c r="D105" s="41"/>
      <c r="E105" s="41"/>
      <c r="F105" s="43">
        <v>7970.1357739920004</v>
      </c>
      <c r="G105" s="44">
        <v>1.799628E-2</v>
      </c>
      <c r="H105" s="34" t="s">
        <v>143</v>
      </c>
    </row>
    <row r="106" spans="1:8" x14ac:dyDescent="0.2">
      <c r="A106" s="41"/>
      <c r="B106" s="41"/>
      <c r="C106" s="46"/>
      <c r="D106" s="41"/>
      <c r="E106" s="41"/>
      <c r="F106" s="41"/>
      <c r="G106" s="41"/>
      <c r="H106" s="34" t="s">
        <v>143</v>
      </c>
    </row>
    <row r="107" spans="1:8" x14ac:dyDescent="0.2">
      <c r="A107" s="41"/>
      <c r="B107" s="41"/>
      <c r="C107" s="42" t="s">
        <v>163</v>
      </c>
      <c r="D107" s="41"/>
      <c r="E107" s="41"/>
      <c r="F107" s="41"/>
      <c r="G107" s="41"/>
      <c r="H107" s="34" t="s">
        <v>143</v>
      </c>
    </row>
    <row r="108" spans="1:8" x14ac:dyDescent="0.2">
      <c r="A108" s="41"/>
      <c r="B108" s="41"/>
      <c r="C108" s="42" t="s">
        <v>164</v>
      </c>
      <c r="D108" s="41"/>
      <c r="E108" s="41"/>
      <c r="F108" s="41"/>
      <c r="G108" s="41"/>
      <c r="H108" s="34" t="s">
        <v>143</v>
      </c>
    </row>
    <row r="109" spans="1:8" ht="25.5" x14ac:dyDescent="0.2">
      <c r="A109" s="35">
        <v>1</v>
      </c>
      <c r="B109" s="36" t="s">
        <v>501</v>
      </c>
      <c r="C109" s="36" t="s">
        <v>1098</v>
      </c>
      <c r="D109" s="36"/>
      <c r="E109" s="49">
        <v>13395446.6942</v>
      </c>
      <c r="F109" s="38">
        <v>2026.4899667919999</v>
      </c>
      <c r="G109" s="39">
        <v>4.57574E-3</v>
      </c>
      <c r="H109" s="34" t="s">
        <v>143</v>
      </c>
    </row>
    <row r="110" spans="1:8" x14ac:dyDescent="0.2">
      <c r="A110" s="41"/>
      <c r="B110" s="41"/>
      <c r="C110" s="42" t="s">
        <v>142</v>
      </c>
      <c r="D110" s="41"/>
      <c r="E110" s="41" t="s">
        <v>143</v>
      </c>
      <c r="F110" s="43">
        <v>2026.4899667919999</v>
      </c>
      <c r="G110" s="44">
        <v>4.57574E-3</v>
      </c>
      <c r="H110" s="34" t="s">
        <v>143</v>
      </c>
    </row>
    <row r="111" spans="1:8" x14ac:dyDescent="0.2">
      <c r="A111" s="41"/>
      <c r="B111" s="41"/>
      <c r="C111" s="45"/>
      <c r="D111" s="41"/>
      <c r="E111" s="41"/>
      <c r="F111" s="46"/>
      <c r="G111" s="46"/>
      <c r="H111" s="34" t="s">
        <v>143</v>
      </c>
    </row>
    <row r="112" spans="1:8" x14ac:dyDescent="0.2">
      <c r="A112" s="41"/>
      <c r="B112" s="41"/>
      <c r="C112" s="42" t="s">
        <v>165</v>
      </c>
      <c r="D112" s="41"/>
      <c r="E112" s="41"/>
      <c r="F112" s="41"/>
      <c r="G112" s="41"/>
      <c r="H112" s="34" t="s">
        <v>143</v>
      </c>
    </row>
    <row r="113" spans="1:17" x14ac:dyDescent="0.2">
      <c r="A113" s="41"/>
      <c r="B113" s="41"/>
      <c r="C113" s="42" t="s">
        <v>166</v>
      </c>
      <c r="D113" s="41"/>
      <c r="E113" s="41"/>
      <c r="F113" s="41"/>
      <c r="G113" s="41"/>
      <c r="H113" s="34" t="s">
        <v>143</v>
      </c>
    </row>
    <row r="114" spans="1:17" x14ac:dyDescent="0.2">
      <c r="A114" s="41"/>
      <c r="B114" s="41"/>
      <c r="C114" s="42" t="s">
        <v>142</v>
      </c>
      <c r="D114" s="41"/>
      <c r="E114" s="41" t="s">
        <v>143</v>
      </c>
      <c r="F114" s="47" t="s">
        <v>145</v>
      </c>
      <c r="G114" s="44">
        <v>0</v>
      </c>
      <c r="H114" s="34" t="s">
        <v>143</v>
      </c>
    </row>
    <row r="115" spans="1:17" x14ac:dyDescent="0.2">
      <c r="A115" s="41"/>
      <c r="B115" s="41"/>
      <c r="C115" s="45"/>
      <c r="D115" s="41"/>
      <c r="E115" s="41"/>
      <c r="F115" s="46"/>
      <c r="G115" s="46"/>
      <c r="H115" s="34" t="s">
        <v>143</v>
      </c>
    </row>
    <row r="116" spans="1:17" x14ac:dyDescent="0.2">
      <c r="A116" s="41"/>
      <c r="B116" s="41"/>
      <c r="C116" s="42" t="s">
        <v>167</v>
      </c>
      <c r="D116" s="41"/>
      <c r="E116" s="41"/>
      <c r="F116" s="46"/>
      <c r="G116" s="46"/>
      <c r="H116" s="34" t="s">
        <v>143</v>
      </c>
    </row>
    <row r="117" spans="1:17" x14ac:dyDescent="0.2">
      <c r="A117" s="41"/>
      <c r="B117" s="41"/>
      <c r="C117" s="42" t="s">
        <v>142</v>
      </c>
      <c r="D117" s="41"/>
      <c r="E117" s="41" t="s">
        <v>143</v>
      </c>
      <c r="F117" s="47" t="s">
        <v>145</v>
      </c>
      <c r="G117" s="44">
        <v>0</v>
      </c>
      <c r="H117" s="34" t="s">
        <v>143</v>
      </c>
    </row>
    <row r="118" spans="1:17" x14ac:dyDescent="0.2">
      <c r="A118" s="41"/>
      <c r="B118" s="41"/>
      <c r="C118" s="45"/>
      <c r="D118" s="41"/>
      <c r="E118" s="41"/>
      <c r="F118" s="46"/>
      <c r="G118" s="46"/>
      <c r="H118" s="34" t="s">
        <v>143</v>
      </c>
    </row>
    <row r="119" spans="1:17" x14ac:dyDescent="0.2">
      <c r="A119" s="48"/>
      <c r="B119" s="36"/>
      <c r="C119" s="36" t="s">
        <v>168</v>
      </c>
      <c r="D119" s="36"/>
      <c r="E119" s="48"/>
      <c r="F119" s="38">
        <v>18704.524528679998</v>
      </c>
      <c r="G119" s="39">
        <v>4.223416E-2</v>
      </c>
      <c r="H119" s="34" t="s">
        <v>143</v>
      </c>
    </row>
    <row r="120" spans="1:17" x14ac:dyDescent="0.2">
      <c r="A120" s="45"/>
      <c r="B120" s="45"/>
      <c r="C120" s="42" t="s">
        <v>169</v>
      </c>
      <c r="D120" s="46"/>
      <c r="E120" s="46"/>
      <c r="F120" s="43">
        <v>442876.70346494101</v>
      </c>
      <c r="G120" s="51">
        <v>1.0000000099999999</v>
      </c>
      <c r="H120" s="34" t="s">
        <v>143</v>
      </c>
    </row>
    <row r="121" spans="1:17" x14ac:dyDescent="0.2">
      <c r="A121" s="52"/>
      <c r="B121" s="52"/>
      <c r="C121" s="52"/>
      <c r="D121" s="53"/>
      <c r="E121" s="53"/>
      <c r="F121" s="53"/>
      <c r="G121" s="53"/>
    </row>
    <row r="122" spans="1:17" ht="12.75" customHeight="1" x14ac:dyDescent="0.2">
      <c r="A122" s="54"/>
      <c r="B122" s="158" t="s">
        <v>852</v>
      </c>
      <c r="C122" s="158"/>
      <c r="D122" s="158"/>
      <c r="E122" s="158"/>
      <c r="F122" s="158"/>
      <c r="G122" s="158"/>
      <c r="H122" s="158"/>
      <c r="J122" s="56"/>
    </row>
    <row r="123" spans="1:17" ht="12.75" customHeight="1" x14ac:dyDescent="0.2">
      <c r="A123" s="54"/>
      <c r="B123" s="158" t="s">
        <v>853</v>
      </c>
      <c r="C123" s="158"/>
      <c r="D123" s="158"/>
      <c r="E123" s="158"/>
      <c r="F123" s="158"/>
      <c r="G123" s="158"/>
      <c r="H123" s="158"/>
      <c r="J123" s="56"/>
    </row>
    <row r="124" spans="1:17" ht="12.75" customHeight="1" x14ac:dyDescent="0.2">
      <c r="A124" s="54"/>
      <c r="B124" s="158" t="s">
        <v>854</v>
      </c>
      <c r="C124" s="158"/>
      <c r="D124" s="158"/>
      <c r="E124" s="158"/>
      <c r="F124" s="158"/>
      <c r="G124" s="158"/>
      <c r="H124" s="158"/>
      <c r="J124" s="56"/>
    </row>
    <row r="125" spans="1:17" s="58" customFormat="1" ht="53.25" customHeight="1" x14ac:dyDescent="0.25">
      <c r="A125" s="57"/>
      <c r="B125" s="159" t="s">
        <v>855</v>
      </c>
      <c r="C125" s="159"/>
      <c r="D125" s="159"/>
      <c r="E125" s="159"/>
      <c r="F125" s="159"/>
      <c r="G125" s="159"/>
      <c r="H125" s="159"/>
      <c r="I125"/>
      <c r="J125" s="56"/>
      <c r="K125"/>
      <c r="L125"/>
      <c r="M125"/>
      <c r="N125"/>
      <c r="O125"/>
      <c r="P125"/>
      <c r="Q125"/>
    </row>
    <row r="126" spans="1:17" ht="12.75" customHeight="1" x14ac:dyDescent="0.2">
      <c r="A126" s="54"/>
      <c r="B126" s="158" t="s">
        <v>856</v>
      </c>
      <c r="C126" s="158"/>
      <c r="D126" s="158"/>
      <c r="E126" s="158"/>
      <c r="F126" s="158"/>
      <c r="G126" s="158"/>
      <c r="H126" s="158"/>
      <c r="J126" s="56"/>
    </row>
    <row r="127" spans="1:17" x14ac:dyDescent="0.2">
      <c r="A127" s="54"/>
      <c r="B127" s="54"/>
      <c r="C127" s="54"/>
      <c r="D127" s="59"/>
      <c r="E127" s="59"/>
      <c r="F127" s="59"/>
      <c r="G127" s="59"/>
    </row>
    <row r="128" spans="1:17" x14ac:dyDescent="0.2">
      <c r="A128" s="54"/>
      <c r="B128" s="160" t="s">
        <v>170</v>
      </c>
      <c r="C128" s="161"/>
      <c r="D128" s="162"/>
      <c r="E128" s="60"/>
      <c r="F128" s="59"/>
      <c r="G128" s="59"/>
    </row>
    <row r="129" spans="1:10" ht="27.75" customHeight="1" x14ac:dyDescent="0.2">
      <c r="A129" s="54"/>
      <c r="B129" s="154" t="s">
        <v>171</v>
      </c>
      <c r="C129" s="155"/>
      <c r="D129" s="33" t="s">
        <v>172</v>
      </c>
      <c r="E129" s="60"/>
      <c r="F129" s="59"/>
      <c r="G129" s="59"/>
    </row>
    <row r="130" spans="1:10" ht="12.75" customHeight="1" x14ac:dyDescent="0.2">
      <c r="A130" s="54"/>
      <c r="B130" s="154" t="s">
        <v>857</v>
      </c>
      <c r="C130" s="155"/>
      <c r="D130" s="33" t="s">
        <v>172</v>
      </c>
      <c r="E130" s="60"/>
      <c r="F130" s="59"/>
      <c r="G130" s="59"/>
    </row>
    <row r="131" spans="1:10" ht="12.75" customHeight="1" x14ac:dyDescent="0.2">
      <c r="A131" s="54"/>
      <c r="B131" s="154" t="s">
        <v>173</v>
      </c>
      <c r="C131" s="155"/>
      <c r="D131" s="61" t="s">
        <v>143</v>
      </c>
      <c r="E131" s="60"/>
      <c r="F131" s="59"/>
      <c r="G131" s="59"/>
    </row>
    <row r="132" spans="1:10" x14ac:dyDescent="0.2">
      <c r="A132" s="62"/>
      <c r="B132" s="63" t="s">
        <v>143</v>
      </c>
      <c r="C132" s="63" t="s">
        <v>858</v>
      </c>
      <c r="D132" s="63" t="s">
        <v>174</v>
      </c>
      <c r="E132" s="62"/>
      <c r="F132" s="62"/>
      <c r="G132" s="62"/>
      <c r="H132" s="62"/>
      <c r="J132" s="56"/>
    </row>
    <row r="133" spans="1:10" x14ac:dyDescent="0.2">
      <c r="A133" s="62"/>
      <c r="B133" s="64" t="s">
        <v>175</v>
      </c>
      <c r="C133" s="65">
        <v>45808</v>
      </c>
      <c r="D133" s="65">
        <v>45838</v>
      </c>
      <c r="E133" s="62"/>
      <c r="F133" s="62"/>
      <c r="G133" s="62"/>
      <c r="J133" s="56"/>
    </row>
    <row r="134" spans="1:10" x14ac:dyDescent="0.2">
      <c r="A134" s="66"/>
      <c r="B134" s="36" t="s">
        <v>176</v>
      </c>
      <c r="C134" s="67">
        <v>36.930700000000002</v>
      </c>
      <c r="D134" s="67">
        <v>38.927100000000003</v>
      </c>
      <c r="E134" s="66"/>
      <c r="F134" s="68"/>
      <c r="G134" s="69"/>
    </row>
    <row r="135" spans="1:10" x14ac:dyDescent="0.2">
      <c r="A135" s="66"/>
      <c r="B135" s="36" t="s">
        <v>1086</v>
      </c>
      <c r="C135" s="67">
        <v>25.347300000000001</v>
      </c>
      <c r="D135" s="67">
        <v>26.717500000000001</v>
      </c>
      <c r="E135" s="66"/>
      <c r="F135" s="68"/>
      <c r="G135" s="69"/>
    </row>
    <row r="136" spans="1:10" x14ac:dyDescent="0.2">
      <c r="A136" s="66"/>
      <c r="B136" s="36" t="s">
        <v>177</v>
      </c>
      <c r="C136" s="67">
        <v>34.169899999999998</v>
      </c>
      <c r="D136" s="67">
        <v>35.9833</v>
      </c>
      <c r="E136" s="66"/>
      <c r="F136" s="68"/>
      <c r="G136" s="69"/>
    </row>
    <row r="137" spans="1:10" x14ac:dyDescent="0.2">
      <c r="A137" s="66"/>
      <c r="B137" s="36" t="s">
        <v>1087</v>
      </c>
      <c r="C137" s="67">
        <v>23.4269</v>
      </c>
      <c r="D137" s="67">
        <v>24.670200000000001</v>
      </c>
      <c r="E137" s="66"/>
      <c r="F137" s="68"/>
      <c r="G137" s="69"/>
    </row>
    <row r="138" spans="1:10" x14ac:dyDescent="0.2">
      <c r="A138" s="66"/>
      <c r="B138" s="66"/>
      <c r="C138" s="66"/>
      <c r="D138" s="66"/>
      <c r="E138" s="66"/>
      <c r="F138" s="66"/>
      <c r="G138" s="66"/>
    </row>
    <row r="139" spans="1:10" x14ac:dyDescent="0.2">
      <c r="A139" s="62"/>
      <c r="B139" s="154" t="s">
        <v>860</v>
      </c>
      <c r="C139" s="155"/>
      <c r="D139" s="33" t="s">
        <v>172</v>
      </c>
      <c r="E139" s="62"/>
      <c r="F139" s="62"/>
      <c r="G139" s="62"/>
    </row>
    <row r="140" spans="1:10" x14ac:dyDescent="0.2">
      <c r="A140" s="62"/>
      <c r="B140" s="70"/>
      <c r="C140" s="70"/>
      <c r="D140" s="70"/>
      <c r="E140" s="62"/>
      <c r="F140" s="62"/>
      <c r="G140" s="62"/>
    </row>
    <row r="141" spans="1:10" ht="29.1" customHeight="1" x14ac:dyDescent="0.2">
      <c r="A141" s="62"/>
      <c r="B141" s="154" t="s">
        <v>178</v>
      </c>
      <c r="C141" s="155"/>
      <c r="D141" s="33" t="s">
        <v>172</v>
      </c>
      <c r="E141" s="62"/>
      <c r="F141" s="62"/>
      <c r="G141" s="62"/>
      <c r="H141" s="62"/>
    </row>
    <row r="142" spans="1:10" ht="29.1" customHeight="1" x14ac:dyDescent="0.2">
      <c r="A142" s="62"/>
      <c r="B142" s="154" t="s">
        <v>179</v>
      </c>
      <c r="C142" s="155"/>
      <c r="D142" s="84" t="str">
        <f>"Rs. "&amp;TEXT(F59,"0.00")&amp;" Lacs"</f>
        <v>Rs. 3171.97 Lacs</v>
      </c>
      <c r="E142" s="71"/>
      <c r="F142" s="62"/>
      <c r="G142" s="62"/>
      <c r="H142" s="62"/>
    </row>
    <row r="143" spans="1:10" ht="17.100000000000001" customHeight="1" x14ac:dyDescent="0.2">
      <c r="A143" s="62"/>
      <c r="B143" s="154" t="s">
        <v>180</v>
      </c>
      <c r="C143" s="155"/>
      <c r="D143" s="33" t="s">
        <v>172</v>
      </c>
      <c r="E143" s="71"/>
      <c r="F143" s="62"/>
      <c r="G143" s="62"/>
      <c r="H143" s="62"/>
    </row>
    <row r="144" spans="1:10" ht="17.100000000000001" customHeight="1" x14ac:dyDescent="0.2">
      <c r="A144" s="62"/>
      <c r="B144" s="154" t="s">
        <v>181</v>
      </c>
      <c r="C144" s="155"/>
      <c r="D144" s="72">
        <v>0.94121844176663938</v>
      </c>
      <c r="E144" s="62"/>
      <c r="F144" s="55"/>
      <c r="G144" s="73"/>
      <c r="H144" s="73"/>
    </row>
    <row r="146" spans="2:4" x14ac:dyDescent="0.2">
      <c r="B146" s="156" t="s">
        <v>861</v>
      </c>
      <c r="C146" s="156"/>
    </row>
    <row r="148" spans="2:4" ht="153.75" customHeight="1" x14ac:dyDescent="0.2"/>
    <row r="151" spans="2:4" x14ac:dyDescent="0.2">
      <c r="B151" s="79" t="s">
        <v>862</v>
      </c>
      <c r="C151" s="80"/>
      <c r="D151" s="79" t="s">
        <v>865</v>
      </c>
    </row>
    <row r="152" spans="2:4" x14ac:dyDescent="0.2">
      <c r="B152" s="79" t="s">
        <v>934</v>
      </c>
      <c r="D152" s="79" t="s">
        <v>935</v>
      </c>
    </row>
    <row r="153" spans="2:4" x14ac:dyDescent="0.2">
      <c r="B153" s="85"/>
    </row>
    <row r="154" spans="2:4" ht="165" customHeight="1" x14ac:dyDescent="0.2"/>
  </sheetData>
  <mergeCells count="18">
    <mergeCell ref="A1:H1"/>
    <mergeCell ref="A2:H2"/>
    <mergeCell ref="A3:H3"/>
    <mergeCell ref="B122:H122"/>
    <mergeCell ref="B123:H123"/>
    <mergeCell ref="B124:H124"/>
    <mergeCell ref="B125:H125"/>
    <mergeCell ref="B126:H126"/>
    <mergeCell ref="B128:D128"/>
    <mergeCell ref="B129:C129"/>
    <mergeCell ref="B130:C130"/>
    <mergeCell ref="B131:C131"/>
    <mergeCell ref="B146:C146"/>
    <mergeCell ref="B139:C139"/>
    <mergeCell ref="B143:C143"/>
    <mergeCell ref="B144:C144"/>
    <mergeCell ref="B141:C141"/>
    <mergeCell ref="B142:C142"/>
  </mergeCells>
  <hyperlinks>
    <hyperlink ref="I1" location="Index!B2" display="Index" xr:uid="{530319D1-FAB1-4BA2-AB51-F204C3AB78AB}"/>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ADDD3-5436-4A4E-A8DD-CFB12BF3FD9F}">
  <sheetPr>
    <outlinePr summaryBelow="0" summaryRight="0"/>
  </sheetPr>
  <dimension ref="A1:Q164"/>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814</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322</v>
      </c>
      <c r="C7" s="36" t="s">
        <v>323</v>
      </c>
      <c r="D7" s="36" t="s">
        <v>33</v>
      </c>
      <c r="E7" s="37">
        <v>724000</v>
      </c>
      <c r="F7" s="38">
        <v>14490.86</v>
      </c>
      <c r="G7" s="39">
        <v>9.5383930000000006E-2</v>
      </c>
      <c r="H7" s="34" t="s">
        <v>143</v>
      </c>
    </row>
    <row r="8" spans="1:9" x14ac:dyDescent="0.2">
      <c r="A8" s="35">
        <v>2</v>
      </c>
      <c r="B8" s="36" t="s">
        <v>31</v>
      </c>
      <c r="C8" s="36" t="s">
        <v>32</v>
      </c>
      <c r="D8" s="36" t="s">
        <v>33</v>
      </c>
      <c r="E8" s="37">
        <v>883000</v>
      </c>
      <c r="F8" s="38">
        <v>12766.414000000001</v>
      </c>
      <c r="G8" s="39">
        <v>8.403302E-2</v>
      </c>
      <c r="H8" s="34" t="s">
        <v>143</v>
      </c>
    </row>
    <row r="9" spans="1:9" x14ac:dyDescent="0.2">
      <c r="A9" s="35">
        <v>3</v>
      </c>
      <c r="B9" s="36" t="s">
        <v>14</v>
      </c>
      <c r="C9" s="36" t="s">
        <v>15</v>
      </c>
      <c r="D9" s="36" t="s">
        <v>16</v>
      </c>
      <c r="E9" s="37">
        <v>504000</v>
      </c>
      <c r="F9" s="38">
        <v>7563.0240000000003</v>
      </c>
      <c r="G9" s="39">
        <v>4.9782479999999997E-2</v>
      </c>
      <c r="H9" s="34" t="s">
        <v>143</v>
      </c>
    </row>
    <row r="10" spans="1:9" x14ac:dyDescent="0.2">
      <c r="A10" s="35">
        <v>4</v>
      </c>
      <c r="B10" s="36" t="s">
        <v>324</v>
      </c>
      <c r="C10" s="36" t="s">
        <v>325</v>
      </c>
      <c r="D10" s="36" t="s">
        <v>33</v>
      </c>
      <c r="E10" s="37">
        <v>505000</v>
      </c>
      <c r="F10" s="38">
        <v>6055.96</v>
      </c>
      <c r="G10" s="39">
        <v>3.9862450000000001E-2</v>
      </c>
      <c r="H10" s="34" t="s">
        <v>143</v>
      </c>
    </row>
    <row r="11" spans="1:9" x14ac:dyDescent="0.2">
      <c r="A11" s="35">
        <v>5</v>
      </c>
      <c r="B11" s="36" t="s">
        <v>11</v>
      </c>
      <c r="C11" s="36" t="s">
        <v>12</v>
      </c>
      <c r="D11" s="36" t="s">
        <v>13</v>
      </c>
      <c r="E11" s="37">
        <v>256000</v>
      </c>
      <c r="F11" s="38">
        <v>5144.576</v>
      </c>
      <c r="G11" s="39">
        <v>3.3863409999999997E-2</v>
      </c>
      <c r="H11" s="34" t="s">
        <v>143</v>
      </c>
    </row>
    <row r="12" spans="1:9" x14ac:dyDescent="0.2">
      <c r="A12" s="35">
        <v>6</v>
      </c>
      <c r="B12" s="36" t="s">
        <v>17</v>
      </c>
      <c r="C12" s="36" t="s">
        <v>18</v>
      </c>
      <c r="D12" s="36" t="s">
        <v>19</v>
      </c>
      <c r="E12" s="37">
        <v>138000</v>
      </c>
      <c r="F12" s="38">
        <v>5064.3239999999996</v>
      </c>
      <c r="G12" s="39">
        <v>3.3335160000000003E-2</v>
      </c>
      <c r="H12" s="34" t="s">
        <v>143</v>
      </c>
    </row>
    <row r="13" spans="1:9" x14ac:dyDescent="0.2">
      <c r="A13" s="35">
        <v>7</v>
      </c>
      <c r="B13" s="36" t="s">
        <v>328</v>
      </c>
      <c r="C13" s="36" t="s">
        <v>329</v>
      </c>
      <c r="D13" s="36" t="s">
        <v>198</v>
      </c>
      <c r="E13" s="37">
        <v>306000</v>
      </c>
      <c r="F13" s="38">
        <v>4901.5079999999998</v>
      </c>
      <c r="G13" s="39">
        <v>3.2263449999999999E-2</v>
      </c>
      <c r="H13" s="34" t="s">
        <v>143</v>
      </c>
    </row>
    <row r="14" spans="1:9" x14ac:dyDescent="0.2">
      <c r="A14" s="35">
        <v>8</v>
      </c>
      <c r="B14" s="36" t="s">
        <v>46</v>
      </c>
      <c r="C14" s="36" t="s">
        <v>47</v>
      </c>
      <c r="D14" s="36" t="s">
        <v>33</v>
      </c>
      <c r="E14" s="37">
        <v>595000</v>
      </c>
      <c r="F14" s="38">
        <v>4881.0825000000004</v>
      </c>
      <c r="G14" s="39">
        <v>3.2128999999999998E-2</v>
      </c>
      <c r="H14" s="34" t="s">
        <v>143</v>
      </c>
    </row>
    <row r="15" spans="1:9" x14ac:dyDescent="0.2">
      <c r="A15" s="35">
        <v>9</v>
      </c>
      <c r="B15" s="36" t="s">
        <v>352</v>
      </c>
      <c r="C15" s="36" t="s">
        <v>353</v>
      </c>
      <c r="D15" s="36" t="s">
        <v>354</v>
      </c>
      <c r="E15" s="37">
        <v>1046000</v>
      </c>
      <c r="F15" s="38">
        <v>4356.067</v>
      </c>
      <c r="G15" s="39">
        <v>2.867316E-2</v>
      </c>
      <c r="H15" s="34" t="s">
        <v>143</v>
      </c>
    </row>
    <row r="16" spans="1:9" ht="25.5" x14ac:dyDescent="0.2">
      <c r="A16" s="35">
        <v>10</v>
      </c>
      <c r="B16" s="36" t="s">
        <v>23</v>
      </c>
      <c r="C16" s="36" t="s">
        <v>24</v>
      </c>
      <c r="D16" s="36" t="s">
        <v>25</v>
      </c>
      <c r="E16" s="37">
        <v>32000</v>
      </c>
      <c r="F16" s="38">
        <v>3869.76</v>
      </c>
      <c r="G16" s="39">
        <v>2.5472120000000001E-2</v>
      </c>
      <c r="H16" s="34" t="s">
        <v>143</v>
      </c>
    </row>
    <row r="17" spans="1:8" x14ac:dyDescent="0.2">
      <c r="A17" s="35">
        <v>11</v>
      </c>
      <c r="B17" s="36" t="s">
        <v>800</v>
      </c>
      <c r="C17" s="36" t="s">
        <v>801</v>
      </c>
      <c r="D17" s="36" t="s">
        <v>251</v>
      </c>
      <c r="E17" s="37">
        <v>19735</v>
      </c>
      <c r="F17" s="38">
        <v>3172.7959500000002</v>
      </c>
      <c r="G17" s="39">
        <v>2.0884460000000001E-2</v>
      </c>
      <c r="H17" s="34" t="s">
        <v>143</v>
      </c>
    </row>
    <row r="18" spans="1:8" x14ac:dyDescent="0.2">
      <c r="A18" s="35">
        <v>12</v>
      </c>
      <c r="B18" s="36" t="s">
        <v>444</v>
      </c>
      <c r="C18" s="36" t="s">
        <v>445</v>
      </c>
      <c r="D18" s="36" t="s">
        <v>354</v>
      </c>
      <c r="E18" s="37">
        <v>137000</v>
      </c>
      <c r="F18" s="38">
        <v>3143.6019999999999</v>
      </c>
      <c r="G18" s="39">
        <v>2.0692289999999999E-2</v>
      </c>
      <c r="H18" s="34" t="s">
        <v>143</v>
      </c>
    </row>
    <row r="19" spans="1:8" x14ac:dyDescent="0.2">
      <c r="A19" s="35">
        <v>13</v>
      </c>
      <c r="B19" s="36" t="s">
        <v>503</v>
      </c>
      <c r="C19" s="36" t="s">
        <v>504</v>
      </c>
      <c r="D19" s="36" t="s">
        <v>251</v>
      </c>
      <c r="E19" s="37">
        <v>24000</v>
      </c>
      <c r="F19" s="38">
        <v>2976</v>
      </c>
      <c r="G19" s="39">
        <v>1.9589079999999998E-2</v>
      </c>
      <c r="H19" s="34" t="s">
        <v>143</v>
      </c>
    </row>
    <row r="20" spans="1:8" x14ac:dyDescent="0.2">
      <c r="A20" s="35">
        <v>14</v>
      </c>
      <c r="B20" s="36" t="s">
        <v>433</v>
      </c>
      <c r="C20" s="36" t="s">
        <v>434</v>
      </c>
      <c r="D20" s="36" t="s">
        <v>198</v>
      </c>
      <c r="E20" s="37">
        <v>74734</v>
      </c>
      <c r="F20" s="38">
        <v>2587.29108</v>
      </c>
      <c r="G20" s="39">
        <v>1.7030460000000001E-2</v>
      </c>
      <c r="H20" s="34" t="s">
        <v>143</v>
      </c>
    </row>
    <row r="21" spans="1:8" ht="25.5" x14ac:dyDescent="0.2">
      <c r="A21" s="35">
        <v>15</v>
      </c>
      <c r="B21" s="36" t="s">
        <v>348</v>
      </c>
      <c r="C21" s="36" t="s">
        <v>349</v>
      </c>
      <c r="D21" s="36" t="s">
        <v>201</v>
      </c>
      <c r="E21" s="37">
        <v>150000</v>
      </c>
      <c r="F21" s="38">
        <v>2513.5500000000002</v>
      </c>
      <c r="G21" s="39">
        <v>1.6545069999999999E-2</v>
      </c>
      <c r="H21" s="34" t="s">
        <v>143</v>
      </c>
    </row>
    <row r="22" spans="1:8" x14ac:dyDescent="0.2">
      <c r="A22" s="35">
        <v>16</v>
      </c>
      <c r="B22" s="36" t="s">
        <v>326</v>
      </c>
      <c r="C22" s="36" t="s">
        <v>327</v>
      </c>
      <c r="D22" s="36" t="s">
        <v>33</v>
      </c>
      <c r="E22" s="37">
        <v>116000</v>
      </c>
      <c r="F22" s="38">
        <v>2509.66</v>
      </c>
      <c r="G22" s="39">
        <v>1.651946E-2</v>
      </c>
      <c r="H22" s="34" t="s">
        <v>143</v>
      </c>
    </row>
    <row r="23" spans="1:8" ht="25.5" x14ac:dyDescent="0.2">
      <c r="A23" s="35">
        <v>17</v>
      </c>
      <c r="B23" s="36" t="s">
        <v>346</v>
      </c>
      <c r="C23" s="36" t="s">
        <v>347</v>
      </c>
      <c r="D23" s="36" t="s">
        <v>192</v>
      </c>
      <c r="E23" s="37">
        <v>149000</v>
      </c>
      <c r="F23" s="38">
        <v>2425.7199999999998</v>
      </c>
      <c r="G23" s="39">
        <v>1.5966939999999999E-2</v>
      </c>
      <c r="H23" s="34" t="s">
        <v>143</v>
      </c>
    </row>
    <row r="24" spans="1:8" x14ac:dyDescent="0.2">
      <c r="A24" s="35">
        <v>18</v>
      </c>
      <c r="B24" s="36" t="s">
        <v>446</v>
      </c>
      <c r="C24" s="36" t="s">
        <v>447</v>
      </c>
      <c r="D24" s="36" t="s">
        <v>33</v>
      </c>
      <c r="E24" s="37">
        <v>270000</v>
      </c>
      <c r="F24" s="38">
        <v>2354.67</v>
      </c>
      <c r="G24" s="39">
        <v>1.5499260000000001E-2</v>
      </c>
      <c r="H24" s="34" t="s">
        <v>143</v>
      </c>
    </row>
    <row r="25" spans="1:8" x14ac:dyDescent="0.2">
      <c r="A25" s="35">
        <v>19</v>
      </c>
      <c r="B25" s="36" t="s">
        <v>779</v>
      </c>
      <c r="C25" s="36" t="s">
        <v>780</v>
      </c>
      <c r="D25" s="36" t="s">
        <v>287</v>
      </c>
      <c r="E25" s="37">
        <v>540000</v>
      </c>
      <c r="F25" s="38">
        <v>2162.16</v>
      </c>
      <c r="G25" s="39">
        <v>1.4232099999999999E-2</v>
      </c>
      <c r="H25" s="34" t="s">
        <v>143</v>
      </c>
    </row>
    <row r="26" spans="1:8" x14ac:dyDescent="0.2">
      <c r="A26" s="35">
        <v>20</v>
      </c>
      <c r="B26" s="36" t="s">
        <v>186</v>
      </c>
      <c r="C26" s="36" t="s">
        <v>187</v>
      </c>
      <c r="D26" s="36" t="s">
        <v>33</v>
      </c>
      <c r="E26" s="37">
        <v>923000</v>
      </c>
      <c r="F26" s="38">
        <v>1967.0976000000001</v>
      </c>
      <c r="G26" s="39">
        <v>1.294813E-2</v>
      </c>
      <c r="H26" s="34" t="s">
        <v>143</v>
      </c>
    </row>
    <row r="27" spans="1:8" ht="25.5" x14ac:dyDescent="0.2">
      <c r="A27" s="35">
        <v>21</v>
      </c>
      <c r="B27" s="36" t="s">
        <v>101</v>
      </c>
      <c r="C27" s="36" t="s">
        <v>102</v>
      </c>
      <c r="D27" s="36" t="s">
        <v>25</v>
      </c>
      <c r="E27" s="37">
        <v>336000</v>
      </c>
      <c r="F27" s="38">
        <v>1940.232</v>
      </c>
      <c r="G27" s="39">
        <v>1.2771289999999999E-2</v>
      </c>
      <c r="H27" s="34" t="s">
        <v>143</v>
      </c>
    </row>
    <row r="28" spans="1:8" x14ac:dyDescent="0.2">
      <c r="A28" s="35">
        <v>22</v>
      </c>
      <c r="B28" s="36" t="s">
        <v>734</v>
      </c>
      <c r="C28" s="36" t="s">
        <v>735</v>
      </c>
      <c r="D28" s="36" t="s">
        <v>195</v>
      </c>
      <c r="E28" s="37">
        <v>110000</v>
      </c>
      <c r="F28" s="38">
        <v>1876.82</v>
      </c>
      <c r="G28" s="39">
        <v>1.2353889999999999E-2</v>
      </c>
      <c r="H28" s="34" t="s">
        <v>143</v>
      </c>
    </row>
    <row r="29" spans="1:8" ht="25.5" x14ac:dyDescent="0.2">
      <c r="A29" s="35">
        <v>23</v>
      </c>
      <c r="B29" s="36" t="s">
        <v>438</v>
      </c>
      <c r="C29" s="36" t="s">
        <v>439</v>
      </c>
      <c r="D29" s="36" t="s">
        <v>209</v>
      </c>
      <c r="E29" s="37">
        <v>169962</v>
      </c>
      <c r="F29" s="38">
        <v>1867.7124180000001</v>
      </c>
      <c r="G29" s="39">
        <v>1.229394E-2</v>
      </c>
      <c r="H29" s="34" t="s">
        <v>143</v>
      </c>
    </row>
    <row r="30" spans="1:8" x14ac:dyDescent="0.2">
      <c r="A30" s="35">
        <v>24</v>
      </c>
      <c r="B30" s="36" t="s">
        <v>50</v>
      </c>
      <c r="C30" s="36" t="s">
        <v>51</v>
      </c>
      <c r="D30" s="36" t="s">
        <v>52</v>
      </c>
      <c r="E30" s="37">
        <v>30562</v>
      </c>
      <c r="F30" s="38">
        <v>1826.53793</v>
      </c>
      <c r="G30" s="39">
        <v>1.202291E-2</v>
      </c>
      <c r="H30" s="34" t="s">
        <v>143</v>
      </c>
    </row>
    <row r="31" spans="1:8" x14ac:dyDescent="0.2">
      <c r="A31" s="35">
        <v>25</v>
      </c>
      <c r="B31" s="36" t="s">
        <v>107</v>
      </c>
      <c r="C31" s="36" t="s">
        <v>108</v>
      </c>
      <c r="D31" s="36" t="s">
        <v>52</v>
      </c>
      <c r="E31" s="37">
        <v>475000</v>
      </c>
      <c r="F31" s="38">
        <v>1818.3</v>
      </c>
      <c r="G31" s="39">
        <v>1.1968690000000001E-2</v>
      </c>
      <c r="H31" s="34" t="s">
        <v>143</v>
      </c>
    </row>
    <row r="32" spans="1:8" ht="25.5" x14ac:dyDescent="0.2">
      <c r="A32" s="35">
        <v>26</v>
      </c>
      <c r="B32" s="36" t="s">
        <v>802</v>
      </c>
      <c r="C32" s="36" t="s">
        <v>803</v>
      </c>
      <c r="D32" s="36" t="s">
        <v>185</v>
      </c>
      <c r="E32" s="37">
        <v>268000</v>
      </c>
      <c r="F32" s="38">
        <v>1772.15</v>
      </c>
      <c r="G32" s="39">
        <v>1.1664910000000001E-2</v>
      </c>
      <c r="H32" s="34" t="s">
        <v>143</v>
      </c>
    </row>
    <row r="33" spans="1:8" x14ac:dyDescent="0.2">
      <c r="A33" s="35">
        <v>27</v>
      </c>
      <c r="B33" s="36" t="s">
        <v>350</v>
      </c>
      <c r="C33" s="36" t="s">
        <v>351</v>
      </c>
      <c r="D33" s="36" t="s">
        <v>287</v>
      </c>
      <c r="E33" s="37">
        <v>631000</v>
      </c>
      <c r="F33" s="38">
        <v>1666.7864999999999</v>
      </c>
      <c r="G33" s="39">
        <v>1.0971369999999999E-2</v>
      </c>
      <c r="H33" s="34" t="s">
        <v>143</v>
      </c>
    </row>
    <row r="34" spans="1:8" x14ac:dyDescent="0.2">
      <c r="A34" s="35">
        <v>28</v>
      </c>
      <c r="B34" s="36" t="s">
        <v>722</v>
      </c>
      <c r="C34" s="36" t="s">
        <v>723</v>
      </c>
      <c r="D34" s="36" t="s">
        <v>195</v>
      </c>
      <c r="E34" s="37">
        <v>23000</v>
      </c>
      <c r="F34" s="38">
        <v>1665.66</v>
      </c>
      <c r="G34" s="39">
        <v>1.096396E-2</v>
      </c>
      <c r="H34" s="34" t="s">
        <v>143</v>
      </c>
    </row>
    <row r="35" spans="1:8" ht="25.5" x14ac:dyDescent="0.2">
      <c r="A35" s="35">
        <v>29</v>
      </c>
      <c r="B35" s="36" t="s">
        <v>283</v>
      </c>
      <c r="C35" s="36" t="s">
        <v>284</v>
      </c>
      <c r="D35" s="36" t="s">
        <v>185</v>
      </c>
      <c r="E35" s="37">
        <v>40000</v>
      </c>
      <c r="F35" s="38">
        <v>1641.88</v>
      </c>
      <c r="G35" s="39">
        <v>1.080743E-2</v>
      </c>
      <c r="H35" s="34" t="s">
        <v>143</v>
      </c>
    </row>
    <row r="36" spans="1:8" ht="25.5" x14ac:dyDescent="0.2">
      <c r="A36" s="35">
        <v>30</v>
      </c>
      <c r="B36" s="36" t="s">
        <v>440</v>
      </c>
      <c r="C36" s="36" t="s">
        <v>441</v>
      </c>
      <c r="D36" s="36" t="s">
        <v>201</v>
      </c>
      <c r="E36" s="37">
        <v>109000</v>
      </c>
      <c r="F36" s="38">
        <v>1641.431</v>
      </c>
      <c r="G36" s="39">
        <v>1.080448E-2</v>
      </c>
      <c r="H36" s="34" t="s">
        <v>143</v>
      </c>
    </row>
    <row r="37" spans="1:8" x14ac:dyDescent="0.2">
      <c r="A37" s="35">
        <v>31</v>
      </c>
      <c r="B37" s="36" t="s">
        <v>338</v>
      </c>
      <c r="C37" s="36" t="s">
        <v>339</v>
      </c>
      <c r="D37" s="36" t="s">
        <v>251</v>
      </c>
      <c r="E37" s="37">
        <v>50000</v>
      </c>
      <c r="F37" s="38">
        <v>1591.6</v>
      </c>
      <c r="G37" s="39">
        <v>1.047647E-2</v>
      </c>
      <c r="H37" s="34" t="s">
        <v>143</v>
      </c>
    </row>
    <row r="38" spans="1:8" x14ac:dyDescent="0.2">
      <c r="A38" s="35">
        <v>32</v>
      </c>
      <c r="B38" s="36" t="s">
        <v>219</v>
      </c>
      <c r="C38" s="36" t="s">
        <v>220</v>
      </c>
      <c r="D38" s="36" t="s">
        <v>221</v>
      </c>
      <c r="E38" s="37">
        <v>221000</v>
      </c>
      <c r="F38" s="38">
        <v>1550.9780000000001</v>
      </c>
      <c r="G38" s="39">
        <v>1.0209080000000001E-2</v>
      </c>
      <c r="H38" s="34" t="s">
        <v>143</v>
      </c>
    </row>
    <row r="39" spans="1:8" x14ac:dyDescent="0.2">
      <c r="A39" s="35">
        <v>33</v>
      </c>
      <c r="B39" s="36" t="s">
        <v>92</v>
      </c>
      <c r="C39" s="36" t="s">
        <v>93</v>
      </c>
      <c r="D39" s="36" t="s">
        <v>94</v>
      </c>
      <c r="E39" s="37">
        <v>810000</v>
      </c>
      <c r="F39" s="38">
        <v>1545.8040000000001</v>
      </c>
      <c r="G39" s="39">
        <v>1.017502E-2</v>
      </c>
      <c r="H39" s="34" t="s">
        <v>143</v>
      </c>
    </row>
    <row r="40" spans="1:8" x14ac:dyDescent="0.2">
      <c r="A40" s="35">
        <v>34</v>
      </c>
      <c r="B40" s="36" t="s">
        <v>427</v>
      </c>
      <c r="C40" s="36" t="s">
        <v>428</v>
      </c>
      <c r="D40" s="36" t="s">
        <v>251</v>
      </c>
      <c r="E40" s="37">
        <v>219000</v>
      </c>
      <c r="F40" s="38">
        <v>1506.72</v>
      </c>
      <c r="G40" s="39">
        <v>9.9177599999999994E-3</v>
      </c>
      <c r="H40" s="34" t="s">
        <v>143</v>
      </c>
    </row>
    <row r="41" spans="1:8" ht="25.5" x14ac:dyDescent="0.2">
      <c r="A41" s="35">
        <v>35</v>
      </c>
      <c r="B41" s="36" t="s">
        <v>117</v>
      </c>
      <c r="C41" s="36" t="s">
        <v>118</v>
      </c>
      <c r="D41" s="36" t="s">
        <v>119</v>
      </c>
      <c r="E41" s="37">
        <v>294000</v>
      </c>
      <c r="F41" s="38">
        <v>1496.019</v>
      </c>
      <c r="G41" s="39">
        <v>9.8473199999999997E-3</v>
      </c>
      <c r="H41" s="34" t="s">
        <v>143</v>
      </c>
    </row>
    <row r="42" spans="1:8" x14ac:dyDescent="0.2">
      <c r="A42" s="35">
        <v>36</v>
      </c>
      <c r="B42" s="36" t="s">
        <v>344</v>
      </c>
      <c r="C42" s="36" t="s">
        <v>345</v>
      </c>
      <c r="D42" s="36" t="s">
        <v>287</v>
      </c>
      <c r="E42" s="37">
        <v>100000</v>
      </c>
      <c r="F42" s="38">
        <v>1488.3</v>
      </c>
      <c r="G42" s="39">
        <v>9.7965099999999996E-3</v>
      </c>
      <c r="H42" s="34" t="s">
        <v>143</v>
      </c>
    </row>
    <row r="43" spans="1:8" ht="25.5" x14ac:dyDescent="0.2">
      <c r="A43" s="35">
        <v>37</v>
      </c>
      <c r="B43" s="36" t="s">
        <v>638</v>
      </c>
      <c r="C43" s="36" t="s">
        <v>639</v>
      </c>
      <c r="D43" s="36" t="s">
        <v>201</v>
      </c>
      <c r="E43" s="37">
        <v>130000</v>
      </c>
      <c r="F43" s="38">
        <v>1475.24</v>
      </c>
      <c r="G43" s="39">
        <v>9.7105500000000001E-3</v>
      </c>
      <c r="H43" s="34" t="s">
        <v>143</v>
      </c>
    </row>
    <row r="44" spans="1:8" x14ac:dyDescent="0.2">
      <c r="A44" s="35">
        <v>38</v>
      </c>
      <c r="B44" s="36" t="s">
        <v>34</v>
      </c>
      <c r="C44" s="36" t="s">
        <v>35</v>
      </c>
      <c r="D44" s="36" t="s">
        <v>36</v>
      </c>
      <c r="E44" s="37">
        <v>60000</v>
      </c>
      <c r="F44" s="38">
        <v>1416.66</v>
      </c>
      <c r="G44" s="39">
        <v>9.3249500000000003E-3</v>
      </c>
      <c r="H44" s="34" t="s">
        <v>143</v>
      </c>
    </row>
    <row r="45" spans="1:8" x14ac:dyDescent="0.2">
      <c r="A45" s="35">
        <v>39</v>
      </c>
      <c r="B45" s="36" t="s">
        <v>513</v>
      </c>
      <c r="C45" s="36" t="s">
        <v>514</v>
      </c>
      <c r="D45" s="36" t="s">
        <v>198</v>
      </c>
      <c r="E45" s="37">
        <v>83000</v>
      </c>
      <c r="F45" s="38">
        <v>1400.21</v>
      </c>
      <c r="G45" s="39">
        <v>9.2166699999999997E-3</v>
      </c>
      <c r="H45" s="34" t="s">
        <v>143</v>
      </c>
    </row>
    <row r="46" spans="1:8" x14ac:dyDescent="0.2">
      <c r="A46" s="35">
        <v>40</v>
      </c>
      <c r="B46" s="36" t="s">
        <v>507</v>
      </c>
      <c r="C46" s="36" t="s">
        <v>508</v>
      </c>
      <c r="D46" s="36" t="s">
        <v>226</v>
      </c>
      <c r="E46" s="37">
        <v>96000</v>
      </c>
      <c r="F46" s="38">
        <v>1370.9760000000001</v>
      </c>
      <c r="G46" s="39">
        <v>9.0242499999999993E-3</v>
      </c>
      <c r="H46" s="34" t="s">
        <v>143</v>
      </c>
    </row>
    <row r="47" spans="1:8" x14ac:dyDescent="0.2">
      <c r="A47" s="35">
        <v>41</v>
      </c>
      <c r="B47" s="36" t="s">
        <v>804</v>
      </c>
      <c r="C47" s="36" t="s">
        <v>805</v>
      </c>
      <c r="D47" s="36" t="s">
        <v>55</v>
      </c>
      <c r="E47" s="37">
        <v>110000</v>
      </c>
      <c r="F47" s="38">
        <v>1343.32</v>
      </c>
      <c r="G47" s="39">
        <v>8.8421999999999997E-3</v>
      </c>
      <c r="H47" s="34" t="s">
        <v>143</v>
      </c>
    </row>
    <row r="48" spans="1:8" x14ac:dyDescent="0.2">
      <c r="A48" s="35">
        <v>42</v>
      </c>
      <c r="B48" s="36" t="s">
        <v>20</v>
      </c>
      <c r="C48" s="36" t="s">
        <v>21</v>
      </c>
      <c r="D48" s="36" t="s">
        <v>22</v>
      </c>
      <c r="E48" s="37">
        <v>382000</v>
      </c>
      <c r="F48" s="38">
        <v>1279.318</v>
      </c>
      <c r="G48" s="39">
        <v>8.4209200000000001E-3</v>
      </c>
      <c r="H48" s="34" t="s">
        <v>143</v>
      </c>
    </row>
    <row r="49" spans="1:8" x14ac:dyDescent="0.2">
      <c r="A49" s="35">
        <v>43</v>
      </c>
      <c r="B49" s="36" t="s">
        <v>736</v>
      </c>
      <c r="C49" s="36" t="s">
        <v>737</v>
      </c>
      <c r="D49" s="36" t="s">
        <v>55</v>
      </c>
      <c r="E49" s="37">
        <v>114667</v>
      </c>
      <c r="F49" s="38">
        <v>1239.55027</v>
      </c>
      <c r="G49" s="39">
        <v>8.1591600000000004E-3</v>
      </c>
      <c r="H49" s="34" t="s">
        <v>143</v>
      </c>
    </row>
    <row r="50" spans="1:8" x14ac:dyDescent="0.2">
      <c r="A50" s="35">
        <v>44</v>
      </c>
      <c r="B50" s="36" t="s">
        <v>728</v>
      </c>
      <c r="C50" s="36" t="s">
        <v>729</v>
      </c>
      <c r="D50" s="36" t="s">
        <v>55</v>
      </c>
      <c r="E50" s="37">
        <v>73750</v>
      </c>
      <c r="F50" s="38">
        <v>1206.2550000000001</v>
      </c>
      <c r="G50" s="39">
        <v>7.9399899999999992E-3</v>
      </c>
      <c r="H50" s="34" t="s">
        <v>143</v>
      </c>
    </row>
    <row r="51" spans="1:8" x14ac:dyDescent="0.2">
      <c r="A51" s="35">
        <v>45</v>
      </c>
      <c r="B51" s="36" t="s">
        <v>309</v>
      </c>
      <c r="C51" s="36" t="s">
        <v>310</v>
      </c>
      <c r="D51" s="36" t="s">
        <v>206</v>
      </c>
      <c r="E51" s="37">
        <v>28000</v>
      </c>
      <c r="F51" s="38">
        <v>1201.2560000000001</v>
      </c>
      <c r="G51" s="39">
        <v>7.9070900000000003E-3</v>
      </c>
      <c r="H51" s="34" t="s">
        <v>143</v>
      </c>
    </row>
    <row r="52" spans="1:8" x14ac:dyDescent="0.2">
      <c r="A52" s="35">
        <v>46</v>
      </c>
      <c r="B52" s="36" t="s">
        <v>680</v>
      </c>
      <c r="C52" s="36" t="s">
        <v>681</v>
      </c>
      <c r="D52" s="36" t="s">
        <v>70</v>
      </c>
      <c r="E52" s="37">
        <v>274000</v>
      </c>
      <c r="F52" s="38">
        <v>1189.845</v>
      </c>
      <c r="G52" s="39">
        <v>7.8319800000000005E-3</v>
      </c>
      <c r="H52" s="34" t="s">
        <v>143</v>
      </c>
    </row>
    <row r="53" spans="1:8" x14ac:dyDescent="0.2">
      <c r="A53" s="35">
        <v>47</v>
      </c>
      <c r="B53" s="36" t="s">
        <v>227</v>
      </c>
      <c r="C53" s="36" t="s">
        <v>228</v>
      </c>
      <c r="D53" s="36" t="s">
        <v>43</v>
      </c>
      <c r="E53" s="37">
        <v>225000</v>
      </c>
      <c r="F53" s="38">
        <v>1009.8</v>
      </c>
      <c r="G53" s="39">
        <v>6.6468600000000001E-3</v>
      </c>
      <c r="H53" s="34" t="s">
        <v>143</v>
      </c>
    </row>
    <row r="54" spans="1:8" x14ac:dyDescent="0.2">
      <c r="A54" s="35">
        <v>48</v>
      </c>
      <c r="B54" s="36" t="s">
        <v>254</v>
      </c>
      <c r="C54" s="36" t="s">
        <v>255</v>
      </c>
      <c r="D54" s="36" t="s">
        <v>256</v>
      </c>
      <c r="E54" s="37">
        <v>60000</v>
      </c>
      <c r="F54" s="38">
        <v>988.26</v>
      </c>
      <c r="G54" s="39">
        <v>6.5050699999999999E-3</v>
      </c>
      <c r="H54" s="34" t="s">
        <v>143</v>
      </c>
    </row>
    <row r="55" spans="1:8" x14ac:dyDescent="0.2">
      <c r="A55" s="35">
        <v>49</v>
      </c>
      <c r="B55" s="36" t="s">
        <v>340</v>
      </c>
      <c r="C55" s="36" t="s">
        <v>341</v>
      </c>
      <c r="D55" s="36" t="s">
        <v>265</v>
      </c>
      <c r="E55" s="37">
        <v>49000</v>
      </c>
      <c r="F55" s="38">
        <v>979.16700000000003</v>
      </c>
      <c r="G55" s="39">
        <v>6.4452199999999998E-3</v>
      </c>
      <c r="H55" s="34" t="s">
        <v>143</v>
      </c>
    </row>
    <row r="56" spans="1:8" ht="25.5" x14ac:dyDescent="0.2">
      <c r="A56" s="35">
        <v>50</v>
      </c>
      <c r="B56" s="36" t="s">
        <v>56</v>
      </c>
      <c r="C56" s="36" t="s">
        <v>57</v>
      </c>
      <c r="D56" s="36" t="s">
        <v>58</v>
      </c>
      <c r="E56" s="37">
        <v>64000</v>
      </c>
      <c r="F56" s="38">
        <v>928.12800000000004</v>
      </c>
      <c r="G56" s="39">
        <v>6.10926E-3</v>
      </c>
      <c r="H56" s="34" t="s">
        <v>143</v>
      </c>
    </row>
    <row r="57" spans="1:8" x14ac:dyDescent="0.2">
      <c r="A57" s="35">
        <v>51</v>
      </c>
      <c r="B57" s="36" t="s">
        <v>202</v>
      </c>
      <c r="C57" s="36" t="s">
        <v>203</v>
      </c>
      <c r="D57" s="36" t="s">
        <v>16</v>
      </c>
      <c r="E57" s="37">
        <v>211000</v>
      </c>
      <c r="F57" s="38">
        <v>924.28549999999996</v>
      </c>
      <c r="G57" s="39">
        <v>6.0839700000000002E-3</v>
      </c>
      <c r="H57" s="34" t="s">
        <v>143</v>
      </c>
    </row>
    <row r="58" spans="1:8" x14ac:dyDescent="0.2">
      <c r="A58" s="35">
        <v>52</v>
      </c>
      <c r="B58" s="36" t="s">
        <v>239</v>
      </c>
      <c r="C58" s="36" t="s">
        <v>240</v>
      </c>
      <c r="D58" s="36" t="s">
        <v>73</v>
      </c>
      <c r="E58" s="37">
        <v>21000</v>
      </c>
      <c r="F58" s="38">
        <v>922.19399999999996</v>
      </c>
      <c r="G58" s="39">
        <v>6.0702100000000004E-3</v>
      </c>
      <c r="H58" s="34" t="s">
        <v>143</v>
      </c>
    </row>
    <row r="59" spans="1:8" x14ac:dyDescent="0.2">
      <c r="A59" s="35">
        <v>53</v>
      </c>
      <c r="B59" s="36" t="s">
        <v>771</v>
      </c>
      <c r="C59" s="36" t="s">
        <v>772</v>
      </c>
      <c r="D59" s="36" t="s">
        <v>251</v>
      </c>
      <c r="E59" s="37">
        <v>38619</v>
      </c>
      <c r="F59" s="38">
        <v>857.22594300000003</v>
      </c>
      <c r="G59" s="39">
        <v>5.6425599999999996E-3</v>
      </c>
      <c r="H59" s="34" t="s">
        <v>143</v>
      </c>
    </row>
    <row r="60" spans="1:8" ht="25.5" x14ac:dyDescent="0.2">
      <c r="A60" s="35">
        <v>54</v>
      </c>
      <c r="B60" s="36" t="s">
        <v>468</v>
      </c>
      <c r="C60" s="36" t="s">
        <v>469</v>
      </c>
      <c r="D60" s="36" t="s">
        <v>201</v>
      </c>
      <c r="E60" s="37">
        <v>6191</v>
      </c>
      <c r="F60" s="38">
        <v>742.92</v>
      </c>
      <c r="G60" s="39">
        <v>4.8901600000000002E-3</v>
      </c>
      <c r="H60" s="34" t="s">
        <v>143</v>
      </c>
    </row>
    <row r="61" spans="1:8" x14ac:dyDescent="0.2">
      <c r="A61" s="35">
        <v>55</v>
      </c>
      <c r="B61" s="36" t="s">
        <v>111</v>
      </c>
      <c r="C61" s="36" t="s">
        <v>112</v>
      </c>
      <c r="D61" s="36" t="s">
        <v>73</v>
      </c>
      <c r="E61" s="37">
        <v>23015</v>
      </c>
      <c r="F61" s="38">
        <v>400.25386500000002</v>
      </c>
      <c r="G61" s="39">
        <v>2.6346099999999999E-3</v>
      </c>
      <c r="H61" s="34" t="s">
        <v>143</v>
      </c>
    </row>
    <row r="62" spans="1:8" ht="25.5" x14ac:dyDescent="0.2">
      <c r="A62" s="35">
        <v>56</v>
      </c>
      <c r="B62" s="36" t="s">
        <v>261</v>
      </c>
      <c r="C62" s="36" t="s">
        <v>262</v>
      </c>
      <c r="D62" s="36" t="s">
        <v>201</v>
      </c>
      <c r="E62" s="37">
        <v>10649</v>
      </c>
      <c r="F62" s="38">
        <v>247.03550200000001</v>
      </c>
      <c r="G62" s="39">
        <v>1.6260700000000001E-3</v>
      </c>
      <c r="H62" s="34" t="s">
        <v>143</v>
      </c>
    </row>
    <row r="63" spans="1:8" x14ac:dyDescent="0.2">
      <c r="A63" s="41"/>
      <c r="B63" s="41"/>
      <c r="C63" s="42" t="s">
        <v>142</v>
      </c>
      <c r="D63" s="41"/>
      <c r="E63" s="41" t="s">
        <v>143</v>
      </c>
      <c r="F63" s="43">
        <v>142924.95305800001</v>
      </c>
      <c r="G63" s="44">
        <v>0.94078220999999995</v>
      </c>
      <c r="H63" s="34" t="s">
        <v>143</v>
      </c>
    </row>
    <row r="64" spans="1:8" x14ac:dyDescent="0.2">
      <c r="A64" s="41"/>
      <c r="B64" s="41"/>
      <c r="C64" s="45"/>
      <c r="D64" s="41"/>
      <c r="E64" s="41"/>
      <c r="F64" s="46"/>
      <c r="G64" s="46"/>
      <c r="H64" s="34" t="s">
        <v>143</v>
      </c>
    </row>
    <row r="65" spans="1:8" x14ac:dyDescent="0.2">
      <c r="A65" s="41"/>
      <c r="B65" s="41"/>
      <c r="C65" s="42" t="s">
        <v>144</v>
      </c>
      <c r="D65" s="41"/>
      <c r="E65" s="41"/>
      <c r="F65" s="41"/>
      <c r="G65" s="41"/>
      <c r="H65" s="34" t="s">
        <v>143</v>
      </c>
    </row>
    <row r="66" spans="1:8" x14ac:dyDescent="0.2">
      <c r="A66" s="41"/>
      <c r="B66" s="41"/>
      <c r="C66" s="42" t="s">
        <v>142</v>
      </c>
      <c r="D66" s="41"/>
      <c r="E66" s="41" t="s">
        <v>143</v>
      </c>
      <c r="F66" s="47" t="s">
        <v>145</v>
      </c>
      <c r="G66" s="44">
        <v>0</v>
      </c>
      <c r="H66" s="34" t="s">
        <v>143</v>
      </c>
    </row>
    <row r="67" spans="1:8" x14ac:dyDescent="0.2">
      <c r="A67" s="41"/>
      <c r="B67" s="41"/>
      <c r="C67" s="45"/>
      <c r="D67" s="41"/>
      <c r="E67" s="41"/>
      <c r="F67" s="46"/>
      <c r="G67" s="46"/>
      <c r="H67" s="34" t="s">
        <v>143</v>
      </c>
    </row>
    <row r="68" spans="1:8" x14ac:dyDescent="0.2">
      <c r="A68" s="41"/>
      <c r="B68" s="41"/>
      <c r="C68" s="42" t="s">
        <v>146</v>
      </c>
      <c r="D68" s="41"/>
      <c r="E68" s="41"/>
      <c r="F68" s="41"/>
      <c r="G68" s="41"/>
      <c r="H68" s="34" t="s">
        <v>143</v>
      </c>
    </row>
    <row r="69" spans="1:8" x14ac:dyDescent="0.2">
      <c r="A69" s="41"/>
      <c r="B69" s="41"/>
      <c r="C69" s="42" t="s">
        <v>142</v>
      </c>
      <c r="D69" s="41"/>
      <c r="E69" s="41" t="s">
        <v>143</v>
      </c>
      <c r="F69" s="47" t="s">
        <v>145</v>
      </c>
      <c r="G69" s="44">
        <v>0</v>
      </c>
      <c r="H69" s="34" t="s">
        <v>143</v>
      </c>
    </row>
    <row r="70" spans="1:8" x14ac:dyDescent="0.2">
      <c r="A70" s="41"/>
      <c r="B70" s="41"/>
      <c r="C70" s="45"/>
      <c r="D70" s="41"/>
      <c r="E70" s="41"/>
      <c r="F70" s="46"/>
      <c r="G70" s="46"/>
      <c r="H70" s="34" t="s">
        <v>143</v>
      </c>
    </row>
    <row r="71" spans="1:8" x14ac:dyDescent="0.2">
      <c r="A71" s="41"/>
      <c r="B71" s="41"/>
      <c r="C71" s="42" t="s">
        <v>147</v>
      </c>
      <c r="D71" s="41"/>
      <c r="E71" s="41"/>
      <c r="F71" s="41"/>
      <c r="G71" s="41"/>
      <c r="H71" s="34" t="s">
        <v>143</v>
      </c>
    </row>
    <row r="72" spans="1:8" x14ac:dyDescent="0.2">
      <c r="A72" s="41"/>
      <c r="B72" s="41"/>
      <c r="C72" s="42" t="s">
        <v>142</v>
      </c>
      <c r="D72" s="41"/>
      <c r="E72" s="41" t="s">
        <v>143</v>
      </c>
      <c r="F72" s="47" t="s">
        <v>145</v>
      </c>
      <c r="G72" s="44">
        <v>0</v>
      </c>
      <c r="H72" s="34" t="s">
        <v>143</v>
      </c>
    </row>
    <row r="73" spans="1:8" x14ac:dyDescent="0.2">
      <c r="A73" s="41"/>
      <c r="B73" s="41"/>
      <c r="C73" s="45"/>
      <c r="D73" s="41"/>
      <c r="E73" s="41"/>
      <c r="F73" s="46"/>
      <c r="G73" s="46"/>
      <c r="H73" s="34" t="s">
        <v>143</v>
      </c>
    </row>
    <row r="74" spans="1:8" x14ac:dyDescent="0.2">
      <c r="A74" s="41"/>
      <c r="B74" s="41"/>
      <c r="C74" s="42" t="s">
        <v>148</v>
      </c>
      <c r="D74" s="41"/>
      <c r="E74" s="41"/>
      <c r="F74" s="46"/>
      <c r="G74" s="46"/>
      <c r="H74" s="34" t="s">
        <v>143</v>
      </c>
    </row>
    <row r="75" spans="1:8" x14ac:dyDescent="0.2">
      <c r="A75" s="41"/>
      <c r="B75" s="41"/>
      <c r="C75" s="42" t="s">
        <v>142</v>
      </c>
      <c r="D75" s="41"/>
      <c r="E75" s="41" t="s">
        <v>143</v>
      </c>
      <c r="F75" s="47" t="s">
        <v>145</v>
      </c>
      <c r="G75" s="44">
        <v>0</v>
      </c>
      <c r="H75" s="34" t="s">
        <v>143</v>
      </c>
    </row>
    <row r="76" spans="1:8" x14ac:dyDescent="0.2">
      <c r="A76" s="41"/>
      <c r="B76" s="41"/>
      <c r="C76" s="45"/>
      <c r="D76" s="41"/>
      <c r="E76" s="41"/>
      <c r="F76" s="46"/>
      <c r="G76" s="46"/>
      <c r="H76" s="34" t="s">
        <v>143</v>
      </c>
    </row>
    <row r="77" spans="1:8" x14ac:dyDescent="0.2">
      <c r="A77" s="41"/>
      <c r="B77" s="41"/>
      <c r="C77" s="42" t="s">
        <v>149</v>
      </c>
      <c r="D77" s="41"/>
      <c r="E77" s="41"/>
      <c r="F77" s="46"/>
      <c r="G77" s="46"/>
      <c r="H77" s="34" t="s">
        <v>143</v>
      </c>
    </row>
    <row r="78" spans="1:8" x14ac:dyDescent="0.2">
      <c r="A78" s="41"/>
      <c r="B78" s="41"/>
      <c r="C78" s="42" t="s">
        <v>142</v>
      </c>
      <c r="D78" s="41"/>
      <c r="E78" s="41" t="s">
        <v>143</v>
      </c>
      <c r="F78" s="47" t="s">
        <v>145</v>
      </c>
      <c r="G78" s="44">
        <v>0</v>
      </c>
      <c r="H78" s="34" t="s">
        <v>143</v>
      </c>
    </row>
    <row r="79" spans="1:8" x14ac:dyDescent="0.2">
      <c r="A79" s="41"/>
      <c r="B79" s="41"/>
      <c r="C79" s="45"/>
      <c r="D79" s="41"/>
      <c r="E79" s="41"/>
      <c r="F79" s="46"/>
      <c r="G79" s="46"/>
      <c r="H79" s="34" t="s">
        <v>143</v>
      </c>
    </row>
    <row r="80" spans="1:8" x14ac:dyDescent="0.2">
      <c r="A80" s="41"/>
      <c r="B80" s="41"/>
      <c r="C80" s="42" t="s">
        <v>150</v>
      </c>
      <c r="D80" s="41"/>
      <c r="E80" s="41"/>
      <c r="F80" s="43">
        <v>142924.95305800001</v>
      </c>
      <c r="G80" s="44">
        <v>0.94078220999999995</v>
      </c>
      <c r="H80" s="34" t="s">
        <v>143</v>
      </c>
    </row>
    <row r="81" spans="1:8" x14ac:dyDescent="0.2">
      <c r="A81" s="41"/>
      <c r="B81" s="41"/>
      <c r="C81" s="45"/>
      <c r="D81" s="41"/>
      <c r="E81" s="41"/>
      <c r="F81" s="46"/>
      <c r="G81" s="46"/>
      <c r="H81" s="34" t="s">
        <v>143</v>
      </c>
    </row>
    <row r="82" spans="1:8" x14ac:dyDescent="0.2">
      <c r="A82" s="41"/>
      <c r="B82" s="41"/>
      <c r="C82" s="42" t="s">
        <v>151</v>
      </c>
      <c r="D82" s="41"/>
      <c r="E82" s="41"/>
      <c r="F82" s="46"/>
      <c r="G82" s="46"/>
      <c r="H82" s="34" t="s">
        <v>143</v>
      </c>
    </row>
    <row r="83" spans="1:8" x14ac:dyDescent="0.2">
      <c r="A83" s="41"/>
      <c r="B83" s="41"/>
      <c r="C83" s="42" t="s">
        <v>10</v>
      </c>
      <c r="D83" s="41"/>
      <c r="E83" s="41"/>
      <c r="F83" s="46"/>
      <c r="G83" s="46"/>
      <c r="H83" s="34" t="s">
        <v>143</v>
      </c>
    </row>
    <row r="84" spans="1:8" x14ac:dyDescent="0.2">
      <c r="A84" s="41"/>
      <c r="B84" s="41"/>
      <c r="C84" s="42" t="s">
        <v>142</v>
      </c>
      <c r="D84" s="41"/>
      <c r="E84" s="41" t="s">
        <v>143</v>
      </c>
      <c r="F84" s="47" t="s">
        <v>145</v>
      </c>
      <c r="G84" s="44">
        <v>0</v>
      </c>
      <c r="H84" s="34" t="s">
        <v>143</v>
      </c>
    </row>
    <row r="85" spans="1:8" x14ac:dyDescent="0.2">
      <c r="A85" s="41"/>
      <c r="B85" s="41"/>
      <c r="C85" s="45"/>
      <c r="D85" s="41"/>
      <c r="E85" s="41"/>
      <c r="F85" s="46"/>
      <c r="G85" s="46"/>
      <c r="H85" s="34" t="s">
        <v>143</v>
      </c>
    </row>
    <row r="86" spans="1:8" x14ac:dyDescent="0.2">
      <c r="A86" s="41"/>
      <c r="B86" s="41"/>
      <c r="C86" s="42" t="s">
        <v>152</v>
      </c>
      <c r="D86" s="41"/>
      <c r="E86" s="41"/>
      <c r="F86" s="41"/>
      <c r="G86" s="41"/>
      <c r="H86" s="34" t="s">
        <v>143</v>
      </c>
    </row>
    <row r="87" spans="1:8" x14ac:dyDescent="0.2">
      <c r="A87" s="41"/>
      <c r="B87" s="41"/>
      <c r="C87" s="42" t="s">
        <v>142</v>
      </c>
      <c r="D87" s="41"/>
      <c r="E87" s="41" t="s">
        <v>143</v>
      </c>
      <c r="F87" s="47" t="s">
        <v>145</v>
      </c>
      <c r="G87" s="44">
        <v>0</v>
      </c>
      <c r="H87" s="34" t="s">
        <v>143</v>
      </c>
    </row>
    <row r="88" spans="1:8" x14ac:dyDescent="0.2">
      <c r="A88" s="41"/>
      <c r="B88" s="41"/>
      <c r="C88" s="45"/>
      <c r="D88" s="41"/>
      <c r="E88" s="41"/>
      <c r="F88" s="46"/>
      <c r="G88" s="46"/>
      <c r="H88" s="34" t="s">
        <v>143</v>
      </c>
    </row>
    <row r="89" spans="1:8" x14ac:dyDescent="0.2">
      <c r="A89" s="41"/>
      <c r="B89" s="41"/>
      <c r="C89" s="42" t="s">
        <v>153</v>
      </c>
      <c r="D89" s="41"/>
      <c r="E89" s="41"/>
      <c r="F89" s="41"/>
      <c r="G89" s="41"/>
      <c r="H89" s="34" t="s">
        <v>143</v>
      </c>
    </row>
    <row r="90" spans="1:8" x14ac:dyDescent="0.2">
      <c r="A90" s="41"/>
      <c r="B90" s="41"/>
      <c r="C90" s="42" t="s">
        <v>142</v>
      </c>
      <c r="D90" s="41"/>
      <c r="E90" s="41" t="s">
        <v>143</v>
      </c>
      <c r="F90" s="47" t="s">
        <v>145</v>
      </c>
      <c r="G90" s="44">
        <v>0</v>
      </c>
      <c r="H90" s="34" t="s">
        <v>143</v>
      </c>
    </row>
    <row r="91" spans="1:8" x14ac:dyDescent="0.2">
      <c r="A91" s="41"/>
      <c r="B91" s="41"/>
      <c r="C91" s="45"/>
      <c r="D91" s="41"/>
      <c r="E91" s="41"/>
      <c r="F91" s="46"/>
      <c r="G91" s="46"/>
      <c r="H91" s="34" t="s">
        <v>143</v>
      </c>
    </row>
    <row r="92" spans="1:8" x14ac:dyDescent="0.2">
      <c r="A92" s="41"/>
      <c r="B92" s="41"/>
      <c r="C92" s="42" t="s">
        <v>154</v>
      </c>
      <c r="D92" s="41"/>
      <c r="E92" s="41"/>
      <c r="F92" s="46"/>
      <c r="G92" s="46"/>
      <c r="H92" s="34" t="s">
        <v>143</v>
      </c>
    </row>
    <row r="93" spans="1:8" x14ac:dyDescent="0.2">
      <c r="A93" s="41"/>
      <c r="B93" s="41"/>
      <c r="C93" s="42" t="s">
        <v>142</v>
      </c>
      <c r="D93" s="41"/>
      <c r="E93" s="41" t="s">
        <v>143</v>
      </c>
      <c r="F93" s="47" t="s">
        <v>145</v>
      </c>
      <c r="G93" s="44">
        <v>0</v>
      </c>
      <c r="H93" s="34" t="s">
        <v>143</v>
      </c>
    </row>
    <row r="94" spans="1:8" x14ac:dyDescent="0.2">
      <c r="A94" s="41"/>
      <c r="B94" s="41"/>
      <c r="C94" s="45"/>
      <c r="D94" s="41"/>
      <c r="E94" s="41"/>
      <c r="F94" s="46"/>
      <c r="G94" s="46"/>
      <c r="H94" s="34" t="s">
        <v>143</v>
      </c>
    </row>
    <row r="95" spans="1:8" x14ac:dyDescent="0.2">
      <c r="A95" s="41"/>
      <c r="B95" s="41"/>
      <c r="C95" s="42" t="s">
        <v>155</v>
      </c>
      <c r="D95" s="41"/>
      <c r="E95" s="41"/>
      <c r="F95" s="43">
        <v>0</v>
      </c>
      <c r="G95" s="44">
        <v>0</v>
      </c>
      <c r="H95" s="34" t="s">
        <v>143</v>
      </c>
    </row>
    <row r="96" spans="1:8" x14ac:dyDescent="0.2">
      <c r="A96" s="41"/>
      <c r="B96" s="41"/>
      <c r="C96" s="45"/>
      <c r="D96" s="41"/>
      <c r="E96" s="41"/>
      <c r="F96" s="46"/>
      <c r="G96" s="46"/>
      <c r="H96" s="34" t="s">
        <v>143</v>
      </c>
    </row>
    <row r="97" spans="1:8" x14ac:dyDescent="0.2">
      <c r="A97" s="41"/>
      <c r="B97" s="41"/>
      <c r="C97" s="42" t="s">
        <v>156</v>
      </c>
      <c r="D97" s="41"/>
      <c r="E97" s="41"/>
      <c r="F97" s="46"/>
      <c r="G97" s="46"/>
      <c r="H97" s="34" t="s">
        <v>143</v>
      </c>
    </row>
    <row r="98" spans="1:8" x14ac:dyDescent="0.2">
      <c r="A98" s="41"/>
      <c r="B98" s="41"/>
      <c r="C98" s="42" t="s">
        <v>157</v>
      </c>
      <c r="D98" s="41"/>
      <c r="E98" s="41"/>
      <c r="F98" s="46"/>
      <c r="G98" s="46"/>
      <c r="H98" s="34" t="s">
        <v>143</v>
      </c>
    </row>
    <row r="99" spans="1:8" x14ac:dyDescent="0.2">
      <c r="A99" s="41"/>
      <c r="B99" s="41"/>
      <c r="C99" s="42" t="s">
        <v>142</v>
      </c>
      <c r="D99" s="41"/>
      <c r="E99" s="41" t="s">
        <v>143</v>
      </c>
      <c r="F99" s="47" t="s">
        <v>145</v>
      </c>
      <c r="G99" s="44">
        <v>0</v>
      </c>
      <c r="H99" s="34" t="s">
        <v>143</v>
      </c>
    </row>
    <row r="100" spans="1:8" x14ac:dyDescent="0.2">
      <c r="A100" s="41"/>
      <c r="B100" s="41"/>
      <c r="C100" s="45"/>
      <c r="D100" s="41"/>
      <c r="E100" s="41"/>
      <c r="F100" s="46"/>
      <c r="G100" s="46"/>
      <c r="H100" s="34" t="s">
        <v>143</v>
      </c>
    </row>
    <row r="101" spans="1:8" x14ac:dyDescent="0.2">
      <c r="A101" s="41"/>
      <c r="B101" s="41"/>
      <c r="C101" s="42" t="s">
        <v>158</v>
      </c>
      <c r="D101" s="41"/>
      <c r="E101" s="41"/>
      <c r="F101" s="46"/>
      <c r="G101" s="46"/>
      <c r="H101" s="34" t="s">
        <v>143</v>
      </c>
    </row>
    <row r="102" spans="1:8" x14ac:dyDescent="0.2">
      <c r="A102" s="41"/>
      <c r="B102" s="41"/>
      <c r="C102" s="42" t="s">
        <v>142</v>
      </c>
      <c r="D102" s="41"/>
      <c r="E102" s="41" t="s">
        <v>143</v>
      </c>
      <c r="F102" s="47" t="s">
        <v>145</v>
      </c>
      <c r="G102" s="44">
        <v>0</v>
      </c>
      <c r="H102" s="34" t="s">
        <v>143</v>
      </c>
    </row>
    <row r="103" spans="1:8" x14ac:dyDescent="0.2">
      <c r="A103" s="41"/>
      <c r="B103" s="41"/>
      <c r="C103" s="45"/>
      <c r="D103" s="41"/>
      <c r="E103" s="41"/>
      <c r="F103" s="46"/>
      <c r="G103" s="46"/>
      <c r="H103" s="34" t="s">
        <v>143</v>
      </c>
    </row>
    <row r="104" spans="1:8" x14ac:dyDescent="0.2">
      <c r="A104" s="41"/>
      <c r="B104" s="41"/>
      <c r="C104" s="42" t="s">
        <v>159</v>
      </c>
      <c r="D104" s="41"/>
      <c r="E104" s="41"/>
      <c r="F104" s="46"/>
      <c r="G104" s="46"/>
      <c r="H104" s="34" t="s">
        <v>143</v>
      </c>
    </row>
    <row r="105" spans="1:8" x14ac:dyDescent="0.2">
      <c r="A105" s="41"/>
      <c r="B105" s="41"/>
      <c r="C105" s="42" t="s">
        <v>142</v>
      </c>
      <c r="D105" s="41"/>
      <c r="E105" s="41" t="s">
        <v>143</v>
      </c>
      <c r="F105" s="47" t="s">
        <v>145</v>
      </c>
      <c r="G105" s="44">
        <v>0</v>
      </c>
      <c r="H105" s="34" t="s">
        <v>143</v>
      </c>
    </row>
    <row r="106" spans="1:8" x14ac:dyDescent="0.2">
      <c r="A106" s="41"/>
      <c r="B106" s="41"/>
      <c r="C106" s="45"/>
      <c r="D106" s="41"/>
      <c r="E106" s="41"/>
      <c r="F106" s="46"/>
      <c r="G106" s="46"/>
      <c r="H106" s="34" t="s">
        <v>143</v>
      </c>
    </row>
    <row r="107" spans="1:8" x14ac:dyDescent="0.2">
      <c r="A107" s="41"/>
      <c r="B107" s="41"/>
      <c r="C107" s="42" t="s">
        <v>160</v>
      </c>
      <c r="D107" s="41"/>
      <c r="E107" s="41"/>
      <c r="F107" s="46"/>
      <c r="G107" s="46"/>
      <c r="H107" s="34" t="s">
        <v>143</v>
      </c>
    </row>
    <row r="108" spans="1:8" x14ac:dyDescent="0.2">
      <c r="A108" s="35">
        <v>1</v>
      </c>
      <c r="B108" s="36"/>
      <c r="C108" s="36" t="s">
        <v>161</v>
      </c>
      <c r="D108" s="36"/>
      <c r="E108" s="48"/>
      <c r="F108" s="38">
        <v>3909.219943001</v>
      </c>
      <c r="G108" s="39">
        <v>2.5731859999999999E-2</v>
      </c>
      <c r="H108" s="34">
        <v>5.47</v>
      </c>
    </row>
    <row r="109" spans="1:8" x14ac:dyDescent="0.2">
      <c r="A109" s="41"/>
      <c r="B109" s="41"/>
      <c r="C109" s="42" t="s">
        <v>142</v>
      </c>
      <c r="D109" s="41"/>
      <c r="E109" s="41" t="s">
        <v>143</v>
      </c>
      <c r="F109" s="43">
        <v>3909.219943001</v>
      </c>
      <c r="G109" s="44">
        <v>2.5731859999999999E-2</v>
      </c>
      <c r="H109" s="34" t="s">
        <v>143</v>
      </c>
    </row>
    <row r="110" spans="1:8" x14ac:dyDescent="0.2">
      <c r="A110" s="41"/>
      <c r="B110" s="41"/>
      <c r="C110" s="45"/>
      <c r="D110" s="41"/>
      <c r="E110" s="41"/>
      <c r="F110" s="46"/>
      <c r="G110" s="46"/>
      <c r="H110" s="34" t="s">
        <v>143</v>
      </c>
    </row>
    <row r="111" spans="1:8" x14ac:dyDescent="0.2">
      <c r="A111" s="41"/>
      <c r="B111" s="41"/>
      <c r="C111" s="42" t="s">
        <v>162</v>
      </c>
      <c r="D111" s="41"/>
      <c r="E111" s="41"/>
      <c r="F111" s="43">
        <v>3909.219943001</v>
      </c>
      <c r="G111" s="44">
        <v>2.5731859999999999E-2</v>
      </c>
      <c r="H111" s="34" t="s">
        <v>143</v>
      </c>
    </row>
    <row r="112" spans="1:8" x14ac:dyDescent="0.2">
      <c r="A112" s="41"/>
      <c r="B112" s="41"/>
      <c r="C112" s="46"/>
      <c r="D112" s="41"/>
      <c r="E112" s="41"/>
      <c r="F112" s="41"/>
      <c r="G112" s="41"/>
      <c r="H112" s="34" t="s">
        <v>143</v>
      </c>
    </row>
    <row r="113" spans="1:10" x14ac:dyDescent="0.2">
      <c r="A113" s="41"/>
      <c r="B113" s="41"/>
      <c r="C113" s="42" t="s">
        <v>163</v>
      </c>
      <c r="D113" s="41"/>
      <c r="E113" s="41"/>
      <c r="F113" s="41"/>
      <c r="G113" s="41"/>
      <c r="H113" s="34" t="s">
        <v>143</v>
      </c>
    </row>
    <row r="114" spans="1:10" x14ac:dyDescent="0.2">
      <c r="A114" s="41"/>
      <c r="B114" s="41"/>
      <c r="C114" s="42" t="s">
        <v>164</v>
      </c>
      <c r="D114" s="41"/>
      <c r="E114" s="41"/>
      <c r="F114" s="41"/>
      <c r="G114" s="41"/>
      <c r="H114" s="34" t="s">
        <v>143</v>
      </c>
    </row>
    <row r="115" spans="1:10" x14ac:dyDescent="0.2">
      <c r="A115" s="35">
        <v>1</v>
      </c>
      <c r="B115" s="36" t="s">
        <v>319</v>
      </c>
      <c r="C115" s="36" t="s">
        <v>320</v>
      </c>
      <c r="D115" s="36"/>
      <c r="E115" s="49">
        <v>214777.08499999999</v>
      </c>
      <c r="F115" s="38">
        <v>5004.5320259930004</v>
      </c>
      <c r="G115" s="39">
        <v>3.294159E-2</v>
      </c>
      <c r="H115" s="34" t="s">
        <v>143</v>
      </c>
    </row>
    <row r="116" spans="1:10" x14ac:dyDescent="0.2">
      <c r="A116" s="41"/>
      <c r="B116" s="41"/>
      <c r="C116" s="42" t="s">
        <v>142</v>
      </c>
      <c r="D116" s="41"/>
      <c r="E116" s="41" t="s">
        <v>143</v>
      </c>
      <c r="F116" s="43">
        <v>5004.5320259930004</v>
      </c>
      <c r="G116" s="44">
        <v>3.294159E-2</v>
      </c>
      <c r="H116" s="34" t="s">
        <v>143</v>
      </c>
    </row>
    <row r="117" spans="1:10" x14ac:dyDescent="0.2">
      <c r="A117" s="41"/>
      <c r="B117" s="41"/>
      <c r="C117" s="45"/>
      <c r="D117" s="41"/>
      <c r="E117" s="41"/>
      <c r="F117" s="46"/>
      <c r="G117" s="46"/>
      <c r="H117" s="34" t="s">
        <v>143</v>
      </c>
    </row>
    <row r="118" spans="1:10" x14ac:dyDescent="0.2">
      <c r="A118" s="41"/>
      <c r="B118" s="41"/>
      <c r="C118" s="42" t="s">
        <v>165</v>
      </c>
      <c r="D118" s="41"/>
      <c r="E118" s="41"/>
      <c r="F118" s="41"/>
      <c r="G118" s="41"/>
      <c r="H118" s="34" t="s">
        <v>143</v>
      </c>
    </row>
    <row r="119" spans="1:10" x14ac:dyDescent="0.2">
      <c r="A119" s="41"/>
      <c r="B119" s="41"/>
      <c r="C119" s="42" t="s">
        <v>166</v>
      </c>
      <c r="D119" s="41"/>
      <c r="E119" s="41"/>
      <c r="F119" s="41"/>
      <c r="G119" s="41"/>
      <c r="H119" s="34" t="s">
        <v>143</v>
      </c>
    </row>
    <row r="120" spans="1:10" x14ac:dyDescent="0.2">
      <c r="A120" s="41"/>
      <c r="B120" s="41"/>
      <c r="C120" s="42" t="s">
        <v>142</v>
      </c>
      <c r="D120" s="41"/>
      <c r="E120" s="41" t="s">
        <v>143</v>
      </c>
      <c r="F120" s="47" t="s">
        <v>145</v>
      </c>
      <c r="G120" s="44">
        <v>0</v>
      </c>
      <c r="H120" s="34" t="s">
        <v>143</v>
      </c>
    </row>
    <row r="121" spans="1:10" x14ac:dyDescent="0.2">
      <c r="A121" s="41"/>
      <c r="B121" s="41"/>
      <c r="C121" s="45"/>
      <c r="D121" s="41"/>
      <c r="E121" s="41"/>
      <c r="F121" s="46"/>
      <c r="G121" s="46"/>
      <c r="H121" s="34" t="s">
        <v>143</v>
      </c>
    </row>
    <row r="122" spans="1:10" x14ac:dyDescent="0.2">
      <c r="A122" s="41"/>
      <c r="B122" s="41"/>
      <c r="C122" s="42" t="s">
        <v>167</v>
      </c>
      <c r="D122" s="41"/>
      <c r="E122" s="41"/>
      <c r="F122" s="46"/>
      <c r="G122" s="46"/>
      <c r="H122" s="34" t="s">
        <v>143</v>
      </c>
    </row>
    <row r="123" spans="1:10" x14ac:dyDescent="0.2">
      <c r="A123" s="41"/>
      <c r="B123" s="41"/>
      <c r="C123" s="42" t="s">
        <v>142</v>
      </c>
      <c r="D123" s="41"/>
      <c r="E123" s="41" t="s">
        <v>143</v>
      </c>
      <c r="F123" s="47" t="s">
        <v>145</v>
      </c>
      <c r="G123" s="44">
        <v>0</v>
      </c>
      <c r="H123" s="34" t="s">
        <v>143</v>
      </c>
    </row>
    <row r="124" spans="1:10" x14ac:dyDescent="0.2">
      <c r="A124" s="41"/>
      <c r="B124" s="41"/>
      <c r="C124" s="45"/>
      <c r="D124" s="41"/>
      <c r="E124" s="41"/>
      <c r="F124" s="46"/>
      <c r="G124" s="46"/>
      <c r="H124" s="34" t="s">
        <v>143</v>
      </c>
    </row>
    <row r="125" spans="1:10" x14ac:dyDescent="0.2">
      <c r="A125" s="48"/>
      <c r="B125" s="36"/>
      <c r="C125" s="36" t="s">
        <v>168</v>
      </c>
      <c r="D125" s="36"/>
      <c r="E125" s="48"/>
      <c r="F125" s="38">
        <v>82.698223060000004</v>
      </c>
      <c r="G125" s="39">
        <v>5.4434999999999998E-4</v>
      </c>
      <c r="H125" s="34" t="s">
        <v>143</v>
      </c>
    </row>
    <row r="126" spans="1:10" x14ac:dyDescent="0.2">
      <c r="A126" s="45"/>
      <c r="B126" s="45"/>
      <c r="C126" s="42" t="s">
        <v>169</v>
      </c>
      <c r="D126" s="46"/>
      <c r="E126" s="46"/>
      <c r="F126" s="43">
        <v>151921.40325005399</v>
      </c>
      <c r="G126" s="51">
        <v>1.0000000099999999</v>
      </c>
      <c r="H126" s="34" t="s">
        <v>143</v>
      </c>
    </row>
    <row r="127" spans="1:10" x14ac:dyDescent="0.2">
      <c r="A127" s="52"/>
      <c r="B127" s="52"/>
      <c r="C127" s="52"/>
      <c r="D127" s="53"/>
      <c r="E127" s="53"/>
      <c r="F127" s="53"/>
      <c r="G127" s="53"/>
    </row>
    <row r="128" spans="1:10" ht="12.75" customHeight="1" x14ac:dyDescent="0.2">
      <c r="A128" s="54"/>
      <c r="B128" s="158" t="s">
        <v>852</v>
      </c>
      <c r="C128" s="158"/>
      <c r="D128" s="158"/>
      <c r="E128" s="158"/>
      <c r="F128" s="158"/>
      <c r="G128" s="158"/>
      <c r="H128" s="158"/>
      <c r="J128" s="56"/>
    </row>
    <row r="129" spans="1:17" ht="12.75" customHeight="1" x14ac:dyDescent="0.2">
      <c r="A129" s="54"/>
      <c r="B129" s="158" t="s">
        <v>853</v>
      </c>
      <c r="C129" s="158"/>
      <c r="D129" s="158"/>
      <c r="E129" s="158"/>
      <c r="F129" s="158"/>
      <c r="G129" s="158"/>
      <c r="H129" s="158"/>
      <c r="J129" s="56"/>
    </row>
    <row r="130" spans="1:17" ht="12.75" customHeight="1" x14ac:dyDescent="0.2">
      <c r="A130" s="54"/>
      <c r="B130" s="158" t="s">
        <v>854</v>
      </c>
      <c r="C130" s="158"/>
      <c r="D130" s="158"/>
      <c r="E130" s="158"/>
      <c r="F130" s="158"/>
      <c r="G130" s="158"/>
      <c r="H130" s="158"/>
      <c r="J130" s="56"/>
    </row>
    <row r="131" spans="1:17" s="58" customFormat="1" ht="52.5" customHeight="1" x14ac:dyDescent="0.25">
      <c r="A131" s="57"/>
      <c r="B131" s="159" t="s">
        <v>855</v>
      </c>
      <c r="C131" s="159"/>
      <c r="D131" s="159"/>
      <c r="E131" s="159"/>
      <c r="F131" s="159"/>
      <c r="G131" s="159"/>
      <c r="H131" s="159"/>
      <c r="I131"/>
      <c r="J131" s="56"/>
      <c r="K131"/>
      <c r="L131"/>
      <c r="M131"/>
      <c r="N131"/>
      <c r="O131"/>
      <c r="P131"/>
      <c r="Q131"/>
    </row>
    <row r="132" spans="1:17" ht="12.75" customHeight="1" x14ac:dyDescent="0.2">
      <c r="A132" s="54"/>
      <c r="B132" s="158" t="s">
        <v>856</v>
      </c>
      <c r="C132" s="158"/>
      <c r="D132" s="158"/>
      <c r="E132" s="158"/>
      <c r="F132" s="158"/>
      <c r="G132" s="158"/>
      <c r="H132" s="158"/>
      <c r="J132" s="56"/>
    </row>
    <row r="133" spans="1:17" x14ac:dyDescent="0.2">
      <c r="A133" s="54"/>
      <c r="B133" s="54"/>
      <c r="C133" s="54"/>
      <c r="D133" s="59"/>
      <c r="E133" s="59"/>
      <c r="F133" s="59"/>
      <c r="G133" s="59"/>
    </row>
    <row r="134" spans="1:17" x14ac:dyDescent="0.2">
      <c r="A134" s="54"/>
      <c r="B134" s="160" t="s">
        <v>170</v>
      </c>
      <c r="C134" s="161"/>
      <c r="D134" s="162"/>
      <c r="E134" s="60"/>
      <c r="F134" s="59"/>
      <c r="G134" s="59"/>
    </row>
    <row r="135" spans="1:17" ht="27.75" customHeight="1" x14ac:dyDescent="0.2">
      <c r="A135" s="54"/>
      <c r="B135" s="154" t="s">
        <v>171</v>
      </c>
      <c r="C135" s="155"/>
      <c r="D135" s="33" t="s">
        <v>172</v>
      </c>
      <c r="E135" s="60"/>
      <c r="F135" s="59"/>
      <c r="G135" s="59"/>
    </row>
    <row r="136" spans="1:17" ht="12.75" customHeight="1" x14ac:dyDescent="0.2">
      <c r="A136" s="54"/>
      <c r="B136" s="154" t="s">
        <v>857</v>
      </c>
      <c r="C136" s="155"/>
      <c r="D136" s="33" t="s">
        <v>172</v>
      </c>
      <c r="E136" s="60"/>
      <c r="F136" s="59"/>
      <c r="G136" s="59"/>
    </row>
    <row r="137" spans="1:17" ht="12.75" customHeight="1" x14ac:dyDescent="0.2">
      <c r="A137" s="54"/>
      <c r="B137" s="154" t="s">
        <v>173</v>
      </c>
      <c r="C137" s="155"/>
      <c r="D137" s="61" t="s">
        <v>143</v>
      </c>
      <c r="E137" s="60"/>
      <c r="F137" s="59"/>
      <c r="G137" s="59"/>
    </row>
    <row r="138" spans="1:17" x14ac:dyDescent="0.2">
      <c r="A138" s="62"/>
      <c r="B138" s="63" t="s">
        <v>143</v>
      </c>
      <c r="C138" s="63" t="s">
        <v>858</v>
      </c>
      <c r="D138" s="63" t="s">
        <v>174</v>
      </c>
      <c r="E138" s="62"/>
      <c r="F138" s="62"/>
      <c r="G138" s="62"/>
      <c r="H138" s="62"/>
      <c r="J138" s="56"/>
    </row>
    <row r="139" spans="1:17" x14ac:dyDescent="0.2">
      <c r="A139" s="62"/>
      <c r="B139" s="64" t="s">
        <v>175</v>
      </c>
      <c r="C139" s="65">
        <v>45808</v>
      </c>
      <c r="D139" s="65">
        <v>45838</v>
      </c>
      <c r="E139" s="62"/>
      <c r="F139" s="62"/>
      <c r="G139" s="62"/>
      <c r="J139" s="56"/>
    </row>
    <row r="140" spans="1:17" x14ac:dyDescent="0.2">
      <c r="A140" s="66"/>
      <c r="B140" s="36" t="s">
        <v>176</v>
      </c>
      <c r="C140" s="67">
        <v>228.79150000000001</v>
      </c>
      <c r="D140" s="67">
        <v>236.40350000000001</v>
      </c>
      <c r="E140" s="66"/>
      <c r="F140" s="68"/>
      <c r="G140" s="69"/>
    </row>
    <row r="141" spans="1:17" x14ac:dyDescent="0.2">
      <c r="A141" s="66"/>
      <c r="B141" s="36" t="s">
        <v>1086</v>
      </c>
      <c r="C141" s="67">
        <v>20.342600000000001</v>
      </c>
      <c r="D141" s="67">
        <v>20.863499999999998</v>
      </c>
      <c r="E141" s="66"/>
      <c r="F141" s="68"/>
      <c r="G141" s="69"/>
    </row>
    <row r="142" spans="1:17" x14ac:dyDescent="0.2">
      <c r="A142" s="66"/>
      <c r="B142" s="36" t="s">
        <v>177</v>
      </c>
      <c r="C142" s="67">
        <v>216.1378</v>
      </c>
      <c r="D142" s="67">
        <v>223.23339999999999</v>
      </c>
      <c r="E142" s="66"/>
      <c r="F142" s="68"/>
      <c r="G142" s="69"/>
    </row>
    <row r="143" spans="1:17" x14ac:dyDescent="0.2">
      <c r="A143" s="66"/>
      <c r="B143" s="36" t="s">
        <v>1087</v>
      </c>
      <c r="C143" s="67">
        <v>16.753900000000002</v>
      </c>
      <c r="D143" s="67">
        <v>17.1755</v>
      </c>
      <c r="E143" s="66"/>
      <c r="F143" s="68"/>
      <c r="G143" s="69"/>
    </row>
    <row r="144" spans="1:17" x14ac:dyDescent="0.2">
      <c r="A144" s="66"/>
      <c r="B144" s="66"/>
      <c r="C144" s="66"/>
      <c r="D144" s="66"/>
      <c r="E144" s="66"/>
      <c r="F144" s="66"/>
      <c r="G144" s="66"/>
    </row>
    <row r="145" spans="1:7" x14ac:dyDescent="0.2">
      <c r="A145" s="66"/>
      <c r="B145" s="163" t="s">
        <v>860</v>
      </c>
      <c r="C145" s="164"/>
      <c r="D145" s="42" t="s">
        <v>143</v>
      </c>
      <c r="E145" s="66"/>
      <c r="F145" s="66"/>
      <c r="G145" s="66"/>
    </row>
    <row r="146" spans="1:7" x14ac:dyDescent="0.2">
      <c r="A146" s="66"/>
      <c r="B146" s="81" t="s">
        <v>175</v>
      </c>
      <c r="C146" s="82" t="s">
        <v>628</v>
      </c>
      <c r="D146" s="82" t="s">
        <v>629</v>
      </c>
      <c r="E146" s="66"/>
      <c r="F146" s="66"/>
      <c r="G146" s="66"/>
    </row>
    <row r="147" spans="1:7" x14ac:dyDescent="0.2">
      <c r="A147" s="66"/>
      <c r="B147" s="36" t="s">
        <v>1086</v>
      </c>
      <c r="C147" s="83">
        <v>0.153</v>
      </c>
      <c r="D147" s="83">
        <v>0.153</v>
      </c>
      <c r="E147" s="66"/>
      <c r="F147" s="68"/>
      <c r="G147" s="69"/>
    </row>
    <row r="148" spans="1:7" x14ac:dyDescent="0.2">
      <c r="A148" s="66"/>
      <c r="B148" s="36" t="s">
        <v>1087</v>
      </c>
      <c r="C148" s="83">
        <v>0.126</v>
      </c>
      <c r="D148" s="83">
        <v>0.126</v>
      </c>
      <c r="E148" s="66"/>
      <c r="F148" s="68"/>
      <c r="G148" s="69"/>
    </row>
    <row r="149" spans="1:7" x14ac:dyDescent="0.2">
      <c r="A149" s="66"/>
      <c r="B149" s="70"/>
      <c r="C149" s="70"/>
      <c r="D149" s="70"/>
      <c r="E149" s="66"/>
      <c r="F149" s="66"/>
      <c r="G149" s="66"/>
    </row>
    <row r="150" spans="1:7" ht="30" customHeight="1" x14ac:dyDescent="0.2">
      <c r="A150" s="62"/>
      <c r="B150" s="154" t="s">
        <v>178</v>
      </c>
      <c r="C150" s="155"/>
      <c r="D150" s="33" t="s">
        <v>172</v>
      </c>
      <c r="E150" s="71"/>
      <c r="F150" s="62"/>
      <c r="G150" s="62"/>
    </row>
    <row r="151" spans="1:7" ht="27.75" customHeight="1" x14ac:dyDescent="0.2">
      <c r="A151" s="62"/>
      <c r="B151" s="154" t="s">
        <v>179</v>
      </c>
      <c r="C151" s="155"/>
      <c r="D151" s="33" t="s">
        <v>172</v>
      </c>
      <c r="E151" s="71"/>
      <c r="F151" s="62"/>
      <c r="G151" s="62"/>
    </row>
    <row r="152" spans="1:7" x14ac:dyDescent="0.2">
      <c r="A152" s="62"/>
      <c r="B152" s="154" t="s">
        <v>180</v>
      </c>
      <c r="C152" s="155"/>
      <c r="D152" s="33" t="s">
        <v>172</v>
      </c>
      <c r="E152" s="71"/>
      <c r="F152" s="62"/>
      <c r="G152" s="62"/>
    </row>
    <row r="153" spans="1:7" x14ac:dyDescent="0.2">
      <c r="A153" s="62"/>
      <c r="B153" s="154" t="s">
        <v>181</v>
      </c>
      <c r="C153" s="155"/>
      <c r="D153" s="72">
        <v>0.35382288182398552</v>
      </c>
      <c r="E153" s="62"/>
      <c r="F153" s="55"/>
      <c r="G153" s="73"/>
    </row>
    <row r="155" spans="1:7" x14ac:dyDescent="0.2">
      <c r="B155" s="156" t="s">
        <v>861</v>
      </c>
      <c r="C155" s="156"/>
    </row>
    <row r="157" spans="1:7" ht="153.75" customHeight="1" x14ac:dyDescent="0.2"/>
    <row r="160" spans="1:7" x14ac:dyDescent="0.2">
      <c r="B160" s="79" t="s">
        <v>862</v>
      </c>
      <c r="C160" s="80"/>
      <c r="D160" s="79"/>
    </row>
    <row r="161" spans="2:10" x14ac:dyDescent="0.2">
      <c r="B161" s="79" t="s">
        <v>936</v>
      </c>
      <c r="D161" s="79"/>
    </row>
    <row r="162" spans="2:10" ht="165" customHeight="1" x14ac:dyDescent="0.2"/>
    <row r="164" spans="2:10" x14ac:dyDescent="0.2">
      <c r="J164" s="31"/>
    </row>
  </sheetData>
  <mergeCells count="18">
    <mergeCell ref="B152:C152"/>
    <mergeCell ref="B145:C145"/>
    <mergeCell ref="B150:C150"/>
    <mergeCell ref="B151:C151"/>
    <mergeCell ref="B155:C155"/>
    <mergeCell ref="A1:H1"/>
    <mergeCell ref="A2:H2"/>
    <mergeCell ref="A3:H3"/>
    <mergeCell ref="B128:H128"/>
    <mergeCell ref="B129:H129"/>
    <mergeCell ref="B136:C136"/>
    <mergeCell ref="B137:C137"/>
    <mergeCell ref="B153:C153"/>
    <mergeCell ref="B130:H130"/>
    <mergeCell ref="B131:H131"/>
    <mergeCell ref="B132:H132"/>
    <mergeCell ref="B134:D134"/>
    <mergeCell ref="B135:C135"/>
  </mergeCells>
  <hyperlinks>
    <hyperlink ref="I1" location="Index!B2" display="Index" xr:uid="{244076BB-AC95-4AA8-B19C-BF9335AF658E}"/>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4368-9229-45F9-BA3A-DA6289F862A1}">
  <sheetPr>
    <outlinePr summaryBelow="0" summaryRight="0"/>
  </sheetPr>
  <dimension ref="A1:Q137"/>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815</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31</v>
      </c>
      <c r="C7" s="36" t="s">
        <v>32</v>
      </c>
      <c r="D7" s="36" t="s">
        <v>33</v>
      </c>
      <c r="E7" s="37">
        <v>2365000</v>
      </c>
      <c r="F7" s="38">
        <v>34193.17</v>
      </c>
      <c r="G7" s="39">
        <v>9.8507449999999996E-2</v>
      </c>
      <c r="H7" s="34" t="s">
        <v>143</v>
      </c>
    </row>
    <row r="8" spans="1:9" x14ac:dyDescent="0.2">
      <c r="A8" s="35">
        <v>2</v>
      </c>
      <c r="B8" s="36" t="s">
        <v>322</v>
      </c>
      <c r="C8" s="36" t="s">
        <v>323</v>
      </c>
      <c r="D8" s="36" t="s">
        <v>33</v>
      </c>
      <c r="E8" s="37">
        <v>1639044</v>
      </c>
      <c r="F8" s="38">
        <v>32805.465660000002</v>
      </c>
      <c r="G8" s="39">
        <v>9.4509590000000004E-2</v>
      </c>
      <c r="H8" s="34" t="s">
        <v>143</v>
      </c>
    </row>
    <row r="9" spans="1:9" x14ac:dyDescent="0.2">
      <c r="A9" s="35">
        <v>3</v>
      </c>
      <c r="B9" s="36" t="s">
        <v>11</v>
      </c>
      <c r="C9" s="36" t="s">
        <v>12</v>
      </c>
      <c r="D9" s="36" t="s">
        <v>13</v>
      </c>
      <c r="E9" s="37">
        <v>977000</v>
      </c>
      <c r="F9" s="38">
        <v>19633.792000000001</v>
      </c>
      <c r="G9" s="39">
        <v>5.6563189999999999E-2</v>
      </c>
      <c r="H9" s="34" t="s">
        <v>143</v>
      </c>
    </row>
    <row r="10" spans="1:9" x14ac:dyDescent="0.2">
      <c r="A10" s="35">
        <v>4</v>
      </c>
      <c r="B10" s="36" t="s">
        <v>328</v>
      </c>
      <c r="C10" s="36" t="s">
        <v>329</v>
      </c>
      <c r="D10" s="36" t="s">
        <v>198</v>
      </c>
      <c r="E10" s="37">
        <v>1067000</v>
      </c>
      <c r="F10" s="38">
        <v>17091.205999999998</v>
      </c>
      <c r="G10" s="39">
        <v>4.9238230000000001E-2</v>
      </c>
      <c r="H10" s="34" t="s">
        <v>143</v>
      </c>
    </row>
    <row r="11" spans="1:9" x14ac:dyDescent="0.2">
      <c r="A11" s="35">
        <v>5</v>
      </c>
      <c r="B11" s="36" t="s">
        <v>14</v>
      </c>
      <c r="C11" s="36" t="s">
        <v>15</v>
      </c>
      <c r="D11" s="36" t="s">
        <v>16</v>
      </c>
      <c r="E11" s="37">
        <v>1011076</v>
      </c>
      <c r="F11" s="38">
        <v>15172.206456</v>
      </c>
      <c r="G11" s="39">
        <v>4.370976E-2</v>
      </c>
      <c r="H11" s="34" t="s">
        <v>143</v>
      </c>
    </row>
    <row r="12" spans="1:9" ht="25.5" x14ac:dyDescent="0.2">
      <c r="A12" s="35">
        <v>6</v>
      </c>
      <c r="B12" s="36" t="s">
        <v>716</v>
      </c>
      <c r="C12" s="36" t="s">
        <v>717</v>
      </c>
      <c r="D12" s="36" t="s">
        <v>201</v>
      </c>
      <c r="E12" s="37">
        <v>1019304</v>
      </c>
      <c r="F12" s="38">
        <v>13080.728231999999</v>
      </c>
      <c r="G12" s="39">
        <v>3.76844E-2</v>
      </c>
      <c r="H12" s="34" t="s">
        <v>143</v>
      </c>
    </row>
    <row r="13" spans="1:9" x14ac:dyDescent="0.2">
      <c r="A13" s="35">
        <v>7</v>
      </c>
      <c r="B13" s="36" t="s">
        <v>324</v>
      </c>
      <c r="C13" s="36" t="s">
        <v>325</v>
      </c>
      <c r="D13" s="36" t="s">
        <v>33</v>
      </c>
      <c r="E13" s="37">
        <v>976671</v>
      </c>
      <c r="F13" s="38">
        <v>11712.238632000001</v>
      </c>
      <c r="G13" s="39">
        <v>3.374191E-2</v>
      </c>
      <c r="H13" s="34" t="s">
        <v>143</v>
      </c>
    </row>
    <row r="14" spans="1:9" x14ac:dyDescent="0.2">
      <c r="A14" s="35">
        <v>8</v>
      </c>
      <c r="B14" s="36" t="s">
        <v>37</v>
      </c>
      <c r="C14" s="36" t="s">
        <v>38</v>
      </c>
      <c r="D14" s="36" t="s">
        <v>16</v>
      </c>
      <c r="E14" s="37">
        <v>3353195</v>
      </c>
      <c r="F14" s="38">
        <v>11130.930802499999</v>
      </c>
      <c r="G14" s="39">
        <v>3.2067209999999999E-2</v>
      </c>
      <c r="H14" s="34" t="s">
        <v>143</v>
      </c>
    </row>
    <row r="15" spans="1:9" ht="25.5" x14ac:dyDescent="0.2">
      <c r="A15" s="35">
        <v>9</v>
      </c>
      <c r="B15" s="36" t="s">
        <v>348</v>
      </c>
      <c r="C15" s="36" t="s">
        <v>349</v>
      </c>
      <c r="D15" s="36" t="s">
        <v>201</v>
      </c>
      <c r="E15" s="37">
        <v>662000</v>
      </c>
      <c r="F15" s="38">
        <v>11093.134</v>
      </c>
      <c r="G15" s="39">
        <v>3.1958319999999998E-2</v>
      </c>
      <c r="H15" s="34" t="s">
        <v>143</v>
      </c>
    </row>
    <row r="16" spans="1:9" x14ac:dyDescent="0.2">
      <c r="A16" s="35">
        <v>10</v>
      </c>
      <c r="B16" s="36" t="s">
        <v>714</v>
      </c>
      <c r="C16" s="36" t="s">
        <v>715</v>
      </c>
      <c r="D16" s="36" t="s">
        <v>256</v>
      </c>
      <c r="E16" s="37">
        <v>543333</v>
      </c>
      <c r="F16" s="38">
        <v>11085.079866</v>
      </c>
      <c r="G16" s="39">
        <v>3.1935119999999997E-2</v>
      </c>
      <c r="H16" s="34" t="s">
        <v>143</v>
      </c>
    </row>
    <row r="17" spans="1:8" x14ac:dyDescent="0.2">
      <c r="A17" s="35">
        <v>11</v>
      </c>
      <c r="B17" s="36" t="s">
        <v>326</v>
      </c>
      <c r="C17" s="36" t="s">
        <v>327</v>
      </c>
      <c r="D17" s="36" t="s">
        <v>33</v>
      </c>
      <c r="E17" s="37">
        <v>496353</v>
      </c>
      <c r="F17" s="38">
        <v>10738.597154999999</v>
      </c>
      <c r="G17" s="39">
        <v>3.0936930000000001E-2</v>
      </c>
      <c r="H17" s="34" t="s">
        <v>143</v>
      </c>
    </row>
    <row r="18" spans="1:8" x14ac:dyDescent="0.2">
      <c r="A18" s="35">
        <v>12</v>
      </c>
      <c r="B18" s="36" t="s">
        <v>46</v>
      </c>
      <c r="C18" s="36" t="s">
        <v>47</v>
      </c>
      <c r="D18" s="36" t="s">
        <v>33</v>
      </c>
      <c r="E18" s="37">
        <v>1307239</v>
      </c>
      <c r="F18" s="38">
        <v>10723.9351365</v>
      </c>
      <c r="G18" s="39">
        <v>3.0894689999999999E-2</v>
      </c>
      <c r="H18" s="34" t="s">
        <v>143</v>
      </c>
    </row>
    <row r="19" spans="1:8" x14ac:dyDescent="0.2">
      <c r="A19" s="35">
        <v>13</v>
      </c>
      <c r="B19" s="36" t="s">
        <v>17</v>
      </c>
      <c r="C19" s="36" t="s">
        <v>18</v>
      </c>
      <c r="D19" s="36" t="s">
        <v>19</v>
      </c>
      <c r="E19" s="37">
        <v>277730</v>
      </c>
      <c r="F19" s="38">
        <v>10192.135539999999</v>
      </c>
      <c r="G19" s="39">
        <v>2.9362630000000001E-2</v>
      </c>
      <c r="H19" s="34" t="s">
        <v>143</v>
      </c>
    </row>
    <row r="20" spans="1:8" x14ac:dyDescent="0.2">
      <c r="A20" s="35">
        <v>14</v>
      </c>
      <c r="B20" s="36" t="s">
        <v>513</v>
      </c>
      <c r="C20" s="36" t="s">
        <v>514</v>
      </c>
      <c r="D20" s="36" t="s">
        <v>198</v>
      </c>
      <c r="E20" s="37">
        <v>596688</v>
      </c>
      <c r="F20" s="38">
        <v>10066.126560000001</v>
      </c>
      <c r="G20" s="39">
        <v>2.89996E-2</v>
      </c>
      <c r="H20" s="34" t="s">
        <v>143</v>
      </c>
    </row>
    <row r="21" spans="1:8" x14ac:dyDescent="0.2">
      <c r="A21" s="35">
        <v>15</v>
      </c>
      <c r="B21" s="36" t="s">
        <v>720</v>
      </c>
      <c r="C21" s="36" t="s">
        <v>721</v>
      </c>
      <c r="D21" s="36" t="s">
        <v>287</v>
      </c>
      <c r="E21" s="37">
        <v>198923</v>
      </c>
      <c r="F21" s="38">
        <v>8697.5103290000006</v>
      </c>
      <c r="G21" s="39">
        <v>2.5056740000000001E-2</v>
      </c>
      <c r="H21" s="34" t="s">
        <v>143</v>
      </c>
    </row>
    <row r="22" spans="1:8" x14ac:dyDescent="0.2">
      <c r="A22" s="35">
        <v>16</v>
      </c>
      <c r="B22" s="36" t="s">
        <v>50</v>
      </c>
      <c r="C22" s="36" t="s">
        <v>51</v>
      </c>
      <c r="D22" s="36" t="s">
        <v>52</v>
      </c>
      <c r="E22" s="37">
        <v>145000</v>
      </c>
      <c r="F22" s="38">
        <v>8665.9249999999993</v>
      </c>
      <c r="G22" s="39">
        <v>2.4965749999999998E-2</v>
      </c>
      <c r="H22" s="34" t="s">
        <v>143</v>
      </c>
    </row>
    <row r="23" spans="1:8" x14ac:dyDescent="0.2">
      <c r="A23" s="35">
        <v>17</v>
      </c>
      <c r="B23" s="36" t="s">
        <v>338</v>
      </c>
      <c r="C23" s="36" t="s">
        <v>339</v>
      </c>
      <c r="D23" s="36" t="s">
        <v>251</v>
      </c>
      <c r="E23" s="37">
        <v>271223</v>
      </c>
      <c r="F23" s="38">
        <v>8633.5705359999993</v>
      </c>
      <c r="G23" s="39">
        <v>2.4872539999999999E-2</v>
      </c>
      <c r="H23" s="34" t="s">
        <v>143</v>
      </c>
    </row>
    <row r="24" spans="1:8" x14ac:dyDescent="0.2">
      <c r="A24" s="35">
        <v>18</v>
      </c>
      <c r="B24" s="36" t="s">
        <v>249</v>
      </c>
      <c r="C24" s="36" t="s">
        <v>250</v>
      </c>
      <c r="D24" s="36" t="s">
        <v>251</v>
      </c>
      <c r="E24" s="37">
        <v>278803</v>
      </c>
      <c r="F24" s="38">
        <v>8135.4715399999995</v>
      </c>
      <c r="G24" s="39">
        <v>2.343756E-2</v>
      </c>
      <c r="H24" s="34" t="s">
        <v>143</v>
      </c>
    </row>
    <row r="25" spans="1:8" ht="25.5" x14ac:dyDescent="0.2">
      <c r="A25" s="35">
        <v>19</v>
      </c>
      <c r="B25" s="36" t="s">
        <v>23</v>
      </c>
      <c r="C25" s="36" t="s">
        <v>24</v>
      </c>
      <c r="D25" s="36" t="s">
        <v>25</v>
      </c>
      <c r="E25" s="37">
        <v>62000</v>
      </c>
      <c r="F25" s="38">
        <v>7497.66</v>
      </c>
      <c r="G25" s="39">
        <v>2.1600080000000001E-2</v>
      </c>
      <c r="H25" s="34" t="s">
        <v>143</v>
      </c>
    </row>
    <row r="26" spans="1:8" x14ac:dyDescent="0.2">
      <c r="A26" s="35">
        <v>20</v>
      </c>
      <c r="B26" s="36" t="s">
        <v>431</v>
      </c>
      <c r="C26" s="36" t="s">
        <v>432</v>
      </c>
      <c r="D26" s="36" t="s">
        <v>256</v>
      </c>
      <c r="E26" s="37">
        <v>373225</v>
      </c>
      <c r="F26" s="38">
        <v>6860.995175</v>
      </c>
      <c r="G26" s="39">
        <v>1.9765910000000001E-2</v>
      </c>
      <c r="H26" s="34" t="s">
        <v>143</v>
      </c>
    </row>
    <row r="27" spans="1:8" ht="25.5" x14ac:dyDescent="0.2">
      <c r="A27" s="35">
        <v>21</v>
      </c>
      <c r="B27" s="36" t="s">
        <v>283</v>
      </c>
      <c r="C27" s="36" t="s">
        <v>284</v>
      </c>
      <c r="D27" s="36" t="s">
        <v>185</v>
      </c>
      <c r="E27" s="37">
        <v>166773</v>
      </c>
      <c r="F27" s="38">
        <v>6845.5313310000001</v>
      </c>
      <c r="G27" s="39">
        <v>1.972136E-2</v>
      </c>
      <c r="H27" s="34" t="s">
        <v>143</v>
      </c>
    </row>
    <row r="28" spans="1:8" x14ac:dyDescent="0.2">
      <c r="A28" s="35">
        <v>22</v>
      </c>
      <c r="B28" s="36" t="s">
        <v>20</v>
      </c>
      <c r="C28" s="36" t="s">
        <v>21</v>
      </c>
      <c r="D28" s="36" t="s">
        <v>22</v>
      </c>
      <c r="E28" s="37">
        <v>1967000</v>
      </c>
      <c r="F28" s="38">
        <v>6587.4830000000002</v>
      </c>
      <c r="G28" s="39">
        <v>1.897795E-2</v>
      </c>
      <c r="H28" s="34" t="s">
        <v>143</v>
      </c>
    </row>
    <row r="29" spans="1:8" x14ac:dyDescent="0.2">
      <c r="A29" s="35">
        <v>23</v>
      </c>
      <c r="B29" s="36" t="s">
        <v>680</v>
      </c>
      <c r="C29" s="36" t="s">
        <v>681</v>
      </c>
      <c r="D29" s="36" t="s">
        <v>70</v>
      </c>
      <c r="E29" s="37">
        <v>1428942</v>
      </c>
      <c r="F29" s="38">
        <v>6205.1806349999997</v>
      </c>
      <c r="G29" s="39">
        <v>1.7876570000000001E-2</v>
      </c>
      <c r="H29" s="34" t="s">
        <v>143</v>
      </c>
    </row>
    <row r="30" spans="1:8" x14ac:dyDescent="0.2">
      <c r="A30" s="35">
        <v>24</v>
      </c>
      <c r="B30" s="36" t="s">
        <v>74</v>
      </c>
      <c r="C30" s="36" t="s">
        <v>75</v>
      </c>
      <c r="D30" s="36" t="s">
        <v>43</v>
      </c>
      <c r="E30" s="37">
        <v>109075</v>
      </c>
      <c r="F30" s="38">
        <v>6076.0228749999997</v>
      </c>
      <c r="G30" s="39">
        <v>1.7504479999999999E-2</v>
      </c>
      <c r="H30" s="34" t="s">
        <v>143</v>
      </c>
    </row>
    <row r="31" spans="1:8" x14ac:dyDescent="0.2">
      <c r="A31" s="35">
        <v>25</v>
      </c>
      <c r="B31" s="36" t="s">
        <v>511</v>
      </c>
      <c r="C31" s="36" t="s">
        <v>512</v>
      </c>
      <c r="D31" s="36" t="s">
        <v>251</v>
      </c>
      <c r="E31" s="37">
        <v>70454</v>
      </c>
      <c r="F31" s="38">
        <v>5901.2270399999998</v>
      </c>
      <c r="G31" s="39">
        <v>1.7000899999999999E-2</v>
      </c>
      <c r="H31" s="34" t="s">
        <v>143</v>
      </c>
    </row>
    <row r="32" spans="1:8" x14ac:dyDescent="0.2">
      <c r="A32" s="35">
        <v>26</v>
      </c>
      <c r="B32" s="36" t="s">
        <v>357</v>
      </c>
      <c r="C32" s="36" t="s">
        <v>358</v>
      </c>
      <c r="D32" s="36" t="s">
        <v>226</v>
      </c>
      <c r="E32" s="37">
        <v>1187500</v>
      </c>
      <c r="F32" s="38">
        <v>5433.40625</v>
      </c>
      <c r="G32" s="39">
        <v>1.5653150000000001E-2</v>
      </c>
      <c r="H32" s="34" t="s">
        <v>143</v>
      </c>
    </row>
    <row r="33" spans="1:8" x14ac:dyDescent="0.2">
      <c r="A33" s="35">
        <v>27</v>
      </c>
      <c r="B33" s="36" t="s">
        <v>429</v>
      </c>
      <c r="C33" s="36" t="s">
        <v>430</v>
      </c>
      <c r="D33" s="36" t="s">
        <v>198</v>
      </c>
      <c r="E33" s="37">
        <v>285965</v>
      </c>
      <c r="F33" s="38">
        <v>4943.1909900000001</v>
      </c>
      <c r="G33" s="39">
        <v>1.4240890000000001E-2</v>
      </c>
      <c r="H33" s="34" t="s">
        <v>143</v>
      </c>
    </row>
    <row r="34" spans="1:8" x14ac:dyDescent="0.2">
      <c r="A34" s="35">
        <v>28</v>
      </c>
      <c r="B34" s="36" t="s">
        <v>219</v>
      </c>
      <c r="C34" s="36" t="s">
        <v>220</v>
      </c>
      <c r="D34" s="36" t="s">
        <v>221</v>
      </c>
      <c r="E34" s="37">
        <v>586911</v>
      </c>
      <c r="F34" s="38">
        <v>4118.9413979999999</v>
      </c>
      <c r="G34" s="39">
        <v>1.18663E-2</v>
      </c>
      <c r="H34" s="34" t="s">
        <v>143</v>
      </c>
    </row>
    <row r="35" spans="1:8" ht="25.5" x14ac:dyDescent="0.2">
      <c r="A35" s="35">
        <v>29</v>
      </c>
      <c r="B35" s="36" t="s">
        <v>438</v>
      </c>
      <c r="C35" s="36" t="s">
        <v>439</v>
      </c>
      <c r="D35" s="36" t="s">
        <v>209</v>
      </c>
      <c r="E35" s="37">
        <v>319989</v>
      </c>
      <c r="F35" s="38">
        <v>3516.359121</v>
      </c>
      <c r="G35" s="39">
        <v>1.013031E-2</v>
      </c>
      <c r="H35" s="34" t="s">
        <v>143</v>
      </c>
    </row>
    <row r="36" spans="1:8" x14ac:dyDescent="0.2">
      <c r="A36" s="35">
        <v>30</v>
      </c>
      <c r="B36" s="36" t="s">
        <v>344</v>
      </c>
      <c r="C36" s="36" t="s">
        <v>345</v>
      </c>
      <c r="D36" s="36" t="s">
        <v>287</v>
      </c>
      <c r="E36" s="37">
        <v>235000</v>
      </c>
      <c r="F36" s="38">
        <v>3497.5050000000001</v>
      </c>
      <c r="G36" s="39">
        <v>1.0076E-2</v>
      </c>
      <c r="H36" s="34" t="s">
        <v>143</v>
      </c>
    </row>
    <row r="37" spans="1:8" x14ac:dyDescent="0.2">
      <c r="A37" s="35">
        <v>31</v>
      </c>
      <c r="B37" s="36" t="s">
        <v>507</v>
      </c>
      <c r="C37" s="36" t="s">
        <v>508</v>
      </c>
      <c r="D37" s="36" t="s">
        <v>226</v>
      </c>
      <c r="E37" s="37">
        <v>237000</v>
      </c>
      <c r="F37" s="38">
        <v>3384.5970000000002</v>
      </c>
      <c r="G37" s="39">
        <v>9.7507199999999992E-3</v>
      </c>
      <c r="H37" s="34" t="s">
        <v>143</v>
      </c>
    </row>
    <row r="38" spans="1:8" x14ac:dyDescent="0.2">
      <c r="A38" s="35">
        <v>32</v>
      </c>
      <c r="B38" s="36" t="s">
        <v>105</v>
      </c>
      <c r="C38" s="36" t="s">
        <v>106</v>
      </c>
      <c r="D38" s="36" t="s">
        <v>73</v>
      </c>
      <c r="E38" s="37">
        <v>85031</v>
      </c>
      <c r="F38" s="38">
        <v>3224.885706</v>
      </c>
      <c r="G38" s="39">
        <v>9.2906099999999995E-3</v>
      </c>
      <c r="H38" s="34" t="s">
        <v>143</v>
      </c>
    </row>
    <row r="39" spans="1:8" x14ac:dyDescent="0.2">
      <c r="A39" s="35">
        <v>33</v>
      </c>
      <c r="B39" s="36" t="s">
        <v>736</v>
      </c>
      <c r="C39" s="36" t="s">
        <v>737</v>
      </c>
      <c r="D39" s="36" t="s">
        <v>55</v>
      </c>
      <c r="E39" s="37">
        <v>281548</v>
      </c>
      <c r="F39" s="38">
        <v>3043.53388</v>
      </c>
      <c r="G39" s="39">
        <v>8.7681500000000006E-3</v>
      </c>
      <c r="H39" s="34" t="s">
        <v>143</v>
      </c>
    </row>
    <row r="40" spans="1:8" x14ac:dyDescent="0.2">
      <c r="A40" s="41"/>
      <c r="B40" s="41"/>
      <c r="C40" s="42" t="s">
        <v>142</v>
      </c>
      <c r="D40" s="41"/>
      <c r="E40" s="41" t="s">
        <v>143</v>
      </c>
      <c r="F40" s="43">
        <v>329987.74284600001</v>
      </c>
      <c r="G40" s="44">
        <v>0.95066499999999998</v>
      </c>
      <c r="H40" s="34" t="s">
        <v>143</v>
      </c>
    </row>
    <row r="41" spans="1:8" x14ac:dyDescent="0.2">
      <c r="A41" s="41"/>
      <c r="B41" s="41"/>
      <c r="C41" s="45"/>
      <c r="D41" s="41"/>
      <c r="E41" s="41"/>
      <c r="F41" s="46"/>
      <c r="G41" s="46"/>
      <c r="H41" s="34" t="s">
        <v>143</v>
      </c>
    </row>
    <row r="42" spans="1:8" x14ac:dyDescent="0.2">
      <c r="A42" s="41"/>
      <c r="B42" s="41"/>
      <c r="C42" s="42" t="s">
        <v>144</v>
      </c>
      <c r="D42" s="41"/>
      <c r="E42" s="41"/>
      <c r="F42" s="41"/>
      <c r="G42" s="41"/>
      <c r="H42" s="34" t="s">
        <v>143</v>
      </c>
    </row>
    <row r="43" spans="1:8" x14ac:dyDescent="0.2">
      <c r="A43" s="41"/>
      <c r="B43" s="41"/>
      <c r="C43" s="42" t="s">
        <v>142</v>
      </c>
      <c r="D43" s="41"/>
      <c r="E43" s="41" t="s">
        <v>143</v>
      </c>
      <c r="F43" s="47" t="s">
        <v>145</v>
      </c>
      <c r="G43" s="44">
        <v>0</v>
      </c>
      <c r="H43" s="34" t="s">
        <v>143</v>
      </c>
    </row>
    <row r="44" spans="1:8" x14ac:dyDescent="0.2">
      <c r="A44" s="41"/>
      <c r="B44" s="41"/>
      <c r="C44" s="45"/>
      <c r="D44" s="41"/>
      <c r="E44" s="41"/>
      <c r="F44" s="46"/>
      <c r="G44" s="46"/>
      <c r="H44" s="34" t="s">
        <v>143</v>
      </c>
    </row>
    <row r="45" spans="1:8" x14ac:dyDescent="0.2">
      <c r="A45" s="41"/>
      <c r="B45" s="41"/>
      <c r="C45" s="42" t="s">
        <v>146</v>
      </c>
      <c r="D45" s="41"/>
      <c r="E45" s="41"/>
      <c r="F45" s="41"/>
      <c r="G45" s="41"/>
      <c r="H45" s="34" t="s">
        <v>143</v>
      </c>
    </row>
    <row r="46" spans="1:8" x14ac:dyDescent="0.2">
      <c r="A46" s="41"/>
      <c r="B46" s="41"/>
      <c r="C46" s="42" t="s">
        <v>142</v>
      </c>
      <c r="D46" s="41"/>
      <c r="E46" s="41" t="s">
        <v>143</v>
      </c>
      <c r="F46" s="47" t="s">
        <v>145</v>
      </c>
      <c r="G46" s="44">
        <v>0</v>
      </c>
      <c r="H46" s="34" t="s">
        <v>143</v>
      </c>
    </row>
    <row r="47" spans="1:8" x14ac:dyDescent="0.2">
      <c r="A47" s="41"/>
      <c r="B47" s="41"/>
      <c r="C47" s="45"/>
      <c r="D47" s="41"/>
      <c r="E47" s="41"/>
      <c r="F47" s="46"/>
      <c r="G47" s="46"/>
      <c r="H47" s="34" t="s">
        <v>143</v>
      </c>
    </row>
    <row r="48" spans="1:8" x14ac:dyDescent="0.2">
      <c r="A48" s="41"/>
      <c r="B48" s="41"/>
      <c r="C48" s="42" t="s">
        <v>147</v>
      </c>
      <c r="D48" s="41"/>
      <c r="E48" s="41"/>
      <c r="F48" s="41"/>
      <c r="G48" s="41"/>
      <c r="H48" s="34" t="s">
        <v>143</v>
      </c>
    </row>
    <row r="49" spans="1:8" x14ac:dyDescent="0.2">
      <c r="A49" s="41"/>
      <c r="B49" s="41"/>
      <c r="C49" s="42" t="s">
        <v>142</v>
      </c>
      <c r="D49" s="41"/>
      <c r="E49" s="41" t="s">
        <v>143</v>
      </c>
      <c r="F49" s="47" t="s">
        <v>145</v>
      </c>
      <c r="G49" s="44">
        <v>0</v>
      </c>
      <c r="H49" s="34" t="s">
        <v>143</v>
      </c>
    </row>
    <row r="50" spans="1:8" x14ac:dyDescent="0.2">
      <c r="A50" s="41"/>
      <c r="B50" s="41"/>
      <c r="C50" s="45"/>
      <c r="D50" s="41"/>
      <c r="E50" s="41"/>
      <c r="F50" s="46"/>
      <c r="G50" s="46"/>
      <c r="H50" s="34" t="s">
        <v>143</v>
      </c>
    </row>
    <row r="51" spans="1:8" x14ac:dyDescent="0.2">
      <c r="A51" s="41"/>
      <c r="B51" s="41"/>
      <c r="C51" s="42" t="s">
        <v>148</v>
      </c>
      <c r="D51" s="41"/>
      <c r="E51" s="41"/>
      <c r="F51" s="46"/>
      <c r="G51" s="46"/>
      <c r="H51" s="34" t="s">
        <v>143</v>
      </c>
    </row>
    <row r="52" spans="1:8" x14ac:dyDescent="0.2">
      <c r="A52" s="41"/>
      <c r="B52" s="41"/>
      <c r="C52" s="42" t="s">
        <v>142</v>
      </c>
      <c r="D52" s="41"/>
      <c r="E52" s="41" t="s">
        <v>143</v>
      </c>
      <c r="F52" s="47" t="s">
        <v>145</v>
      </c>
      <c r="G52" s="44">
        <v>0</v>
      </c>
      <c r="H52" s="34" t="s">
        <v>143</v>
      </c>
    </row>
    <row r="53" spans="1:8" x14ac:dyDescent="0.2">
      <c r="A53" s="41"/>
      <c r="B53" s="41"/>
      <c r="C53" s="45"/>
      <c r="D53" s="41"/>
      <c r="E53" s="41"/>
      <c r="F53" s="46"/>
      <c r="G53" s="46"/>
      <c r="H53" s="34" t="s">
        <v>143</v>
      </c>
    </row>
    <row r="54" spans="1:8" x14ac:dyDescent="0.2">
      <c r="A54" s="41"/>
      <c r="B54" s="41"/>
      <c r="C54" s="42" t="s">
        <v>149</v>
      </c>
      <c r="D54" s="41"/>
      <c r="E54" s="41"/>
      <c r="F54" s="46"/>
      <c r="G54" s="46"/>
      <c r="H54" s="34" t="s">
        <v>143</v>
      </c>
    </row>
    <row r="55" spans="1:8" x14ac:dyDescent="0.2">
      <c r="A55" s="41"/>
      <c r="B55" s="41"/>
      <c r="C55" s="42" t="s">
        <v>142</v>
      </c>
      <c r="D55" s="41"/>
      <c r="E55" s="41" t="s">
        <v>143</v>
      </c>
      <c r="F55" s="47" t="s">
        <v>145</v>
      </c>
      <c r="G55" s="44">
        <v>0</v>
      </c>
      <c r="H55" s="34" t="s">
        <v>143</v>
      </c>
    </row>
    <row r="56" spans="1:8" x14ac:dyDescent="0.2">
      <c r="A56" s="41"/>
      <c r="B56" s="41"/>
      <c r="C56" s="45"/>
      <c r="D56" s="41"/>
      <c r="E56" s="41"/>
      <c r="F56" s="46"/>
      <c r="G56" s="46"/>
      <c r="H56" s="34" t="s">
        <v>143</v>
      </c>
    </row>
    <row r="57" spans="1:8" x14ac:dyDescent="0.2">
      <c r="A57" s="41"/>
      <c r="B57" s="41"/>
      <c r="C57" s="42" t="s">
        <v>150</v>
      </c>
      <c r="D57" s="41"/>
      <c r="E57" s="41"/>
      <c r="F57" s="43">
        <v>329987.74284600001</v>
      </c>
      <c r="G57" s="44">
        <v>0.95066499999999998</v>
      </c>
      <c r="H57" s="34" t="s">
        <v>143</v>
      </c>
    </row>
    <row r="58" spans="1:8" x14ac:dyDescent="0.2">
      <c r="A58" s="41"/>
      <c r="B58" s="41"/>
      <c r="C58" s="45"/>
      <c r="D58" s="41"/>
      <c r="E58" s="41"/>
      <c r="F58" s="46"/>
      <c r="G58" s="46"/>
      <c r="H58" s="34" t="s">
        <v>143</v>
      </c>
    </row>
    <row r="59" spans="1:8" x14ac:dyDescent="0.2">
      <c r="A59" s="41"/>
      <c r="B59" s="41"/>
      <c r="C59" s="42" t="s">
        <v>151</v>
      </c>
      <c r="D59" s="41"/>
      <c r="E59" s="41"/>
      <c r="F59" s="46"/>
      <c r="G59" s="46"/>
      <c r="H59" s="34" t="s">
        <v>143</v>
      </c>
    </row>
    <row r="60" spans="1:8" x14ac:dyDescent="0.2">
      <c r="A60" s="41"/>
      <c r="B60" s="41"/>
      <c r="C60" s="42" t="s">
        <v>10</v>
      </c>
      <c r="D60" s="41"/>
      <c r="E60" s="41"/>
      <c r="F60" s="46"/>
      <c r="G60" s="46"/>
      <c r="H60" s="34" t="s">
        <v>143</v>
      </c>
    </row>
    <row r="61" spans="1:8" x14ac:dyDescent="0.2">
      <c r="A61" s="41"/>
      <c r="B61" s="41"/>
      <c r="C61" s="42" t="s">
        <v>142</v>
      </c>
      <c r="D61" s="41"/>
      <c r="E61" s="41" t="s">
        <v>143</v>
      </c>
      <c r="F61" s="47" t="s">
        <v>145</v>
      </c>
      <c r="G61" s="44">
        <v>0</v>
      </c>
      <c r="H61" s="34" t="s">
        <v>143</v>
      </c>
    </row>
    <row r="62" spans="1:8" x14ac:dyDescent="0.2">
      <c r="A62" s="41"/>
      <c r="B62" s="41"/>
      <c r="C62" s="45"/>
      <c r="D62" s="41"/>
      <c r="E62" s="41"/>
      <c r="F62" s="46"/>
      <c r="G62" s="46"/>
      <c r="H62" s="34" t="s">
        <v>143</v>
      </c>
    </row>
    <row r="63" spans="1:8" x14ac:dyDescent="0.2">
      <c r="A63" s="41"/>
      <c r="B63" s="41"/>
      <c r="C63" s="42" t="s">
        <v>152</v>
      </c>
      <c r="D63" s="41"/>
      <c r="E63" s="41"/>
      <c r="F63" s="41"/>
      <c r="G63" s="41"/>
      <c r="H63" s="34" t="s">
        <v>143</v>
      </c>
    </row>
    <row r="64" spans="1:8" x14ac:dyDescent="0.2">
      <c r="A64" s="41"/>
      <c r="B64" s="41"/>
      <c r="C64" s="42" t="s">
        <v>142</v>
      </c>
      <c r="D64" s="41"/>
      <c r="E64" s="41" t="s">
        <v>143</v>
      </c>
      <c r="F64" s="47" t="s">
        <v>145</v>
      </c>
      <c r="G64" s="44">
        <v>0</v>
      </c>
      <c r="H64" s="34" t="s">
        <v>143</v>
      </c>
    </row>
    <row r="65" spans="1:8" x14ac:dyDescent="0.2">
      <c r="A65" s="41"/>
      <c r="B65" s="41"/>
      <c r="C65" s="45"/>
      <c r="D65" s="41"/>
      <c r="E65" s="41"/>
      <c r="F65" s="46"/>
      <c r="G65" s="46"/>
      <c r="H65" s="34" t="s">
        <v>143</v>
      </c>
    </row>
    <row r="66" spans="1:8" x14ac:dyDescent="0.2">
      <c r="A66" s="41"/>
      <c r="B66" s="41"/>
      <c r="C66" s="42" t="s">
        <v>153</v>
      </c>
      <c r="D66" s="41"/>
      <c r="E66" s="41"/>
      <c r="F66" s="41"/>
      <c r="G66" s="41"/>
      <c r="H66" s="34" t="s">
        <v>143</v>
      </c>
    </row>
    <row r="67" spans="1:8" x14ac:dyDescent="0.2">
      <c r="A67" s="41"/>
      <c r="B67" s="41"/>
      <c r="C67" s="42" t="s">
        <v>142</v>
      </c>
      <c r="D67" s="41"/>
      <c r="E67" s="41" t="s">
        <v>143</v>
      </c>
      <c r="F67" s="47" t="s">
        <v>145</v>
      </c>
      <c r="G67" s="44">
        <v>0</v>
      </c>
      <c r="H67" s="34" t="s">
        <v>143</v>
      </c>
    </row>
    <row r="68" spans="1:8" x14ac:dyDescent="0.2">
      <c r="A68" s="41"/>
      <c r="B68" s="41"/>
      <c r="C68" s="45"/>
      <c r="D68" s="41"/>
      <c r="E68" s="41"/>
      <c r="F68" s="46"/>
      <c r="G68" s="46"/>
      <c r="H68" s="34" t="s">
        <v>143</v>
      </c>
    </row>
    <row r="69" spans="1:8" x14ac:dyDescent="0.2">
      <c r="A69" s="41"/>
      <c r="B69" s="41"/>
      <c r="C69" s="42" t="s">
        <v>154</v>
      </c>
      <c r="D69" s="41"/>
      <c r="E69" s="41"/>
      <c r="F69" s="46"/>
      <c r="G69" s="46"/>
      <c r="H69" s="34" t="s">
        <v>143</v>
      </c>
    </row>
    <row r="70" spans="1:8" x14ac:dyDescent="0.2">
      <c r="A70" s="41"/>
      <c r="B70" s="41"/>
      <c r="C70" s="42" t="s">
        <v>142</v>
      </c>
      <c r="D70" s="41"/>
      <c r="E70" s="41" t="s">
        <v>143</v>
      </c>
      <c r="F70" s="47" t="s">
        <v>145</v>
      </c>
      <c r="G70" s="44">
        <v>0</v>
      </c>
      <c r="H70" s="34" t="s">
        <v>143</v>
      </c>
    </row>
    <row r="71" spans="1:8" x14ac:dyDescent="0.2">
      <c r="A71" s="41"/>
      <c r="B71" s="41"/>
      <c r="C71" s="45"/>
      <c r="D71" s="41"/>
      <c r="E71" s="41"/>
      <c r="F71" s="46"/>
      <c r="G71" s="46"/>
      <c r="H71" s="34" t="s">
        <v>143</v>
      </c>
    </row>
    <row r="72" spans="1:8" x14ac:dyDescent="0.2">
      <c r="A72" s="41"/>
      <c r="B72" s="41"/>
      <c r="C72" s="42" t="s">
        <v>155</v>
      </c>
      <c r="D72" s="41"/>
      <c r="E72" s="41"/>
      <c r="F72" s="43">
        <v>0</v>
      </c>
      <c r="G72" s="44">
        <v>0</v>
      </c>
      <c r="H72" s="34" t="s">
        <v>143</v>
      </c>
    </row>
    <row r="73" spans="1:8" x14ac:dyDescent="0.2">
      <c r="A73" s="41"/>
      <c r="B73" s="41"/>
      <c r="C73" s="45"/>
      <c r="D73" s="41"/>
      <c r="E73" s="41"/>
      <c r="F73" s="46"/>
      <c r="G73" s="46"/>
      <c r="H73" s="34" t="s">
        <v>143</v>
      </c>
    </row>
    <row r="74" spans="1:8" x14ac:dyDescent="0.2">
      <c r="A74" s="41"/>
      <c r="B74" s="41"/>
      <c r="C74" s="42" t="s">
        <v>156</v>
      </c>
      <c r="D74" s="41"/>
      <c r="E74" s="41"/>
      <c r="F74" s="46"/>
      <c r="G74" s="46"/>
      <c r="H74" s="34" t="s">
        <v>143</v>
      </c>
    </row>
    <row r="75" spans="1:8" x14ac:dyDescent="0.2">
      <c r="A75" s="41"/>
      <c r="B75" s="41"/>
      <c r="C75" s="42" t="s">
        <v>157</v>
      </c>
      <c r="D75" s="41"/>
      <c r="E75" s="41"/>
      <c r="F75" s="46"/>
      <c r="G75" s="46"/>
      <c r="H75" s="34" t="s">
        <v>143</v>
      </c>
    </row>
    <row r="76" spans="1:8" x14ac:dyDescent="0.2">
      <c r="A76" s="41"/>
      <c r="B76" s="41"/>
      <c r="C76" s="42" t="s">
        <v>142</v>
      </c>
      <c r="D76" s="41"/>
      <c r="E76" s="41" t="s">
        <v>143</v>
      </c>
      <c r="F76" s="47" t="s">
        <v>145</v>
      </c>
      <c r="G76" s="44">
        <v>0</v>
      </c>
      <c r="H76" s="34" t="s">
        <v>143</v>
      </c>
    </row>
    <row r="77" spans="1:8" x14ac:dyDescent="0.2">
      <c r="A77" s="41"/>
      <c r="B77" s="41"/>
      <c r="C77" s="45"/>
      <c r="D77" s="41"/>
      <c r="E77" s="41"/>
      <c r="F77" s="46"/>
      <c r="G77" s="46"/>
      <c r="H77" s="34" t="s">
        <v>143</v>
      </c>
    </row>
    <row r="78" spans="1:8" x14ac:dyDescent="0.2">
      <c r="A78" s="41"/>
      <c r="B78" s="41"/>
      <c r="C78" s="42" t="s">
        <v>158</v>
      </c>
      <c r="D78" s="41"/>
      <c r="E78" s="41"/>
      <c r="F78" s="46"/>
      <c r="G78" s="46"/>
      <c r="H78" s="34" t="s">
        <v>143</v>
      </c>
    </row>
    <row r="79" spans="1:8" x14ac:dyDescent="0.2">
      <c r="A79" s="41"/>
      <c r="B79" s="41"/>
      <c r="C79" s="42" t="s">
        <v>142</v>
      </c>
      <c r="D79" s="41"/>
      <c r="E79" s="41" t="s">
        <v>143</v>
      </c>
      <c r="F79" s="47" t="s">
        <v>145</v>
      </c>
      <c r="G79" s="44">
        <v>0</v>
      </c>
      <c r="H79" s="34" t="s">
        <v>143</v>
      </c>
    </row>
    <row r="80" spans="1:8" x14ac:dyDescent="0.2">
      <c r="A80" s="41"/>
      <c r="B80" s="41"/>
      <c r="C80" s="45"/>
      <c r="D80" s="41"/>
      <c r="E80" s="41"/>
      <c r="F80" s="46"/>
      <c r="G80" s="46"/>
      <c r="H80" s="34" t="s">
        <v>143</v>
      </c>
    </row>
    <row r="81" spans="1:8" x14ac:dyDescent="0.2">
      <c r="A81" s="41"/>
      <c r="B81" s="41"/>
      <c r="C81" s="42" t="s">
        <v>159</v>
      </c>
      <c r="D81" s="41"/>
      <c r="E81" s="41"/>
      <c r="F81" s="46"/>
      <c r="G81" s="46"/>
      <c r="H81" s="34" t="s">
        <v>143</v>
      </c>
    </row>
    <row r="82" spans="1:8" x14ac:dyDescent="0.2">
      <c r="A82" s="41"/>
      <c r="B82" s="41"/>
      <c r="C82" s="42" t="s">
        <v>142</v>
      </c>
      <c r="D82" s="41"/>
      <c r="E82" s="41" t="s">
        <v>143</v>
      </c>
      <c r="F82" s="47" t="s">
        <v>145</v>
      </c>
      <c r="G82" s="44">
        <v>0</v>
      </c>
      <c r="H82" s="34" t="s">
        <v>143</v>
      </c>
    </row>
    <row r="83" spans="1:8" x14ac:dyDescent="0.2">
      <c r="A83" s="41"/>
      <c r="B83" s="41"/>
      <c r="C83" s="45"/>
      <c r="D83" s="41"/>
      <c r="E83" s="41"/>
      <c r="F83" s="46"/>
      <c r="G83" s="46"/>
      <c r="H83" s="34" t="s">
        <v>143</v>
      </c>
    </row>
    <row r="84" spans="1:8" x14ac:dyDescent="0.2">
      <c r="A84" s="41"/>
      <c r="B84" s="41"/>
      <c r="C84" s="42" t="s">
        <v>160</v>
      </c>
      <c r="D84" s="41"/>
      <c r="E84" s="41"/>
      <c r="F84" s="46"/>
      <c r="G84" s="46"/>
      <c r="H84" s="34" t="s">
        <v>143</v>
      </c>
    </row>
    <row r="85" spans="1:8" x14ac:dyDescent="0.2">
      <c r="A85" s="35">
        <v>1</v>
      </c>
      <c r="B85" s="36"/>
      <c r="C85" s="36" t="s">
        <v>161</v>
      </c>
      <c r="D85" s="36"/>
      <c r="E85" s="48"/>
      <c r="F85" s="38">
        <v>16989.114113930998</v>
      </c>
      <c r="G85" s="39">
        <v>4.8944109999999999E-2</v>
      </c>
      <c r="H85" s="34">
        <v>5.47</v>
      </c>
    </row>
    <row r="86" spans="1:8" x14ac:dyDescent="0.2">
      <c r="A86" s="41"/>
      <c r="B86" s="41"/>
      <c r="C86" s="42" t="s">
        <v>142</v>
      </c>
      <c r="D86" s="41"/>
      <c r="E86" s="41" t="s">
        <v>143</v>
      </c>
      <c r="F86" s="43">
        <v>16989.114113930998</v>
      </c>
      <c r="G86" s="44">
        <v>4.8944109999999999E-2</v>
      </c>
      <c r="H86" s="34" t="s">
        <v>143</v>
      </c>
    </row>
    <row r="87" spans="1:8" x14ac:dyDescent="0.2">
      <c r="A87" s="41"/>
      <c r="B87" s="41"/>
      <c r="C87" s="45"/>
      <c r="D87" s="41"/>
      <c r="E87" s="41"/>
      <c r="F87" s="46"/>
      <c r="G87" s="46"/>
      <c r="H87" s="34" t="s">
        <v>143</v>
      </c>
    </row>
    <row r="88" spans="1:8" x14ac:dyDescent="0.2">
      <c r="A88" s="41"/>
      <c r="B88" s="41"/>
      <c r="C88" s="42" t="s">
        <v>162</v>
      </c>
      <c r="D88" s="41"/>
      <c r="E88" s="41"/>
      <c r="F88" s="43">
        <v>16989.114113930998</v>
      </c>
      <c r="G88" s="44">
        <v>4.8944109999999999E-2</v>
      </c>
      <c r="H88" s="34" t="s">
        <v>143</v>
      </c>
    </row>
    <row r="89" spans="1:8" x14ac:dyDescent="0.2">
      <c r="A89" s="41"/>
      <c r="B89" s="41"/>
      <c r="C89" s="46"/>
      <c r="D89" s="41"/>
      <c r="E89" s="41"/>
      <c r="F89" s="41"/>
      <c r="G89" s="41"/>
      <c r="H89" s="34" t="s">
        <v>143</v>
      </c>
    </row>
    <row r="90" spans="1:8" x14ac:dyDescent="0.2">
      <c r="A90" s="41"/>
      <c r="B90" s="41"/>
      <c r="C90" s="42" t="s">
        <v>163</v>
      </c>
      <c r="D90" s="41"/>
      <c r="E90" s="41"/>
      <c r="F90" s="41"/>
      <c r="G90" s="41"/>
      <c r="H90" s="34" t="s">
        <v>143</v>
      </c>
    </row>
    <row r="91" spans="1:8" x14ac:dyDescent="0.2">
      <c r="A91" s="41"/>
      <c r="B91" s="41"/>
      <c r="C91" s="42" t="s">
        <v>164</v>
      </c>
      <c r="D91" s="41"/>
      <c r="E91" s="41"/>
      <c r="F91" s="41"/>
      <c r="G91" s="41"/>
      <c r="H91" s="34" t="s">
        <v>143</v>
      </c>
    </row>
    <row r="92" spans="1:8" x14ac:dyDescent="0.2">
      <c r="A92" s="41"/>
      <c r="B92" s="41"/>
      <c r="C92" s="42" t="s">
        <v>142</v>
      </c>
      <c r="D92" s="41"/>
      <c r="E92" s="41" t="s">
        <v>143</v>
      </c>
      <c r="F92" s="47" t="s">
        <v>145</v>
      </c>
      <c r="G92" s="44">
        <v>0</v>
      </c>
      <c r="H92" s="34" t="s">
        <v>143</v>
      </c>
    </row>
    <row r="93" spans="1:8" x14ac:dyDescent="0.2">
      <c r="A93" s="41"/>
      <c r="B93" s="41"/>
      <c r="C93" s="45"/>
      <c r="D93" s="41"/>
      <c r="E93" s="41"/>
      <c r="F93" s="46"/>
      <c r="G93" s="46"/>
      <c r="H93" s="34" t="s">
        <v>143</v>
      </c>
    </row>
    <row r="94" spans="1:8" x14ac:dyDescent="0.2">
      <c r="A94" s="41"/>
      <c r="B94" s="41"/>
      <c r="C94" s="42" t="s">
        <v>165</v>
      </c>
      <c r="D94" s="41"/>
      <c r="E94" s="41"/>
      <c r="F94" s="41"/>
      <c r="G94" s="41"/>
      <c r="H94" s="34" t="s">
        <v>143</v>
      </c>
    </row>
    <row r="95" spans="1:8" x14ac:dyDescent="0.2">
      <c r="A95" s="41"/>
      <c r="B95" s="41"/>
      <c r="C95" s="42" t="s">
        <v>166</v>
      </c>
      <c r="D95" s="41"/>
      <c r="E95" s="41"/>
      <c r="F95" s="41"/>
      <c r="G95" s="41"/>
      <c r="H95" s="34" t="s">
        <v>143</v>
      </c>
    </row>
    <row r="96" spans="1:8" x14ac:dyDescent="0.2">
      <c r="A96" s="41"/>
      <c r="B96" s="41"/>
      <c r="C96" s="42" t="s">
        <v>142</v>
      </c>
      <c r="D96" s="41"/>
      <c r="E96" s="41" t="s">
        <v>143</v>
      </c>
      <c r="F96" s="47" t="s">
        <v>145</v>
      </c>
      <c r="G96" s="44">
        <v>0</v>
      </c>
      <c r="H96" s="34" t="s">
        <v>143</v>
      </c>
    </row>
    <row r="97" spans="1:17" x14ac:dyDescent="0.2">
      <c r="A97" s="41"/>
      <c r="B97" s="41"/>
      <c r="C97" s="45"/>
      <c r="D97" s="41"/>
      <c r="E97" s="41"/>
      <c r="F97" s="46"/>
      <c r="G97" s="46"/>
      <c r="H97" s="34" t="s">
        <v>143</v>
      </c>
    </row>
    <row r="98" spans="1:17" x14ac:dyDescent="0.2">
      <c r="A98" s="41"/>
      <c r="B98" s="41"/>
      <c r="C98" s="42" t="s">
        <v>167</v>
      </c>
      <c r="D98" s="41"/>
      <c r="E98" s="41"/>
      <c r="F98" s="46"/>
      <c r="G98" s="46"/>
      <c r="H98" s="34" t="s">
        <v>143</v>
      </c>
    </row>
    <row r="99" spans="1:17" x14ac:dyDescent="0.2">
      <c r="A99" s="41"/>
      <c r="B99" s="41"/>
      <c r="C99" s="42" t="s">
        <v>142</v>
      </c>
      <c r="D99" s="41"/>
      <c r="E99" s="41" t="s">
        <v>143</v>
      </c>
      <c r="F99" s="47" t="s">
        <v>145</v>
      </c>
      <c r="G99" s="44">
        <v>0</v>
      </c>
      <c r="H99" s="34" t="s">
        <v>143</v>
      </c>
    </row>
    <row r="100" spans="1:17" x14ac:dyDescent="0.2">
      <c r="A100" s="41"/>
      <c r="B100" s="36"/>
      <c r="C100" s="36"/>
      <c r="D100" s="42"/>
      <c r="E100" s="41"/>
      <c r="F100" s="36"/>
      <c r="G100" s="48"/>
      <c r="H100" s="34" t="s">
        <v>143</v>
      </c>
    </row>
    <row r="101" spans="1:17" x14ac:dyDescent="0.2">
      <c r="A101" s="48"/>
      <c r="B101" s="36"/>
      <c r="C101" s="36" t="s">
        <v>168</v>
      </c>
      <c r="D101" s="36"/>
      <c r="E101" s="48"/>
      <c r="F101" s="38">
        <v>135.68973706</v>
      </c>
      <c r="G101" s="39">
        <v>3.9091000000000001E-4</v>
      </c>
      <c r="H101" s="34" t="s">
        <v>143</v>
      </c>
    </row>
    <row r="102" spans="1:17" x14ac:dyDescent="0.2">
      <c r="A102" s="45"/>
      <c r="B102" s="45"/>
      <c r="C102" s="42" t="s">
        <v>169</v>
      </c>
      <c r="D102" s="46"/>
      <c r="E102" s="46"/>
      <c r="F102" s="43">
        <v>347112.54669699102</v>
      </c>
      <c r="G102" s="51">
        <v>1.0000000200000001</v>
      </c>
      <c r="H102" s="34" t="s">
        <v>143</v>
      </c>
    </row>
    <row r="103" spans="1:17" x14ac:dyDescent="0.2">
      <c r="A103" s="52"/>
      <c r="B103" s="52"/>
      <c r="C103" s="52"/>
      <c r="D103" s="53"/>
      <c r="E103" s="53"/>
      <c r="F103" s="53"/>
      <c r="G103" s="53"/>
    </row>
    <row r="104" spans="1:17" ht="12.75" customHeight="1" x14ac:dyDescent="0.2">
      <c r="A104" s="54"/>
      <c r="B104" s="158" t="s">
        <v>852</v>
      </c>
      <c r="C104" s="158"/>
      <c r="D104" s="158"/>
      <c r="E104" s="158"/>
      <c r="F104" s="158"/>
      <c r="G104" s="158"/>
      <c r="H104" s="158"/>
      <c r="J104" s="56"/>
    </row>
    <row r="105" spans="1:17" ht="12.75" customHeight="1" x14ac:dyDescent="0.2">
      <c r="A105" s="54"/>
      <c r="B105" s="158" t="s">
        <v>853</v>
      </c>
      <c r="C105" s="158"/>
      <c r="D105" s="158"/>
      <c r="E105" s="158"/>
      <c r="F105" s="158"/>
      <c r="G105" s="158"/>
      <c r="H105" s="158"/>
      <c r="J105" s="56"/>
    </row>
    <row r="106" spans="1:17" ht="12.75" customHeight="1" x14ac:dyDescent="0.2">
      <c r="A106" s="54"/>
      <c r="B106" s="158" t="s">
        <v>854</v>
      </c>
      <c r="C106" s="158"/>
      <c r="D106" s="158"/>
      <c r="E106" s="158"/>
      <c r="F106" s="158"/>
      <c r="G106" s="158"/>
      <c r="H106" s="158"/>
      <c r="J106" s="56"/>
    </row>
    <row r="107" spans="1:17" s="58" customFormat="1" ht="52.5" customHeight="1" x14ac:dyDescent="0.25">
      <c r="A107" s="57"/>
      <c r="B107" s="159" t="s">
        <v>855</v>
      </c>
      <c r="C107" s="159"/>
      <c r="D107" s="159"/>
      <c r="E107" s="159"/>
      <c r="F107" s="159"/>
      <c r="G107" s="159"/>
      <c r="H107" s="159"/>
      <c r="I107"/>
      <c r="J107" s="56"/>
      <c r="K107"/>
      <c r="L107"/>
      <c r="M107"/>
      <c r="N107"/>
      <c r="O107"/>
      <c r="P107"/>
      <c r="Q107"/>
    </row>
    <row r="108" spans="1:17" ht="12.75" customHeight="1" x14ac:dyDescent="0.2">
      <c r="A108" s="54"/>
      <c r="B108" s="158" t="s">
        <v>856</v>
      </c>
      <c r="C108" s="158"/>
      <c r="D108" s="158"/>
      <c r="E108" s="158"/>
      <c r="F108" s="158"/>
      <c r="G108" s="158"/>
      <c r="H108" s="158"/>
      <c r="J108" s="56"/>
    </row>
    <row r="109" spans="1:17" x14ac:dyDescent="0.2">
      <c r="A109" s="54"/>
      <c r="B109" s="54"/>
      <c r="C109" s="54"/>
      <c r="D109" s="59"/>
      <c r="E109" s="59"/>
      <c r="F109" s="59"/>
      <c r="G109" s="59"/>
    </row>
    <row r="110" spans="1:17" x14ac:dyDescent="0.2">
      <c r="A110" s="54"/>
      <c r="B110" s="160" t="s">
        <v>170</v>
      </c>
      <c r="C110" s="161"/>
      <c r="D110" s="162"/>
      <c r="E110" s="60"/>
      <c r="F110" s="59"/>
      <c r="G110" s="59"/>
    </row>
    <row r="111" spans="1:17" ht="27.75" customHeight="1" x14ac:dyDescent="0.2">
      <c r="A111" s="54"/>
      <c r="B111" s="154" t="s">
        <v>171</v>
      </c>
      <c r="C111" s="155"/>
      <c r="D111" s="33" t="s">
        <v>172</v>
      </c>
      <c r="E111" s="60"/>
      <c r="F111" s="59"/>
      <c r="G111" s="59"/>
    </row>
    <row r="112" spans="1:17" ht="12.75" customHeight="1" x14ac:dyDescent="0.2">
      <c r="A112" s="54"/>
      <c r="B112" s="154" t="s">
        <v>857</v>
      </c>
      <c r="C112" s="155"/>
      <c r="D112" s="33" t="s">
        <v>172</v>
      </c>
      <c r="E112" s="60"/>
      <c r="F112" s="59"/>
      <c r="G112" s="59"/>
    </row>
    <row r="113" spans="1:10" ht="12.75" customHeight="1" x14ac:dyDescent="0.2">
      <c r="A113" s="54"/>
      <c r="B113" s="154" t="s">
        <v>173</v>
      </c>
      <c r="C113" s="155"/>
      <c r="D113" s="61" t="s">
        <v>143</v>
      </c>
      <c r="E113" s="60"/>
      <c r="F113" s="59"/>
      <c r="G113" s="59"/>
    </row>
    <row r="114" spans="1:10" x14ac:dyDescent="0.2">
      <c r="A114" s="62"/>
      <c r="B114" s="63" t="s">
        <v>143</v>
      </c>
      <c r="C114" s="63" t="s">
        <v>858</v>
      </c>
      <c r="D114" s="63" t="s">
        <v>174</v>
      </c>
      <c r="E114" s="62"/>
      <c r="F114" s="62"/>
      <c r="G114" s="62"/>
      <c r="H114" s="62"/>
      <c r="J114" s="56"/>
    </row>
    <row r="115" spans="1:10" x14ac:dyDescent="0.2">
      <c r="A115" s="62"/>
      <c r="B115" s="64" t="s">
        <v>175</v>
      </c>
      <c r="C115" s="65">
        <v>45808</v>
      </c>
      <c r="D115" s="65">
        <v>45838</v>
      </c>
      <c r="E115" s="62"/>
      <c r="F115" s="62"/>
      <c r="G115" s="62"/>
      <c r="J115" s="56"/>
    </row>
    <row r="116" spans="1:10" x14ac:dyDescent="0.2">
      <c r="A116" s="66"/>
      <c r="B116" s="36" t="s">
        <v>176</v>
      </c>
      <c r="C116" s="67">
        <v>22.413</v>
      </c>
      <c r="D116" s="67">
        <v>23.0518</v>
      </c>
      <c r="E116" s="66"/>
      <c r="F116" s="68"/>
      <c r="G116" s="69"/>
    </row>
    <row r="117" spans="1:10" x14ac:dyDescent="0.2">
      <c r="A117" s="66"/>
      <c r="B117" s="36" t="s">
        <v>1086</v>
      </c>
      <c r="C117" s="67">
        <v>17.4557</v>
      </c>
      <c r="D117" s="67">
        <v>17.953099999999999</v>
      </c>
      <c r="E117" s="66"/>
      <c r="F117" s="68"/>
      <c r="G117" s="69"/>
    </row>
    <row r="118" spans="1:10" x14ac:dyDescent="0.2">
      <c r="A118" s="66"/>
      <c r="B118" s="36" t="s">
        <v>177</v>
      </c>
      <c r="C118" s="67">
        <v>20.911999999999999</v>
      </c>
      <c r="D118" s="67">
        <v>21.485399999999998</v>
      </c>
      <c r="E118" s="66"/>
      <c r="F118" s="68"/>
      <c r="G118" s="69"/>
    </row>
    <row r="119" spans="1:10" x14ac:dyDescent="0.2">
      <c r="A119" s="66"/>
      <c r="B119" s="36" t="s">
        <v>1087</v>
      </c>
      <c r="C119" s="67">
        <v>16.270800000000001</v>
      </c>
      <c r="D119" s="67">
        <v>16.716999999999999</v>
      </c>
      <c r="E119" s="66"/>
      <c r="F119" s="68"/>
      <c r="G119" s="69"/>
    </row>
    <row r="120" spans="1:10" x14ac:dyDescent="0.2">
      <c r="A120" s="66"/>
      <c r="B120" s="66"/>
      <c r="C120" s="66"/>
      <c r="D120" s="66"/>
      <c r="E120" s="66"/>
      <c r="F120" s="66"/>
      <c r="G120" s="66"/>
    </row>
    <row r="121" spans="1:10" x14ac:dyDescent="0.2">
      <c r="A121" s="66"/>
      <c r="B121" s="163" t="s">
        <v>860</v>
      </c>
      <c r="C121" s="164"/>
      <c r="D121" s="33" t="s">
        <v>172</v>
      </c>
      <c r="E121" s="66"/>
      <c r="F121" s="66"/>
      <c r="G121" s="66"/>
    </row>
    <row r="122" spans="1:10" x14ac:dyDescent="0.2">
      <c r="A122" s="66"/>
      <c r="B122" s="70"/>
      <c r="C122" s="70"/>
      <c r="D122" s="70"/>
      <c r="E122" s="66"/>
      <c r="F122" s="66"/>
      <c r="G122" s="66"/>
    </row>
    <row r="123" spans="1:10" ht="26.25" customHeight="1" x14ac:dyDescent="0.2">
      <c r="A123" s="62"/>
      <c r="B123" s="154" t="s">
        <v>178</v>
      </c>
      <c r="C123" s="155"/>
      <c r="D123" s="33" t="s">
        <v>172</v>
      </c>
      <c r="E123" s="71"/>
      <c r="F123" s="62"/>
      <c r="G123" s="62"/>
    </row>
    <row r="124" spans="1:10" ht="27" customHeight="1" x14ac:dyDescent="0.2">
      <c r="A124" s="62"/>
      <c r="B124" s="154" t="s">
        <v>179</v>
      </c>
      <c r="C124" s="155"/>
      <c r="D124" s="33" t="s">
        <v>172</v>
      </c>
      <c r="E124" s="71"/>
      <c r="F124" s="62"/>
      <c r="G124" s="62"/>
    </row>
    <row r="125" spans="1:10" x14ac:dyDescent="0.2">
      <c r="A125" s="62"/>
      <c r="B125" s="154" t="s">
        <v>180</v>
      </c>
      <c r="C125" s="155"/>
      <c r="D125" s="33" t="s">
        <v>172</v>
      </c>
      <c r="E125" s="71"/>
      <c r="F125" s="62"/>
      <c r="G125" s="62"/>
    </row>
    <row r="126" spans="1:10" x14ac:dyDescent="0.2">
      <c r="A126" s="62"/>
      <c r="B126" s="154" t="s">
        <v>181</v>
      </c>
      <c r="C126" s="155"/>
      <c r="D126" s="72">
        <v>0.40237355792856527</v>
      </c>
      <c r="E126" s="62"/>
      <c r="F126" s="55"/>
      <c r="G126" s="73"/>
    </row>
    <row r="128" spans="1:10" x14ac:dyDescent="0.2">
      <c r="B128" s="156" t="s">
        <v>861</v>
      </c>
      <c r="C128" s="156"/>
    </row>
    <row r="130" spans="2:10" ht="153.75" customHeight="1" x14ac:dyDescent="0.2"/>
    <row r="133" spans="2:10" x14ac:dyDescent="0.2">
      <c r="B133" s="79" t="s">
        <v>862</v>
      </c>
      <c r="C133" s="80"/>
      <c r="D133" s="79"/>
    </row>
    <row r="134" spans="2:10" x14ac:dyDescent="0.2">
      <c r="B134" s="79" t="s">
        <v>937</v>
      </c>
      <c r="D134" s="79"/>
    </row>
    <row r="135" spans="2:10" ht="165" customHeight="1" x14ac:dyDescent="0.2"/>
    <row r="137" spans="2:10" x14ac:dyDescent="0.2">
      <c r="J137" s="31"/>
    </row>
  </sheetData>
  <mergeCells count="18">
    <mergeCell ref="A1:H1"/>
    <mergeCell ref="A2:H2"/>
    <mergeCell ref="A3:H3"/>
    <mergeCell ref="B104:H104"/>
    <mergeCell ref="B105:H105"/>
    <mergeCell ref="B106:H106"/>
    <mergeCell ref="B107:H107"/>
    <mergeCell ref="B108:H108"/>
    <mergeCell ref="B110:D110"/>
    <mergeCell ref="B111:C111"/>
    <mergeCell ref="B112:C112"/>
    <mergeCell ref="B113:C113"/>
    <mergeCell ref="B128:C128"/>
    <mergeCell ref="B121:C121"/>
    <mergeCell ref="B125:C125"/>
    <mergeCell ref="B126:C126"/>
    <mergeCell ref="B123:C123"/>
    <mergeCell ref="B124:C124"/>
  </mergeCells>
  <hyperlinks>
    <hyperlink ref="I1" location="Index!B2" display="Index" xr:uid="{BEFCEA46-EF1E-42F7-85DF-C5629BF175AE}"/>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9D466-5B85-4965-BBF1-FA27B6E93818}">
  <sheetPr>
    <outlinePr summaryBelow="0" summaryRight="0"/>
  </sheetPr>
  <dimension ref="A1:Q149"/>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816</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11</v>
      </c>
      <c r="C7" s="36" t="s">
        <v>12</v>
      </c>
      <c r="D7" s="36" t="s">
        <v>13</v>
      </c>
      <c r="E7" s="37">
        <v>508213</v>
      </c>
      <c r="F7" s="38">
        <v>10213.048448</v>
      </c>
      <c r="G7" s="39">
        <v>5.5811909999999999E-2</v>
      </c>
      <c r="H7" s="34" t="s">
        <v>143</v>
      </c>
    </row>
    <row r="8" spans="1:9" x14ac:dyDescent="0.2">
      <c r="A8" s="35">
        <v>2</v>
      </c>
      <c r="B8" s="36" t="s">
        <v>326</v>
      </c>
      <c r="C8" s="36" t="s">
        <v>327</v>
      </c>
      <c r="D8" s="36" t="s">
        <v>33</v>
      </c>
      <c r="E8" s="37">
        <v>443415</v>
      </c>
      <c r="F8" s="38">
        <v>9593.2835250000007</v>
      </c>
      <c r="G8" s="39">
        <v>5.2425039999999999E-2</v>
      </c>
      <c r="H8" s="34" t="s">
        <v>143</v>
      </c>
    </row>
    <row r="9" spans="1:9" x14ac:dyDescent="0.2">
      <c r="A9" s="35">
        <v>3</v>
      </c>
      <c r="B9" s="36" t="s">
        <v>350</v>
      </c>
      <c r="C9" s="36" t="s">
        <v>351</v>
      </c>
      <c r="D9" s="36" t="s">
        <v>287</v>
      </c>
      <c r="E9" s="37">
        <v>3037687</v>
      </c>
      <c r="F9" s="38">
        <v>8024.0502104999996</v>
      </c>
      <c r="G9" s="39">
        <v>4.3849550000000001E-2</v>
      </c>
      <c r="H9" s="34" t="s">
        <v>143</v>
      </c>
    </row>
    <row r="10" spans="1:9" x14ac:dyDescent="0.2">
      <c r="A10" s="35">
        <v>4</v>
      </c>
      <c r="B10" s="36" t="s">
        <v>17</v>
      </c>
      <c r="C10" s="36" t="s">
        <v>18</v>
      </c>
      <c r="D10" s="36" t="s">
        <v>19</v>
      </c>
      <c r="E10" s="37">
        <v>218399</v>
      </c>
      <c r="F10" s="38">
        <v>8014.8065020000004</v>
      </c>
      <c r="G10" s="39">
        <v>4.3799030000000003E-2</v>
      </c>
      <c r="H10" s="34" t="s">
        <v>143</v>
      </c>
    </row>
    <row r="11" spans="1:9" x14ac:dyDescent="0.2">
      <c r="A11" s="35">
        <v>5</v>
      </c>
      <c r="B11" s="36" t="s">
        <v>14</v>
      </c>
      <c r="C11" s="36" t="s">
        <v>15</v>
      </c>
      <c r="D11" s="36" t="s">
        <v>16</v>
      </c>
      <c r="E11" s="37">
        <v>480134</v>
      </c>
      <c r="F11" s="38">
        <v>7204.8908039999997</v>
      </c>
      <c r="G11" s="39">
        <v>3.9373039999999998E-2</v>
      </c>
      <c r="H11" s="34" t="s">
        <v>143</v>
      </c>
    </row>
    <row r="12" spans="1:9" x14ac:dyDescent="0.2">
      <c r="A12" s="35">
        <v>6</v>
      </c>
      <c r="B12" s="36" t="s">
        <v>53</v>
      </c>
      <c r="C12" s="36" t="s">
        <v>54</v>
      </c>
      <c r="D12" s="36" t="s">
        <v>55</v>
      </c>
      <c r="E12" s="37">
        <v>86113</v>
      </c>
      <c r="F12" s="38">
        <v>5829.419535</v>
      </c>
      <c r="G12" s="39">
        <v>3.1856410000000002E-2</v>
      </c>
      <c r="H12" s="34" t="s">
        <v>143</v>
      </c>
    </row>
    <row r="13" spans="1:9" x14ac:dyDescent="0.2">
      <c r="A13" s="35">
        <v>7</v>
      </c>
      <c r="B13" s="36" t="s">
        <v>366</v>
      </c>
      <c r="C13" s="36" t="s">
        <v>367</v>
      </c>
      <c r="D13" s="36" t="s">
        <v>221</v>
      </c>
      <c r="E13" s="37">
        <v>1667730</v>
      </c>
      <c r="F13" s="38">
        <v>5483.4962400000004</v>
      </c>
      <c r="G13" s="39">
        <v>2.9966019999999999E-2</v>
      </c>
      <c r="H13" s="34" t="s">
        <v>143</v>
      </c>
    </row>
    <row r="14" spans="1:9" x14ac:dyDescent="0.2">
      <c r="A14" s="35">
        <v>8</v>
      </c>
      <c r="B14" s="36" t="s">
        <v>340</v>
      </c>
      <c r="C14" s="36" t="s">
        <v>341</v>
      </c>
      <c r="D14" s="36" t="s">
        <v>265</v>
      </c>
      <c r="E14" s="37">
        <v>247262</v>
      </c>
      <c r="F14" s="38">
        <v>4941.0365460000003</v>
      </c>
      <c r="G14" s="39">
        <v>2.7001600000000001E-2</v>
      </c>
      <c r="H14" s="34" t="s">
        <v>143</v>
      </c>
    </row>
    <row r="15" spans="1:9" ht="25.5" x14ac:dyDescent="0.2">
      <c r="A15" s="35">
        <v>9</v>
      </c>
      <c r="B15" s="36" t="s">
        <v>101</v>
      </c>
      <c r="C15" s="36" t="s">
        <v>102</v>
      </c>
      <c r="D15" s="36" t="s">
        <v>25</v>
      </c>
      <c r="E15" s="37">
        <v>778529</v>
      </c>
      <c r="F15" s="38">
        <v>4495.6157105000002</v>
      </c>
      <c r="G15" s="39">
        <v>2.4567479999999999E-2</v>
      </c>
      <c r="H15" s="34" t="s">
        <v>143</v>
      </c>
    </row>
    <row r="16" spans="1:9" x14ac:dyDescent="0.2">
      <c r="A16" s="35">
        <v>10</v>
      </c>
      <c r="B16" s="36" t="s">
        <v>521</v>
      </c>
      <c r="C16" s="36" t="s">
        <v>522</v>
      </c>
      <c r="D16" s="36" t="s">
        <v>256</v>
      </c>
      <c r="E16" s="37">
        <v>546537</v>
      </c>
      <c r="F16" s="38">
        <v>4450.4507910000002</v>
      </c>
      <c r="G16" s="39">
        <v>2.4320669999999999E-2</v>
      </c>
      <c r="H16" s="34" t="s">
        <v>143</v>
      </c>
    </row>
    <row r="17" spans="1:8" x14ac:dyDescent="0.2">
      <c r="A17" s="35">
        <v>11</v>
      </c>
      <c r="B17" s="36" t="s">
        <v>338</v>
      </c>
      <c r="C17" s="36" t="s">
        <v>339</v>
      </c>
      <c r="D17" s="36" t="s">
        <v>251</v>
      </c>
      <c r="E17" s="37">
        <v>135506</v>
      </c>
      <c r="F17" s="38">
        <v>4313.4269919999997</v>
      </c>
      <c r="G17" s="39">
        <v>2.3571870000000002E-2</v>
      </c>
      <c r="H17" s="34" t="s">
        <v>143</v>
      </c>
    </row>
    <row r="18" spans="1:8" x14ac:dyDescent="0.2">
      <c r="A18" s="35">
        <v>12</v>
      </c>
      <c r="B18" s="36" t="s">
        <v>219</v>
      </c>
      <c r="C18" s="36" t="s">
        <v>220</v>
      </c>
      <c r="D18" s="36" t="s">
        <v>221</v>
      </c>
      <c r="E18" s="37">
        <v>604375</v>
      </c>
      <c r="F18" s="38">
        <v>4241.5037499999999</v>
      </c>
      <c r="G18" s="39">
        <v>2.3178819999999999E-2</v>
      </c>
      <c r="H18" s="34" t="s">
        <v>143</v>
      </c>
    </row>
    <row r="19" spans="1:8" ht="25.5" x14ac:dyDescent="0.2">
      <c r="A19" s="35">
        <v>13</v>
      </c>
      <c r="B19" s="36" t="s">
        <v>214</v>
      </c>
      <c r="C19" s="36" t="s">
        <v>215</v>
      </c>
      <c r="D19" s="36" t="s">
        <v>216</v>
      </c>
      <c r="E19" s="37">
        <v>224164</v>
      </c>
      <c r="F19" s="38">
        <v>4088.527196</v>
      </c>
      <c r="G19" s="39">
        <v>2.2342839999999999E-2</v>
      </c>
      <c r="H19" s="34" t="s">
        <v>143</v>
      </c>
    </row>
    <row r="20" spans="1:8" x14ac:dyDescent="0.2">
      <c r="A20" s="35">
        <v>14</v>
      </c>
      <c r="B20" s="36" t="s">
        <v>435</v>
      </c>
      <c r="C20" s="36" t="s">
        <v>436</v>
      </c>
      <c r="D20" s="36" t="s">
        <v>437</v>
      </c>
      <c r="E20" s="37">
        <v>584396</v>
      </c>
      <c r="F20" s="38">
        <v>4048.9876859999999</v>
      </c>
      <c r="G20" s="39">
        <v>2.212677E-2</v>
      </c>
      <c r="H20" s="34" t="s">
        <v>143</v>
      </c>
    </row>
    <row r="21" spans="1:8" x14ac:dyDescent="0.2">
      <c r="A21" s="35">
        <v>15</v>
      </c>
      <c r="B21" s="36" t="s">
        <v>307</v>
      </c>
      <c r="C21" s="36" t="s">
        <v>308</v>
      </c>
      <c r="D21" s="36" t="s">
        <v>73</v>
      </c>
      <c r="E21" s="37">
        <v>80193</v>
      </c>
      <c r="F21" s="38">
        <v>3861.9344940000001</v>
      </c>
      <c r="G21" s="39">
        <v>2.1104560000000001E-2</v>
      </c>
      <c r="H21" s="34" t="s">
        <v>143</v>
      </c>
    </row>
    <row r="22" spans="1:8" x14ac:dyDescent="0.2">
      <c r="A22" s="35">
        <v>16</v>
      </c>
      <c r="B22" s="36" t="s">
        <v>515</v>
      </c>
      <c r="C22" s="36" t="s">
        <v>516</v>
      </c>
      <c r="D22" s="36" t="s">
        <v>43</v>
      </c>
      <c r="E22" s="37">
        <v>397564</v>
      </c>
      <c r="F22" s="38">
        <v>3835.299908</v>
      </c>
      <c r="G22" s="39">
        <v>2.095901E-2</v>
      </c>
      <c r="H22" s="34" t="s">
        <v>143</v>
      </c>
    </row>
    <row r="23" spans="1:8" x14ac:dyDescent="0.2">
      <c r="A23" s="35">
        <v>17</v>
      </c>
      <c r="B23" s="36" t="s">
        <v>224</v>
      </c>
      <c r="C23" s="36" t="s">
        <v>225</v>
      </c>
      <c r="D23" s="36" t="s">
        <v>226</v>
      </c>
      <c r="E23" s="37">
        <v>188178</v>
      </c>
      <c r="F23" s="38">
        <v>3671.540958</v>
      </c>
      <c r="G23" s="39">
        <v>2.006411E-2</v>
      </c>
      <c r="H23" s="34" t="s">
        <v>143</v>
      </c>
    </row>
    <row r="24" spans="1:8" x14ac:dyDescent="0.2">
      <c r="A24" s="35">
        <v>18</v>
      </c>
      <c r="B24" s="36" t="s">
        <v>39</v>
      </c>
      <c r="C24" s="36" t="s">
        <v>40</v>
      </c>
      <c r="D24" s="36" t="s">
        <v>22</v>
      </c>
      <c r="E24" s="37">
        <v>904627</v>
      </c>
      <c r="F24" s="38">
        <v>3667.8101714999998</v>
      </c>
      <c r="G24" s="39">
        <v>2.0043720000000001E-2</v>
      </c>
      <c r="H24" s="34" t="s">
        <v>143</v>
      </c>
    </row>
    <row r="25" spans="1:8" x14ac:dyDescent="0.2">
      <c r="A25" s="35">
        <v>19</v>
      </c>
      <c r="B25" s="36" t="s">
        <v>26</v>
      </c>
      <c r="C25" s="36" t="s">
        <v>27</v>
      </c>
      <c r="D25" s="36" t="s">
        <v>28</v>
      </c>
      <c r="E25" s="37">
        <v>836771</v>
      </c>
      <c r="F25" s="38">
        <v>3526.9897649999998</v>
      </c>
      <c r="G25" s="39">
        <v>1.927417E-2</v>
      </c>
      <c r="H25" s="34" t="s">
        <v>143</v>
      </c>
    </row>
    <row r="26" spans="1:8" x14ac:dyDescent="0.2">
      <c r="A26" s="35">
        <v>20</v>
      </c>
      <c r="B26" s="36" t="s">
        <v>483</v>
      </c>
      <c r="C26" s="36" t="s">
        <v>484</v>
      </c>
      <c r="D26" s="36" t="s">
        <v>265</v>
      </c>
      <c r="E26" s="37">
        <v>272994</v>
      </c>
      <c r="F26" s="38">
        <v>3517.8006839999998</v>
      </c>
      <c r="G26" s="39">
        <v>1.922395E-2</v>
      </c>
      <c r="H26" s="34" t="s">
        <v>143</v>
      </c>
    </row>
    <row r="27" spans="1:8" x14ac:dyDescent="0.2">
      <c r="A27" s="35">
        <v>21</v>
      </c>
      <c r="B27" s="36" t="s">
        <v>817</v>
      </c>
      <c r="C27" s="36" t="s">
        <v>818</v>
      </c>
      <c r="D27" s="36" t="s">
        <v>195</v>
      </c>
      <c r="E27" s="37">
        <v>160489</v>
      </c>
      <c r="F27" s="38">
        <v>3483.253256</v>
      </c>
      <c r="G27" s="39">
        <v>1.9035159999999999E-2</v>
      </c>
      <c r="H27" s="34" t="s">
        <v>143</v>
      </c>
    </row>
    <row r="28" spans="1:8" x14ac:dyDescent="0.2">
      <c r="A28" s="35">
        <v>22</v>
      </c>
      <c r="B28" s="36" t="s">
        <v>427</v>
      </c>
      <c r="C28" s="36" t="s">
        <v>428</v>
      </c>
      <c r="D28" s="36" t="s">
        <v>251</v>
      </c>
      <c r="E28" s="37">
        <v>502561</v>
      </c>
      <c r="F28" s="38">
        <v>3457.6196799999998</v>
      </c>
      <c r="G28" s="39">
        <v>1.8895080000000002E-2</v>
      </c>
      <c r="H28" s="34" t="s">
        <v>143</v>
      </c>
    </row>
    <row r="29" spans="1:8" x14ac:dyDescent="0.2">
      <c r="A29" s="35">
        <v>23</v>
      </c>
      <c r="B29" s="36" t="s">
        <v>107</v>
      </c>
      <c r="C29" s="36" t="s">
        <v>108</v>
      </c>
      <c r="D29" s="36" t="s">
        <v>52</v>
      </c>
      <c r="E29" s="37">
        <v>884502</v>
      </c>
      <c r="F29" s="38">
        <v>3385.8736560000002</v>
      </c>
      <c r="G29" s="39">
        <v>1.8502999999999999E-2</v>
      </c>
      <c r="H29" s="34" t="s">
        <v>143</v>
      </c>
    </row>
    <row r="30" spans="1:8" x14ac:dyDescent="0.2">
      <c r="A30" s="35">
        <v>24</v>
      </c>
      <c r="B30" s="36" t="s">
        <v>80</v>
      </c>
      <c r="C30" s="36" t="s">
        <v>81</v>
      </c>
      <c r="D30" s="36" t="s">
        <v>73</v>
      </c>
      <c r="E30" s="37">
        <v>226581</v>
      </c>
      <c r="F30" s="38">
        <v>3211.1059319999999</v>
      </c>
      <c r="G30" s="39">
        <v>1.7547940000000001E-2</v>
      </c>
      <c r="H30" s="34" t="s">
        <v>143</v>
      </c>
    </row>
    <row r="31" spans="1:8" x14ac:dyDescent="0.2">
      <c r="A31" s="35">
        <v>25</v>
      </c>
      <c r="B31" s="36" t="s">
        <v>507</v>
      </c>
      <c r="C31" s="36" t="s">
        <v>508</v>
      </c>
      <c r="D31" s="36" t="s">
        <v>226</v>
      </c>
      <c r="E31" s="37">
        <v>224589</v>
      </c>
      <c r="F31" s="38">
        <v>3207.355509</v>
      </c>
      <c r="G31" s="39">
        <v>1.7527439999999998E-2</v>
      </c>
      <c r="H31" s="34" t="s">
        <v>143</v>
      </c>
    </row>
    <row r="32" spans="1:8" x14ac:dyDescent="0.2">
      <c r="A32" s="35">
        <v>26</v>
      </c>
      <c r="B32" s="36" t="s">
        <v>241</v>
      </c>
      <c r="C32" s="36" t="s">
        <v>242</v>
      </c>
      <c r="D32" s="36" t="s">
        <v>195</v>
      </c>
      <c r="E32" s="37">
        <v>99875</v>
      </c>
      <c r="F32" s="38">
        <v>2792.8046250000002</v>
      </c>
      <c r="G32" s="39">
        <v>1.5262019999999999E-2</v>
      </c>
      <c r="H32" s="34" t="s">
        <v>143</v>
      </c>
    </row>
    <row r="33" spans="1:8" x14ac:dyDescent="0.2">
      <c r="A33" s="35">
        <v>27</v>
      </c>
      <c r="B33" s="36" t="s">
        <v>266</v>
      </c>
      <c r="C33" s="36" t="s">
        <v>267</v>
      </c>
      <c r="D33" s="36" t="s">
        <v>55</v>
      </c>
      <c r="E33" s="37">
        <v>765716</v>
      </c>
      <c r="F33" s="38">
        <v>2719.4403739999998</v>
      </c>
      <c r="G33" s="39">
        <v>1.48611E-2</v>
      </c>
      <c r="H33" s="34" t="s">
        <v>143</v>
      </c>
    </row>
    <row r="34" spans="1:8" x14ac:dyDescent="0.2">
      <c r="A34" s="35">
        <v>28</v>
      </c>
      <c r="B34" s="36" t="s">
        <v>74</v>
      </c>
      <c r="C34" s="36" t="s">
        <v>75</v>
      </c>
      <c r="D34" s="36" t="s">
        <v>43</v>
      </c>
      <c r="E34" s="37">
        <v>47911</v>
      </c>
      <c r="F34" s="38">
        <v>2668.882255</v>
      </c>
      <c r="G34" s="39">
        <v>1.458481E-2</v>
      </c>
      <c r="H34" s="34" t="s">
        <v>143</v>
      </c>
    </row>
    <row r="35" spans="1:8" x14ac:dyDescent="0.2">
      <c r="A35" s="35">
        <v>29</v>
      </c>
      <c r="B35" s="36" t="s">
        <v>485</v>
      </c>
      <c r="C35" s="36" t="s">
        <v>486</v>
      </c>
      <c r="D35" s="36" t="s">
        <v>206</v>
      </c>
      <c r="E35" s="37">
        <v>94065</v>
      </c>
      <c r="F35" s="38">
        <v>2548.4089800000002</v>
      </c>
      <c r="G35" s="39">
        <v>1.392646E-2</v>
      </c>
      <c r="H35" s="34" t="s">
        <v>143</v>
      </c>
    </row>
    <row r="36" spans="1:8" x14ac:dyDescent="0.2">
      <c r="A36" s="35">
        <v>30</v>
      </c>
      <c r="B36" s="36" t="s">
        <v>285</v>
      </c>
      <c r="C36" s="36" t="s">
        <v>286</v>
      </c>
      <c r="D36" s="36" t="s">
        <v>287</v>
      </c>
      <c r="E36" s="37">
        <v>1178268</v>
      </c>
      <c r="F36" s="38">
        <v>2455.3926852</v>
      </c>
      <c r="G36" s="39">
        <v>1.341814E-2</v>
      </c>
      <c r="H36" s="34" t="s">
        <v>143</v>
      </c>
    </row>
    <row r="37" spans="1:8" x14ac:dyDescent="0.2">
      <c r="A37" s="35">
        <v>31</v>
      </c>
      <c r="B37" s="36" t="s">
        <v>84</v>
      </c>
      <c r="C37" s="36" t="s">
        <v>85</v>
      </c>
      <c r="D37" s="36" t="s">
        <v>43</v>
      </c>
      <c r="E37" s="37">
        <v>18202</v>
      </c>
      <c r="F37" s="38">
        <v>2437.61184</v>
      </c>
      <c r="G37" s="39">
        <v>1.332098E-2</v>
      </c>
      <c r="H37" s="34" t="s">
        <v>143</v>
      </c>
    </row>
    <row r="38" spans="1:8" x14ac:dyDescent="0.2">
      <c r="A38" s="35">
        <v>32</v>
      </c>
      <c r="B38" s="36" t="s">
        <v>808</v>
      </c>
      <c r="C38" s="36" t="s">
        <v>809</v>
      </c>
      <c r="D38" s="36" t="s">
        <v>287</v>
      </c>
      <c r="E38" s="37">
        <v>271972</v>
      </c>
      <c r="F38" s="38">
        <v>2406.4082560000002</v>
      </c>
      <c r="G38" s="39">
        <v>1.3150459999999999E-2</v>
      </c>
      <c r="H38" s="34" t="s">
        <v>143</v>
      </c>
    </row>
    <row r="39" spans="1:8" ht="25.5" x14ac:dyDescent="0.2">
      <c r="A39" s="35">
        <v>33</v>
      </c>
      <c r="B39" s="36" t="s">
        <v>299</v>
      </c>
      <c r="C39" s="36" t="s">
        <v>300</v>
      </c>
      <c r="D39" s="36" t="s">
        <v>206</v>
      </c>
      <c r="E39" s="37">
        <v>200000</v>
      </c>
      <c r="F39" s="38">
        <v>2389</v>
      </c>
      <c r="G39" s="39">
        <v>1.305532E-2</v>
      </c>
      <c r="H39" s="34" t="s">
        <v>143</v>
      </c>
    </row>
    <row r="40" spans="1:8" x14ac:dyDescent="0.2">
      <c r="A40" s="35">
        <v>34</v>
      </c>
      <c r="B40" s="36" t="s">
        <v>305</v>
      </c>
      <c r="C40" s="36" t="s">
        <v>306</v>
      </c>
      <c r="D40" s="36" t="s">
        <v>195</v>
      </c>
      <c r="E40" s="37">
        <v>399325</v>
      </c>
      <c r="F40" s="38">
        <v>2294.7211124999999</v>
      </c>
      <c r="G40" s="39">
        <v>1.254011E-2</v>
      </c>
      <c r="H40" s="34" t="s">
        <v>143</v>
      </c>
    </row>
    <row r="41" spans="1:8" ht="25.5" x14ac:dyDescent="0.2">
      <c r="A41" s="35">
        <v>35</v>
      </c>
      <c r="B41" s="36" t="s">
        <v>268</v>
      </c>
      <c r="C41" s="36" t="s">
        <v>269</v>
      </c>
      <c r="D41" s="36" t="s">
        <v>270</v>
      </c>
      <c r="E41" s="37">
        <v>111053</v>
      </c>
      <c r="F41" s="38">
        <v>2206.7341630000001</v>
      </c>
      <c r="G41" s="39">
        <v>1.205928E-2</v>
      </c>
      <c r="H41" s="34" t="s">
        <v>143</v>
      </c>
    </row>
    <row r="42" spans="1:8" x14ac:dyDescent="0.2">
      <c r="A42" s="35">
        <v>36</v>
      </c>
      <c r="B42" s="36" t="s">
        <v>395</v>
      </c>
      <c r="C42" s="36" t="s">
        <v>396</v>
      </c>
      <c r="D42" s="36" t="s">
        <v>198</v>
      </c>
      <c r="E42" s="37">
        <v>435856</v>
      </c>
      <c r="F42" s="38">
        <v>1994.0411999999999</v>
      </c>
      <c r="G42" s="39">
        <v>1.0896970000000001E-2</v>
      </c>
      <c r="H42" s="34" t="s">
        <v>143</v>
      </c>
    </row>
    <row r="43" spans="1:8" x14ac:dyDescent="0.2">
      <c r="A43" s="35">
        <v>37</v>
      </c>
      <c r="B43" s="36" t="s">
        <v>489</v>
      </c>
      <c r="C43" s="36" t="s">
        <v>490</v>
      </c>
      <c r="D43" s="36" t="s">
        <v>287</v>
      </c>
      <c r="E43" s="37">
        <v>1347820</v>
      </c>
      <c r="F43" s="38">
        <v>1971.725878</v>
      </c>
      <c r="G43" s="39">
        <v>1.077502E-2</v>
      </c>
      <c r="H43" s="34" t="s">
        <v>143</v>
      </c>
    </row>
    <row r="44" spans="1:8" x14ac:dyDescent="0.2">
      <c r="A44" s="35">
        <v>38</v>
      </c>
      <c r="B44" s="36" t="s">
        <v>819</v>
      </c>
      <c r="C44" s="36" t="s">
        <v>820</v>
      </c>
      <c r="D44" s="36" t="s">
        <v>73</v>
      </c>
      <c r="E44" s="37">
        <v>938487</v>
      </c>
      <c r="F44" s="38">
        <v>1914.6073286999999</v>
      </c>
      <c r="G44" s="39">
        <v>1.0462880000000001E-2</v>
      </c>
      <c r="H44" s="34" t="s">
        <v>143</v>
      </c>
    </row>
    <row r="45" spans="1:8" x14ac:dyDescent="0.2">
      <c r="A45" s="35">
        <v>39</v>
      </c>
      <c r="B45" s="36" t="s">
        <v>821</v>
      </c>
      <c r="C45" s="36" t="s">
        <v>822</v>
      </c>
      <c r="D45" s="36" t="s">
        <v>206</v>
      </c>
      <c r="E45" s="37">
        <v>968770</v>
      </c>
      <c r="F45" s="38">
        <v>1870.791747</v>
      </c>
      <c r="G45" s="39">
        <v>1.022344E-2</v>
      </c>
      <c r="H45" s="34" t="s">
        <v>143</v>
      </c>
    </row>
    <row r="46" spans="1:8" x14ac:dyDescent="0.2">
      <c r="A46" s="35">
        <v>40</v>
      </c>
      <c r="B46" s="36" t="s">
        <v>823</v>
      </c>
      <c r="C46" s="36" t="s">
        <v>824</v>
      </c>
      <c r="D46" s="36" t="s">
        <v>198</v>
      </c>
      <c r="E46" s="37">
        <v>144548</v>
      </c>
      <c r="F46" s="38">
        <v>1819.4256760000001</v>
      </c>
      <c r="G46" s="39">
        <v>9.9427300000000003E-3</v>
      </c>
      <c r="H46" s="34" t="s">
        <v>143</v>
      </c>
    </row>
    <row r="47" spans="1:8" ht="25.5" x14ac:dyDescent="0.2">
      <c r="A47" s="35">
        <v>41</v>
      </c>
      <c r="B47" s="36" t="s">
        <v>117</v>
      </c>
      <c r="C47" s="36" t="s">
        <v>118</v>
      </c>
      <c r="D47" s="36" t="s">
        <v>119</v>
      </c>
      <c r="E47" s="37">
        <v>351237</v>
      </c>
      <c r="F47" s="38">
        <v>1787.2694744999999</v>
      </c>
      <c r="G47" s="39">
        <v>9.7670099999999996E-3</v>
      </c>
      <c r="H47" s="34" t="s">
        <v>143</v>
      </c>
    </row>
    <row r="48" spans="1:8" x14ac:dyDescent="0.2">
      <c r="A48" s="35">
        <v>42</v>
      </c>
      <c r="B48" s="36" t="s">
        <v>41</v>
      </c>
      <c r="C48" s="36" t="s">
        <v>42</v>
      </c>
      <c r="D48" s="36" t="s">
        <v>43</v>
      </c>
      <c r="E48" s="37">
        <v>133746</v>
      </c>
      <c r="F48" s="38">
        <v>1716.094926</v>
      </c>
      <c r="G48" s="39">
        <v>9.3780600000000006E-3</v>
      </c>
      <c r="H48" s="34" t="s">
        <v>143</v>
      </c>
    </row>
    <row r="49" spans="1:8" x14ac:dyDescent="0.2">
      <c r="A49" s="35">
        <v>43</v>
      </c>
      <c r="B49" s="36" t="s">
        <v>313</v>
      </c>
      <c r="C49" s="36" t="s">
        <v>314</v>
      </c>
      <c r="D49" s="36" t="s">
        <v>251</v>
      </c>
      <c r="E49" s="37">
        <v>2386504</v>
      </c>
      <c r="F49" s="38">
        <v>1030.0151264000001</v>
      </c>
      <c r="G49" s="39">
        <v>5.6287899999999998E-3</v>
      </c>
      <c r="H49" s="34" t="s">
        <v>143</v>
      </c>
    </row>
    <row r="50" spans="1:8" x14ac:dyDescent="0.2">
      <c r="A50" s="35">
        <v>44</v>
      </c>
      <c r="B50" s="36" t="s">
        <v>825</v>
      </c>
      <c r="C50" s="36" t="s">
        <v>826</v>
      </c>
      <c r="D50" s="36" t="s">
        <v>55</v>
      </c>
      <c r="E50" s="37">
        <v>167719</v>
      </c>
      <c r="F50" s="38">
        <v>1023.5051975</v>
      </c>
      <c r="G50" s="39">
        <v>5.5932200000000003E-3</v>
      </c>
      <c r="H50" s="34" t="s">
        <v>143</v>
      </c>
    </row>
    <row r="51" spans="1:8" x14ac:dyDescent="0.2">
      <c r="A51" s="35">
        <v>45</v>
      </c>
      <c r="B51" s="36" t="s">
        <v>827</v>
      </c>
      <c r="C51" s="36" t="s">
        <v>828</v>
      </c>
      <c r="D51" s="36" t="s">
        <v>287</v>
      </c>
      <c r="E51" s="37">
        <v>110010</v>
      </c>
      <c r="F51" s="38">
        <v>1021.9929</v>
      </c>
      <c r="G51" s="39">
        <v>5.58495E-3</v>
      </c>
      <c r="H51" s="34" t="s">
        <v>143</v>
      </c>
    </row>
    <row r="52" spans="1:8" x14ac:dyDescent="0.2">
      <c r="A52" s="41"/>
      <c r="B52" s="41"/>
      <c r="C52" s="42" t="s">
        <v>142</v>
      </c>
      <c r="D52" s="41"/>
      <c r="E52" s="41" t="s">
        <v>143</v>
      </c>
      <c r="F52" s="43">
        <v>164838.00169430001</v>
      </c>
      <c r="G52" s="44">
        <v>0.90080093999999999</v>
      </c>
      <c r="H52" s="34" t="s">
        <v>143</v>
      </c>
    </row>
    <row r="53" spans="1:8" x14ac:dyDescent="0.2">
      <c r="A53" s="41"/>
      <c r="B53" s="41"/>
      <c r="C53" s="45"/>
      <c r="D53" s="41"/>
      <c r="E53" s="41"/>
      <c r="F53" s="46"/>
      <c r="G53" s="46"/>
      <c r="H53" s="34" t="s">
        <v>143</v>
      </c>
    </row>
    <row r="54" spans="1:8" x14ac:dyDescent="0.2">
      <c r="A54" s="41"/>
      <c r="B54" s="41"/>
      <c r="C54" s="42" t="s">
        <v>144</v>
      </c>
      <c r="D54" s="41"/>
      <c r="E54" s="41"/>
      <c r="F54" s="41"/>
      <c r="G54" s="41"/>
      <c r="H54" s="34" t="s">
        <v>143</v>
      </c>
    </row>
    <row r="55" spans="1:8" x14ac:dyDescent="0.2">
      <c r="A55" s="41"/>
      <c r="B55" s="41"/>
      <c r="C55" s="42" t="s">
        <v>142</v>
      </c>
      <c r="D55" s="41"/>
      <c r="E55" s="41" t="s">
        <v>143</v>
      </c>
      <c r="F55" s="47" t="s">
        <v>145</v>
      </c>
      <c r="G55" s="44">
        <v>0</v>
      </c>
      <c r="H55" s="34" t="s">
        <v>143</v>
      </c>
    </row>
    <row r="56" spans="1:8" x14ac:dyDescent="0.2">
      <c r="A56" s="41"/>
      <c r="B56" s="41"/>
      <c r="C56" s="45"/>
      <c r="D56" s="41"/>
      <c r="E56" s="41"/>
      <c r="F56" s="46"/>
      <c r="G56" s="46"/>
      <c r="H56" s="34" t="s">
        <v>143</v>
      </c>
    </row>
    <row r="57" spans="1:8" x14ac:dyDescent="0.2">
      <c r="A57" s="41"/>
      <c r="B57" s="41"/>
      <c r="C57" s="42" t="s">
        <v>146</v>
      </c>
      <c r="D57" s="41"/>
      <c r="E57" s="41"/>
      <c r="F57" s="41"/>
      <c r="G57" s="41"/>
      <c r="H57" s="34" t="s">
        <v>143</v>
      </c>
    </row>
    <row r="58" spans="1:8" x14ac:dyDescent="0.2">
      <c r="A58" s="41"/>
      <c r="B58" s="41"/>
      <c r="C58" s="42" t="s">
        <v>142</v>
      </c>
      <c r="D58" s="41"/>
      <c r="E58" s="41" t="s">
        <v>143</v>
      </c>
      <c r="F58" s="47" t="s">
        <v>145</v>
      </c>
      <c r="G58" s="44">
        <v>0</v>
      </c>
      <c r="H58" s="34" t="s">
        <v>143</v>
      </c>
    </row>
    <row r="59" spans="1:8" x14ac:dyDescent="0.2">
      <c r="A59" s="41"/>
      <c r="B59" s="41"/>
      <c r="C59" s="45"/>
      <c r="D59" s="41"/>
      <c r="E59" s="41"/>
      <c r="F59" s="46"/>
      <c r="G59" s="46"/>
      <c r="H59" s="34" t="s">
        <v>143</v>
      </c>
    </row>
    <row r="60" spans="1:8" x14ac:dyDescent="0.2">
      <c r="A60" s="41"/>
      <c r="B60" s="41"/>
      <c r="C60" s="42" t="s">
        <v>147</v>
      </c>
      <c r="D60" s="41"/>
      <c r="E60" s="41"/>
      <c r="F60" s="41"/>
      <c r="G60" s="41"/>
      <c r="H60" s="34" t="s">
        <v>143</v>
      </c>
    </row>
    <row r="61" spans="1:8" x14ac:dyDescent="0.2">
      <c r="A61" s="41"/>
      <c r="B61" s="41"/>
      <c r="C61" s="42" t="s">
        <v>142</v>
      </c>
      <c r="D61" s="41"/>
      <c r="E61" s="41" t="s">
        <v>143</v>
      </c>
      <c r="F61" s="47" t="s">
        <v>145</v>
      </c>
      <c r="G61" s="44">
        <v>0</v>
      </c>
      <c r="H61" s="34" t="s">
        <v>143</v>
      </c>
    </row>
    <row r="62" spans="1:8" x14ac:dyDescent="0.2">
      <c r="A62" s="41"/>
      <c r="B62" s="41"/>
      <c r="C62" s="45"/>
      <c r="D62" s="41"/>
      <c r="E62" s="41"/>
      <c r="F62" s="46"/>
      <c r="G62" s="46"/>
      <c r="H62" s="34" t="s">
        <v>143</v>
      </c>
    </row>
    <row r="63" spans="1:8" x14ac:dyDescent="0.2">
      <c r="A63" s="41"/>
      <c r="B63" s="41"/>
      <c r="C63" s="42" t="s">
        <v>148</v>
      </c>
      <c r="D63" s="41"/>
      <c r="E63" s="41"/>
      <c r="F63" s="46"/>
      <c r="G63" s="46"/>
      <c r="H63" s="34" t="s">
        <v>143</v>
      </c>
    </row>
    <row r="64" spans="1:8" x14ac:dyDescent="0.2">
      <c r="A64" s="41"/>
      <c r="B64" s="41"/>
      <c r="C64" s="42" t="s">
        <v>142</v>
      </c>
      <c r="D64" s="41"/>
      <c r="E64" s="41" t="s">
        <v>143</v>
      </c>
      <c r="F64" s="47" t="s">
        <v>145</v>
      </c>
      <c r="G64" s="44">
        <v>0</v>
      </c>
      <c r="H64" s="34" t="s">
        <v>143</v>
      </c>
    </row>
    <row r="65" spans="1:8" x14ac:dyDescent="0.2">
      <c r="A65" s="41"/>
      <c r="B65" s="41"/>
      <c r="C65" s="45"/>
      <c r="D65" s="41"/>
      <c r="E65" s="41"/>
      <c r="F65" s="46"/>
      <c r="G65" s="46"/>
      <c r="H65" s="34" t="s">
        <v>143</v>
      </c>
    </row>
    <row r="66" spans="1:8" x14ac:dyDescent="0.2">
      <c r="A66" s="41"/>
      <c r="B66" s="41"/>
      <c r="C66" s="42" t="s">
        <v>149</v>
      </c>
      <c r="D66" s="41"/>
      <c r="E66" s="41"/>
      <c r="F66" s="46"/>
      <c r="G66" s="46"/>
      <c r="H66" s="34" t="s">
        <v>143</v>
      </c>
    </row>
    <row r="67" spans="1:8" x14ac:dyDescent="0.2">
      <c r="A67" s="41"/>
      <c r="B67" s="41"/>
      <c r="C67" s="42" t="s">
        <v>142</v>
      </c>
      <c r="D67" s="41"/>
      <c r="E67" s="41" t="s">
        <v>143</v>
      </c>
      <c r="F67" s="47" t="s">
        <v>145</v>
      </c>
      <c r="G67" s="44">
        <v>0</v>
      </c>
      <c r="H67" s="34" t="s">
        <v>143</v>
      </c>
    </row>
    <row r="68" spans="1:8" x14ac:dyDescent="0.2">
      <c r="A68" s="41"/>
      <c r="B68" s="41"/>
      <c r="C68" s="45"/>
      <c r="D68" s="41"/>
      <c r="E68" s="41"/>
      <c r="F68" s="46"/>
      <c r="G68" s="46"/>
      <c r="H68" s="34" t="s">
        <v>143</v>
      </c>
    </row>
    <row r="69" spans="1:8" x14ac:dyDescent="0.2">
      <c r="A69" s="41"/>
      <c r="B69" s="41"/>
      <c r="C69" s="42" t="s">
        <v>150</v>
      </c>
      <c r="D69" s="41"/>
      <c r="E69" s="41"/>
      <c r="F69" s="43">
        <v>164838.00169430001</v>
      </c>
      <c r="G69" s="44">
        <v>0.90080093999999999</v>
      </c>
      <c r="H69" s="34" t="s">
        <v>143</v>
      </c>
    </row>
    <row r="70" spans="1:8" x14ac:dyDescent="0.2">
      <c r="A70" s="41"/>
      <c r="B70" s="41"/>
      <c r="C70" s="45"/>
      <c r="D70" s="41"/>
      <c r="E70" s="41"/>
      <c r="F70" s="46"/>
      <c r="G70" s="46"/>
      <c r="H70" s="34" t="s">
        <v>143</v>
      </c>
    </row>
    <row r="71" spans="1:8" x14ac:dyDescent="0.2">
      <c r="A71" s="41"/>
      <c r="B71" s="41"/>
      <c r="C71" s="42" t="s">
        <v>151</v>
      </c>
      <c r="D71" s="41"/>
      <c r="E71" s="41"/>
      <c r="F71" s="46"/>
      <c r="G71" s="46"/>
      <c r="H71" s="34" t="s">
        <v>143</v>
      </c>
    </row>
    <row r="72" spans="1:8" x14ac:dyDescent="0.2">
      <c r="A72" s="41"/>
      <c r="B72" s="41"/>
      <c r="C72" s="42" t="s">
        <v>10</v>
      </c>
      <c r="D72" s="41"/>
      <c r="E72" s="41"/>
      <c r="F72" s="46"/>
      <c r="G72" s="46"/>
      <c r="H72" s="34" t="s">
        <v>143</v>
      </c>
    </row>
    <row r="73" spans="1:8" x14ac:dyDescent="0.2">
      <c r="A73" s="41"/>
      <c r="B73" s="41"/>
      <c r="C73" s="42" t="s">
        <v>142</v>
      </c>
      <c r="D73" s="41"/>
      <c r="E73" s="41" t="s">
        <v>143</v>
      </c>
      <c r="F73" s="47" t="s">
        <v>145</v>
      </c>
      <c r="G73" s="44">
        <v>0</v>
      </c>
      <c r="H73" s="34" t="s">
        <v>143</v>
      </c>
    </row>
    <row r="74" spans="1:8" x14ac:dyDescent="0.2">
      <c r="A74" s="41"/>
      <c r="B74" s="41"/>
      <c r="C74" s="45"/>
      <c r="D74" s="41"/>
      <c r="E74" s="41"/>
      <c r="F74" s="46"/>
      <c r="G74" s="46"/>
      <c r="H74" s="34" t="s">
        <v>143</v>
      </c>
    </row>
    <row r="75" spans="1:8" x14ac:dyDescent="0.2">
      <c r="A75" s="41"/>
      <c r="B75" s="41"/>
      <c r="C75" s="42" t="s">
        <v>152</v>
      </c>
      <c r="D75" s="41"/>
      <c r="E75" s="41"/>
      <c r="F75" s="41"/>
      <c r="G75" s="41"/>
      <c r="H75" s="34" t="s">
        <v>143</v>
      </c>
    </row>
    <row r="76" spans="1:8" x14ac:dyDescent="0.2">
      <c r="A76" s="41"/>
      <c r="B76" s="41"/>
      <c r="C76" s="42" t="s">
        <v>142</v>
      </c>
      <c r="D76" s="41"/>
      <c r="E76" s="41" t="s">
        <v>143</v>
      </c>
      <c r="F76" s="47" t="s">
        <v>145</v>
      </c>
      <c r="G76" s="44">
        <v>0</v>
      </c>
      <c r="H76" s="34" t="s">
        <v>143</v>
      </c>
    </row>
    <row r="77" spans="1:8" x14ac:dyDescent="0.2">
      <c r="A77" s="41"/>
      <c r="B77" s="41"/>
      <c r="C77" s="45"/>
      <c r="D77" s="41"/>
      <c r="E77" s="41"/>
      <c r="F77" s="46"/>
      <c r="G77" s="46"/>
      <c r="H77" s="34" t="s">
        <v>143</v>
      </c>
    </row>
    <row r="78" spans="1:8" x14ac:dyDescent="0.2">
      <c r="A78" s="41"/>
      <c r="B78" s="41"/>
      <c r="C78" s="42" t="s">
        <v>153</v>
      </c>
      <c r="D78" s="41"/>
      <c r="E78" s="41"/>
      <c r="F78" s="41"/>
      <c r="G78" s="41"/>
      <c r="H78" s="34" t="s">
        <v>143</v>
      </c>
    </row>
    <row r="79" spans="1:8" x14ac:dyDescent="0.2">
      <c r="A79" s="41"/>
      <c r="B79" s="41"/>
      <c r="C79" s="42" t="s">
        <v>142</v>
      </c>
      <c r="D79" s="41"/>
      <c r="E79" s="41" t="s">
        <v>143</v>
      </c>
      <c r="F79" s="47" t="s">
        <v>145</v>
      </c>
      <c r="G79" s="44">
        <v>0</v>
      </c>
      <c r="H79" s="34" t="s">
        <v>143</v>
      </c>
    </row>
    <row r="80" spans="1:8" x14ac:dyDescent="0.2">
      <c r="A80" s="41"/>
      <c r="B80" s="41"/>
      <c r="C80" s="45"/>
      <c r="D80" s="41"/>
      <c r="E80" s="41"/>
      <c r="F80" s="46"/>
      <c r="G80" s="46"/>
      <c r="H80" s="34" t="s">
        <v>143</v>
      </c>
    </row>
    <row r="81" spans="1:8" x14ac:dyDescent="0.2">
      <c r="A81" s="41"/>
      <c r="B81" s="41"/>
      <c r="C81" s="42" t="s">
        <v>154</v>
      </c>
      <c r="D81" s="41"/>
      <c r="E81" s="41"/>
      <c r="F81" s="46"/>
      <c r="G81" s="46"/>
      <c r="H81" s="34" t="s">
        <v>143</v>
      </c>
    </row>
    <row r="82" spans="1:8" x14ac:dyDescent="0.2">
      <c r="A82" s="41"/>
      <c r="B82" s="41"/>
      <c r="C82" s="42" t="s">
        <v>142</v>
      </c>
      <c r="D82" s="41"/>
      <c r="E82" s="41" t="s">
        <v>143</v>
      </c>
      <c r="F82" s="47" t="s">
        <v>145</v>
      </c>
      <c r="G82" s="44">
        <v>0</v>
      </c>
      <c r="H82" s="34" t="s">
        <v>143</v>
      </c>
    </row>
    <row r="83" spans="1:8" x14ac:dyDescent="0.2">
      <c r="A83" s="41"/>
      <c r="B83" s="41"/>
      <c r="C83" s="45"/>
      <c r="D83" s="41"/>
      <c r="E83" s="41"/>
      <c r="F83" s="46"/>
      <c r="G83" s="46"/>
      <c r="H83" s="34" t="s">
        <v>143</v>
      </c>
    </row>
    <row r="84" spans="1:8" x14ac:dyDescent="0.2">
      <c r="A84" s="41"/>
      <c r="B84" s="41"/>
      <c r="C84" s="42" t="s">
        <v>155</v>
      </c>
      <c r="D84" s="41"/>
      <c r="E84" s="41"/>
      <c r="F84" s="43">
        <v>0</v>
      </c>
      <c r="G84" s="44">
        <v>0</v>
      </c>
      <c r="H84" s="34" t="s">
        <v>143</v>
      </c>
    </row>
    <row r="85" spans="1:8" x14ac:dyDescent="0.2">
      <c r="A85" s="41"/>
      <c r="B85" s="41"/>
      <c r="C85" s="45"/>
      <c r="D85" s="41"/>
      <c r="E85" s="41"/>
      <c r="F85" s="46"/>
      <c r="G85" s="46"/>
      <c r="H85" s="34" t="s">
        <v>143</v>
      </c>
    </row>
    <row r="86" spans="1:8" x14ac:dyDescent="0.2">
      <c r="A86" s="41"/>
      <c r="B86" s="41"/>
      <c r="C86" s="42" t="s">
        <v>156</v>
      </c>
      <c r="D86" s="41"/>
      <c r="E86" s="41"/>
      <c r="F86" s="46"/>
      <c r="G86" s="46"/>
      <c r="H86" s="34" t="s">
        <v>143</v>
      </c>
    </row>
    <row r="87" spans="1:8" x14ac:dyDescent="0.2">
      <c r="A87" s="41"/>
      <c r="B87" s="41"/>
      <c r="C87" s="42" t="s">
        <v>157</v>
      </c>
      <c r="D87" s="41"/>
      <c r="E87" s="41"/>
      <c r="F87" s="46"/>
      <c r="G87" s="46"/>
      <c r="H87" s="34" t="s">
        <v>143</v>
      </c>
    </row>
    <row r="88" spans="1:8" x14ac:dyDescent="0.2">
      <c r="A88" s="41"/>
      <c r="B88" s="41"/>
      <c r="C88" s="42" t="s">
        <v>142</v>
      </c>
      <c r="D88" s="41"/>
      <c r="E88" s="41" t="s">
        <v>143</v>
      </c>
      <c r="F88" s="47" t="s">
        <v>145</v>
      </c>
      <c r="G88" s="44">
        <v>0</v>
      </c>
      <c r="H88" s="34" t="s">
        <v>143</v>
      </c>
    </row>
    <row r="89" spans="1:8" x14ac:dyDescent="0.2">
      <c r="A89" s="41"/>
      <c r="B89" s="41"/>
      <c r="C89" s="45"/>
      <c r="D89" s="41"/>
      <c r="E89" s="41"/>
      <c r="F89" s="46"/>
      <c r="G89" s="46"/>
      <c r="H89" s="34" t="s">
        <v>143</v>
      </c>
    </row>
    <row r="90" spans="1:8" x14ac:dyDescent="0.2">
      <c r="A90" s="41"/>
      <c r="B90" s="41"/>
      <c r="C90" s="42" t="s">
        <v>158</v>
      </c>
      <c r="D90" s="41"/>
      <c r="E90" s="41"/>
      <c r="F90" s="46"/>
      <c r="G90" s="46"/>
      <c r="H90" s="34" t="s">
        <v>143</v>
      </c>
    </row>
    <row r="91" spans="1:8" x14ac:dyDescent="0.2">
      <c r="A91" s="41"/>
      <c r="B91" s="41"/>
      <c r="C91" s="42" t="s">
        <v>142</v>
      </c>
      <c r="D91" s="41"/>
      <c r="E91" s="41" t="s">
        <v>143</v>
      </c>
      <c r="F91" s="47" t="s">
        <v>145</v>
      </c>
      <c r="G91" s="44">
        <v>0</v>
      </c>
      <c r="H91" s="34" t="s">
        <v>143</v>
      </c>
    </row>
    <row r="92" spans="1:8" x14ac:dyDescent="0.2">
      <c r="A92" s="41"/>
      <c r="B92" s="41"/>
      <c r="C92" s="45"/>
      <c r="D92" s="41"/>
      <c r="E92" s="41"/>
      <c r="F92" s="46"/>
      <c r="G92" s="46"/>
      <c r="H92" s="34" t="s">
        <v>143</v>
      </c>
    </row>
    <row r="93" spans="1:8" x14ac:dyDescent="0.2">
      <c r="A93" s="41"/>
      <c r="B93" s="41"/>
      <c r="C93" s="42" t="s">
        <v>159</v>
      </c>
      <c r="D93" s="41"/>
      <c r="E93" s="41"/>
      <c r="F93" s="46"/>
      <c r="G93" s="46"/>
      <c r="H93" s="34" t="s">
        <v>143</v>
      </c>
    </row>
    <row r="94" spans="1:8" x14ac:dyDescent="0.2">
      <c r="A94" s="41"/>
      <c r="B94" s="41"/>
      <c r="C94" s="42" t="s">
        <v>142</v>
      </c>
      <c r="D94" s="41"/>
      <c r="E94" s="41" t="s">
        <v>143</v>
      </c>
      <c r="F94" s="47" t="s">
        <v>145</v>
      </c>
      <c r="G94" s="44">
        <v>0</v>
      </c>
      <c r="H94" s="34" t="s">
        <v>143</v>
      </c>
    </row>
    <row r="95" spans="1:8" x14ac:dyDescent="0.2">
      <c r="A95" s="41"/>
      <c r="B95" s="41"/>
      <c r="C95" s="45"/>
      <c r="D95" s="41"/>
      <c r="E95" s="41"/>
      <c r="F95" s="46"/>
      <c r="G95" s="46"/>
      <c r="H95" s="34" t="s">
        <v>143</v>
      </c>
    </row>
    <row r="96" spans="1:8" x14ac:dyDescent="0.2">
      <c r="A96" s="41"/>
      <c r="B96" s="41"/>
      <c r="C96" s="42" t="s">
        <v>160</v>
      </c>
      <c r="D96" s="41"/>
      <c r="E96" s="41"/>
      <c r="F96" s="46"/>
      <c r="G96" s="46"/>
      <c r="H96" s="34" t="s">
        <v>143</v>
      </c>
    </row>
    <row r="97" spans="1:8" x14ac:dyDescent="0.2">
      <c r="A97" s="35">
        <v>1</v>
      </c>
      <c r="B97" s="36"/>
      <c r="C97" s="36" t="s">
        <v>161</v>
      </c>
      <c r="D97" s="36"/>
      <c r="E97" s="48"/>
      <c r="F97" s="38">
        <v>18167.019564029</v>
      </c>
      <c r="G97" s="39">
        <v>9.9278489999999997E-2</v>
      </c>
      <c r="H97" s="34">
        <v>5.47</v>
      </c>
    </row>
    <row r="98" spans="1:8" x14ac:dyDescent="0.2">
      <c r="A98" s="41"/>
      <c r="B98" s="41"/>
      <c r="C98" s="42" t="s">
        <v>142</v>
      </c>
      <c r="D98" s="41"/>
      <c r="E98" s="41" t="s">
        <v>143</v>
      </c>
      <c r="F98" s="43">
        <v>18167.019564029</v>
      </c>
      <c r="G98" s="44">
        <v>9.9278489999999997E-2</v>
      </c>
      <c r="H98" s="34" t="s">
        <v>143</v>
      </c>
    </row>
    <row r="99" spans="1:8" x14ac:dyDescent="0.2">
      <c r="A99" s="41"/>
      <c r="B99" s="41"/>
      <c r="C99" s="45"/>
      <c r="D99" s="41"/>
      <c r="E99" s="41"/>
      <c r="F99" s="46"/>
      <c r="G99" s="46"/>
      <c r="H99" s="34" t="s">
        <v>143</v>
      </c>
    </row>
    <row r="100" spans="1:8" x14ac:dyDescent="0.2">
      <c r="A100" s="41"/>
      <c r="B100" s="41"/>
      <c r="C100" s="42" t="s">
        <v>162</v>
      </c>
      <c r="D100" s="41"/>
      <c r="E100" s="41"/>
      <c r="F100" s="43">
        <v>18167.019564029</v>
      </c>
      <c r="G100" s="44">
        <v>9.9278489999999997E-2</v>
      </c>
      <c r="H100" s="34" t="s">
        <v>143</v>
      </c>
    </row>
    <row r="101" spans="1:8" x14ac:dyDescent="0.2">
      <c r="A101" s="41"/>
      <c r="B101" s="41"/>
      <c r="C101" s="46"/>
      <c r="D101" s="41"/>
      <c r="E101" s="41"/>
      <c r="F101" s="41"/>
      <c r="G101" s="41"/>
      <c r="H101" s="34" t="s">
        <v>143</v>
      </c>
    </row>
    <row r="102" spans="1:8" x14ac:dyDescent="0.2">
      <c r="A102" s="41"/>
      <c r="B102" s="41"/>
      <c r="C102" s="42" t="s">
        <v>163</v>
      </c>
      <c r="D102" s="41"/>
      <c r="E102" s="41"/>
      <c r="F102" s="41"/>
      <c r="G102" s="41"/>
      <c r="H102" s="34" t="s">
        <v>143</v>
      </c>
    </row>
    <row r="103" spans="1:8" x14ac:dyDescent="0.2">
      <c r="A103" s="41"/>
      <c r="B103" s="41"/>
      <c r="C103" s="42" t="s">
        <v>164</v>
      </c>
      <c r="D103" s="41"/>
      <c r="E103" s="41"/>
      <c r="F103" s="41"/>
      <c r="G103" s="41"/>
      <c r="H103" s="34" t="s">
        <v>143</v>
      </c>
    </row>
    <row r="104" spans="1:8" x14ac:dyDescent="0.2">
      <c r="A104" s="41"/>
      <c r="B104" s="41"/>
      <c r="C104" s="42" t="s">
        <v>142</v>
      </c>
      <c r="D104" s="41"/>
      <c r="E104" s="41" t="s">
        <v>143</v>
      </c>
      <c r="F104" s="47" t="s">
        <v>145</v>
      </c>
      <c r="G104" s="44">
        <v>0</v>
      </c>
      <c r="H104" s="34" t="s">
        <v>143</v>
      </c>
    </row>
    <row r="105" spans="1:8" x14ac:dyDescent="0.2">
      <c r="A105" s="41"/>
      <c r="B105" s="41"/>
      <c r="C105" s="45"/>
      <c r="D105" s="41"/>
      <c r="E105" s="41"/>
      <c r="F105" s="46"/>
      <c r="G105" s="46"/>
      <c r="H105" s="34" t="s">
        <v>143</v>
      </c>
    </row>
    <row r="106" spans="1:8" x14ac:dyDescent="0.2">
      <c r="A106" s="41"/>
      <c r="B106" s="41"/>
      <c r="C106" s="42" t="s">
        <v>165</v>
      </c>
      <c r="D106" s="41"/>
      <c r="E106" s="41"/>
      <c r="F106" s="41"/>
      <c r="G106" s="41"/>
      <c r="H106" s="34" t="s">
        <v>143</v>
      </c>
    </row>
    <row r="107" spans="1:8" x14ac:dyDescent="0.2">
      <c r="A107" s="41"/>
      <c r="B107" s="41"/>
      <c r="C107" s="42" t="s">
        <v>166</v>
      </c>
      <c r="D107" s="41"/>
      <c r="E107" s="41"/>
      <c r="F107" s="41"/>
      <c r="G107" s="41"/>
      <c r="H107" s="34" t="s">
        <v>143</v>
      </c>
    </row>
    <row r="108" spans="1:8" x14ac:dyDescent="0.2">
      <c r="A108" s="41"/>
      <c r="B108" s="41"/>
      <c r="C108" s="42" t="s">
        <v>142</v>
      </c>
      <c r="D108" s="41"/>
      <c r="E108" s="41" t="s">
        <v>143</v>
      </c>
      <c r="F108" s="47" t="s">
        <v>145</v>
      </c>
      <c r="G108" s="44">
        <v>0</v>
      </c>
      <c r="H108" s="34" t="s">
        <v>143</v>
      </c>
    </row>
    <row r="109" spans="1:8" x14ac:dyDescent="0.2">
      <c r="A109" s="41"/>
      <c r="B109" s="41"/>
      <c r="C109" s="45"/>
      <c r="D109" s="41"/>
      <c r="E109" s="41"/>
      <c r="F109" s="46"/>
      <c r="G109" s="46"/>
      <c r="H109" s="34" t="s">
        <v>143</v>
      </c>
    </row>
    <row r="110" spans="1:8" x14ac:dyDescent="0.2">
      <c r="A110" s="41"/>
      <c r="B110" s="41"/>
      <c r="C110" s="42" t="s">
        <v>167</v>
      </c>
      <c r="D110" s="41"/>
      <c r="E110" s="41"/>
      <c r="F110" s="46"/>
      <c r="G110" s="46"/>
      <c r="H110" s="34" t="s">
        <v>143</v>
      </c>
    </row>
    <row r="111" spans="1:8" x14ac:dyDescent="0.2">
      <c r="A111" s="41"/>
      <c r="B111" s="41"/>
      <c r="C111" s="42" t="s">
        <v>142</v>
      </c>
      <c r="D111" s="41"/>
      <c r="E111" s="41" t="s">
        <v>143</v>
      </c>
      <c r="F111" s="47" t="s">
        <v>145</v>
      </c>
      <c r="G111" s="44">
        <v>0</v>
      </c>
      <c r="H111" s="34" t="s">
        <v>143</v>
      </c>
    </row>
    <row r="112" spans="1:8" x14ac:dyDescent="0.2">
      <c r="A112" s="41"/>
      <c r="B112" s="41"/>
      <c r="C112" s="45"/>
      <c r="D112" s="41"/>
      <c r="E112" s="41"/>
      <c r="F112" s="46"/>
      <c r="G112" s="46"/>
      <c r="H112" s="34" t="s">
        <v>143</v>
      </c>
    </row>
    <row r="113" spans="1:17" x14ac:dyDescent="0.2">
      <c r="A113" s="48"/>
      <c r="B113" s="36"/>
      <c r="C113" s="36" t="s">
        <v>168</v>
      </c>
      <c r="D113" s="36"/>
      <c r="E113" s="48"/>
      <c r="F113" s="38">
        <v>-14.536052140000001</v>
      </c>
      <c r="G113" s="39">
        <v>-7.9439999999999998E-5</v>
      </c>
      <c r="H113" s="34" t="s">
        <v>143</v>
      </c>
    </row>
    <row r="114" spans="1:17" x14ac:dyDescent="0.2">
      <c r="A114" s="45"/>
      <c r="B114" s="45"/>
      <c r="C114" s="42" t="s">
        <v>169</v>
      </c>
      <c r="D114" s="46"/>
      <c r="E114" s="46"/>
      <c r="F114" s="43">
        <v>182990.48520618901</v>
      </c>
      <c r="G114" s="51">
        <v>0.99999998999999995</v>
      </c>
      <c r="H114" s="34" t="s">
        <v>143</v>
      </c>
    </row>
    <row r="115" spans="1:17" x14ac:dyDescent="0.2">
      <c r="A115" s="52"/>
      <c r="B115" s="52"/>
      <c r="C115" s="52"/>
      <c r="D115" s="53"/>
      <c r="E115" s="53"/>
      <c r="F115" s="53"/>
      <c r="G115" s="53"/>
    </row>
    <row r="116" spans="1:17" ht="12.75" customHeight="1" x14ac:dyDescent="0.2">
      <c r="A116" s="54"/>
      <c r="B116" s="158" t="s">
        <v>852</v>
      </c>
      <c r="C116" s="158"/>
      <c r="D116" s="158"/>
      <c r="E116" s="158"/>
      <c r="F116" s="158"/>
      <c r="G116" s="158"/>
      <c r="H116" s="158"/>
      <c r="J116" s="56"/>
    </row>
    <row r="117" spans="1:17" ht="12.75" customHeight="1" x14ac:dyDescent="0.2">
      <c r="A117" s="54"/>
      <c r="B117" s="158" t="s">
        <v>853</v>
      </c>
      <c r="C117" s="158"/>
      <c r="D117" s="158"/>
      <c r="E117" s="158"/>
      <c r="F117" s="158"/>
      <c r="G117" s="158"/>
      <c r="H117" s="158"/>
      <c r="J117" s="56"/>
    </row>
    <row r="118" spans="1:17" ht="12.75" customHeight="1" x14ac:dyDescent="0.2">
      <c r="A118" s="54"/>
      <c r="B118" s="158" t="s">
        <v>854</v>
      </c>
      <c r="C118" s="158"/>
      <c r="D118" s="158"/>
      <c r="E118" s="158"/>
      <c r="F118" s="158"/>
      <c r="G118" s="158"/>
      <c r="H118" s="158"/>
      <c r="J118" s="56"/>
    </row>
    <row r="119" spans="1:17" s="58" customFormat="1" ht="51.75" customHeight="1" x14ac:dyDescent="0.25">
      <c r="A119" s="57"/>
      <c r="B119" s="159" t="s">
        <v>855</v>
      </c>
      <c r="C119" s="159"/>
      <c r="D119" s="159"/>
      <c r="E119" s="159"/>
      <c r="F119" s="159"/>
      <c r="G119" s="159"/>
      <c r="H119" s="159"/>
      <c r="I119"/>
      <c r="J119" s="56"/>
      <c r="K119"/>
      <c r="L119"/>
      <c r="M119"/>
      <c r="N119"/>
      <c r="O119"/>
      <c r="P119"/>
      <c r="Q119"/>
    </row>
    <row r="120" spans="1:17" ht="12.75" customHeight="1" x14ac:dyDescent="0.2">
      <c r="A120" s="54"/>
      <c r="B120" s="158" t="s">
        <v>856</v>
      </c>
      <c r="C120" s="158"/>
      <c r="D120" s="158"/>
      <c r="E120" s="158"/>
      <c r="F120" s="158"/>
      <c r="G120" s="158"/>
      <c r="H120" s="158"/>
      <c r="J120" s="56"/>
    </row>
    <row r="121" spans="1:17" x14ac:dyDescent="0.2">
      <c r="A121" s="54"/>
      <c r="B121" s="54"/>
      <c r="C121" s="54"/>
      <c r="D121" s="59"/>
      <c r="E121" s="59"/>
      <c r="F121" s="59"/>
      <c r="G121" s="59"/>
    </row>
    <row r="122" spans="1:17" x14ac:dyDescent="0.2">
      <c r="A122" s="54"/>
      <c r="B122" s="160" t="s">
        <v>170</v>
      </c>
      <c r="C122" s="161"/>
      <c r="D122" s="162"/>
      <c r="E122" s="60"/>
      <c r="F122" s="59"/>
      <c r="G122" s="59"/>
    </row>
    <row r="123" spans="1:17" ht="27.75" customHeight="1" x14ac:dyDescent="0.2">
      <c r="A123" s="54"/>
      <c r="B123" s="154" t="s">
        <v>171</v>
      </c>
      <c r="C123" s="155"/>
      <c r="D123" s="33" t="s">
        <v>172</v>
      </c>
      <c r="E123" s="60"/>
      <c r="F123" s="59"/>
      <c r="G123" s="59"/>
    </row>
    <row r="124" spans="1:17" ht="12.75" customHeight="1" x14ac:dyDescent="0.2">
      <c r="A124" s="54"/>
      <c r="B124" s="154" t="s">
        <v>857</v>
      </c>
      <c r="C124" s="155"/>
      <c r="D124" s="33" t="s">
        <v>172</v>
      </c>
      <c r="E124" s="60"/>
      <c r="F124" s="59"/>
      <c r="G124" s="59"/>
    </row>
    <row r="125" spans="1:17" ht="12.75" customHeight="1" x14ac:dyDescent="0.2">
      <c r="A125" s="54"/>
      <c r="B125" s="154" t="s">
        <v>173</v>
      </c>
      <c r="C125" s="155"/>
      <c r="D125" s="61" t="s">
        <v>143</v>
      </c>
      <c r="E125" s="60"/>
      <c r="F125" s="59"/>
      <c r="G125" s="59"/>
    </row>
    <row r="126" spans="1:17" x14ac:dyDescent="0.2">
      <c r="A126" s="62"/>
      <c r="B126" s="63" t="s">
        <v>143</v>
      </c>
      <c r="C126" s="63" t="s">
        <v>858</v>
      </c>
      <c r="D126" s="63" t="s">
        <v>174</v>
      </c>
      <c r="E126" s="62"/>
      <c r="F126" s="62"/>
      <c r="G126" s="62"/>
      <c r="H126" s="62"/>
      <c r="J126" s="56"/>
    </row>
    <row r="127" spans="1:17" x14ac:dyDescent="0.2">
      <c r="A127" s="62"/>
      <c r="B127" s="64" t="s">
        <v>175</v>
      </c>
      <c r="C127" s="65">
        <v>45808</v>
      </c>
      <c r="D127" s="65">
        <v>45838</v>
      </c>
      <c r="E127" s="62"/>
      <c r="F127" s="62"/>
      <c r="G127" s="62"/>
      <c r="J127" s="56"/>
    </row>
    <row r="128" spans="1:17" x14ac:dyDescent="0.2">
      <c r="A128" s="66"/>
      <c r="B128" s="36" t="s">
        <v>176</v>
      </c>
      <c r="C128" s="67">
        <v>10.841900000000001</v>
      </c>
      <c r="D128" s="67">
        <v>11.236499999999999</v>
      </c>
      <c r="E128" s="66"/>
      <c r="F128" s="68"/>
      <c r="G128" s="69"/>
    </row>
    <row r="129" spans="1:7" x14ac:dyDescent="0.2">
      <c r="A129" s="66"/>
      <c r="B129" s="36" t="s">
        <v>1086</v>
      </c>
      <c r="C129" s="67">
        <v>10.841900000000001</v>
      </c>
      <c r="D129" s="67">
        <v>11.236499999999999</v>
      </c>
      <c r="E129" s="66"/>
      <c r="F129" s="68"/>
      <c r="G129" s="69"/>
    </row>
    <row r="130" spans="1:7" x14ac:dyDescent="0.2">
      <c r="A130" s="66"/>
      <c r="B130" s="36" t="s">
        <v>177</v>
      </c>
      <c r="C130" s="67">
        <v>10.680999999999999</v>
      </c>
      <c r="D130" s="67">
        <v>11.055300000000001</v>
      </c>
      <c r="E130" s="66"/>
      <c r="F130" s="68"/>
      <c r="G130" s="69"/>
    </row>
    <row r="131" spans="1:7" x14ac:dyDescent="0.2">
      <c r="A131" s="66"/>
      <c r="B131" s="36" t="s">
        <v>1087</v>
      </c>
      <c r="C131" s="67">
        <v>10.680999999999999</v>
      </c>
      <c r="D131" s="67">
        <v>11.055300000000001</v>
      </c>
      <c r="E131" s="66"/>
      <c r="F131" s="68"/>
      <c r="G131" s="69"/>
    </row>
    <row r="132" spans="1:7" x14ac:dyDescent="0.2">
      <c r="A132" s="66"/>
      <c r="B132" s="66"/>
      <c r="C132" s="66"/>
      <c r="D132" s="66"/>
      <c r="E132" s="66"/>
      <c r="F132" s="66"/>
      <c r="G132" s="66"/>
    </row>
    <row r="133" spans="1:7" x14ac:dyDescent="0.2">
      <c r="A133" s="66"/>
      <c r="B133" s="163" t="s">
        <v>860</v>
      </c>
      <c r="C133" s="164"/>
      <c r="D133" s="42" t="s">
        <v>172</v>
      </c>
      <c r="E133" s="66"/>
      <c r="F133" s="66"/>
      <c r="G133" s="66"/>
    </row>
    <row r="134" spans="1:7" x14ac:dyDescent="0.2">
      <c r="A134" s="66"/>
      <c r="B134" s="70"/>
      <c r="C134" s="70"/>
      <c r="D134" s="70"/>
      <c r="E134" s="66"/>
      <c r="F134" s="66"/>
      <c r="G134" s="66"/>
    </row>
    <row r="135" spans="1:7" ht="27.75" customHeight="1" x14ac:dyDescent="0.2">
      <c r="A135" s="62"/>
      <c r="B135" s="154" t="s">
        <v>178</v>
      </c>
      <c r="C135" s="155"/>
      <c r="D135" s="33" t="s">
        <v>172</v>
      </c>
      <c r="E135" s="71"/>
      <c r="F135" s="62"/>
      <c r="G135" s="62"/>
    </row>
    <row r="136" spans="1:7" ht="28.5" customHeight="1" x14ac:dyDescent="0.2">
      <c r="A136" s="62"/>
      <c r="B136" s="154" t="s">
        <v>179</v>
      </c>
      <c r="C136" s="155"/>
      <c r="D136" s="33" t="s">
        <v>172</v>
      </c>
      <c r="E136" s="71"/>
      <c r="F136" s="62"/>
      <c r="G136" s="62"/>
    </row>
    <row r="137" spans="1:7" ht="12.75" customHeight="1" x14ac:dyDescent="0.2">
      <c r="A137" s="62"/>
      <c r="B137" s="154" t="s">
        <v>180</v>
      </c>
      <c r="C137" s="155"/>
      <c r="D137" s="33" t="s">
        <v>172</v>
      </c>
      <c r="E137" s="71"/>
      <c r="F137" s="62"/>
      <c r="G137" s="62"/>
    </row>
    <row r="138" spans="1:7" x14ac:dyDescent="0.2">
      <c r="A138" s="62"/>
      <c r="B138" s="154" t="s">
        <v>181</v>
      </c>
      <c r="C138" s="155"/>
      <c r="D138" s="72">
        <v>0.36995592026515967</v>
      </c>
      <c r="E138" s="62"/>
      <c r="F138" s="55"/>
      <c r="G138" s="73"/>
    </row>
    <row r="140" spans="1:7" x14ac:dyDescent="0.2">
      <c r="B140" s="156" t="s">
        <v>861</v>
      </c>
      <c r="C140" s="156"/>
    </row>
    <row r="142" spans="1:7" ht="153.75" customHeight="1" x14ac:dyDescent="0.2"/>
    <row r="145" spans="2:10" x14ac:dyDescent="0.2">
      <c r="B145" s="79" t="s">
        <v>862</v>
      </c>
      <c r="C145" s="80"/>
      <c r="D145" s="79"/>
    </row>
    <row r="146" spans="2:10" x14ac:dyDescent="0.2">
      <c r="B146" s="79" t="s">
        <v>938</v>
      </c>
      <c r="D146" s="79"/>
    </row>
    <row r="147" spans="2:10" ht="165" customHeight="1" x14ac:dyDescent="0.2"/>
    <row r="149" spans="2:10" x14ac:dyDescent="0.2">
      <c r="J149" s="31"/>
    </row>
  </sheetData>
  <mergeCells count="18">
    <mergeCell ref="A1:H1"/>
    <mergeCell ref="A2:H2"/>
    <mergeCell ref="A3:H3"/>
    <mergeCell ref="B116:H116"/>
    <mergeCell ref="B117:H117"/>
    <mergeCell ref="B118:H118"/>
    <mergeCell ref="B119:H119"/>
    <mergeCell ref="B120:H120"/>
    <mergeCell ref="B122:D122"/>
    <mergeCell ref="B123:C123"/>
    <mergeCell ref="B124:C124"/>
    <mergeCell ref="B125:C125"/>
    <mergeCell ref="B140:C140"/>
    <mergeCell ref="B133:C133"/>
    <mergeCell ref="B137:C137"/>
    <mergeCell ref="B138:C138"/>
    <mergeCell ref="B135:C135"/>
    <mergeCell ref="B136:C136"/>
  </mergeCells>
  <hyperlinks>
    <hyperlink ref="I1" location="Index!B2" display="Index" xr:uid="{6EA18E06-2DCF-428D-B11D-A2CC3812CF86}"/>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0A62-CB9D-4635-89EC-30FE4C28B235}">
  <sheetPr>
    <outlinePr summaryBelow="0" summaryRight="0"/>
  </sheetPr>
  <dimension ref="A1:Q163"/>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829</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322</v>
      </c>
      <c r="C7" s="36" t="s">
        <v>323</v>
      </c>
      <c r="D7" s="36" t="s">
        <v>33</v>
      </c>
      <c r="E7" s="37">
        <v>996000</v>
      </c>
      <c r="F7" s="38">
        <v>19934.939999999999</v>
      </c>
      <c r="G7" s="39">
        <v>9.4574169999999999E-2</v>
      </c>
      <c r="H7" s="34" t="s">
        <v>143</v>
      </c>
    </row>
    <row r="8" spans="1:9" x14ac:dyDescent="0.2">
      <c r="A8" s="35">
        <v>2</v>
      </c>
      <c r="B8" s="36" t="s">
        <v>31</v>
      </c>
      <c r="C8" s="36" t="s">
        <v>32</v>
      </c>
      <c r="D8" s="36" t="s">
        <v>33</v>
      </c>
      <c r="E8" s="37">
        <v>1151000</v>
      </c>
      <c r="F8" s="38">
        <v>16641.157999999999</v>
      </c>
      <c r="G8" s="39">
        <v>7.8948009999999999E-2</v>
      </c>
      <c r="H8" s="34" t="s">
        <v>143</v>
      </c>
    </row>
    <row r="9" spans="1:9" x14ac:dyDescent="0.2">
      <c r="A9" s="35">
        <v>3</v>
      </c>
      <c r="B9" s="36" t="s">
        <v>14</v>
      </c>
      <c r="C9" s="36" t="s">
        <v>15</v>
      </c>
      <c r="D9" s="36" t="s">
        <v>16</v>
      </c>
      <c r="E9" s="37">
        <v>682000</v>
      </c>
      <c r="F9" s="38">
        <v>10234.092000000001</v>
      </c>
      <c r="G9" s="39">
        <v>4.8551980000000002E-2</v>
      </c>
      <c r="H9" s="34" t="s">
        <v>143</v>
      </c>
    </row>
    <row r="10" spans="1:9" x14ac:dyDescent="0.2">
      <c r="A10" s="35">
        <v>4</v>
      </c>
      <c r="B10" s="36" t="s">
        <v>324</v>
      </c>
      <c r="C10" s="36" t="s">
        <v>325</v>
      </c>
      <c r="D10" s="36" t="s">
        <v>33</v>
      </c>
      <c r="E10" s="37">
        <v>610000</v>
      </c>
      <c r="F10" s="38">
        <v>7315.12</v>
      </c>
      <c r="G10" s="39">
        <v>3.4703959999999999E-2</v>
      </c>
      <c r="H10" s="34" t="s">
        <v>143</v>
      </c>
    </row>
    <row r="11" spans="1:9" x14ac:dyDescent="0.2">
      <c r="A11" s="35">
        <v>5</v>
      </c>
      <c r="B11" s="36" t="s">
        <v>17</v>
      </c>
      <c r="C11" s="36" t="s">
        <v>18</v>
      </c>
      <c r="D11" s="36" t="s">
        <v>19</v>
      </c>
      <c r="E11" s="37">
        <v>190000</v>
      </c>
      <c r="F11" s="38">
        <v>6972.62</v>
      </c>
      <c r="G11" s="39">
        <v>3.3079089999999998E-2</v>
      </c>
      <c r="H11" s="34" t="s">
        <v>143</v>
      </c>
    </row>
    <row r="12" spans="1:9" x14ac:dyDescent="0.2">
      <c r="A12" s="35">
        <v>6</v>
      </c>
      <c r="B12" s="36" t="s">
        <v>11</v>
      </c>
      <c r="C12" s="36" t="s">
        <v>12</v>
      </c>
      <c r="D12" s="36" t="s">
        <v>13</v>
      </c>
      <c r="E12" s="37">
        <v>336000</v>
      </c>
      <c r="F12" s="38">
        <v>6752.2560000000003</v>
      </c>
      <c r="G12" s="39">
        <v>3.2033659999999999E-2</v>
      </c>
      <c r="H12" s="34" t="s">
        <v>143</v>
      </c>
    </row>
    <row r="13" spans="1:9" x14ac:dyDescent="0.2">
      <c r="A13" s="35">
        <v>7</v>
      </c>
      <c r="B13" s="36" t="s">
        <v>328</v>
      </c>
      <c r="C13" s="36" t="s">
        <v>329</v>
      </c>
      <c r="D13" s="36" t="s">
        <v>198</v>
      </c>
      <c r="E13" s="37">
        <v>417000</v>
      </c>
      <c r="F13" s="38">
        <v>6679.5060000000003</v>
      </c>
      <c r="G13" s="39">
        <v>3.1688519999999998E-2</v>
      </c>
      <c r="H13" s="34" t="s">
        <v>143</v>
      </c>
    </row>
    <row r="14" spans="1:9" x14ac:dyDescent="0.2">
      <c r="A14" s="35">
        <v>8</v>
      </c>
      <c r="B14" s="36" t="s">
        <v>46</v>
      </c>
      <c r="C14" s="36" t="s">
        <v>47</v>
      </c>
      <c r="D14" s="36" t="s">
        <v>33</v>
      </c>
      <c r="E14" s="37">
        <v>796000</v>
      </c>
      <c r="F14" s="38">
        <v>6529.9859999999999</v>
      </c>
      <c r="G14" s="39">
        <v>3.0979179999999999E-2</v>
      </c>
      <c r="H14" s="34" t="s">
        <v>143</v>
      </c>
    </row>
    <row r="15" spans="1:9" x14ac:dyDescent="0.2">
      <c r="A15" s="35">
        <v>9</v>
      </c>
      <c r="B15" s="36" t="s">
        <v>326</v>
      </c>
      <c r="C15" s="36" t="s">
        <v>327</v>
      </c>
      <c r="D15" s="36" t="s">
        <v>33</v>
      </c>
      <c r="E15" s="37">
        <v>300000</v>
      </c>
      <c r="F15" s="38">
        <v>6490.5</v>
      </c>
      <c r="G15" s="39">
        <v>3.0791849999999999E-2</v>
      </c>
      <c r="H15" s="34" t="s">
        <v>143</v>
      </c>
    </row>
    <row r="16" spans="1:9" x14ac:dyDescent="0.2">
      <c r="A16" s="35">
        <v>10</v>
      </c>
      <c r="B16" s="36" t="s">
        <v>352</v>
      </c>
      <c r="C16" s="36" t="s">
        <v>353</v>
      </c>
      <c r="D16" s="36" t="s">
        <v>354</v>
      </c>
      <c r="E16" s="37">
        <v>1440000</v>
      </c>
      <c r="F16" s="38">
        <v>5996.88</v>
      </c>
      <c r="G16" s="39">
        <v>2.8450050000000001E-2</v>
      </c>
      <c r="H16" s="34" t="s">
        <v>143</v>
      </c>
    </row>
    <row r="17" spans="1:8" ht="25.5" x14ac:dyDescent="0.2">
      <c r="A17" s="35">
        <v>11</v>
      </c>
      <c r="B17" s="36" t="s">
        <v>23</v>
      </c>
      <c r="C17" s="36" t="s">
        <v>24</v>
      </c>
      <c r="D17" s="36" t="s">
        <v>25</v>
      </c>
      <c r="E17" s="37">
        <v>42000</v>
      </c>
      <c r="F17" s="38">
        <v>5079.0600000000004</v>
      </c>
      <c r="G17" s="39">
        <v>2.4095780000000001E-2</v>
      </c>
      <c r="H17" s="34" t="s">
        <v>143</v>
      </c>
    </row>
    <row r="18" spans="1:8" x14ac:dyDescent="0.2">
      <c r="A18" s="35">
        <v>12</v>
      </c>
      <c r="B18" s="36" t="s">
        <v>444</v>
      </c>
      <c r="C18" s="36" t="s">
        <v>445</v>
      </c>
      <c r="D18" s="36" t="s">
        <v>354</v>
      </c>
      <c r="E18" s="37">
        <v>190000</v>
      </c>
      <c r="F18" s="38">
        <v>4359.74</v>
      </c>
      <c r="G18" s="39">
        <v>2.0683219999999999E-2</v>
      </c>
      <c r="H18" s="34" t="s">
        <v>143</v>
      </c>
    </row>
    <row r="19" spans="1:8" x14ac:dyDescent="0.2">
      <c r="A19" s="35">
        <v>13</v>
      </c>
      <c r="B19" s="36" t="s">
        <v>503</v>
      </c>
      <c r="C19" s="36" t="s">
        <v>504</v>
      </c>
      <c r="D19" s="36" t="s">
        <v>251</v>
      </c>
      <c r="E19" s="37">
        <v>32000</v>
      </c>
      <c r="F19" s="38">
        <v>3968</v>
      </c>
      <c r="G19" s="39">
        <v>1.8824750000000001E-2</v>
      </c>
      <c r="H19" s="34" t="s">
        <v>143</v>
      </c>
    </row>
    <row r="20" spans="1:8" ht="25.5" x14ac:dyDescent="0.2">
      <c r="A20" s="35">
        <v>14</v>
      </c>
      <c r="B20" s="36" t="s">
        <v>348</v>
      </c>
      <c r="C20" s="36" t="s">
        <v>349</v>
      </c>
      <c r="D20" s="36" t="s">
        <v>201</v>
      </c>
      <c r="E20" s="37">
        <v>202000</v>
      </c>
      <c r="F20" s="38">
        <v>3384.9140000000002</v>
      </c>
      <c r="G20" s="39">
        <v>1.6058510000000002E-2</v>
      </c>
      <c r="H20" s="34" t="s">
        <v>143</v>
      </c>
    </row>
    <row r="21" spans="1:8" x14ac:dyDescent="0.2">
      <c r="A21" s="35">
        <v>15</v>
      </c>
      <c r="B21" s="36" t="s">
        <v>800</v>
      </c>
      <c r="C21" s="36" t="s">
        <v>801</v>
      </c>
      <c r="D21" s="36" t="s">
        <v>251</v>
      </c>
      <c r="E21" s="37">
        <v>21000</v>
      </c>
      <c r="F21" s="38">
        <v>3376.17</v>
      </c>
      <c r="G21" s="39">
        <v>1.6017030000000002E-2</v>
      </c>
      <c r="H21" s="34" t="s">
        <v>143</v>
      </c>
    </row>
    <row r="22" spans="1:8" x14ac:dyDescent="0.2">
      <c r="A22" s="35">
        <v>16</v>
      </c>
      <c r="B22" s="36" t="s">
        <v>446</v>
      </c>
      <c r="C22" s="36" t="s">
        <v>447</v>
      </c>
      <c r="D22" s="36" t="s">
        <v>33</v>
      </c>
      <c r="E22" s="37">
        <v>369000</v>
      </c>
      <c r="F22" s="38">
        <v>3218.049</v>
      </c>
      <c r="G22" s="39">
        <v>1.526688E-2</v>
      </c>
      <c r="H22" s="34" t="s">
        <v>143</v>
      </c>
    </row>
    <row r="23" spans="1:8" ht="25.5" x14ac:dyDescent="0.2">
      <c r="A23" s="35">
        <v>17</v>
      </c>
      <c r="B23" s="36" t="s">
        <v>346</v>
      </c>
      <c r="C23" s="36" t="s">
        <v>347</v>
      </c>
      <c r="D23" s="36" t="s">
        <v>192</v>
      </c>
      <c r="E23" s="37">
        <v>191000</v>
      </c>
      <c r="F23" s="38">
        <v>3109.48</v>
      </c>
      <c r="G23" s="39">
        <v>1.4751810000000001E-2</v>
      </c>
      <c r="H23" s="34" t="s">
        <v>143</v>
      </c>
    </row>
    <row r="24" spans="1:8" x14ac:dyDescent="0.2">
      <c r="A24" s="35">
        <v>18</v>
      </c>
      <c r="B24" s="36" t="s">
        <v>779</v>
      </c>
      <c r="C24" s="36" t="s">
        <v>780</v>
      </c>
      <c r="D24" s="36" t="s">
        <v>287</v>
      </c>
      <c r="E24" s="37">
        <v>750000</v>
      </c>
      <c r="F24" s="38">
        <v>3003</v>
      </c>
      <c r="G24" s="39">
        <v>1.424666E-2</v>
      </c>
      <c r="H24" s="34" t="s">
        <v>143</v>
      </c>
    </row>
    <row r="25" spans="1:8" x14ac:dyDescent="0.2">
      <c r="A25" s="35">
        <v>19</v>
      </c>
      <c r="B25" s="36" t="s">
        <v>120</v>
      </c>
      <c r="C25" s="36" t="s">
        <v>121</v>
      </c>
      <c r="D25" s="36" t="s">
        <v>36</v>
      </c>
      <c r="E25" s="37">
        <v>450000</v>
      </c>
      <c r="F25" s="38">
        <v>2756.0250000000001</v>
      </c>
      <c r="G25" s="39">
        <v>1.307497E-2</v>
      </c>
      <c r="H25" s="34" t="s">
        <v>143</v>
      </c>
    </row>
    <row r="26" spans="1:8" ht="25.5" x14ac:dyDescent="0.2">
      <c r="A26" s="35">
        <v>20</v>
      </c>
      <c r="B26" s="36" t="s">
        <v>101</v>
      </c>
      <c r="C26" s="36" t="s">
        <v>102</v>
      </c>
      <c r="D26" s="36" t="s">
        <v>25</v>
      </c>
      <c r="E26" s="37">
        <v>460000</v>
      </c>
      <c r="F26" s="38">
        <v>2656.27</v>
      </c>
      <c r="G26" s="39">
        <v>1.260172E-2</v>
      </c>
      <c r="H26" s="34" t="s">
        <v>143</v>
      </c>
    </row>
    <row r="27" spans="1:8" x14ac:dyDescent="0.2">
      <c r="A27" s="35">
        <v>21</v>
      </c>
      <c r="B27" s="36" t="s">
        <v>20</v>
      </c>
      <c r="C27" s="36" t="s">
        <v>21</v>
      </c>
      <c r="D27" s="36" t="s">
        <v>22</v>
      </c>
      <c r="E27" s="37">
        <v>775000</v>
      </c>
      <c r="F27" s="38">
        <v>2595.4749999999999</v>
      </c>
      <c r="G27" s="39">
        <v>1.2313299999999999E-2</v>
      </c>
      <c r="H27" s="34" t="s">
        <v>143</v>
      </c>
    </row>
    <row r="28" spans="1:8" x14ac:dyDescent="0.2">
      <c r="A28" s="35">
        <v>22</v>
      </c>
      <c r="B28" s="36" t="s">
        <v>50</v>
      </c>
      <c r="C28" s="36" t="s">
        <v>51</v>
      </c>
      <c r="D28" s="36" t="s">
        <v>52</v>
      </c>
      <c r="E28" s="37">
        <v>43308</v>
      </c>
      <c r="F28" s="38">
        <v>2588.3026199999999</v>
      </c>
      <c r="G28" s="39">
        <v>1.227927E-2</v>
      </c>
      <c r="H28" s="34" t="s">
        <v>143</v>
      </c>
    </row>
    <row r="29" spans="1:8" x14ac:dyDescent="0.2">
      <c r="A29" s="35">
        <v>23</v>
      </c>
      <c r="B29" s="36" t="s">
        <v>734</v>
      </c>
      <c r="C29" s="36" t="s">
        <v>735</v>
      </c>
      <c r="D29" s="36" t="s">
        <v>195</v>
      </c>
      <c r="E29" s="37">
        <v>150000</v>
      </c>
      <c r="F29" s="38">
        <v>2559.3000000000002</v>
      </c>
      <c r="G29" s="39">
        <v>1.214168E-2</v>
      </c>
      <c r="H29" s="34" t="s">
        <v>143</v>
      </c>
    </row>
    <row r="30" spans="1:8" x14ac:dyDescent="0.2">
      <c r="A30" s="35">
        <v>24</v>
      </c>
      <c r="B30" s="36" t="s">
        <v>107</v>
      </c>
      <c r="C30" s="36" t="s">
        <v>108</v>
      </c>
      <c r="D30" s="36" t="s">
        <v>52</v>
      </c>
      <c r="E30" s="37">
        <v>629000</v>
      </c>
      <c r="F30" s="38">
        <v>2407.8119999999999</v>
      </c>
      <c r="G30" s="39">
        <v>1.1423000000000001E-2</v>
      </c>
      <c r="H30" s="34" t="s">
        <v>143</v>
      </c>
    </row>
    <row r="31" spans="1:8" ht="25.5" x14ac:dyDescent="0.2">
      <c r="A31" s="35">
        <v>25</v>
      </c>
      <c r="B31" s="36" t="s">
        <v>802</v>
      </c>
      <c r="C31" s="36" t="s">
        <v>803</v>
      </c>
      <c r="D31" s="36" t="s">
        <v>185</v>
      </c>
      <c r="E31" s="37">
        <v>362000</v>
      </c>
      <c r="F31" s="38">
        <v>2393.7249999999999</v>
      </c>
      <c r="G31" s="39">
        <v>1.1356170000000001E-2</v>
      </c>
      <c r="H31" s="34" t="s">
        <v>143</v>
      </c>
    </row>
    <row r="32" spans="1:8" ht="25.5" x14ac:dyDescent="0.2">
      <c r="A32" s="35">
        <v>26</v>
      </c>
      <c r="B32" s="36" t="s">
        <v>283</v>
      </c>
      <c r="C32" s="36" t="s">
        <v>284</v>
      </c>
      <c r="D32" s="36" t="s">
        <v>185</v>
      </c>
      <c r="E32" s="37">
        <v>56000</v>
      </c>
      <c r="F32" s="38">
        <v>2298.6320000000001</v>
      </c>
      <c r="G32" s="39">
        <v>1.090504E-2</v>
      </c>
      <c r="H32" s="34" t="s">
        <v>143</v>
      </c>
    </row>
    <row r="33" spans="1:8" x14ac:dyDescent="0.2">
      <c r="A33" s="35">
        <v>27</v>
      </c>
      <c r="B33" s="36" t="s">
        <v>350</v>
      </c>
      <c r="C33" s="36" t="s">
        <v>351</v>
      </c>
      <c r="D33" s="36" t="s">
        <v>287</v>
      </c>
      <c r="E33" s="37">
        <v>863000</v>
      </c>
      <c r="F33" s="38">
        <v>2279.6145000000001</v>
      </c>
      <c r="G33" s="39">
        <v>1.0814809999999999E-2</v>
      </c>
      <c r="H33" s="34" t="s">
        <v>143</v>
      </c>
    </row>
    <row r="34" spans="1:8" x14ac:dyDescent="0.2">
      <c r="A34" s="35">
        <v>28</v>
      </c>
      <c r="B34" s="36" t="s">
        <v>722</v>
      </c>
      <c r="C34" s="36" t="s">
        <v>723</v>
      </c>
      <c r="D34" s="36" t="s">
        <v>195</v>
      </c>
      <c r="E34" s="37">
        <v>31000</v>
      </c>
      <c r="F34" s="38">
        <v>2245.02</v>
      </c>
      <c r="G34" s="39">
        <v>1.0650690000000001E-2</v>
      </c>
      <c r="H34" s="34" t="s">
        <v>143</v>
      </c>
    </row>
    <row r="35" spans="1:8" ht="25.5" x14ac:dyDescent="0.2">
      <c r="A35" s="35">
        <v>29</v>
      </c>
      <c r="B35" s="36" t="s">
        <v>440</v>
      </c>
      <c r="C35" s="36" t="s">
        <v>441</v>
      </c>
      <c r="D35" s="36" t="s">
        <v>201</v>
      </c>
      <c r="E35" s="37">
        <v>149000</v>
      </c>
      <c r="F35" s="38">
        <v>2243.7910000000002</v>
      </c>
      <c r="G35" s="39">
        <v>1.0644860000000001E-2</v>
      </c>
      <c r="H35" s="34" t="s">
        <v>143</v>
      </c>
    </row>
    <row r="36" spans="1:8" x14ac:dyDescent="0.2">
      <c r="A36" s="35">
        <v>30</v>
      </c>
      <c r="B36" s="36" t="s">
        <v>338</v>
      </c>
      <c r="C36" s="36" t="s">
        <v>339</v>
      </c>
      <c r="D36" s="36" t="s">
        <v>251</v>
      </c>
      <c r="E36" s="37">
        <v>70000</v>
      </c>
      <c r="F36" s="38">
        <v>2228.2399999999998</v>
      </c>
      <c r="G36" s="39">
        <v>1.057109E-2</v>
      </c>
      <c r="H36" s="34" t="s">
        <v>143</v>
      </c>
    </row>
    <row r="37" spans="1:8" ht="25.5" x14ac:dyDescent="0.2">
      <c r="A37" s="35">
        <v>31</v>
      </c>
      <c r="B37" s="36" t="s">
        <v>438</v>
      </c>
      <c r="C37" s="36" t="s">
        <v>439</v>
      </c>
      <c r="D37" s="36" t="s">
        <v>209</v>
      </c>
      <c r="E37" s="37">
        <v>193000</v>
      </c>
      <c r="F37" s="38">
        <v>2120.877</v>
      </c>
      <c r="G37" s="39">
        <v>1.006174E-2</v>
      </c>
      <c r="H37" s="34" t="s">
        <v>143</v>
      </c>
    </row>
    <row r="38" spans="1:8" x14ac:dyDescent="0.2">
      <c r="A38" s="35">
        <v>32</v>
      </c>
      <c r="B38" s="36" t="s">
        <v>92</v>
      </c>
      <c r="C38" s="36" t="s">
        <v>93</v>
      </c>
      <c r="D38" s="36" t="s">
        <v>94</v>
      </c>
      <c r="E38" s="37">
        <v>1101000</v>
      </c>
      <c r="F38" s="38">
        <v>2101.1484</v>
      </c>
      <c r="G38" s="39">
        <v>9.9681500000000003E-3</v>
      </c>
      <c r="H38" s="34" t="s">
        <v>143</v>
      </c>
    </row>
    <row r="39" spans="1:8" ht="25.5" x14ac:dyDescent="0.2">
      <c r="A39" s="35">
        <v>33</v>
      </c>
      <c r="B39" s="36" t="s">
        <v>638</v>
      </c>
      <c r="C39" s="36" t="s">
        <v>639</v>
      </c>
      <c r="D39" s="36" t="s">
        <v>201</v>
      </c>
      <c r="E39" s="37">
        <v>180000</v>
      </c>
      <c r="F39" s="38">
        <v>2042.64</v>
      </c>
      <c r="G39" s="39">
        <v>9.6905700000000008E-3</v>
      </c>
      <c r="H39" s="34" t="s">
        <v>143</v>
      </c>
    </row>
    <row r="40" spans="1:8" ht="25.5" x14ac:dyDescent="0.2">
      <c r="A40" s="35">
        <v>34</v>
      </c>
      <c r="B40" s="36" t="s">
        <v>117</v>
      </c>
      <c r="C40" s="36" t="s">
        <v>118</v>
      </c>
      <c r="D40" s="36" t="s">
        <v>119</v>
      </c>
      <c r="E40" s="37">
        <v>397000</v>
      </c>
      <c r="F40" s="38">
        <v>2020.1344999999999</v>
      </c>
      <c r="G40" s="39">
        <v>9.5838E-3</v>
      </c>
      <c r="H40" s="34" t="s">
        <v>143</v>
      </c>
    </row>
    <row r="41" spans="1:8" x14ac:dyDescent="0.2">
      <c r="A41" s="35">
        <v>35</v>
      </c>
      <c r="B41" s="36" t="s">
        <v>273</v>
      </c>
      <c r="C41" s="36" t="s">
        <v>274</v>
      </c>
      <c r="D41" s="36" t="s">
        <v>221</v>
      </c>
      <c r="E41" s="37">
        <v>1200000</v>
      </c>
      <c r="F41" s="38">
        <v>2013.24</v>
      </c>
      <c r="G41" s="39">
        <v>9.5510999999999999E-3</v>
      </c>
      <c r="H41" s="34" t="s">
        <v>143</v>
      </c>
    </row>
    <row r="42" spans="1:8" x14ac:dyDescent="0.2">
      <c r="A42" s="35">
        <v>36</v>
      </c>
      <c r="B42" s="36" t="s">
        <v>344</v>
      </c>
      <c r="C42" s="36" t="s">
        <v>345</v>
      </c>
      <c r="D42" s="36" t="s">
        <v>287</v>
      </c>
      <c r="E42" s="37">
        <v>135000</v>
      </c>
      <c r="F42" s="38">
        <v>2009.2049999999999</v>
      </c>
      <c r="G42" s="39">
        <v>9.5319500000000008E-3</v>
      </c>
      <c r="H42" s="34" t="s">
        <v>143</v>
      </c>
    </row>
    <row r="43" spans="1:8" x14ac:dyDescent="0.2">
      <c r="A43" s="35">
        <v>37</v>
      </c>
      <c r="B43" s="36" t="s">
        <v>34</v>
      </c>
      <c r="C43" s="36" t="s">
        <v>35</v>
      </c>
      <c r="D43" s="36" t="s">
        <v>36</v>
      </c>
      <c r="E43" s="37">
        <v>85000</v>
      </c>
      <c r="F43" s="38">
        <v>2006.9349999999999</v>
      </c>
      <c r="G43" s="39">
        <v>9.5211800000000006E-3</v>
      </c>
      <c r="H43" s="34" t="s">
        <v>143</v>
      </c>
    </row>
    <row r="44" spans="1:8" x14ac:dyDescent="0.2">
      <c r="A44" s="35">
        <v>38</v>
      </c>
      <c r="B44" s="36" t="s">
        <v>507</v>
      </c>
      <c r="C44" s="36" t="s">
        <v>508</v>
      </c>
      <c r="D44" s="36" t="s">
        <v>226</v>
      </c>
      <c r="E44" s="37">
        <v>135000</v>
      </c>
      <c r="F44" s="38">
        <v>1927.9349999999999</v>
      </c>
      <c r="G44" s="39">
        <v>9.1464000000000007E-3</v>
      </c>
      <c r="H44" s="34" t="s">
        <v>143</v>
      </c>
    </row>
    <row r="45" spans="1:8" x14ac:dyDescent="0.2">
      <c r="A45" s="35">
        <v>39</v>
      </c>
      <c r="B45" s="36" t="s">
        <v>513</v>
      </c>
      <c r="C45" s="36" t="s">
        <v>514</v>
      </c>
      <c r="D45" s="36" t="s">
        <v>198</v>
      </c>
      <c r="E45" s="37">
        <v>113000</v>
      </c>
      <c r="F45" s="38">
        <v>1906.31</v>
      </c>
      <c r="G45" s="39">
        <v>9.0437999999999994E-3</v>
      </c>
      <c r="H45" s="34" t="s">
        <v>143</v>
      </c>
    </row>
    <row r="46" spans="1:8" x14ac:dyDescent="0.2">
      <c r="A46" s="35">
        <v>40</v>
      </c>
      <c r="B46" s="36" t="s">
        <v>186</v>
      </c>
      <c r="C46" s="36" t="s">
        <v>187</v>
      </c>
      <c r="D46" s="36" t="s">
        <v>33</v>
      </c>
      <c r="E46" s="37">
        <v>865456</v>
      </c>
      <c r="F46" s="38">
        <v>1844.4598272000001</v>
      </c>
      <c r="G46" s="39">
        <v>8.7503800000000003E-3</v>
      </c>
      <c r="H46" s="34" t="s">
        <v>143</v>
      </c>
    </row>
    <row r="47" spans="1:8" x14ac:dyDescent="0.2">
      <c r="A47" s="35">
        <v>41</v>
      </c>
      <c r="B47" s="36" t="s">
        <v>804</v>
      </c>
      <c r="C47" s="36" t="s">
        <v>805</v>
      </c>
      <c r="D47" s="36" t="s">
        <v>55</v>
      </c>
      <c r="E47" s="37">
        <v>150000</v>
      </c>
      <c r="F47" s="38">
        <v>1831.8</v>
      </c>
      <c r="G47" s="39">
        <v>8.6903199999999996E-3</v>
      </c>
      <c r="H47" s="34" t="s">
        <v>143</v>
      </c>
    </row>
    <row r="48" spans="1:8" x14ac:dyDescent="0.2">
      <c r="A48" s="35">
        <v>42</v>
      </c>
      <c r="B48" s="36" t="s">
        <v>219</v>
      </c>
      <c r="C48" s="36" t="s">
        <v>220</v>
      </c>
      <c r="D48" s="36" t="s">
        <v>221</v>
      </c>
      <c r="E48" s="37">
        <v>257000</v>
      </c>
      <c r="F48" s="38">
        <v>1803.626</v>
      </c>
      <c r="G48" s="39">
        <v>8.5566600000000007E-3</v>
      </c>
      <c r="H48" s="34" t="s">
        <v>143</v>
      </c>
    </row>
    <row r="49" spans="1:8" x14ac:dyDescent="0.2">
      <c r="A49" s="35">
        <v>43</v>
      </c>
      <c r="B49" s="36" t="s">
        <v>427</v>
      </c>
      <c r="C49" s="36" t="s">
        <v>428</v>
      </c>
      <c r="D49" s="36" t="s">
        <v>251</v>
      </c>
      <c r="E49" s="37">
        <v>250000</v>
      </c>
      <c r="F49" s="38">
        <v>1720</v>
      </c>
      <c r="G49" s="39">
        <v>8.1599199999999993E-3</v>
      </c>
      <c r="H49" s="34" t="s">
        <v>143</v>
      </c>
    </row>
    <row r="50" spans="1:8" x14ac:dyDescent="0.2">
      <c r="A50" s="35">
        <v>44</v>
      </c>
      <c r="B50" s="36" t="s">
        <v>309</v>
      </c>
      <c r="C50" s="36" t="s">
        <v>310</v>
      </c>
      <c r="D50" s="36" t="s">
        <v>206</v>
      </c>
      <c r="E50" s="37">
        <v>39000</v>
      </c>
      <c r="F50" s="38">
        <v>1673.1780000000001</v>
      </c>
      <c r="G50" s="39">
        <v>7.9377900000000001E-3</v>
      </c>
      <c r="H50" s="34" t="s">
        <v>143</v>
      </c>
    </row>
    <row r="51" spans="1:8" x14ac:dyDescent="0.2">
      <c r="A51" s="35">
        <v>45</v>
      </c>
      <c r="B51" s="36" t="s">
        <v>736</v>
      </c>
      <c r="C51" s="36" t="s">
        <v>737</v>
      </c>
      <c r="D51" s="36" t="s">
        <v>55</v>
      </c>
      <c r="E51" s="37">
        <v>153217</v>
      </c>
      <c r="F51" s="38">
        <v>1656.27577</v>
      </c>
      <c r="G51" s="39">
        <v>7.8576099999999992E-3</v>
      </c>
      <c r="H51" s="34" t="s">
        <v>143</v>
      </c>
    </row>
    <row r="52" spans="1:8" x14ac:dyDescent="0.2">
      <c r="A52" s="35">
        <v>46</v>
      </c>
      <c r="B52" s="36" t="s">
        <v>728</v>
      </c>
      <c r="C52" s="36" t="s">
        <v>729</v>
      </c>
      <c r="D52" s="36" t="s">
        <v>55</v>
      </c>
      <c r="E52" s="37">
        <v>99875</v>
      </c>
      <c r="F52" s="38">
        <v>1633.5554999999999</v>
      </c>
      <c r="G52" s="39">
        <v>7.7498200000000001E-3</v>
      </c>
      <c r="H52" s="34" t="s">
        <v>143</v>
      </c>
    </row>
    <row r="53" spans="1:8" ht="25.5" x14ac:dyDescent="0.2">
      <c r="A53" s="35">
        <v>47</v>
      </c>
      <c r="B53" s="36" t="s">
        <v>56</v>
      </c>
      <c r="C53" s="36" t="s">
        <v>57</v>
      </c>
      <c r="D53" s="36" t="s">
        <v>58</v>
      </c>
      <c r="E53" s="37">
        <v>100000</v>
      </c>
      <c r="F53" s="38">
        <v>1450.2</v>
      </c>
      <c r="G53" s="39">
        <v>6.8799500000000001E-3</v>
      </c>
      <c r="H53" s="34" t="s">
        <v>143</v>
      </c>
    </row>
    <row r="54" spans="1:8" x14ac:dyDescent="0.2">
      <c r="A54" s="35">
        <v>48</v>
      </c>
      <c r="B54" s="36" t="s">
        <v>254</v>
      </c>
      <c r="C54" s="36" t="s">
        <v>255</v>
      </c>
      <c r="D54" s="36" t="s">
        <v>256</v>
      </c>
      <c r="E54" s="37">
        <v>84000</v>
      </c>
      <c r="F54" s="38">
        <v>1383.5640000000001</v>
      </c>
      <c r="G54" s="39">
        <v>6.5638199999999997E-3</v>
      </c>
      <c r="H54" s="34" t="s">
        <v>143</v>
      </c>
    </row>
    <row r="55" spans="1:8" x14ac:dyDescent="0.2">
      <c r="A55" s="35">
        <v>49</v>
      </c>
      <c r="B55" s="36" t="s">
        <v>340</v>
      </c>
      <c r="C55" s="36" t="s">
        <v>341</v>
      </c>
      <c r="D55" s="36" t="s">
        <v>265</v>
      </c>
      <c r="E55" s="37">
        <v>66000</v>
      </c>
      <c r="F55" s="38">
        <v>1318.8779999999999</v>
      </c>
      <c r="G55" s="39">
        <v>6.2569399999999999E-3</v>
      </c>
      <c r="H55" s="34" t="s">
        <v>143</v>
      </c>
    </row>
    <row r="56" spans="1:8" x14ac:dyDescent="0.2">
      <c r="A56" s="35">
        <v>50</v>
      </c>
      <c r="B56" s="36" t="s">
        <v>239</v>
      </c>
      <c r="C56" s="36" t="s">
        <v>240</v>
      </c>
      <c r="D56" s="36" t="s">
        <v>73</v>
      </c>
      <c r="E56" s="37">
        <v>29000</v>
      </c>
      <c r="F56" s="38">
        <v>1273.5060000000001</v>
      </c>
      <c r="G56" s="39">
        <v>6.0416899999999997E-3</v>
      </c>
      <c r="H56" s="34" t="s">
        <v>143</v>
      </c>
    </row>
    <row r="57" spans="1:8" x14ac:dyDescent="0.2">
      <c r="A57" s="35">
        <v>51</v>
      </c>
      <c r="B57" s="36" t="s">
        <v>202</v>
      </c>
      <c r="C57" s="36" t="s">
        <v>203</v>
      </c>
      <c r="D57" s="36" t="s">
        <v>16</v>
      </c>
      <c r="E57" s="37">
        <v>271000</v>
      </c>
      <c r="F57" s="38">
        <v>1187.1155000000001</v>
      </c>
      <c r="G57" s="39">
        <v>5.6318399999999999E-3</v>
      </c>
      <c r="H57" s="34" t="s">
        <v>143</v>
      </c>
    </row>
    <row r="58" spans="1:8" x14ac:dyDescent="0.2">
      <c r="A58" s="35">
        <v>52</v>
      </c>
      <c r="B58" s="36" t="s">
        <v>485</v>
      </c>
      <c r="C58" s="36" t="s">
        <v>486</v>
      </c>
      <c r="D58" s="36" t="s">
        <v>206</v>
      </c>
      <c r="E58" s="37">
        <v>41000</v>
      </c>
      <c r="F58" s="38">
        <v>1110.7719999999999</v>
      </c>
      <c r="G58" s="39">
        <v>5.2696599999999998E-3</v>
      </c>
      <c r="H58" s="34" t="s">
        <v>143</v>
      </c>
    </row>
    <row r="59" spans="1:8" ht="25.5" x14ac:dyDescent="0.2">
      <c r="A59" s="35">
        <v>53</v>
      </c>
      <c r="B59" s="36" t="s">
        <v>247</v>
      </c>
      <c r="C59" s="36" t="s">
        <v>248</v>
      </c>
      <c r="D59" s="36" t="s">
        <v>201</v>
      </c>
      <c r="E59" s="37">
        <v>21500</v>
      </c>
      <c r="F59" s="38">
        <v>1061.885</v>
      </c>
      <c r="G59" s="39">
        <v>5.0377299999999998E-3</v>
      </c>
      <c r="H59" s="34" t="s">
        <v>143</v>
      </c>
    </row>
    <row r="60" spans="1:8" x14ac:dyDescent="0.2">
      <c r="A60" s="35">
        <v>54</v>
      </c>
      <c r="B60" s="36" t="s">
        <v>357</v>
      </c>
      <c r="C60" s="36" t="s">
        <v>358</v>
      </c>
      <c r="D60" s="36" t="s">
        <v>226</v>
      </c>
      <c r="E60" s="37">
        <v>225000</v>
      </c>
      <c r="F60" s="38">
        <v>1029.4875</v>
      </c>
      <c r="G60" s="39">
        <v>4.8840300000000001E-3</v>
      </c>
      <c r="H60" s="34" t="s">
        <v>143</v>
      </c>
    </row>
    <row r="61" spans="1:8" ht="25.5" x14ac:dyDescent="0.2">
      <c r="A61" s="35">
        <v>55</v>
      </c>
      <c r="B61" s="36" t="s">
        <v>468</v>
      </c>
      <c r="C61" s="36" t="s">
        <v>469</v>
      </c>
      <c r="D61" s="36" t="s">
        <v>201</v>
      </c>
      <c r="E61" s="37">
        <v>8235</v>
      </c>
      <c r="F61" s="38">
        <v>988.2</v>
      </c>
      <c r="G61" s="39">
        <v>4.6881600000000002E-3</v>
      </c>
      <c r="H61" s="34" t="s">
        <v>143</v>
      </c>
    </row>
    <row r="62" spans="1:8" x14ac:dyDescent="0.2">
      <c r="A62" s="35">
        <v>56</v>
      </c>
      <c r="B62" s="36" t="s">
        <v>419</v>
      </c>
      <c r="C62" s="36" t="s">
        <v>420</v>
      </c>
      <c r="D62" s="36" t="s">
        <v>55</v>
      </c>
      <c r="E62" s="37">
        <v>79636</v>
      </c>
      <c r="F62" s="38">
        <v>581.14371000000006</v>
      </c>
      <c r="G62" s="39">
        <v>2.7570300000000002E-3</v>
      </c>
      <c r="H62" s="34" t="s">
        <v>143</v>
      </c>
    </row>
    <row r="63" spans="1:8" x14ac:dyDescent="0.2">
      <c r="A63" s="35">
        <v>57</v>
      </c>
      <c r="B63" s="36" t="s">
        <v>111</v>
      </c>
      <c r="C63" s="36" t="s">
        <v>112</v>
      </c>
      <c r="D63" s="36" t="s">
        <v>73</v>
      </c>
      <c r="E63" s="37">
        <v>31783</v>
      </c>
      <c r="F63" s="38">
        <v>552.73815300000001</v>
      </c>
      <c r="G63" s="39">
        <v>2.6222699999999999E-3</v>
      </c>
      <c r="H63" s="34" t="s">
        <v>143</v>
      </c>
    </row>
    <row r="64" spans="1:8" ht="25.5" x14ac:dyDescent="0.2">
      <c r="A64" s="35">
        <v>58</v>
      </c>
      <c r="B64" s="36" t="s">
        <v>261</v>
      </c>
      <c r="C64" s="36" t="s">
        <v>262</v>
      </c>
      <c r="D64" s="36" t="s">
        <v>201</v>
      </c>
      <c r="E64" s="37">
        <v>13953</v>
      </c>
      <c r="F64" s="38">
        <v>323.68169399999999</v>
      </c>
      <c r="G64" s="39">
        <v>1.5355900000000001E-3</v>
      </c>
      <c r="H64" s="34" t="s">
        <v>143</v>
      </c>
    </row>
    <row r="65" spans="1:8" x14ac:dyDescent="0.2">
      <c r="A65" s="41"/>
      <c r="B65" s="41"/>
      <c r="C65" s="42" t="s">
        <v>142</v>
      </c>
      <c r="D65" s="41"/>
      <c r="E65" s="41" t="s">
        <v>143</v>
      </c>
      <c r="F65" s="43">
        <v>194870.16967420001</v>
      </c>
      <c r="G65" s="44">
        <v>0.92449161000000002</v>
      </c>
      <c r="H65" s="34" t="s">
        <v>143</v>
      </c>
    </row>
    <row r="66" spans="1:8" x14ac:dyDescent="0.2">
      <c r="A66" s="41"/>
      <c r="B66" s="41"/>
      <c r="C66" s="45"/>
      <c r="D66" s="41"/>
      <c r="E66" s="41"/>
      <c r="F66" s="46"/>
      <c r="G66" s="46"/>
      <c r="H66" s="34" t="s">
        <v>143</v>
      </c>
    </row>
    <row r="67" spans="1:8" x14ac:dyDescent="0.2">
      <c r="A67" s="41"/>
      <c r="B67" s="41"/>
      <c r="C67" s="42" t="s">
        <v>144</v>
      </c>
      <c r="D67" s="41"/>
      <c r="E67" s="41"/>
      <c r="F67" s="41"/>
      <c r="G67" s="41"/>
      <c r="H67" s="34" t="s">
        <v>143</v>
      </c>
    </row>
    <row r="68" spans="1:8" x14ac:dyDescent="0.2">
      <c r="A68" s="41"/>
      <c r="B68" s="41"/>
      <c r="C68" s="42" t="s">
        <v>142</v>
      </c>
      <c r="D68" s="41"/>
      <c r="E68" s="41" t="s">
        <v>143</v>
      </c>
      <c r="F68" s="47" t="s">
        <v>145</v>
      </c>
      <c r="G68" s="44">
        <v>0</v>
      </c>
      <c r="H68" s="34" t="s">
        <v>143</v>
      </c>
    </row>
    <row r="69" spans="1:8" x14ac:dyDescent="0.2">
      <c r="A69" s="41"/>
      <c r="B69" s="41"/>
      <c r="C69" s="45"/>
      <c r="D69" s="41"/>
      <c r="E69" s="41"/>
      <c r="F69" s="46"/>
      <c r="G69" s="46"/>
      <c r="H69" s="34" t="s">
        <v>143</v>
      </c>
    </row>
    <row r="70" spans="1:8" x14ac:dyDescent="0.2">
      <c r="A70" s="41"/>
      <c r="B70" s="41"/>
      <c r="C70" s="42" t="s">
        <v>146</v>
      </c>
      <c r="D70" s="41"/>
      <c r="E70" s="41"/>
      <c r="F70" s="41"/>
      <c r="G70" s="41"/>
      <c r="H70" s="34" t="s">
        <v>143</v>
      </c>
    </row>
    <row r="71" spans="1:8" x14ac:dyDescent="0.2">
      <c r="A71" s="41"/>
      <c r="B71" s="41"/>
      <c r="C71" s="42" t="s">
        <v>142</v>
      </c>
      <c r="D71" s="41"/>
      <c r="E71" s="41" t="s">
        <v>143</v>
      </c>
      <c r="F71" s="47" t="s">
        <v>145</v>
      </c>
      <c r="G71" s="44">
        <v>0</v>
      </c>
      <c r="H71" s="34" t="s">
        <v>143</v>
      </c>
    </row>
    <row r="72" spans="1:8" x14ac:dyDescent="0.2">
      <c r="A72" s="41"/>
      <c r="B72" s="41"/>
      <c r="C72" s="45"/>
      <c r="D72" s="41"/>
      <c r="E72" s="41"/>
      <c r="F72" s="46"/>
      <c r="G72" s="46"/>
      <c r="H72" s="34" t="s">
        <v>143</v>
      </c>
    </row>
    <row r="73" spans="1:8" x14ac:dyDescent="0.2">
      <c r="A73" s="41"/>
      <c r="B73" s="41"/>
      <c r="C73" s="42" t="s">
        <v>147</v>
      </c>
      <c r="D73" s="41"/>
      <c r="E73" s="41"/>
      <c r="F73" s="41"/>
      <c r="G73" s="41"/>
      <c r="H73" s="34" t="s">
        <v>143</v>
      </c>
    </row>
    <row r="74" spans="1:8" x14ac:dyDescent="0.2">
      <c r="A74" s="41"/>
      <c r="B74" s="41"/>
      <c r="C74" s="42" t="s">
        <v>142</v>
      </c>
      <c r="D74" s="41"/>
      <c r="E74" s="41" t="s">
        <v>143</v>
      </c>
      <c r="F74" s="47" t="s">
        <v>145</v>
      </c>
      <c r="G74" s="44">
        <v>0</v>
      </c>
      <c r="H74" s="34" t="s">
        <v>143</v>
      </c>
    </row>
    <row r="75" spans="1:8" x14ac:dyDescent="0.2">
      <c r="A75" s="41"/>
      <c r="B75" s="41"/>
      <c r="C75" s="45"/>
      <c r="D75" s="41"/>
      <c r="E75" s="41"/>
      <c r="F75" s="46"/>
      <c r="G75" s="46"/>
      <c r="H75" s="34" t="s">
        <v>143</v>
      </c>
    </row>
    <row r="76" spans="1:8" x14ac:dyDescent="0.2">
      <c r="A76" s="41"/>
      <c r="B76" s="41"/>
      <c r="C76" s="42" t="s">
        <v>148</v>
      </c>
      <c r="D76" s="41"/>
      <c r="E76" s="41"/>
      <c r="F76" s="46"/>
      <c r="G76" s="46"/>
      <c r="H76" s="34" t="s">
        <v>143</v>
      </c>
    </row>
    <row r="77" spans="1:8" x14ac:dyDescent="0.2">
      <c r="A77" s="41"/>
      <c r="B77" s="41"/>
      <c r="C77" s="42" t="s">
        <v>142</v>
      </c>
      <c r="D77" s="41"/>
      <c r="E77" s="41" t="s">
        <v>143</v>
      </c>
      <c r="F77" s="47" t="s">
        <v>145</v>
      </c>
      <c r="G77" s="44">
        <v>0</v>
      </c>
      <c r="H77" s="34" t="s">
        <v>143</v>
      </c>
    </row>
    <row r="78" spans="1:8" x14ac:dyDescent="0.2">
      <c r="A78" s="41"/>
      <c r="B78" s="41"/>
      <c r="C78" s="45"/>
      <c r="D78" s="41"/>
      <c r="E78" s="41"/>
      <c r="F78" s="46"/>
      <c r="G78" s="46"/>
      <c r="H78" s="34" t="s">
        <v>143</v>
      </c>
    </row>
    <row r="79" spans="1:8" x14ac:dyDescent="0.2">
      <c r="A79" s="41"/>
      <c r="B79" s="41"/>
      <c r="C79" s="42" t="s">
        <v>149</v>
      </c>
      <c r="D79" s="41"/>
      <c r="E79" s="41"/>
      <c r="F79" s="46"/>
      <c r="G79" s="46"/>
      <c r="H79" s="34" t="s">
        <v>143</v>
      </c>
    </row>
    <row r="80" spans="1:8" x14ac:dyDescent="0.2">
      <c r="A80" s="41"/>
      <c r="B80" s="41"/>
      <c r="C80" s="42" t="s">
        <v>142</v>
      </c>
      <c r="D80" s="41"/>
      <c r="E80" s="41" t="s">
        <v>143</v>
      </c>
      <c r="F80" s="47" t="s">
        <v>145</v>
      </c>
      <c r="G80" s="44">
        <v>0</v>
      </c>
      <c r="H80" s="34" t="s">
        <v>143</v>
      </c>
    </row>
    <row r="81" spans="1:8" x14ac:dyDescent="0.2">
      <c r="A81" s="41"/>
      <c r="B81" s="41"/>
      <c r="C81" s="45"/>
      <c r="D81" s="41"/>
      <c r="E81" s="41"/>
      <c r="F81" s="46"/>
      <c r="G81" s="46"/>
      <c r="H81" s="34" t="s">
        <v>143</v>
      </c>
    </row>
    <row r="82" spans="1:8" x14ac:dyDescent="0.2">
      <c r="A82" s="41"/>
      <c r="B82" s="41"/>
      <c r="C82" s="42" t="s">
        <v>150</v>
      </c>
      <c r="D82" s="41"/>
      <c r="E82" s="41"/>
      <c r="F82" s="43">
        <v>194870.16967420001</v>
      </c>
      <c r="G82" s="44">
        <v>0.92449161000000002</v>
      </c>
      <c r="H82" s="34" t="s">
        <v>143</v>
      </c>
    </row>
    <row r="83" spans="1:8" x14ac:dyDescent="0.2">
      <c r="A83" s="41"/>
      <c r="B83" s="41"/>
      <c r="C83" s="45"/>
      <c r="D83" s="41"/>
      <c r="E83" s="41"/>
      <c r="F83" s="46"/>
      <c r="G83" s="46"/>
      <c r="H83" s="34" t="s">
        <v>143</v>
      </c>
    </row>
    <row r="84" spans="1:8" x14ac:dyDescent="0.2">
      <c r="A84" s="41"/>
      <c r="B84" s="41"/>
      <c r="C84" s="42" t="s">
        <v>151</v>
      </c>
      <c r="D84" s="41"/>
      <c r="E84" s="41"/>
      <c r="F84" s="46"/>
      <c r="G84" s="46"/>
      <c r="H84" s="34" t="s">
        <v>143</v>
      </c>
    </row>
    <row r="85" spans="1:8" x14ac:dyDescent="0.2">
      <c r="A85" s="41"/>
      <c r="B85" s="41"/>
      <c r="C85" s="42" t="s">
        <v>10</v>
      </c>
      <c r="D85" s="41"/>
      <c r="E85" s="41"/>
      <c r="F85" s="46"/>
      <c r="G85" s="46"/>
      <c r="H85" s="34" t="s">
        <v>143</v>
      </c>
    </row>
    <row r="86" spans="1:8" x14ac:dyDescent="0.2">
      <c r="A86" s="41"/>
      <c r="B86" s="41"/>
      <c r="C86" s="42" t="s">
        <v>142</v>
      </c>
      <c r="D86" s="41"/>
      <c r="E86" s="41" t="s">
        <v>143</v>
      </c>
      <c r="F86" s="47" t="s">
        <v>145</v>
      </c>
      <c r="G86" s="44">
        <v>0</v>
      </c>
      <c r="H86" s="34" t="s">
        <v>143</v>
      </c>
    </row>
    <row r="87" spans="1:8" x14ac:dyDescent="0.2">
      <c r="A87" s="41"/>
      <c r="B87" s="41"/>
      <c r="C87" s="45"/>
      <c r="D87" s="41"/>
      <c r="E87" s="41"/>
      <c r="F87" s="46"/>
      <c r="G87" s="46"/>
      <c r="H87" s="34" t="s">
        <v>143</v>
      </c>
    </row>
    <row r="88" spans="1:8" x14ac:dyDescent="0.2">
      <c r="A88" s="41"/>
      <c r="B88" s="41"/>
      <c r="C88" s="42" t="s">
        <v>152</v>
      </c>
      <c r="D88" s="41"/>
      <c r="E88" s="41"/>
      <c r="F88" s="41"/>
      <c r="G88" s="41"/>
      <c r="H88" s="34" t="s">
        <v>143</v>
      </c>
    </row>
    <row r="89" spans="1:8" x14ac:dyDescent="0.2">
      <c r="A89" s="41"/>
      <c r="B89" s="41"/>
      <c r="C89" s="42" t="s">
        <v>142</v>
      </c>
      <c r="D89" s="41"/>
      <c r="E89" s="41" t="s">
        <v>143</v>
      </c>
      <c r="F89" s="47" t="s">
        <v>145</v>
      </c>
      <c r="G89" s="44">
        <v>0</v>
      </c>
      <c r="H89" s="34" t="s">
        <v>143</v>
      </c>
    </row>
    <row r="90" spans="1:8" x14ac:dyDescent="0.2">
      <c r="A90" s="41"/>
      <c r="B90" s="41"/>
      <c r="C90" s="45"/>
      <c r="D90" s="41"/>
      <c r="E90" s="41"/>
      <c r="F90" s="46"/>
      <c r="G90" s="46"/>
      <c r="H90" s="34" t="s">
        <v>143</v>
      </c>
    </row>
    <row r="91" spans="1:8" x14ac:dyDescent="0.2">
      <c r="A91" s="41"/>
      <c r="B91" s="41"/>
      <c r="C91" s="42" t="s">
        <v>153</v>
      </c>
      <c r="D91" s="41"/>
      <c r="E91" s="41"/>
      <c r="F91" s="41"/>
      <c r="G91" s="41"/>
      <c r="H91" s="34" t="s">
        <v>143</v>
      </c>
    </row>
    <row r="92" spans="1:8" x14ac:dyDescent="0.2">
      <c r="A92" s="41"/>
      <c r="B92" s="41"/>
      <c r="C92" s="42" t="s">
        <v>142</v>
      </c>
      <c r="D92" s="41"/>
      <c r="E92" s="41" t="s">
        <v>143</v>
      </c>
      <c r="F92" s="47" t="s">
        <v>145</v>
      </c>
      <c r="G92" s="44">
        <v>0</v>
      </c>
      <c r="H92" s="34" t="s">
        <v>143</v>
      </c>
    </row>
    <row r="93" spans="1:8" x14ac:dyDescent="0.2">
      <c r="A93" s="41"/>
      <c r="B93" s="41"/>
      <c r="C93" s="45"/>
      <c r="D93" s="41"/>
      <c r="E93" s="41"/>
      <c r="F93" s="46"/>
      <c r="G93" s="46"/>
      <c r="H93" s="34" t="s">
        <v>143</v>
      </c>
    </row>
    <row r="94" spans="1:8" x14ac:dyDescent="0.2">
      <c r="A94" s="41"/>
      <c r="B94" s="41"/>
      <c r="C94" s="42" t="s">
        <v>154</v>
      </c>
      <c r="D94" s="41"/>
      <c r="E94" s="41"/>
      <c r="F94" s="46"/>
      <c r="G94" s="46"/>
      <c r="H94" s="34" t="s">
        <v>143</v>
      </c>
    </row>
    <row r="95" spans="1:8" x14ac:dyDescent="0.2">
      <c r="A95" s="41"/>
      <c r="B95" s="41"/>
      <c r="C95" s="42" t="s">
        <v>142</v>
      </c>
      <c r="D95" s="41"/>
      <c r="E95" s="41" t="s">
        <v>143</v>
      </c>
      <c r="F95" s="47" t="s">
        <v>145</v>
      </c>
      <c r="G95" s="44">
        <v>0</v>
      </c>
      <c r="H95" s="34" t="s">
        <v>143</v>
      </c>
    </row>
    <row r="96" spans="1:8" x14ac:dyDescent="0.2">
      <c r="A96" s="41"/>
      <c r="B96" s="41"/>
      <c r="C96" s="45"/>
      <c r="D96" s="41"/>
      <c r="E96" s="41"/>
      <c r="F96" s="46"/>
      <c r="G96" s="46"/>
      <c r="H96" s="34" t="s">
        <v>143</v>
      </c>
    </row>
    <row r="97" spans="1:8" x14ac:dyDescent="0.2">
      <c r="A97" s="41"/>
      <c r="B97" s="41"/>
      <c r="C97" s="42" t="s">
        <v>155</v>
      </c>
      <c r="D97" s="41"/>
      <c r="E97" s="41"/>
      <c r="F97" s="43">
        <v>0</v>
      </c>
      <c r="G97" s="44">
        <v>0</v>
      </c>
      <c r="H97" s="34" t="s">
        <v>143</v>
      </c>
    </row>
    <row r="98" spans="1:8" x14ac:dyDescent="0.2">
      <c r="A98" s="41"/>
      <c r="B98" s="41"/>
      <c r="C98" s="45"/>
      <c r="D98" s="41"/>
      <c r="E98" s="41"/>
      <c r="F98" s="46"/>
      <c r="G98" s="46"/>
      <c r="H98" s="34" t="s">
        <v>143</v>
      </c>
    </row>
    <row r="99" spans="1:8" x14ac:dyDescent="0.2">
      <c r="A99" s="41"/>
      <c r="B99" s="41"/>
      <c r="C99" s="42" t="s">
        <v>156</v>
      </c>
      <c r="D99" s="41"/>
      <c r="E99" s="41"/>
      <c r="F99" s="46"/>
      <c r="G99" s="46"/>
      <c r="H99" s="34" t="s">
        <v>143</v>
      </c>
    </row>
    <row r="100" spans="1:8" x14ac:dyDescent="0.2">
      <c r="A100" s="41"/>
      <c r="B100" s="41"/>
      <c r="C100" s="42" t="s">
        <v>157</v>
      </c>
      <c r="D100" s="41"/>
      <c r="E100" s="41"/>
      <c r="F100" s="46"/>
      <c r="G100" s="46"/>
      <c r="H100" s="34" t="s">
        <v>143</v>
      </c>
    </row>
    <row r="101" spans="1:8" x14ac:dyDescent="0.2">
      <c r="A101" s="41"/>
      <c r="B101" s="41"/>
      <c r="C101" s="42" t="s">
        <v>142</v>
      </c>
      <c r="D101" s="41"/>
      <c r="E101" s="41" t="s">
        <v>143</v>
      </c>
      <c r="F101" s="47" t="s">
        <v>145</v>
      </c>
      <c r="G101" s="44">
        <v>0</v>
      </c>
      <c r="H101" s="34" t="s">
        <v>143</v>
      </c>
    </row>
    <row r="102" spans="1:8" x14ac:dyDescent="0.2">
      <c r="A102" s="41"/>
      <c r="B102" s="41"/>
      <c r="C102" s="45"/>
      <c r="D102" s="41"/>
      <c r="E102" s="41"/>
      <c r="F102" s="46"/>
      <c r="G102" s="46"/>
      <c r="H102" s="34" t="s">
        <v>143</v>
      </c>
    </row>
    <row r="103" spans="1:8" x14ac:dyDescent="0.2">
      <c r="A103" s="41"/>
      <c r="B103" s="41"/>
      <c r="C103" s="42" t="s">
        <v>158</v>
      </c>
      <c r="D103" s="41"/>
      <c r="E103" s="41"/>
      <c r="F103" s="46"/>
      <c r="G103" s="46"/>
      <c r="H103" s="34" t="s">
        <v>143</v>
      </c>
    </row>
    <row r="104" spans="1:8" x14ac:dyDescent="0.2">
      <c r="A104" s="41"/>
      <c r="B104" s="41"/>
      <c r="C104" s="42" t="s">
        <v>142</v>
      </c>
      <c r="D104" s="41"/>
      <c r="E104" s="41" t="s">
        <v>143</v>
      </c>
      <c r="F104" s="47" t="s">
        <v>145</v>
      </c>
      <c r="G104" s="44">
        <v>0</v>
      </c>
      <c r="H104" s="34" t="s">
        <v>143</v>
      </c>
    </row>
    <row r="105" spans="1:8" x14ac:dyDescent="0.2">
      <c r="A105" s="41"/>
      <c r="B105" s="41"/>
      <c r="C105" s="45"/>
      <c r="D105" s="41"/>
      <c r="E105" s="41"/>
      <c r="F105" s="46"/>
      <c r="G105" s="46"/>
      <c r="H105" s="34" t="s">
        <v>143</v>
      </c>
    </row>
    <row r="106" spans="1:8" x14ac:dyDescent="0.2">
      <c r="A106" s="41"/>
      <c r="B106" s="41"/>
      <c r="C106" s="42" t="s">
        <v>159</v>
      </c>
      <c r="D106" s="41"/>
      <c r="E106" s="41"/>
      <c r="F106" s="46"/>
      <c r="G106" s="46"/>
      <c r="H106" s="34" t="s">
        <v>143</v>
      </c>
    </row>
    <row r="107" spans="1:8" x14ac:dyDescent="0.2">
      <c r="A107" s="41"/>
      <c r="B107" s="41"/>
      <c r="C107" s="42" t="s">
        <v>142</v>
      </c>
      <c r="D107" s="41"/>
      <c r="E107" s="41" t="s">
        <v>143</v>
      </c>
      <c r="F107" s="47" t="s">
        <v>145</v>
      </c>
      <c r="G107" s="44">
        <v>0</v>
      </c>
      <c r="H107" s="34" t="s">
        <v>143</v>
      </c>
    </row>
    <row r="108" spans="1:8" x14ac:dyDescent="0.2">
      <c r="A108" s="41"/>
      <c r="B108" s="41"/>
      <c r="C108" s="45"/>
      <c r="D108" s="41"/>
      <c r="E108" s="41"/>
      <c r="F108" s="46"/>
      <c r="G108" s="46"/>
      <c r="H108" s="34" t="s">
        <v>143</v>
      </c>
    </row>
    <row r="109" spans="1:8" x14ac:dyDescent="0.2">
      <c r="A109" s="41"/>
      <c r="B109" s="41"/>
      <c r="C109" s="42" t="s">
        <v>160</v>
      </c>
      <c r="D109" s="41"/>
      <c r="E109" s="41"/>
      <c r="F109" s="46"/>
      <c r="G109" s="46"/>
      <c r="H109" s="34" t="s">
        <v>143</v>
      </c>
    </row>
    <row r="110" spans="1:8" x14ac:dyDescent="0.2">
      <c r="A110" s="35">
        <v>1</v>
      </c>
      <c r="B110" s="36"/>
      <c r="C110" s="36" t="s">
        <v>161</v>
      </c>
      <c r="D110" s="36"/>
      <c r="E110" s="48"/>
      <c r="F110" s="38">
        <v>8518.6543080079991</v>
      </c>
      <c r="G110" s="39">
        <v>4.0413699999999997E-2</v>
      </c>
      <c r="H110" s="34">
        <v>5.47</v>
      </c>
    </row>
    <row r="111" spans="1:8" x14ac:dyDescent="0.2">
      <c r="A111" s="41"/>
      <c r="B111" s="41"/>
      <c r="C111" s="42" t="s">
        <v>142</v>
      </c>
      <c r="D111" s="41"/>
      <c r="E111" s="41" t="s">
        <v>143</v>
      </c>
      <c r="F111" s="43">
        <v>8518.6543080079991</v>
      </c>
      <c r="G111" s="44">
        <v>4.0413699999999997E-2</v>
      </c>
      <c r="H111" s="34" t="s">
        <v>143</v>
      </c>
    </row>
    <row r="112" spans="1:8" x14ac:dyDescent="0.2">
      <c r="A112" s="41"/>
      <c r="B112" s="41"/>
      <c r="C112" s="45"/>
      <c r="D112" s="41"/>
      <c r="E112" s="41"/>
      <c r="F112" s="46"/>
      <c r="G112" s="46"/>
      <c r="H112" s="34" t="s">
        <v>143</v>
      </c>
    </row>
    <row r="113" spans="1:8" x14ac:dyDescent="0.2">
      <c r="A113" s="41"/>
      <c r="B113" s="41"/>
      <c r="C113" s="42" t="s">
        <v>162</v>
      </c>
      <c r="D113" s="41"/>
      <c r="E113" s="41"/>
      <c r="F113" s="43">
        <v>8518.6543080079991</v>
      </c>
      <c r="G113" s="44">
        <v>4.0413699999999997E-2</v>
      </c>
      <c r="H113" s="34" t="s">
        <v>143</v>
      </c>
    </row>
    <row r="114" spans="1:8" x14ac:dyDescent="0.2">
      <c r="A114" s="41"/>
      <c r="B114" s="41"/>
      <c r="C114" s="46"/>
      <c r="D114" s="41"/>
      <c r="E114" s="41"/>
      <c r="F114" s="41"/>
      <c r="G114" s="41"/>
      <c r="H114" s="34" t="s">
        <v>143</v>
      </c>
    </row>
    <row r="115" spans="1:8" x14ac:dyDescent="0.2">
      <c r="A115" s="41"/>
      <c r="B115" s="41"/>
      <c r="C115" s="42" t="s">
        <v>163</v>
      </c>
      <c r="D115" s="41"/>
      <c r="E115" s="41"/>
      <c r="F115" s="41"/>
      <c r="G115" s="41"/>
      <c r="H115" s="34" t="s">
        <v>143</v>
      </c>
    </row>
    <row r="116" spans="1:8" x14ac:dyDescent="0.2">
      <c r="A116" s="41"/>
      <c r="B116" s="41"/>
      <c r="C116" s="42" t="s">
        <v>164</v>
      </c>
      <c r="D116" s="41"/>
      <c r="E116" s="41"/>
      <c r="F116" s="41"/>
      <c r="G116" s="41"/>
      <c r="H116" s="34" t="s">
        <v>143</v>
      </c>
    </row>
    <row r="117" spans="1:8" x14ac:dyDescent="0.2">
      <c r="A117" s="35">
        <v>1</v>
      </c>
      <c r="B117" s="36" t="s">
        <v>319</v>
      </c>
      <c r="C117" s="36" t="s">
        <v>320</v>
      </c>
      <c r="D117" s="36"/>
      <c r="E117" s="49">
        <v>322165.62699999998</v>
      </c>
      <c r="F117" s="38">
        <v>7506.7980273399999</v>
      </c>
      <c r="G117" s="39">
        <v>3.5613310000000002E-2</v>
      </c>
      <c r="H117" s="34" t="s">
        <v>143</v>
      </c>
    </row>
    <row r="118" spans="1:8" x14ac:dyDescent="0.2">
      <c r="A118" s="41"/>
      <c r="B118" s="41"/>
      <c r="C118" s="42" t="s">
        <v>142</v>
      </c>
      <c r="D118" s="41"/>
      <c r="E118" s="41" t="s">
        <v>143</v>
      </c>
      <c r="F118" s="43">
        <v>7506.7980273399999</v>
      </c>
      <c r="G118" s="44">
        <v>3.5613310000000002E-2</v>
      </c>
      <c r="H118" s="34" t="s">
        <v>143</v>
      </c>
    </row>
    <row r="119" spans="1:8" x14ac:dyDescent="0.2">
      <c r="A119" s="41"/>
      <c r="B119" s="41"/>
      <c r="C119" s="45"/>
      <c r="D119" s="41"/>
      <c r="E119" s="41"/>
      <c r="F119" s="46"/>
      <c r="G119" s="46"/>
      <c r="H119" s="34" t="s">
        <v>143</v>
      </c>
    </row>
    <row r="120" spans="1:8" x14ac:dyDescent="0.2">
      <c r="A120" s="41"/>
      <c r="B120" s="41"/>
      <c r="C120" s="42" t="s">
        <v>165</v>
      </c>
      <c r="D120" s="41"/>
      <c r="E120" s="41"/>
      <c r="F120" s="41"/>
      <c r="G120" s="41"/>
      <c r="H120" s="34" t="s">
        <v>143</v>
      </c>
    </row>
    <row r="121" spans="1:8" x14ac:dyDescent="0.2">
      <c r="A121" s="41"/>
      <c r="B121" s="41"/>
      <c r="C121" s="42" t="s">
        <v>166</v>
      </c>
      <c r="D121" s="41"/>
      <c r="E121" s="41"/>
      <c r="F121" s="41"/>
      <c r="G121" s="41"/>
      <c r="H121" s="34" t="s">
        <v>143</v>
      </c>
    </row>
    <row r="122" spans="1:8" x14ac:dyDescent="0.2">
      <c r="A122" s="41"/>
      <c r="B122" s="41"/>
      <c r="C122" s="42" t="s">
        <v>142</v>
      </c>
      <c r="D122" s="41"/>
      <c r="E122" s="41" t="s">
        <v>143</v>
      </c>
      <c r="F122" s="47" t="s">
        <v>145</v>
      </c>
      <c r="G122" s="44">
        <v>0</v>
      </c>
      <c r="H122" s="34" t="s">
        <v>143</v>
      </c>
    </row>
    <row r="123" spans="1:8" x14ac:dyDescent="0.2">
      <c r="A123" s="41"/>
      <c r="B123" s="41"/>
      <c r="C123" s="45"/>
      <c r="D123" s="41"/>
      <c r="E123" s="41"/>
      <c r="F123" s="46"/>
      <c r="G123" s="46"/>
      <c r="H123" s="34" t="s">
        <v>143</v>
      </c>
    </row>
    <row r="124" spans="1:8" x14ac:dyDescent="0.2">
      <c r="A124" s="41"/>
      <c r="B124" s="41"/>
      <c r="C124" s="42" t="s">
        <v>167</v>
      </c>
      <c r="D124" s="41"/>
      <c r="E124" s="41"/>
      <c r="F124" s="46"/>
      <c r="G124" s="46"/>
      <c r="H124" s="34" t="s">
        <v>143</v>
      </c>
    </row>
    <row r="125" spans="1:8" x14ac:dyDescent="0.2">
      <c r="A125" s="41"/>
      <c r="B125" s="41"/>
      <c r="C125" s="42" t="s">
        <v>142</v>
      </c>
      <c r="D125" s="41"/>
      <c r="E125" s="41" t="s">
        <v>143</v>
      </c>
      <c r="F125" s="47" t="s">
        <v>145</v>
      </c>
      <c r="G125" s="44">
        <v>0</v>
      </c>
      <c r="H125" s="34" t="s">
        <v>143</v>
      </c>
    </row>
    <row r="126" spans="1:8" x14ac:dyDescent="0.2">
      <c r="A126" s="41"/>
      <c r="B126" s="36"/>
      <c r="C126" s="36"/>
      <c r="D126" s="42"/>
      <c r="E126" s="41"/>
      <c r="F126" s="36"/>
      <c r="G126" s="48"/>
      <c r="H126" s="34" t="s">
        <v>143</v>
      </c>
    </row>
    <row r="127" spans="1:8" x14ac:dyDescent="0.2">
      <c r="A127" s="48"/>
      <c r="B127" s="36"/>
      <c r="C127" s="36" t="s">
        <v>168</v>
      </c>
      <c r="D127" s="36"/>
      <c r="E127" s="48"/>
      <c r="F127" s="38">
        <v>-109.31913854</v>
      </c>
      <c r="G127" s="39">
        <v>-5.1862999999999996E-4</v>
      </c>
      <c r="H127" s="34" t="s">
        <v>143</v>
      </c>
    </row>
    <row r="128" spans="1:8" x14ac:dyDescent="0.2">
      <c r="A128" s="45"/>
      <c r="B128" s="45"/>
      <c r="C128" s="42" t="s">
        <v>169</v>
      </c>
      <c r="D128" s="46"/>
      <c r="E128" s="46"/>
      <c r="F128" s="43">
        <v>210786.302871008</v>
      </c>
      <c r="G128" s="51">
        <v>0.99999998999999995</v>
      </c>
      <c r="H128" s="34" t="s">
        <v>143</v>
      </c>
    </row>
    <row r="129" spans="1:17" x14ac:dyDescent="0.2">
      <c r="A129" s="52"/>
      <c r="B129" s="52"/>
      <c r="C129" s="52"/>
      <c r="D129" s="53"/>
      <c r="E129" s="53"/>
      <c r="F129" s="53"/>
      <c r="G129" s="53"/>
    </row>
    <row r="130" spans="1:17" ht="12.75" customHeight="1" x14ac:dyDescent="0.2">
      <c r="A130" s="54"/>
      <c r="B130" s="158" t="s">
        <v>852</v>
      </c>
      <c r="C130" s="158"/>
      <c r="D130" s="158"/>
      <c r="E130" s="158"/>
      <c r="F130" s="158"/>
      <c r="G130" s="158"/>
      <c r="H130" s="158"/>
      <c r="J130" s="56"/>
    </row>
    <row r="131" spans="1:17" ht="12.75" customHeight="1" x14ac:dyDescent="0.2">
      <c r="A131" s="54"/>
      <c r="B131" s="158" t="s">
        <v>853</v>
      </c>
      <c r="C131" s="158"/>
      <c r="D131" s="158"/>
      <c r="E131" s="158"/>
      <c r="F131" s="158"/>
      <c r="G131" s="158"/>
      <c r="H131" s="158"/>
      <c r="J131" s="56"/>
    </row>
    <row r="132" spans="1:17" ht="12.75" customHeight="1" x14ac:dyDescent="0.2">
      <c r="A132" s="54"/>
      <c r="B132" s="158" t="s">
        <v>854</v>
      </c>
      <c r="C132" s="158"/>
      <c r="D132" s="158"/>
      <c r="E132" s="158"/>
      <c r="F132" s="158"/>
      <c r="G132" s="158"/>
      <c r="H132" s="158"/>
      <c r="J132" s="56"/>
    </row>
    <row r="133" spans="1:17" s="58" customFormat="1" ht="53.25" customHeight="1" x14ac:dyDescent="0.25">
      <c r="A133" s="57"/>
      <c r="B133" s="159" t="s">
        <v>855</v>
      </c>
      <c r="C133" s="159"/>
      <c r="D133" s="159"/>
      <c r="E133" s="159"/>
      <c r="F133" s="159"/>
      <c r="G133" s="159"/>
      <c r="H133" s="159"/>
      <c r="I133"/>
      <c r="J133" s="56"/>
      <c r="K133"/>
      <c r="L133"/>
      <c r="M133"/>
      <c r="N133"/>
      <c r="O133"/>
      <c r="P133"/>
      <c r="Q133"/>
    </row>
    <row r="134" spans="1:17" ht="12.75" customHeight="1" x14ac:dyDescent="0.2">
      <c r="A134" s="54"/>
      <c r="B134" s="158" t="s">
        <v>856</v>
      </c>
      <c r="C134" s="158"/>
      <c r="D134" s="158"/>
      <c r="E134" s="158"/>
      <c r="F134" s="158"/>
      <c r="G134" s="158"/>
      <c r="H134" s="158"/>
      <c r="J134" s="56"/>
    </row>
    <row r="135" spans="1:17" x14ac:dyDescent="0.2">
      <c r="A135" s="54"/>
      <c r="B135" s="54"/>
      <c r="C135" s="54"/>
      <c r="D135" s="59"/>
      <c r="E135" s="59"/>
      <c r="F135" s="59"/>
      <c r="G135" s="59"/>
    </row>
    <row r="136" spans="1:17" x14ac:dyDescent="0.2">
      <c r="A136" s="54"/>
      <c r="B136" s="160" t="s">
        <v>170</v>
      </c>
      <c r="C136" s="161"/>
      <c r="D136" s="162"/>
      <c r="E136" s="60"/>
      <c r="F136" s="59"/>
      <c r="G136" s="59"/>
    </row>
    <row r="137" spans="1:17" ht="27.75" customHeight="1" x14ac:dyDescent="0.2">
      <c r="A137" s="54"/>
      <c r="B137" s="154" t="s">
        <v>171</v>
      </c>
      <c r="C137" s="155"/>
      <c r="D137" s="33" t="s">
        <v>172</v>
      </c>
      <c r="E137" s="60"/>
      <c r="F137" s="59"/>
      <c r="G137" s="59"/>
    </row>
    <row r="138" spans="1:17" ht="12.75" customHeight="1" x14ac:dyDescent="0.2">
      <c r="A138" s="54"/>
      <c r="B138" s="154" t="s">
        <v>857</v>
      </c>
      <c r="C138" s="155"/>
      <c r="D138" s="33" t="s">
        <v>172</v>
      </c>
      <c r="E138" s="60"/>
      <c r="F138" s="59"/>
      <c r="G138" s="59"/>
    </row>
    <row r="139" spans="1:17" ht="12.75" customHeight="1" x14ac:dyDescent="0.2">
      <c r="A139" s="54"/>
      <c r="B139" s="154" t="s">
        <v>173</v>
      </c>
      <c r="C139" s="155"/>
      <c r="D139" s="61" t="s">
        <v>143</v>
      </c>
      <c r="E139" s="60"/>
      <c r="F139" s="59"/>
      <c r="G139" s="59"/>
    </row>
    <row r="140" spans="1:17" x14ac:dyDescent="0.2">
      <c r="A140" s="62"/>
      <c r="B140" s="63" t="s">
        <v>143</v>
      </c>
      <c r="C140" s="63" t="s">
        <v>858</v>
      </c>
      <c r="D140" s="63" t="s">
        <v>174</v>
      </c>
      <c r="E140" s="62"/>
      <c r="F140" s="62"/>
      <c r="G140" s="62"/>
      <c r="H140" s="62"/>
      <c r="J140" s="56"/>
    </row>
    <row r="141" spans="1:17" x14ac:dyDescent="0.2">
      <c r="A141" s="62"/>
      <c r="B141" s="64" t="s">
        <v>175</v>
      </c>
      <c r="C141" s="65">
        <v>45808</v>
      </c>
      <c r="D141" s="65">
        <v>45838</v>
      </c>
      <c r="E141" s="62"/>
      <c r="F141" s="62"/>
      <c r="G141" s="62"/>
      <c r="J141" s="56"/>
    </row>
    <row r="142" spans="1:17" x14ac:dyDescent="0.2">
      <c r="A142" s="66"/>
      <c r="B142" s="36" t="s">
        <v>176</v>
      </c>
      <c r="C142" s="67">
        <v>15.089</v>
      </c>
      <c r="D142" s="67">
        <v>15.5646</v>
      </c>
      <c r="E142" s="66"/>
      <c r="F142" s="68"/>
      <c r="G142" s="69"/>
    </row>
    <row r="143" spans="1:17" x14ac:dyDescent="0.2">
      <c r="A143" s="66"/>
      <c r="B143" s="36" t="s">
        <v>1086</v>
      </c>
      <c r="C143" s="67">
        <v>14.3124</v>
      </c>
      <c r="D143" s="67">
        <v>14.763500000000001</v>
      </c>
      <c r="E143" s="66"/>
      <c r="F143" s="68"/>
      <c r="G143" s="69"/>
    </row>
    <row r="144" spans="1:17" x14ac:dyDescent="0.2">
      <c r="A144" s="66"/>
      <c r="B144" s="36" t="s">
        <v>177</v>
      </c>
      <c r="C144" s="67">
        <v>14.4511</v>
      </c>
      <c r="D144" s="67">
        <v>14.8896</v>
      </c>
      <c r="E144" s="66"/>
      <c r="F144" s="68"/>
      <c r="G144" s="69"/>
    </row>
    <row r="145" spans="1:7" x14ac:dyDescent="0.2">
      <c r="A145" s="66"/>
      <c r="B145" s="36" t="s">
        <v>1087</v>
      </c>
      <c r="C145" s="67">
        <v>13.707599999999999</v>
      </c>
      <c r="D145" s="67">
        <v>14.1235</v>
      </c>
      <c r="E145" s="66"/>
      <c r="F145" s="68"/>
      <c r="G145" s="69"/>
    </row>
    <row r="146" spans="1:7" x14ac:dyDescent="0.2">
      <c r="A146" s="66"/>
      <c r="B146" s="66"/>
      <c r="C146" s="66"/>
      <c r="D146" s="66"/>
      <c r="E146" s="66"/>
      <c r="F146" s="66"/>
      <c r="G146" s="66"/>
    </row>
    <row r="147" spans="1:7" x14ac:dyDescent="0.2">
      <c r="A147" s="66"/>
      <c r="B147" s="163" t="s">
        <v>860</v>
      </c>
      <c r="C147" s="164"/>
      <c r="D147" s="42" t="s">
        <v>172</v>
      </c>
      <c r="E147" s="66"/>
      <c r="F147" s="66"/>
      <c r="G147" s="66"/>
    </row>
    <row r="148" spans="1:7" x14ac:dyDescent="0.2">
      <c r="A148" s="66"/>
      <c r="B148" s="70"/>
      <c r="C148" s="70"/>
      <c r="D148" s="70"/>
      <c r="E148" s="66"/>
      <c r="F148" s="66"/>
      <c r="G148" s="66"/>
    </row>
    <row r="149" spans="1:7" ht="24.75" customHeight="1" x14ac:dyDescent="0.2">
      <c r="A149" s="62"/>
      <c r="B149" s="154" t="s">
        <v>178</v>
      </c>
      <c r="C149" s="155"/>
      <c r="D149" s="33" t="s">
        <v>172</v>
      </c>
      <c r="E149" s="71"/>
      <c r="F149" s="62"/>
      <c r="G149" s="62"/>
    </row>
    <row r="150" spans="1:7" ht="25.5" customHeight="1" x14ac:dyDescent="0.2">
      <c r="A150" s="62"/>
      <c r="B150" s="154" t="s">
        <v>179</v>
      </c>
      <c r="C150" s="155"/>
      <c r="D150" s="33" t="s">
        <v>172</v>
      </c>
      <c r="E150" s="71"/>
      <c r="F150" s="62"/>
      <c r="G150" s="62"/>
    </row>
    <row r="151" spans="1:7" x14ac:dyDescent="0.2">
      <c r="A151" s="62"/>
      <c r="B151" s="154" t="s">
        <v>180</v>
      </c>
      <c r="C151" s="155"/>
      <c r="D151" s="33" t="s">
        <v>172</v>
      </c>
      <c r="E151" s="71"/>
      <c r="F151" s="62"/>
      <c r="G151" s="62"/>
    </row>
    <row r="152" spans="1:7" x14ac:dyDescent="0.2">
      <c r="A152" s="62"/>
      <c r="B152" s="154" t="s">
        <v>181</v>
      </c>
      <c r="C152" s="155"/>
      <c r="D152" s="72">
        <v>0.37130356778996421</v>
      </c>
      <c r="E152" s="62"/>
      <c r="F152" s="55"/>
      <c r="G152" s="73"/>
    </row>
    <row r="154" spans="1:7" x14ac:dyDescent="0.2">
      <c r="B154" s="156" t="s">
        <v>861</v>
      </c>
      <c r="C154" s="156"/>
    </row>
    <row r="156" spans="1:7" ht="153.75" customHeight="1" x14ac:dyDescent="0.2"/>
    <row r="159" spans="1:7" x14ac:dyDescent="0.2">
      <c r="B159" s="79" t="s">
        <v>862</v>
      </c>
      <c r="C159" s="80"/>
      <c r="D159" s="79"/>
    </row>
    <row r="160" spans="1:7" x14ac:dyDescent="0.2">
      <c r="B160" s="79" t="s">
        <v>939</v>
      </c>
      <c r="D160" s="79"/>
    </row>
    <row r="161" spans="10:10" ht="165" customHeight="1" x14ac:dyDescent="0.2"/>
    <row r="163" spans="10:10" x14ac:dyDescent="0.2">
      <c r="J163" s="31"/>
    </row>
  </sheetData>
  <mergeCells count="18">
    <mergeCell ref="A1:H1"/>
    <mergeCell ref="A2:H2"/>
    <mergeCell ref="A3:H3"/>
    <mergeCell ref="B130:H130"/>
    <mergeCell ref="B131:H131"/>
    <mergeCell ref="B132:H132"/>
    <mergeCell ref="B133:H133"/>
    <mergeCell ref="B134:H134"/>
    <mergeCell ref="B136:D136"/>
    <mergeCell ref="B137:C137"/>
    <mergeCell ref="B138:C138"/>
    <mergeCell ref="B139:C139"/>
    <mergeCell ref="B154:C154"/>
    <mergeCell ref="B147:C147"/>
    <mergeCell ref="B151:C151"/>
    <mergeCell ref="B152:C152"/>
    <mergeCell ref="B149:C149"/>
    <mergeCell ref="B150:C150"/>
  </mergeCells>
  <hyperlinks>
    <hyperlink ref="I1" location="Index!B2" display="Index" xr:uid="{356A8246-F876-4151-A4CB-A382FD3CF7B1}"/>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27202-82DE-4E42-8E51-E5964D77AA99}">
  <sheetPr>
    <outlinePr summaryBelow="0" summaryRight="0"/>
  </sheetPr>
  <dimension ref="A1:Q127"/>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830</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849</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322</v>
      </c>
      <c r="C7" s="36" t="s">
        <v>323</v>
      </c>
      <c r="D7" s="36" t="s">
        <v>33</v>
      </c>
      <c r="E7" s="37">
        <v>1525703</v>
      </c>
      <c r="F7" s="38">
        <v>30536.945544999999</v>
      </c>
      <c r="G7" s="39">
        <v>0.19029551</v>
      </c>
      <c r="H7" s="34" t="s">
        <v>143</v>
      </c>
    </row>
    <row r="8" spans="1:9" x14ac:dyDescent="0.2">
      <c r="A8" s="35">
        <v>2</v>
      </c>
      <c r="B8" s="36" t="s">
        <v>31</v>
      </c>
      <c r="C8" s="36" t="s">
        <v>32</v>
      </c>
      <c r="D8" s="36" t="s">
        <v>33</v>
      </c>
      <c r="E8" s="37">
        <v>1339673</v>
      </c>
      <c r="F8" s="38">
        <v>19368.992234000001</v>
      </c>
      <c r="G8" s="39">
        <v>0.12070075</v>
      </c>
      <c r="H8" s="34" t="s">
        <v>143</v>
      </c>
    </row>
    <row r="9" spans="1:9" x14ac:dyDescent="0.2">
      <c r="A9" s="35">
        <v>3</v>
      </c>
      <c r="B9" s="36" t="s">
        <v>324</v>
      </c>
      <c r="C9" s="36" t="s">
        <v>325</v>
      </c>
      <c r="D9" s="36" t="s">
        <v>33</v>
      </c>
      <c r="E9" s="37">
        <v>1259449</v>
      </c>
      <c r="F9" s="38">
        <v>15103.312408</v>
      </c>
      <c r="G9" s="39">
        <v>9.4118530000000006E-2</v>
      </c>
      <c r="H9" s="34" t="s">
        <v>143</v>
      </c>
    </row>
    <row r="10" spans="1:9" x14ac:dyDescent="0.2">
      <c r="A10" s="35">
        <v>4</v>
      </c>
      <c r="B10" s="36" t="s">
        <v>46</v>
      </c>
      <c r="C10" s="36" t="s">
        <v>47</v>
      </c>
      <c r="D10" s="36" t="s">
        <v>33</v>
      </c>
      <c r="E10" s="37">
        <v>1003469</v>
      </c>
      <c r="F10" s="38">
        <v>8231.9579415000007</v>
      </c>
      <c r="G10" s="39">
        <v>5.1298669999999998E-2</v>
      </c>
      <c r="H10" s="34" t="s">
        <v>143</v>
      </c>
    </row>
    <row r="11" spans="1:9" x14ac:dyDescent="0.2">
      <c r="A11" s="35">
        <v>5</v>
      </c>
      <c r="B11" s="36" t="s">
        <v>277</v>
      </c>
      <c r="C11" s="36" t="s">
        <v>278</v>
      </c>
      <c r="D11" s="36" t="s">
        <v>192</v>
      </c>
      <c r="E11" s="37">
        <v>1085825</v>
      </c>
      <c r="F11" s="38">
        <v>7675.1540125000001</v>
      </c>
      <c r="G11" s="39">
        <v>4.7828860000000001E-2</v>
      </c>
      <c r="H11" s="34" t="s">
        <v>143</v>
      </c>
    </row>
    <row r="12" spans="1:9" x14ac:dyDescent="0.2">
      <c r="A12" s="35">
        <v>6</v>
      </c>
      <c r="B12" s="36" t="s">
        <v>400</v>
      </c>
      <c r="C12" s="36" t="s">
        <v>401</v>
      </c>
      <c r="D12" s="36" t="s">
        <v>192</v>
      </c>
      <c r="E12" s="37">
        <v>682976</v>
      </c>
      <c r="F12" s="38">
        <v>7576.9357440000003</v>
      </c>
      <c r="G12" s="39">
        <v>4.7216800000000003E-2</v>
      </c>
      <c r="H12" s="34" t="s">
        <v>143</v>
      </c>
    </row>
    <row r="13" spans="1:9" x14ac:dyDescent="0.2">
      <c r="A13" s="35">
        <v>7</v>
      </c>
      <c r="B13" s="36" t="s">
        <v>519</v>
      </c>
      <c r="C13" s="36" t="s">
        <v>520</v>
      </c>
      <c r="D13" s="36" t="s">
        <v>192</v>
      </c>
      <c r="E13" s="37">
        <v>341499</v>
      </c>
      <c r="F13" s="38">
        <v>7021.2194399999998</v>
      </c>
      <c r="G13" s="39">
        <v>4.3753769999999997E-2</v>
      </c>
      <c r="H13" s="34" t="s">
        <v>143</v>
      </c>
    </row>
    <row r="14" spans="1:9" x14ac:dyDescent="0.2">
      <c r="A14" s="35">
        <v>8</v>
      </c>
      <c r="B14" s="36" t="s">
        <v>372</v>
      </c>
      <c r="C14" s="36" t="s">
        <v>373</v>
      </c>
      <c r="D14" s="36" t="s">
        <v>33</v>
      </c>
      <c r="E14" s="37">
        <v>1644042</v>
      </c>
      <c r="F14" s="38">
        <v>6482.4576059999999</v>
      </c>
      <c r="G14" s="39">
        <v>4.0396399999999999E-2</v>
      </c>
      <c r="H14" s="34" t="s">
        <v>143</v>
      </c>
    </row>
    <row r="15" spans="1:9" x14ac:dyDescent="0.2">
      <c r="A15" s="35">
        <v>9</v>
      </c>
      <c r="B15" s="36" t="s">
        <v>370</v>
      </c>
      <c r="C15" s="36" t="s">
        <v>371</v>
      </c>
      <c r="D15" s="36" t="s">
        <v>33</v>
      </c>
      <c r="E15" s="37">
        <v>11708687</v>
      </c>
      <c r="F15" s="38">
        <v>5740.7692360999999</v>
      </c>
      <c r="G15" s="39">
        <v>3.5774460000000001E-2</v>
      </c>
      <c r="H15" s="34" t="s">
        <v>143</v>
      </c>
    </row>
    <row r="16" spans="1:9" x14ac:dyDescent="0.2">
      <c r="A16" s="35">
        <v>10</v>
      </c>
      <c r="B16" s="36" t="s">
        <v>466</v>
      </c>
      <c r="C16" s="36" t="s">
        <v>467</v>
      </c>
      <c r="D16" s="36" t="s">
        <v>33</v>
      </c>
      <c r="E16" s="37">
        <v>3891197</v>
      </c>
      <c r="F16" s="38">
        <v>5650.0180440000004</v>
      </c>
      <c r="G16" s="39">
        <v>3.5208929999999999E-2</v>
      </c>
      <c r="H16" s="34" t="s">
        <v>143</v>
      </c>
    </row>
    <row r="17" spans="1:8" x14ac:dyDescent="0.2">
      <c r="A17" s="35">
        <v>11</v>
      </c>
      <c r="B17" s="36" t="s">
        <v>334</v>
      </c>
      <c r="C17" s="36" t="s">
        <v>335</v>
      </c>
      <c r="D17" s="36" t="s">
        <v>33</v>
      </c>
      <c r="E17" s="37">
        <v>2208626</v>
      </c>
      <c r="F17" s="38">
        <v>5494.6197628</v>
      </c>
      <c r="G17" s="39">
        <v>3.424054E-2</v>
      </c>
      <c r="H17" s="34" t="s">
        <v>143</v>
      </c>
    </row>
    <row r="18" spans="1:8" x14ac:dyDescent="0.2">
      <c r="A18" s="35">
        <v>12</v>
      </c>
      <c r="B18" s="36" t="s">
        <v>380</v>
      </c>
      <c r="C18" s="36" t="s">
        <v>381</v>
      </c>
      <c r="D18" s="36" t="s">
        <v>33</v>
      </c>
      <c r="E18" s="37">
        <v>7238410</v>
      </c>
      <c r="F18" s="38">
        <v>4857.6969509999999</v>
      </c>
      <c r="G18" s="39">
        <v>3.027146E-2</v>
      </c>
      <c r="H18" s="34" t="s">
        <v>143</v>
      </c>
    </row>
    <row r="19" spans="1:8" x14ac:dyDescent="0.2">
      <c r="A19" s="35">
        <v>13</v>
      </c>
      <c r="B19" s="36" t="s">
        <v>499</v>
      </c>
      <c r="C19" s="36" t="s">
        <v>500</v>
      </c>
      <c r="D19" s="36" t="s">
        <v>192</v>
      </c>
      <c r="E19" s="37">
        <v>1131406</v>
      </c>
      <c r="F19" s="38">
        <v>4552.777744</v>
      </c>
      <c r="G19" s="39">
        <v>2.837131E-2</v>
      </c>
      <c r="H19" s="34" t="s">
        <v>143</v>
      </c>
    </row>
    <row r="20" spans="1:8" x14ac:dyDescent="0.2">
      <c r="A20" s="35">
        <v>14</v>
      </c>
      <c r="B20" s="36" t="s">
        <v>446</v>
      </c>
      <c r="C20" s="36" t="s">
        <v>447</v>
      </c>
      <c r="D20" s="36" t="s">
        <v>33</v>
      </c>
      <c r="E20" s="37">
        <v>503455</v>
      </c>
      <c r="F20" s="38">
        <v>4390.6310549999998</v>
      </c>
      <c r="G20" s="39">
        <v>2.7360869999999999E-2</v>
      </c>
      <c r="H20" s="34" t="s">
        <v>143</v>
      </c>
    </row>
    <row r="21" spans="1:8" x14ac:dyDescent="0.2">
      <c r="A21" s="35">
        <v>15</v>
      </c>
      <c r="B21" s="36" t="s">
        <v>275</v>
      </c>
      <c r="C21" s="36" t="s">
        <v>276</v>
      </c>
      <c r="D21" s="36" t="s">
        <v>256</v>
      </c>
      <c r="E21" s="37">
        <v>636027</v>
      </c>
      <c r="F21" s="38">
        <v>4184.4216329999999</v>
      </c>
      <c r="G21" s="39">
        <v>2.6075839999999999E-2</v>
      </c>
      <c r="H21" s="34" t="s">
        <v>143</v>
      </c>
    </row>
    <row r="22" spans="1:8" x14ac:dyDescent="0.2">
      <c r="A22" s="35">
        <v>16</v>
      </c>
      <c r="B22" s="36" t="s">
        <v>326</v>
      </c>
      <c r="C22" s="36" t="s">
        <v>327</v>
      </c>
      <c r="D22" s="36" t="s">
        <v>33</v>
      </c>
      <c r="E22" s="37">
        <v>130239</v>
      </c>
      <c r="F22" s="38">
        <v>2817.720765</v>
      </c>
      <c r="G22" s="39">
        <v>1.755905E-2</v>
      </c>
      <c r="H22" s="34" t="s">
        <v>143</v>
      </c>
    </row>
    <row r="23" spans="1:8" x14ac:dyDescent="0.2">
      <c r="A23" s="35">
        <v>17</v>
      </c>
      <c r="B23" s="36" t="s">
        <v>769</v>
      </c>
      <c r="C23" s="36" t="s">
        <v>770</v>
      </c>
      <c r="D23" s="36" t="s">
        <v>192</v>
      </c>
      <c r="E23" s="37">
        <v>575710</v>
      </c>
      <c r="F23" s="38">
        <v>2460.5845399999998</v>
      </c>
      <c r="G23" s="39">
        <v>1.53335E-2</v>
      </c>
      <c r="H23" s="34" t="s">
        <v>143</v>
      </c>
    </row>
    <row r="24" spans="1:8" x14ac:dyDescent="0.2">
      <c r="A24" s="35">
        <v>18</v>
      </c>
      <c r="B24" s="36" t="s">
        <v>386</v>
      </c>
      <c r="C24" s="36" t="s">
        <v>387</v>
      </c>
      <c r="D24" s="36" t="s">
        <v>192</v>
      </c>
      <c r="E24" s="37">
        <v>105794</v>
      </c>
      <c r="F24" s="38">
        <v>2291.4980399999999</v>
      </c>
      <c r="G24" s="39">
        <v>1.427981E-2</v>
      </c>
      <c r="H24" s="34" t="s">
        <v>143</v>
      </c>
    </row>
    <row r="25" spans="1:8" x14ac:dyDescent="0.2">
      <c r="A25" s="35">
        <v>19</v>
      </c>
      <c r="B25" s="36" t="s">
        <v>190</v>
      </c>
      <c r="C25" s="36" t="s">
        <v>191</v>
      </c>
      <c r="D25" s="36" t="s">
        <v>192</v>
      </c>
      <c r="E25" s="37">
        <v>763527</v>
      </c>
      <c r="F25" s="38">
        <v>2061.1411364999999</v>
      </c>
      <c r="G25" s="39">
        <v>1.2844309999999999E-2</v>
      </c>
      <c r="H25" s="34" t="s">
        <v>143</v>
      </c>
    </row>
    <row r="26" spans="1:8" x14ac:dyDescent="0.2">
      <c r="A26" s="35">
        <v>20</v>
      </c>
      <c r="B26" s="36" t="s">
        <v>376</v>
      </c>
      <c r="C26" s="36" t="s">
        <v>377</v>
      </c>
      <c r="D26" s="36" t="s">
        <v>206</v>
      </c>
      <c r="E26" s="37">
        <v>60606</v>
      </c>
      <c r="F26" s="38">
        <v>1771.3921680000001</v>
      </c>
      <c r="G26" s="39">
        <v>1.103869E-2</v>
      </c>
      <c r="H26" s="34" t="s">
        <v>143</v>
      </c>
    </row>
    <row r="27" spans="1:8" x14ac:dyDescent="0.2">
      <c r="A27" s="35">
        <v>21</v>
      </c>
      <c r="B27" s="36" t="s">
        <v>406</v>
      </c>
      <c r="C27" s="36" t="s">
        <v>407</v>
      </c>
      <c r="D27" s="36" t="s">
        <v>192</v>
      </c>
      <c r="E27" s="37">
        <v>139742</v>
      </c>
      <c r="F27" s="38">
        <v>1690.4589739999999</v>
      </c>
      <c r="G27" s="39">
        <v>1.053435E-2</v>
      </c>
      <c r="H27" s="34" t="s">
        <v>143</v>
      </c>
    </row>
    <row r="28" spans="1:8" x14ac:dyDescent="0.2">
      <c r="A28" s="35">
        <v>22</v>
      </c>
      <c r="B28" s="36" t="s">
        <v>831</v>
      </c>
      <c r="C28" s="36" t="s">
        <v>832</v>
      </c>
      <c r="D28" s="36" t="s">
        <v>192</v>
      </c>
      <c r="E28" s="37">
        <v>135140</v>
      </c>
      <c r="F28" s="38">
        <v>1000.0359999999999</v>
      </c>
      <c r="G28" s="39">
        <v>6.2318699999999996E-3</v>
      </c>
      <c r="H28" s="34" t="s">
        <v>143</v>
      </c>
    </row>
    <row r="29" spans="1:8" ht="25.5" x14ac:dyDescent="0.2">
      <c r="A29" s="35">
        <v>23</v>
      </c>
      <c r="B29" s="36" t="s">
        <v>346</v>
      </c>
      <c r="C29" s="36" t="s">
        <v>347</v>
      </c>
      <c r="D29" s="36" t="s">
        <v>192</v>
      </c>
      <c r="E29" s="37">
        <v>50564</v>
      </c>
      <c r="F29" s="38">
        <v>823.18191999999999</v>
      </c>
      <c r="G29" s="39">
        <v>5.1297799999999996E-3</v>
      </c>
      <c r="H29" s="34" t="s">
        <v>143</v>
      </c>
    </row>
    <row r="30" spans="1:8" x14ac:dyDescent="0.2">
      <c r="A30" s="35">
        <v>24</v>
      </c>
      <c r="B30" s="36" t="s">
        <v>485</v>
      </c>
      <c r="C30" s="36" t="s">
        <v>486</v>
      </c>
      <c r="D30" s="36" t="s">
        <v>206</v>
      </c>
      <c r="E30" s="37">
        <v>20372</v>
      </c>
      <c r="F30" s="38">
        <v>551.91822400000001</v>
      </c>
      <c r="G30" s="39">
        <v>3.4393599999999998E-3</v>
      </c>
      <c r="H30" s="34" t="s">
        <v>143</v>
      </c>
    </row>
    <row r="31" spans="1:8" x14ac:dyDescent="0.2">
      <c r="A31" s="41"/>
      <c r="B31" s="41"/>
      <c r="C31" s="42" t="s">
        <v>142</v>
      </c>
      <c r="D31" s="41"/>
      <c r="E31" s="41" t="s">
        <v>143</v>
      </c>
      <c r="F31" s="43">
        <v>152335.8411244</v>
      </c>
      <c r="G31" s="44">
        <v>0.94930342000000001</v>
      </c>
      <c r="H31" s="34" t="s">
        <v>143</v>
      </c>
    </row>
    <row r="32" spans="1:8" x14ac:dyDescent="0.2">
      <c r="A32" s="41"/>
      <c r="B32" s="41"/>
      <c r="C32" s="45"/>
      <c r="D32" s="41"/>
      <c r="E32" s="41"/>
      <c r="F32" s="46"/>
      <c r="G32" s="46"/>
      <c r="H32" s="34" t="s">
        <v>143</v>
      </c>
    </row>
    <row r="33" spans="1:8" x14ac:dyDescent="0.2">
      <c r="A33" s="41"/>
      <c r="B33" s="41"/>
      <c r="C33" s="42" t="s">
        <v>144</v>
      </c>
      <c r="D33" s="41"/>
      <c r="E33" s="41"/>
      <c r="F33" s="41"/>
      <c r="G33" s="41"/>
      <c r="H33" s="34" t="s">
        <v>143</v>
      </c>
    </row>
    <row r="34" spans="1:8" x14ac:dyDescent="0.2">
      <c r="A34" s="41"/>
      <c r="B34" s="41"/>
      <c r="C34" s="42" t="s">
        <v>142</v>
      </c>
      <c r="D34" s="41"/>
      <c r="E34" s="41" t="s">
        <v>143</v>
      </c>
      <c r="F34" s="47" t="s">
        <v>145</v>
      </c>
      <c r="G34" s="44">
        <v>0</v>
      </c>
      <c r="H34" s="34" t="s">
        <v>143</v>
      </c>
    </row>
    <row r="35" spans="1:8" x14ac:dyDescent="0.2">
      <c r="A35" s="41"/>
      <c r="B35" s="41"/>
      <c r="C35" s="45"/>
      <c r="D35" s="41"/>
      <c r="E35" s="41"/>
      <c r="F35" s="46"/>
      <c r="G35" s="46"/>
      <c r="H35" s="34" t="s">
        <v>143</v>
      </c>
    </row>
    <row r="36" spans="1:8" x14ac:dyDescent="0.2">
      <c r="A36" s="41"/>
      <c r="B36" s="41"/>
      <c r="C36" s="42" t="s">
        <v>146</v>
      </c>
      <c r="D36" s="41"/>
      <c r="E36" s="41"/>
      <c r="F36" s="41"/>
      <c r="G36" s="41"/>
      <c r="H36" s="34" t="s">
        <v>143</v>
      </c>
    </row>
    <row r="37" spans="1:8" x14ac:dyDescent="0.2">
      <c r="A37" s="41"/>
      <c r="B37" s="41"/>
      <c r="C37" s="42" t="s">
        <v>142</v>
      </c>
      <c r="D37" s="41"/>
      <c r="E37" s="41" t="s">
        <v>143</v>
      </c>
      <c r="F37" s="47" t="s">
        <v>145</v>
      </c>
      <c r="G37" s="44">
        <v>0</v>
      </c>
      <c r="H37" s="34" t="s">
        <v>143</v>
      </c>
    </row>
    <row r="38" spans="1:8" x14ac:dyDescent="0.2">
      <c r="A38" s="41"/>
      <c r="B38" s="41"/>
      <c r="C38" s="45"/>
      <c r="D38" s="41"/>
      <c r="E38" s="41"/>
      <c r="F38" s="46"/>
      <c r="G38" s="46"/>
      <c r="H38" s="34" t="s">
        <v>143</v>
      </c>
    </row>
    <row r="39" spans="1:8" x14ac:dyDescent="0.2">
      <c r="A39" s="41"/>
      <c r="B39" s="41"/>
      <c r="C39" s="42" t="s">
        <v>147</v>
      </c>
      <c r="D39" s="41"/>
      <c r="E39" s="41"/>
      <c r="F39" s="41"/>
      <c r="G39" s="41"/>
      <c r="H39" s="34" t="s">
        <v>143</v>
      </c>
    </row>
    <row r="40" spans="1:8" x14ac:dyDescent="0.2">
      <c r="A40" s="41"/>
      <c r="B40" s="41"/>
      <c r="C40" s="42" t="s">
        <v>142</v>
      </c>
      <c r="D40" s="41"/>
      <c r="E40" s="41" t="s">
        <v>143</v>
      </c>
      <c r="F40" s="47" t="s">
        <v>145</v>
      </c>
      <c r="G40" s="44">
        <v>0</v>
      </c>
      <c r="H40" s="34" t="s">
        <v>143</v>
      </c>
    </row>
    <row r="41" spans="1:8" x14ac:dyDescent="0.2">
      <c r="A41" s="41"/>
      <c r="B41" s="41"/>
      <c r="C41" s="45"/>
      <c r="D41" s="41"/>
      <c r="E41" s="41"/>
      <c r="F41" s="46"/>
      <c r="G41" s="46"/>
      <c r="H41" s="34" t="s">
        <v>143</v>
      </c>
    </row>
    <row r="42" spans="1:8" x14ac:dyDescent="0.2">
      <c r="A42" s="41"/>
      <c r="B42" s="41"/>
      <c r="C42" s="42" t="s">
        <v>148</v>
      </c>
      <c r="D42" s="41"/>
      <c r="E42" s="41"/>
      <c r="F42" s="46"/>
      <c r="G42" s="46"/>
      <c r="H42" s="34" t="s">
        <v>143</v>
      </c>
    </row>
    <row r="43" spans="1:8" x14ac:dyDescent="0.2">
      <c r="A43" s="41"/>
      <c r="B43" s="41"/>
      <c r="C43" s="42" t="s">
        <v>142</v>
      </c>
      <c r="D43" s="41"/>
      <c r="E43" s="41" t="s">
        <v>143</v>
      </c>
      <c r="F43" s="47" t="s">
        <v>145</v>
      </c>
      <c r="G43" s="44">
        <v>0</v>
      </c>
      <c r="H43" s="34" t="s">
        <v>143</v>
      </c>
    </row>
    <row r="44" spans="1:8" x14ac:dyDescent="0.2">
      <c r="A44" s="41"/>
      <c r="B44" s="41"/>
      <c r="C44" s="45"/>
      <c r="D44" s="41"/>
      <c r="E44" s="41"/>
      <c r="F44" s="46"/>
      <c r="G44" s="46"/>
      <c r="H44" s="34" t="s">
        <v>143</v>
      </c>
    </row>
    <row r="45" spans="1:8" x14ac:dyDescent="0.2">
      <c r="A45" s="41"/>
      <c r="B45" s="41"/>
      <c r="C45" s="42" t="s">
        <v>149</v>
      </c>
      <c r="D45" s="41"/>
      <c r="E45" s="41"/>
      <c r="F45" s="46"/>
      <c r="G45" s="46"/>
      <c r="H45" s="34" t="s">
        <v>143</v>
      </c>
    </row>
    <row r="46" spans="1:8" x14ac:dyDescent="0.2">
      <c r="A46" s="41"/>
      <c r="B46" s="41"/>
      <c r="C46" s="42" t="s">
        <v>142</v>
      </c>
      <c r="D46" s="41"/>
      <c r="E46" s="41" t="s">
        <v>143</v>
      </c>
      <c r="F46" s="47" t="s">
        <v>145</v>
      </c>
      <c r="G46" s="44">
        <v>0</v>
      </c>
      <c r="H46" s="34" t="s">
        <v>143</v>
      </c>
    </row>
    <row r="47" spans="1:8" x14ac:dyDescent="0.2">
      <c r="A47" s="41"/>
      <c r="B47" s="41"/>
      <c r="C47" s="45"/>
      <c r="D47" s="41"/>
      <c r="E47" s="41"/>
      <c r="F47" s="46"/>
      <c r="G47" s="46"/>
      <c r="H47" s="34" t="s">
        <v>143</v>
      </c>
    </row>
    <row r="48" spans="1:8" x14ac:dyDescent="0.2">
      <c r="A48" s="41"/>
      <c r="B48" s="41"/>
      <c r="C48" s="42" t="s">
        <v>150</v>
      </c>
      <c r="D48" s="41"/>
      <c r="E48" s="41"/>
      <c r="F48" s="43">
        <v>152335.8411244</v>
      </c>
      <c r="G48" s="44">
        <v>0.94930342000000001</v>
      </c>
      <c r="H48" s="34" t="s">
        <v>143</v>
      </c>
    </row>
    <row r="49" spans="1:8" x14ac:dyDescent="0.2">
      <c r="A49" s="41"/>
      <c r="B49" s="41"/>
      <c r="C49" s="45"/>
      <c r="D49" s="41"/>
      <c r="E49" s="41"/>
      <c r="F49" s="46"/>
      <c r="G49" s="46"/>
      <c r="H49" s="34" t="s">
        <v>143</v>
      </c>
    </row>
    <row r="50" spans="1:8" x14ac:dyDescent="0.2">
      <c r="A50" s="41"/>
      <c r="B50" s="41"/>
      <c r="C50" s="42" t="s">
        <v>151</v>
      </c>
      <c r="D50" s="41"/>
      <c r="E50" s="41"/>
      <c r="F50" s="46"/>
      <c r="G50" s="46"/>
      <c r="H50" s="34" t="s">
        <v>143</v>
      </c>
    </row>
    <row r="51" spans="1:8" x14ac:dyDescent="0.2">
      <c r="A51" s="41"/>
      <c r="B51" s="41"/>
      <c r="C51" s="42" t="s">
        <v>10</v>
      </c>
      <c r="D51" s="41"/>
      <c r="E51" s="41"/>
      <c r="F51" s="46"/>
      <c r="G51" s="46"/>
      <c r="H51" s="34" t="s">
        <v>143</v>
      </c>
    </row>
    <row r="52" spans="1:8" x14ac:dyDescent="0.2">
      <c r="A52" s="41"/>
      <c r="B52" s="41"/>
      <c r="C52" s="42" t="s">
        <v>142</v>
      </c>
      <c r="D52" s="41"/>
      <c r="E52" s="41" t="s">
        <v>143</v>
      </c>
      <c r="F52" s="47" t="s">
        <v>145</v>
      </c>
      <c r="G52" s="44">
        <v>0</v>
      </c>
      <c r="H52" s="34" t="s">
        <v>143</v>
      </c>
    </row>
    <row r="53" spans="1:8" x14ac:dyDescent="0.2">
      <c r="A53" s="41"/>
      <c r="B53" s="41"/>
      <c r="C53" s="45"/>
      <c r="D53" s="41"/>
      <c r="E53" s="41"/>
      <c r="F53" s="46"/>
      <c r="G53" s="46"/>
      <c r="H53" s="34" t="s">
        <v>143</v>
      </c>
    </row>
    <row r="54" spans="1:8" x14ac:dyDescent="0.2">
      <c r="A54" s="41"/>
      <c r="B54" s="41"/>
      <c r="C54" s="42" t="s">
        <v>152</v>
      </c>
      <c r="D54" s="41"/>
      <c r="E54" s="41"/>
      <c r="F54" s="41"/>
      <c r="G54" s="41"/>
      <c r="H54" s="34" t="s">
        <v>143</v>
      </c>
    </row>
    <row r="55" spans="1:8" x14ac:dyDescent="0.2">
      <c r="A55" s="41"/>
      <c r="B55" s="41"/>
      <c r="C55" s="42" t="s">
        <v>142</v>
      </c>
      <c r="D55" s="41"/>
      <c r="E55" s="41" t="s">
        <v>143</v>
      </c>
      <c r="F55" s="47" t="s">
        <v>145</v>
      </c>
      <c r="G55" s="44">
        <v>0</v>
      </c>
      <c r="H55" s="34" t="s">
        <v>143</v>
      </c>
    </row>
    <row r="56" spans="1:8" x14ac:dyDescent="0.2">
      <c r="A56" s="41"/>
      <c r="B56" s="41"/>
      <c r="C56" s="45"/>
      <c r="D56" s="41"/>
      <c r="E56" s="41"/>
      <c r="F56" s="46"/>
      <c r="G56" s="46"/>
      <c r="H56" s="34" t="s">
        <v>143</v>
      </c>
    </row>
    <row r="57" spans="1:8" x14ac:dyDescent="0.2">
      <c r="A57" s="41"/>
      <c r="B57" s="41"/>
      <c r="C57" s="42" t="s">
        <v>153</v>
      </c>
      <c r="D57" s="41"/>
      <c r="E57" s="41"/>
      <c r="F57" s="41"/>
      <c r="G57" s="41"/>
      <c r="H57" s="34" t="s">
        <v>143</v>
      </c>
    </row>
    <row r="58" spans="1:8" x14ac:dyDescent="0.2">
      <c r="A58" s="41"/>
      <c r="B58" s="41"/>
      <c r="C58" s="42" t="s">
        <v>142</v>
      </c>
      <c r="D58" s="41"/>
      <c r="E58" s="41" t="s">
        <v>143</v>
      </c>
      <c r="F58" s="47" t="s">
        <v>145</v>
      </c>
      <c r="G58" s="44">
        <v>0</v>
      </c>
      <c r="H58" s="34" t="s">
        <v>143</v>
      </c>
    </row>
    <row r="59" spans="1:8" x14ac:dyDescent="0.2">
      <c r="A59" s="41"/>
      <c r="B59" s="41"/>
      <c r="C59" s="45"/>
      <c r="D59" s="41"/>
      <c r="E59" s="41"/>
      <c r="F59" s="46"/>
      <c r="G59" s="46"/>
      <c r="H59" s="34" t="s">
        <v>143</v>
      </c>
    </row>
    <row r="60" spans="1:8" x14ac:dyDescent="0.2">
      <c r="A60" s="41"/>
      <c r="B60" s="41"/>
      <c r="C60" s="42" t="s">
        <v>154</v>
      </c>
      <c r="D60" s="41"/>
      <c r="E60" s="41"/>
      <c r="F60" s="46"/>
      <c r="G60" s="46"/>
      <c r="H60" s="34" t="s">
        <v>143</v>
      </c>
    </row>
    <row r="61" spans="1:8" x14ac:dyDescent="0.2">
      <c r="A61" s="41"/>
      <c r="B61" s="41"/>
      <c r="C61" s="42" t="s">
        <v>142</v>
      </c>
      <c r="D61" s="41"/>
      <c r="E61" s="41" t="s">
        <v>143</v>
      </c>
      <c r="F61" s="47" t="s">
        <v>145</v>
      </c>
      <c r="G61" s="44">
        <v>0</v>
      </c>
      <c r="H61" s="34" t="s">
        <v>143</v>
      </c>
    </row>
    <row r="62" spans="1:8" x14ac:dyDescent="0.2">
      <c r="A62" s="41"/>
      <c r="B62" s="41"/>
      <c r="C62" s="45"/>
      <c r="D62" s="41"/>
      <c r="E62" s="41"/>
      <c r="F62" s="46"/>
      <c r="G62" s="46"/>
      <c r="H62" s="34" t="s">
        <v>143</v>
      </c>
    </row>
    <row r="63" spans="1:8" x14ac:dyDescent="0.2">
      <c r="A63" s="41"/>
      <c r="B63" s="41"/>
      <c r="C63" s="42" t="s">
        <v>155</v>
      </c>
      <c r="D63" s="41"/>
      <c r="E63" s="41"/>
      <c r="F63" s="43">
        <v>0</v>
      </c>
      <c r="G63" s="44">
        <v>0</v>
      </c>
      <c r="H63" s="34" t="s">
        <v>143</v>
      </c>
    </row>
    <row r="64" spans="1:8" x14ac:dyDescent="0.2">
      <c r="A64" s="41"/>
      <c r="B64" s="41"/>
      <c r="C64" s="45"/>
      <c r="D64" s="41"/>
      <c r="E64" s="41"/>
      <c r="F64" s="46"/>
      <c r="G64" s="46"/>
      <c r="H64" s="34" t="s">
        <v>143</v>
      </c>
    </row>
    <row r="65" spans="1:8" x14ac:dyDescent="0.2">
      <c r="A65" s="41"/>
      <c r="B65" s="41"/>
      <c r="C65" s="42" t="s">
        <v>156</v>
      </c>
      <c r="D65" s="41"/>
      <c r="E65" s="41"/>
      <c r="F65" s="46"/>
      <c r="G65" s="46"/>
      <c r="H65" s="34" t="s">
        <v>143</v>
      </c>
    </row>
    <row r="66" spans="1:8" x14ac:dyDescent="0.2">
      <c r="A66" s="41"/>
      <c r="B66" s="41"/>
      <c r="C66" s="42" t="s">
        <v>157</v>
      </c>
      <c r="D66" s="41"/>
      <c r="E66" s="41"/>
      <c r="F66" s="46"/>
      <c r="G66" s="46"/>
      <c r="H66" s="34" t="s">
        <v>143</v>
      </c>
    </row>
    <row r="67" spans="1:8" x14ac:dyDescent="0.2">
      <c r="A67" s="41"/>
      <c r="B67" s="41"/>
      <c r="C67" s="42" t="s">
        <v>142</v>
      </c>
      <c r="D67" s="41"/>
      <c r="E67" s="41" t="s">
        <v>143</v>
      </c>
      <c r="F67" s="47" t="s">
        <v>145</v>
      </c>
      <c r="G67" s="44">
        <v>0</v>
      </c>
      <c r="H67" s="34" t="s">
        <v>143</v>
      </c>
    </row>
    <row r="68" spans="1:8" x14ac:dyDescent="0.2">
      <c r="A68" s="41"/>
      <c r="B68" s="41"/>
      <c r="C68" s="45"/>
      <c r="D68" s="41"/>
      <c r="E68" s="41"/>
      <c r="F68" s="46"/>
      <c r="G68" s="46"/>
      <c r="H68" s="34" t="s">
        <v>143</v>
      </c>
    </row>
    <row r="69" spans="1:8" x14ac:dyDescent="0.2">
      <c r="A69" s="41"/>
      <c r="B69" s="41"/>
      <c r="C69" s="42" t="s">
        <v>158</v>
      </c>
      <c r="D69" s="41"/>
      <c r="E69" s="41"/>
      <c r="F69" s="46"/>
      <c r="G69" s="46"/>
      <c r="H69" s="34" t="s">
        <v>143</v>
      </c>
    </row>
    <row r="70" spans="1:8" x14ac:dyDescent="0.2">
      <c r="A70" s="41"/>
      <c r="B70" s="41"/>
      <c r="C70" s="42" t="s">
        <v>142</v>
      </c>
      <c r="D70" s="41"/>
      <c r="E70" s="41" t="s">
        <v>143</v>
      </c>
      <c r="F70" s="47" t="s">
        <v>145</v>
      </c>
      <c r="G70" s="44">
        <v>0</v>
      </c>
      <c r="H70" s="34" t="s">
        <v>143</v>
      </c>
    </row>
    <row r="71" spans="1:8" x14ac:dyDescent="0.2">
      <c r="A71" s="41"/>
      <c r="B71" s="41"/>
      <c r="C71" s="45"/>
      <c r="D71" s="41"/>
      <c r="E71" s="41"/>
      <c r="F71" s="46"/>
      <c r="G71" s="46"/>
      <c r="H71" s="34" t="s">
        <v>143</v>
      </c>
    </row>
    <row r="72" spans="1:8" x14ac:dyDescent="0.2">
      <c r="A72" s="41"/>
      <c r="B72" s="41"/>
      <c r="C72" s="42" t="s">
        <v>159</v>
      </c>
      <c r="D72" s="41"/>
      <c r="E72" s="41"/>
      <c r="F72" s="46"/>
      <c r="G72" s="46"/>
      <c r="H72" s="34" t="s">
        <v>143</v>
      </c>
    </row>
    <row r="73" spans="1:8" x14ac:dyDescent="0.2">
      <c r="A73" s="35">
        <v>1</v>
      </c>
      <c r="B73" s="36" t="s">
        <v>651</v>
      </c>
      <c r="C73" s="36" t="s">
        <v>1092</v>
      </c>
      <c r="D73" s="36" t="s">
        <v>610</v>
      </c>
      <c r="E73" s="37">
        <v>1500000</v>
      </c>
      <c r="F73" s="38">
        <v>1484.2845</v>
      </c>
      <c r="G73" s="39">
        <v>9.2495400000000005E-3</v>
      </c>
      <c r="H73" s="34">
        <v>5.3677000000000001</v>
      </c>
    </row>
    <row r="74" spans="1:8" x14ac:dyDescent="0.2">
      <c r="A74" s="41"/>
      <c r="B74" s="41"/>
      <c r="C74" s="42" t="s">
        <v>142</v>
      </c>
      <c r="D74" s="41"/>
      <c r="E74" s="41" t="s">
        <v>143</v>
      </c>
      <c r="F74" s="43">
        <v>1484.2845</v>
      </c>
      <c r="G74" s="44">
        <v>9.2495400000000005E-3</v>
      </c>
      <c r="H74" s="34" t="s">
        <v>143</v>
      </c>
    </row>
    <row r="75" spans="1:8" x14ac:dyDescent="0.2">
      <c r="A75" s="41"/>
      <c r="B75" s="41"/>
      <c r="C75" s="45"/>
      <c r="D75" s="41"/>
      <c r="E75" s="41"/>
      <c r="F75" s="46"/>
      <c r="G75" s="46"/>
      <c r="H75" s="34" t="s">
        <v>143</v>
      </c>
    </row>
    <row r="76" spans="1:8" x14ac:dyDescent="0.2">
      <c r="A76" s="41"/>
      <c r="B76" s="41"/>
      <c r="C76" s="42" t="s">
        <v>160</v>
      </c>
      <c r="D76" s="41"/>
      <c r="E76" s="41"/>
      <c r="F76" s="46"/>
      <c r="G76" s="46"/>
      <c r="H76" s="34" t="s">
        <v>143</v>
      </c>
    </row>
    <row r="77" spans="1:8" x14ac:dyDescent="0.2">
      <c r="A77" s="35">
        <v>1</v>
      </c>
      <c r="B77" s="36"/>
      <c r="C77" s="36" t="s">
        <v>161</v>
      </c>
      <c r="D77" s="36"/>
      <c r="E77" s="48"/>
      <c r="F77" s="38">
        <v>1009.509812003</v>
      </c>
      <c r="G77" s="39">
        <v>6.2909100000000003E-3</v>
      </c>
      <c r="H77" s="34">
        <v>5.47</v>
      </c>
    </row>
    <row r="78" spans="1:8" x14ac:dyDescent="0.2">
      <c r="A78" s="41"/>
      <c r="B78" s="41"/>
      <c r="C78" s="42" t="s">
        <v>142</v>
      </c>
      <c r="D78" s="41"/>
      <c r="E78" s="41" t="s">
        <v>143</v>
      </c>
      <c r="F78" s="43">
        <v>1009.509812003</v>
      </c>
      <c r="G78" s="44">
        <v>6.2909100000000003E-3</v>
      </c>
      <c r="H78" s="34" t="s">
        <v>143</v>
      </c>
    </row>
    <row r="79" spans="1:8" x14ac:dyDescent="0.2">
      <c r="A79" s="41"/>
      <c r="B79" s="41"/>
      <c r="C79" s="45"/>
      <c r="D79" s="41"/>
      <c r="E79" s="41"/>
      <c r="F79" s="46"/>
      <c r="G79" s="46"/>
      <c r="H79" s="34" t="s">
        <v>143</v>
      </c>
    </row>
    <row r="80" spans="1:8" x14ac:dyDescent="0.2">
      <c r="A80" s="41"/>
      <c r="B80" s="41"/>
      <c r="C80" s="42" t="s">
        <v>162</v>
      </c>
      <c r="D80" s="41"/>
      <c r="E80" s="41"/>
      <c r="F80" s="43">
        <v>2493.794312003</v>
      </c>
      <c r="G80" s="44">
        <v>1.5540450000000001E-2</v>
      </c>
      <c r="H80" s="34" t="s">
        <v>143</v>
      </c>
    </row>
    <row r="81" spans="1:10" x14ac:dyDescent="0.2">
      <c r="A81" s="41"/>
      <c r="B81" s="41"/>
      <c r="C81" s="46"/>
      <c r="D81" s="41"/>
      <c r="E81" s="41"/>
      <c r="F81" s="41"/>
      <c r="G81" s="41"/>
      <c r="H81" s="34" t="s">
        <v>143</v>
      </c>
    </row>
    <row r="82" spans="1:10" x14ac:dyDescent="0.2">
      <c r="A82" s="41"/>
      <c r="B82" s="41"/>
      <c r="C82" s="42" t="s">
        <v>163</v>
      </c>
      <c r="D82" s="41"/>
      <c r="E82" s="41"/>
      <c r="F82" s="41"/>
      <c r="G82" s="41"/>
      <c r="H82" s="34" t="s">
        <v>143</v>
      </c>
    </row>
    <row r="83" spans="1:10" x14ac:dyDescent="0.2">
      <c r="A83" s="41"/>
      <c r="B83" s="41"/>
      <c r="C83" s="42" t="s">
        <v>164</v>
      </c>
      <c r="D83" s="41"/>
      <c r="E83" s="41"/>
      <c r="F83" s="41"/>
      <c r="G83" s="41"/>
      <c r="H83" s="34" t="s">
        <v>143</v>
      </c>
    </row>
    <row r="84" spans="1:10" x14ac:dyDescent="0.2">
      <c r="A84" s="41"/>
      <c r="B84" s="41"/>
      <c r="C84" s="42" t="s">
        <v>142</v>
      </c>
      <c r="D84" s="41"/>
      <c r="E84" s="41" t="s">
        <v>143</v>
      </c>
      <c r="F84" s="47" t="s">
        <v>145</v>
      </c>
      <c r="G84" s="44">
        <v>0</v>
      </c>
      <c r="H84" s="34" t="s">
        <v>143</v>
      </c>
    </row>
    <row r="85" spans="1:10" x14ac:dyDescent="0.2">
      <c r="A85" s="41"/>
      <c r="B85" s="41"/>
      <c r="C85" s="45"/>
      <c r="D85" s="41"/>
      <c r="E85" s="41"/>
      <c r="F85" s="46"/>
      <c r="G85" s="46"/>
      <c r="H85" s="34" t="s">
        <v>143</v>
      </c>
    </row>
    <row r="86" spans="1:10" x14ac:dyDescent="0.2">
      <c r="A86" s="41"/>
      <c r="B86" s="41"/>
      <c r="C86" s="42" t="s">
        <v>165</v>
      </c>
      <c r="D86" s="41"/>
      <c r="E86" s="41"/>
      <c r="F86" s="41"/>
      <c r="G86" s="41"/>
      <c r="H86" s="34" t="s">
        <v>143</v>
      </c>
    </row>
    <row r="87" spans="1:10" x14ac:dyDescent="0.2">
      <c r="A87" s="41"/>
      <c r="B87" s="41"/>
      <c r="C87" s="42" t="s">
        <v>166</v>
      </c>
      <c r="D87" s="41"/>
      <c r="E87" s="41"/>
      <c r="F87" s="41"/>
      <c r="G87" s="41"/>
      <c r="H87" s="34" t="s">
        <v>143</v>
      </c>
    </row>
    <row r="88" spans="1:10" x14ac:dyDescent="0.2">
      <c r="A88" s="41"/>
      <c r="B88" s="41"/>
      <c r="C88" s="42" t="s">
        <v>142</v>
      </c>
      <c r="D88" s="41"/>
      <c r="E88" s="41" t="s">
        <v>143</v>
      </c>
      <c r="F88" s="47" t="s">
        <v>145</v>
      </c>
      <c r="G88" s="44">
        <v>0</v>
      </c>
      <c r="H88" s="34" t="s">
        <v>143</v>
      </c>
    </row>
    <row r="89" spans="1:10" x14ac:dyDescent="0.2">
      <c r="A89" s="41"/>
      <c r="B89" s="41"/>
      <c r="C89" s="45"/>
      <c r="D89" s="41"/>
      <c r="E89" s="41"/>
      <c r="F89" s="46"/>
      <c r="G89" s="46"/>
      <c r="H89" s="34" t="s">
        <v>143</v>
      </c>
    </row>
    <row r="90" spans="1:10" x14ac:dyDescent="0.2">
      <c r="A90" s="41"/>
      <c r="B90" s="41"/>
      <c r="C90" s="42" t="s">
        <v>167</v>
      </c>
      <c r="D90" s="41"/>
      <c r="E90" s="41"/>
      <c r="F90" s="46"/>
      <c r="G90" s="46"/>
      <c r="H90" s="34" t="s">
        <v>143</v>
      </c>
    </row>
    <row r="91" spans="1:10" x14ac:dyDescent="0.2">
      <c r="A91" s="41"/>
      <c r="B91" s="41"/>
      <c r="C91" s="42" t="s">
        <v>142</v>
      </c>
      <c r="D91" s="41"/>
      <c r="E91" s="41" t="s">
        <v>143</v>
      </c>
      <c r="F91" s="47" t="s">
        <v>145</v>
      </c>
      <c r="G91" s="44">
        <v>0</v>
      </c>
      <c r="H91" s="34" t="s">
        <v>143</v>
      </c>
    </row>
    <row r="92" spans="1:10" x14ac:dyDescent="0.2">
      <c r="A92" s="41"/>
      <c r="B92" s="41"/>
      <c r="C92" s="45"/>
      <c r="D92" s="41"/>
      <c r="E92" s="41"/>
      <c r="F92" s="46"/>
      <c r="G92" s="46"/>
      <c r="H92" s="34" t="s">
        <v>143</v>
      </c>
    </row>
    <row r="93" spans="1:10" x14ac:dyDescent="0.2">
      <c r="A93" s="48"/>
      <c r="B93" s="36"/>
      <c r="C93" s="36" t="s">
        <v>985</v>
      </c>
      <c r="D93" s="36"/>
      <c r="E93" s="48"/>
      <c r="F93" s="38">
        <v>5641.5513557000004</v>
      </c>
      <c r="G93" s="39">
        <v>3.5156159999999999E-2</v>
      </c>
      <c r="H93" s="34" t="s">
        <v>143</v>
      </c>
    </row>
    <row r="94" spans="1:10" x14ac:dyDescent="0.2">
      <c r="A94" s="45"/>
      <c r="B94" s="45"/>
      <c r="C94" s="42" t="s">
        <v>169</v>
      </c>
      <c r="D94" s="46"/>
      <c r="E94" s="46"/>
      <c r="F94" s="43">
        <v>160471.18679210299</v>
      </c>
      <c r="G94" s="51">
        <v>1.00000003</v>
      </c>
      <c r="H94" s="34" t="s">
        <v>143</v>
      </c>
    </row>
    <row r="95" spans="1:10" x14ac:dyDescent="0.2">
      <c r="A95" s="52"/>
      <c r="B95" s="52"/>
      <c r="C95" s="52"/>
      <c r="D95" s="53"/>
      <c r="E95" s="53"/>
      <c r="F95" s="53"/>
      <c r="G95" s="53"/>
    </row>
    <row r="96" spans="1:10" ht="12.75" customHeight="1" x14ac:dyDescent="0.2">
      <c r="A96" s="54"/>
      <c r="B96" s="158" t="s">
        <v>852</v>
      </c>
      <c r="C96" s="158"/>
      <c r="D96" s="158"/>
      <c r="E96" s="158"/>
      <c r="F96" s="158"/>
      <c r="G96" s="158"/>
      <c r="H96" s="158"/>
      <c r="J96" s="56"/>
    </row>
    <row r="97" spans="1:17" ht="12.75" customHeight="1" x14ac:dyDescent="0.2">
      <c r="A97" s="54"/>
      <c r="B97" s="158" t="s">
        <v>853</v>
      </c>
      <c r="C97" s="158"/>
      <c r="D97" s="158"/>
      <c r="E97" s="158"/>
      <c r="F97" s="158"/>
      <c r="G97" s="158"/>
      <c r="H97" s="158"/>
      <c r="J97" s="56"/>
    </row>
    <row r="98" spans="1:17" ht="12.75" customHeight="1" x14ac:dyDescent="0.2">
      <c r="A98" s="54"/>
      <c r="B98" s="158" t="s">
        <v>854</v>
      </c>
      <c r="C98" s="158"/>
      <c r="D98" s="158"/>
      <c r="E98" s="158"/>
      <c r="F98" s="158"/>
      <c r="G98" s="158"/>
      <c r="H98" s="158"/>
      <c r="J98" s="56"/>
    </row>
    <row r="99" spans="1:17" s="58" customFormat="1" ht="55.5" customHeight="1" x14ac:dyDescent="0.25">
      <c r="A99" s="57"/>
      <c r="B99" s="159" t="s">
        <v>855</v>
      </c>
      <c r="C99" s="159"/>
      <c r="D99" s="159"/>
      <c r="E99" s="159"/>
      <c r="F99" s="159"/>
      <c r="G99" s="159"/>
      <c r="H99" s="159"/>
      <c r="I99"/>
      <c r="J99" s="56"/>
      <c r="K99"/>
      <c r="L99"/>
      <c r="M99"/>
      <c r="N99"/>
      <c r="O99"/>
      <c r="P99"/>
      <c r="Q99"/>
    </row>
    <row r="100" spans="1:17" ht="12.75" customHeight="1" x14ac:dyDescent="0.2">
      <c r="A100" s="54"/>
      <c r="B100" s="158" t="s">
        <v>856</v>
      </c>
      <c r="C100" s="158"/>
      <c r="D100" s="158"/>
      <c r="E100" s="158"/>
      <c r="F100" s="158"/>
      <c r="G100" s="158"/>
      <c r="H100" s="158"/>
      <c r="J100" s="56"/>
    </row>
    <row r="101" spans="1:17" x14ac:dyDescent="0.2">
      <c r="A101" s="54"/>
      <c r="B101" s="54"/>
      <c r="C101" s="54"/>
      <c r="D101" s="59"/>
      <c r="E101" s="59"/>
      <c r="F101" s="59"/>
      <c r="G101" s="59"/>
    </row>
    <row r="102" spans="1:17" x14ac:dyDescent="0.2">
      <c r="A102" s="54"/>
      <c r="B102" s="160" t="s">
        <v>170</v>
      </c>
      <c r="C102" s="161"/>
      <c r="D102" s="162"/>
      <c r="E102" s="60"/>
      <c r="F102" s="59"/>
      <c r="G102" s="59"/>
    </row>
    <row r="103" spans="1:17" ht="27.75" customHeight="1" x14ac:dyDescent="0.2">
      <c r="A103" s="54"/>
      <c r="B103" s="154" t="s">
        <v>171</v>
      </c>
      <c r="C103" s="155"/>
      <c r="D103" s="33" t="s">
        <v>172</v>
      </c>
      <c r="E103" s="60"/>
      <c r="F103" s="59"/>
      <c r="G103" s="59"/>
    </row>
    <row r="104" spans="1:17" ht="12.75" customHeight="1" x14ac:dyDescent="0.2">
      <c r="A104" s="54"/>
      <c r="B104" s="154" t="s">
        <v>857</v>
      </c>
      <c r="C104" s="155"/>
      <c r="D104" s="33" t="s">
        <v>172</v>
      </c>
      <c r="E104" s="60"/>
      <c r="F104" s="59"/>
      <c r="G104" s="59"/>
    </row>
    <row r="105" spans="1:17" ht="12.75" customHeight="1" x14ac:dyDescent="0.2">
      <c r="A105" s="54"/>
      <c r="B105" s="154" t="s">
        <v>173</v>
      </c>
      <c r="C105" s="155"/>
      <c r="D105" s="61" t="s">
        <v>143</v>
      </c>
      <c r="E105" s="60"/>
      <c r="F105" s="59"/>
      <c r="G105" s="59"/>
    </row>
    <row r="106" spans="1:17" x14ac:dyDescent="0.2">
      <c r="A106" s="62"/>
      <c r="B106" s="63" t="s">
        <v>143</v>
      </c>
      <c r="C106" s="63" t="s">
        <v>858</v>
      </c>
      <c r="D106" s="63" t="s">
        <v>174</v>
      </c>
      <c r="E106" s="62"/>
      <c r="F106" s="62"/>
      <c r="G106" s="62"/>
      <c r="H106" s="62"/>
      <c r="J106" s="56"/>
    </row>
    <row r="107" spans="1:17" x14ac:dyDescent="0.2">
      <c r="A107" s="62"/>
      <c r="B107" s="64" t="s">
        <v>175</v>
      </c>
      <c r="C107" s="65">
        <v>45808</v>
      </c>
      <c r="D107" s="65">
        <v>45838</v>
      </c>
      <c r="E107" s="62"/>
      <c r="F107" s="62"/>
      <c r="G107" s="62"/>
      <c r="J107" s="56"/>
    </row>
    <row r="108" spans="1:17" x14ac:dyDescent="0.2">
      <c r="A108" s="66"/>
      <c r="B108" s="36" t="s">
        <v>176</v>
      </c>
      <c r="C108" s="67">
        <v>116.8738</v>
      </c>
      <c r="D108" s="67">
        <v>120.69280000000001</v>
      </c>
      <c r="E108" s="66"/>
      <c r="F108" s="68"/>
      <c r="G108" s="69"/>
    </row>
    <row r="109" spans="1:17" x14ac:dyDescent="0.2">
      <c r="A109" s="66"/>
      <c r="B109" s="36" t="s">
        <v>1086</v>
      </c>
      <c r="C109" s="67">
        <v>36.833199999999998</v>
      </c>
      <c r="D109" s="67">
        <v>38.036799999999999</v>
      </c>
      <c r="E109" s="66"/>
      <c r="F109" s="68"/>
      <c r="G109" s="69"/>
    </row>
    <row r="110" spans="1:17" x14ac:dyDescent="0.2">
      <c r="A110" s="66"/>
      <c r="B110" s="36" t="s">
        <v>177</v>
      </c>
      <c r="C110" s="67">
        <v>103.7572</v>
      </c>
      <c r="D110" s="67">
        <v>107.0314</v>
      </c>
      <c r="E110" s="66"/>
      <c r="F110" s="68"/>
      <c r="G110" s="69"/>
    </row>
    <row r="111" spans="1:17" x14ac:dyDescent="0.2">
      <c r="A111" s="66"/>
      <c r="B111" s="36" t="s">
        <v>1087</v>
      </c>
      <c r="C111" s="67">
        <v>32.165900000000001</v>
      </c>
      <c r="D111" s="67">
        <v>33.180999999999997</v>
      </c>
      <c r="E111" s="66"/>
      <c r="F111" s="68"/>
      <c r="G111" s="69"/>
    </row>
    <row r="112" spans="1:17" x14ac:dyDescent="0.2">
      <c r="A112" s="66"/>
      <c r="B112" s="66"/>
      <c r="C112" s="66"/>
      <c r="D112" s="66"/>
      <c r="E112" s="66"/>
      <c r="F112" s="66"/>
      <c r="G112" s="66"/>
    </row>
    <row r="113" spans="1:7" x14ac:dyDescent="0.2">
      <c r="A113" s="62"/>
      <c r="B113" s="154" t="s">
        <v>860</v>
      </c>
      <c r="C113" s="155"/>
      <c r="D113" s="33" t="s">
        <v>172</v>
      </c>
      <c r="E113" s="62"/>
      <c r="F113" s="62"/>
      <c r="G113" s="62"/>
    </row>
    <row r="114" spans="1:7" x14ac:dyDescent="0.2">
      <c r="A114" s="62"/>
      <c r="B114" s="70"/>
      <c r="C114" s="70"/>
      <c r="D114" s="70"/>
      <c r="E114" s="62"/>
      <c r="F114" s="62"/>
      <c r="G114" s="62"/>
    </row>
    <row r="115" spans="1:7" ht="27" customHeight="1" x14ac:dyDescent="0.2">
      <c r="A115" s="62"/>
      <c r="B115" s="154" t="s">
        <v>178</v>
      </c>
      <c r="C115" s="155"/>
      <c r="D115" s="33" t="s">
        <v>172</v>
      </c>
      <c r="E115" s="71"/>
      <c r="F115" s="62"/>
      <c r="G115" s="62"/>
    </row>
    <row r="116" spans="1:7" ht="24.75" customHeight="1" x14ac:dyDescent="0.2">
      <c r="A116" s="62"/>
      <c r="B116" s="154" t="s">
        <v>179</v>
      </c>
      <c r="C116" s="155"/>
      <c r="D116" s="33" t="s">
        <v>172</v>
      </c>
      <c r="E116" s="71"/>
      <c r="F116" s="62"/>
      <c r="G116" s="62"/>
    </row>
    <row r="117" spans="1:7" x14ac:dyDescent="0.2">
      <c r="A117" s="62"/>
      <c r="B117" s="154" t="s">
        <v>180</v>
      </c>
      <c r="C117" s="155"/>
      <c r="D117" s="33" t="s">
        <v>172</v>
      </c>
      <c r="E117" s="71"/>
      <c r="F117" s="62"/>
      <c r="G117" s="62"/>
    </row>
    <row r="118" spans="1:7" x14ac:dyDescent="0.2">
      <c r="A118" s="62"/>
      <c r="B118" s="154" t="s">
        <v>181</v>
      </c>
      <c r="C118" s="155"/>
      <c r="D118" s="72">
        <v>0.82020005053228762</v>
      </c>
      <c r="E118" s="62"/>
      <c r="F118" s="55"/>
      <c r="G118" s="73"/>
    </row>
    <row r="120" spans="1:7" x14ac:dyDescent="0.2">
      <c r="B120" s="156" t="s">
        <v>861</v>
      </c>
      <c r="C120" s="156"/>
    </row>
    <row r="122" spans="1:7" ht="153.75" customHeight="1" x14ac:dyDescent="0.2"/>
    <row r="125" spans="1:7" x14ac:dyDescent="0.2">
      <c r="B125" s="79" t="s">
        <v>862</v>
      </c>
      <c r="C125" s="80"/>
      <c r="D125" s="79"/>
    </row>
    <row r="126" spans="1:7" x14ac:dyDescent="0.2">
      <c r="B126" s="79" t="s">
        <v>940</v>
      </c>
      <c r="D126" s="79"/>
    </row>
    <row r="127" spans="1:7" ht="165" customHeight="1" x14ac:dyDescent="0.2"/>
  </sheetData>
  <mergeCells count="18">
    <mergeCell ref="A1:H1"/>
    <mergeCell ref="A2:H2"/>
    <mergeCell ref="A3:H3"/>
    <mergeCell ref="B96:H96"/>
    <mergeCell ref="B97:H97"/>
    <mergeCell ref="B98:H98"/>
    <mergeCell ref="B99:H99"/>
    <mergeCell ref="B100:H100"/>
    <mergeCell ref="B102:D102"/>
    <mergeCell ref="B103:C103"/>
    <mergeCell ref="B104:C104"/>
    <mergeCell ref="B105:C105"/>
    <mergeCell ref="B120:C120"/>
    <mergeCell ref="B113:C113"/>
    <mergeCell ref="B117:C117"/>
    <mergeCell ref="B118:C118"/>
    <mergeCell ref="B115:C115"/>
    <mergeCell ref="B116:C116"/>
  </mergeCells>
  <hyperlinks>
    <hyperlink ref="I1" location="Index!B2" display="Index" xr:uid="{18F61277-6253-49B4-9B9F-33EC2822B9A1}"/>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FD0BF-F3CA-4AB0-BBDA-880DCB2A2C58}">
  <sheetPr>
    <outlinePr summaryBelow="0" summaryRight="0"/>
  </sheetPr>
  <dimension ref="A1:Q225"/>
  <sheetViews>
    <sheetView showGridLines="0" workbookViewId="0">
      <selection sqref="A1:H1"/>
    </sheetView>
  </sheetViews>
  <sheetFormatPr defaultRowHeight="12.75" x14ac:dyDescent="0.2"/>
  <cols>
    <col min="1" max="1" width="6.85546875" customWidth="1"/>
    <col min="2" max="2" width="20.5703125" customWidth="1"/>
    <col min="3" max="3" width="39.7109375" customWidth="1"/>
    <col min="4" max="4" width="17.85546875" customWidth="1"/>
    <col min="5" max="6" width="19.140625" customWidth="1"/>
    <col min="7" max="7" width="16.42578125" customWidth="1"/>
  </cols>
  <sheetData>
    <row r="1" spans="1:9" ht="15" x14ac:dyDescent="0.2">
      <c r="A1" s="157" t="s">
        <v>0</v>
      </c>
      <c r="B1" s="157"/>
      <c r="C1" s="157"/>
      <c r="D1" s="157"/>
      <c r="E1" s="157"/>
      <c r="F1" s="157"/>
      <c r="G1" s="157"/>
      <c r="H1" s="157"/>
      <c r="I1" s="1" t="s">
        <v>851</v>
      </c>
    </row>
    <row r="2" spans="1:9" ht="15" x14ac:dyDescent="0.2">
      <c r="A2" s="157" t="s">
        <v>833</v>
      </c>
      <c r="B2" s="157"/>
      <c r="C2" s="157"/>
      <c r="D2" s="157"/>
      <c r="E2" s="157"/>
      <c r="F2" s="157"/>
      <c r="G2" s="157"/>
      <c r="H2" s="157"/>
    </row>
    <row r="3" spans="1:9" ht="15" x14ac:dyDescent="0.2">
      <c r="A3" s="157" t="s">
        <v>850</v>
      </c>
      <c r="B3" s="157"/>
      <c r="C3" s="157"/>
      <c r="D3" s="157"/>
      <c r="E3" s="157"/>
      <c r="F3" s="157"/>
      <c r="G3" s="157"/>
      <c r="H3" s="157"/>
    </row>
    <row r="4" spans="1:9" s="31" customFormat="1" ht="30" x14ac:dyDescent="0.2">
      <c r="A4" s="29" t="s">
        <v>2</v>
      </c>
      <c r="B4" s="29" t="s">
        <v>3</v>
      </c>
      <c r="C4" s="29" t="s">
        <v>4</v>
      </c>
      <c r="D4" s="29" t="s">
        <v>5</v>
      </c>
      <c r="E4" s="29" t="s">
        <v>6</v>
      </c>
      <c r="F4" s="29" t="s">
        <v>7</v>
      </c>
      <c r="G4" s="29" t="s">
        <v>8</v>
      </c>
      <c r="H4" s="30" t="s">
        <v>1046</v>
      </c>
    </row>
    <row r="5" spans="1:9" x14ac:dyDescent="0.2">
      <c r="A5" s="32"/>
      <c r="B5" s="32"/>
      <c r="C5" s="33" t="s">
        <v>9</v>
      </c>
      <c r="D5" s="32"/>
      <c r="E5" s="32"/>
      <c r="F5" s="32"/>
      <c r="G5" s="32"/>
      <c r="H5" s="34" t="s">
        <v>143</v>
      </c>
    </row>
    <row r="6" spans="1:9" x14ac:dyDescent="0.2">
      <c r="A6" s="32"/>
      <c r="B6" s="32"/>
      <c r="C6" s="33" t="s">
        <v>10</v>
      </c>
      <c r="D6" s="32"/>
      <c r="E6" s="32"/>
      <c r="F6" s="32"/>
      <c r="G6" s="32"/>
      <c r="H6" s="34" t="s">
        <v>143</v>
      </c>
    </row>
    <row r="7" spans="1:9" x14ac:dyDescent="0.2">
      <c r="A7" s="35">
        <v>1</v>
      </c>
      <c r="B7" s="36" t="s">
        <v>322</v>
      </c>
      <c r="C7" s="36" t="s">
        <v>323</v>
      </c>
      <c r="D7" s="36" t="s">
        <v>33</v>
      </c>
      <c r="E7" s="37">
        <v>667121</v>
      </c>
      <c r="F7" s="38">
        <v>13352.426815000001</v>
      </c>
      <c r="G7" s="39">
        <v>4.966951E-2</v>
      </c>
      <c r="H7" s="34" t="s">
        <v>143</v>
      </c>
    </row>
    <row r="8" spans="1:9" x14ac:dyDescent="0.2">
      <c r="A8" s="35">
        <v>2</v>
      </c>
      <c r="B8" s="36" t="s">
        <v>31</v>
      </c>
      <c r="C8" s="36" t="s">
        <v>32</v>
      </c>
      <c r="D8" s="36" t="s">
        <v>33</v>
      </c>
      <c r="E8" s="37">
        <v>877500</v>
      </c>
      <c r="F8" s="38">
        <v>12686.895</v>
      </c>
      <c r="G8" s="39">
        <v>4.7193810000000003E-2</v>
      </c>
      <c r="H8" s="34" t="s">
        <v>143</v>
      </c>
    </row>
    <row r="9" spans="1:9" x14ac:dyDescent="0.2">
      <c r="A9" s="35">
        <v>3</v>
      </c>
      <c r="B9" s="36" t="s">
        <v>14</v>
      </c>
      <c r="C9" s="36" t="s">
        <v>15</v>
      </c>
      <c r="D9" s="36" t="s">
        <v>16</v>
      </c>
      <c r="E9" s="37">
        <v>762546</v>
      </c>
      <c r="F9" s="38">
        <v>11442.765276</v>
      </c>
      <c r="G9" s="39">
        <v>4.2565779999999998E-2</v>
      </c>
      <c r="H9" s="34" t="s">
        <v>143</v>
      </c>
    </row>
    <row r="10" spans="1:9" x14ac:dyDescent="0.2">
      <c r="A10" s="35">
        <v>4</v>
      </c>
      <c r="B10" s="36" t="s">
        <v>11</v>
      </c>
      <c r="C10" s="36" t="s">
        <v>12</v>
      </c>
      <c r="D10" s="36" t="s">
        <v>13</v>
      </c>
      <c r="E10" s="37">
        <v>469550</v>
      </c>
      <c r="F10" s="38">
        <v>9436.0768000000007</v>
      </c>
      <c r="G10" s="39">
        <v>3.5101130000000001E-2</v>
      </c>
      <c r="H10" s="34" t="s">
        <v>143</v>
      </c>
    </row>
    <row r="11" spans="1:9" x14ac:dyDescent="0.2">
      <c r="A11" s="35">
        <v>5</v>
      </c>
      <c r="B11" s="36" t="s">
        <v>328</v>
      </c>
      <c r="C11" s="36" t="s">
        <v>329</v>
      </c>
      <c r="D11" s="36" t="s">
        <v>198</v>
      </c>
      <c r="E11" s="37">
        <v>537703</v>
      </c>
      <c r="F11" s="38">
        <v>8612.9266540000008</v>
      </c>
      <c r="G11" s="39">
        <v>3.2039110000000003E-2</v>
      </c>
      <c r="H11" s="34" t="s">
        <v>143</v>
      </c>
    </row>
    <row r="12" spans="1:9" x14ac:dyDescent="0.2">
      <c r="A12" s="35">
        <v>6</v>
      </c>
      <c r="B12" s="36" t="s">
        <v>338</v>
      </c>
      <c r="C12" s="36" t="s">
        <v>339</v>
      </c>
      <c r="D12" s="36" t="s">
        <v>251</v>
      </c>
      <c r="E12" s="37">
        <v>265300</v>
      </c>
      <c r="F12" s="38">
        <v>8445.0295999999998</v>
      </c>
      <c r="G12" s="39">
        <v>3.1414549999999999E-2</v>
      </c>
      <c r="H12" s="34" t="s">
        <v>143</v>
      </c>
    </row>
    <row r="13" spans="1:9" x14ac:dyDescent="0.2">
      <c r="A13" s="35">
        <v>7</v>
      </c>
      <c r="B13" s="36" t="s">
        <v>324</v>
      </c>
      <c r="C13" s="36" t="s">
        <v>325</v>
      </c>
      <c r="D13" s="36" t="s">
        <v>33</v>
      </c>
      <c r="E13" s="37">
        <v>632690</v>
      </c>
      <c r="F13" s="38">
        <v>7587.2184800000005</v>
      </c>
      <c r="G13" s="39">
        <v>2.822359E-2</v>
      </c>
      <c r="H13" s="34" t="s">
        <v>143</v>
      </c>
    </row>
    <row r="14" spans="1:9" x14ac:dyDescent="0.2">
      <c r="A14" s="35">
        <v>8</v>
      </c>
      <c r="B14" s="36" t="s">
        <v>17</v>
      </c>
      <c r="C14" s="36" t="s">
        <v>18</v>
      </c>
      <c r="D14" s="36" t="s">
        <v>19</v>
      </c>
      <c r="E14" s="37">
        <v>185298</v>
      </c>
      <c r="F14" s="38">
        <v>6800.0660040000002</v>
      </c>
      <c r="G14" s="39">
        <v>2.529547E-2</v>
      </c>
      <c r="H14" s="34" t="s">
        <v>143</v>
      </c>
    </row>
    <row r="15" spans="1:9" x14ac:dyDescent="0.2">
      <c r="A15" s="35">
        <v>9</v>
      </c>
      <c r="B15" s="36" t="s">
        <v>46</v>
      </c>
      <c r="C15" s="36" t="s">
        <v>47</v>
      </c>
      <c r="D15" s="36" t="s">
        <v>33</v>
      </c>
      <c r="E15" s="37">
        <v>687940</v>
      </c>
      <c r="F15" s="38">
        <v>5643.5157900000004</v>
      </c>
      <c r="G15" s="39">
        <v>2.099324E-2</v>
      </c>
      <c r="H15" s="34" t="s">
        <v>143</v>
      </c>
    </row>
    <row r="16" spans="1:9" x14ac:dyDescent="0.2">
      <c r="A16" s="35">
        <v>10</v>
      </c>
      <c r="B16" s="36" t="s">
        <v>326</v>
      </c>
      <c r="C16" s="36" t="s">
        <v>327</v>
      </c>
      <c r="D16" s="36" t="s">
        <v>33</v>
      </c>
      <c r="E16" s="37">
        <v>228542</v>
      </c>
      <c r="F16" s="38">
        <v>4944.5061699999997</v>
      </c>
      <c r="G16" s="39">
        <v>1.8393E-2</v>
      </c>
      <c r="H16" s="34" t="s">
        <v>143</v>
      </c>
    </row>
    <row r="17" spans="1:8" x14ac:dyDescent="0.2">
      <c r="A17" s="35">
        <v>11</v>
      </c>
      <c r="B17" s="36" t="s">
        <v>429</v>
      </c>
      <c r="C17" s="36" t="s">
        <v>430</v>
      </c>
      <c r="D17" s="36" t="s">
        <v>198</v>
      </c>
      <c r="E17" s="37">
        <v>206714</v>
      </c>
      <c r="F17" s="38">
        <v>3573.2582040000002</v>
      </c>
      <c r="G17" s="39">
        <v>1.3292109999999999E-2</v>
      </c>
      <c r="H17" s="34" t="s">
        <v>143</v>
      </c>
    </row>
    <row r="18" spans="1:8" x14ac:dyDescent="0.2">
      <c r="A18" s="35">
        <v>12</v>
      </c>
      <c r="B18" s="36" t="s">
        <v>277</v>
      </c>
      <c r="C18" s="36" t="s">
        <v>278</v>
      </c>
      <c r="D18" s="36" t="s">
        <v>192</v>
      </c>
      <c r="E18" s="37">
        <v>503159</v>
      </c>
      <c r="F18" s="38">
        <v>3556.5793914999999</v>
      </c>
      <c r="G18" s="39">
        <v>1.323007E-2</v>
      </c>
      <c r="H18" s="34" t="s">
        <v>143</v>
      </c>
    </row>
    <row r="19" spans="1:8" x14ac:dyDescent="0.2">
      <c r="A19" s="35">
        <v>13</v>
      </c>
      <c r="B19" s="36" t="s">
        <v>332</v>
      </c>
      <c r="C19" s="36" t="s">
        <v>333</v>
      </c>
      <c r="D19" s="36" t="s">
        <v>192</v>
      </c>
      <c r="E19" s="37">
        <v>372080</v>
      </c>
      <c r="F19" s="38">
        <v>3484.5291999999999</v>
      </c>
      <c r="G19" s="39">
        <v>1.2962049999999999E-2</v>
      </c>
      <c r="H19" s="34" t="s">
        <v>143</v>
      </c>
    </row>
    <row r="20" spans="1:8" ht="25.5" x14ac:dyDescent="0.2">
      <c r="A20" s="35">
        <v>14</v>
      </c>
      <c r="B20" s="36" t="s">
        <v>23</v>
      </c>
      <c r="C20" s="36" t="s">
        <v>24</v>
      </c>
      <c r="D20" s="36" t="s">
        <v>25</v>
      </c>
      <c r="E20" s="37">
        <v>25132</v>
      </c>
      <c r="F20" s="38">
        <v>3039.2127599999999</v>
      </c>
      <c r="G20" s="39">
        <v>1.1305529999999999E-2</v>
      </c>
      <c r="H20" s="34" t="s">
        <v>143</v>
      </c>
    </row>
    <row r="21" spans="1:8" ht="25.5" x14ac:dyDescent="0.2">
      <c r="A21" s="35">
        <v>15</v>
      </c>
      <c r="B21" s="36" t="s">
        <v>183</v>
      </c>
      <c r="C21" s="36" t="s">
        <v>184</v>
      </c>
      <c r="D21" s="36" t="s">
        <v>185</v>
      </c>
      <c r="E21" s="37">
        <v>121207</v>
      </c>
      <c r="F21" s="38">
        <v>3036.4777640000002</v>
      </c>
      <c r="G21" s="39">
        <v>1.1295349999999999E-2</v>
      </c>
      <c r="H21" s="34" t="s">
        <v>143</v>
      </c>
    </row>
    <row r="22" spans="1:8" x14ac:dyDescent="0.2">
      <c r="A22" s="35">
        <v>16</v>
      </c>
      <c r="B22" s="36" t="s">
        <v>53</v>
      </c>
      <c r="C22" s="36" t="s">
        <v>54</v>
      </c>
      <c r="D22" s="36" t="s">
        <v>55</v>
      </c>
      <c r="E22" s="37">
        <v>44700</v>
      </c>
      <c r="F22" s="38">
        <v>3025.9665</v>
      </c>
      <c r="G22" s="39">
        <v>1.1256250000000001E-2</v>
      </c>
      <c r="H22" s="34" t="s">
        <v>143</v>
      </c>
    </row>
    <row r="23" spans="1:8" x14ac:dyDescent="0.2">
      <c r="A23" s="35">
        <v>17</v>
      </c>
      <c r="B23" s="36" t="s">
        <v>444</v>
      </c>
      <c r="C23" s="36" t="s">
        <v>445</v>
      </c>
      <c r="D23" s="36" t="s">
        <v>354</v>
      </c>
      <c r="E23" s="37">
        <v>126321</v>
      </c>
      <c r="F23" s="38">
        <v>2898.5616660000001</v>
      </c>
      <c r="G23" s="39">
        <v>1.078232E-2</v>
      </c>
      <c r="H23" s="34" t="s">
        <v>143</v>
      </c>
    </row>
    <row r="24" spans="1:8" x14ac:dyDescent="0.2">
      <c r="A24" s="35">
        <v>18</v>
      </c>
      <c r="B24" s="36" t="s">
        <v>62</v>
      </c>
      <c r="C24" s="36" t="s">
        <v>63</v>
      </c>
      <c r="D24" s="36" t="s">
        <v>13</v>
      </c>
      <c r="E24" s="37">
        <v>631594</v>
      </c>
      <c r="F24" s="38">
        <v>2659.6423340000001</v>
      </c>
      <c r="G24" s="39">
        <v>9.8935700000000008E-3</v>
      </c>
      <c r="H24" s="34" t="s">
        <v>143</v>
      </c>
    </row>
    <row r="25" spans="1:8" x14ac:dyDescent="0.2">
      <c r="A25" s="35">
        <v>19</v>
      </c>
      <c r="B25" s="36" t="s">
        <v>37</v>
      </c>
      <c r="C25" s="36" t="s">
        <v>38</v>
      </c>
      <c r="D25" s="36" t="s">
        <v>16</v>
      </c>
      <c r="E25" s="37">
        <v>734794</v>
      </c>
      <c r="F25" s="38">
        <v>2439.1486829999999</v>
      </c>
      <c r="G25" s="39">
        <v>9.0733600000000008E-3</v>
      </c>
      <c r="H25" s="34" t="s">
        <v>143</v>
      </c>
    </row>
    <row r="26" spans="1:8" ht="25.5" x14ac:dyDescent="0.2">
      <c r="A26" s="35">
        <v>20</v>
      </c>
      <c r="B26" s="36" t="s">
        <v>438</v>
      </c>
      <c r="C26" s="36" t="s">
        <v>439</v>
      </c>
      <c r="D26" s="36" t="s">
        <v>209</v>
      </c>
      <c r="E26" s="37">
        <v>221520</v>
      </c>
      <c r="F26" s="38">
        <v>2434.2832800000001</v>
      </c>
      <c r="G26" s="39">
        <v>9.0552600000000007E-3</v>
      </c>
      <c r="H26" s="34" t="s">
        <v>143</v>
      </c>
    </row>
    <row r="27" spans="1:8" x14ac:dyDescent="0.2">
      <c r="A27" s="35">
        <v>21</v>
      </c>
      <c r="B27" s="36" t="s">
        <v>503</v>
      </c>
      <c r="C27" s="36" t="s">
        <v>504</v>
      </c>
      <c r="D27" s="36" t="s">
        <v>251</v>
      </c>
      <c r="E27" s="37">
        <v>19600</v>
      </c>
      <c r="F27" s="38">
        <v>2430.4</v>
      </c>
      <c r="G27" s="39">
        <v>9.0408099999999998E-3</v>
      </c>
      <c r="H27" s="34" t="s">
        <v>143</v>
      </c>
    </row>
    <row r="28" spans="1:8" ht="25.5" x14ac:dyDescent="0.2">
      <c r="A28" s="35">
        <v>22</v>
      </c>
      <c r="B28" s="36" t="s">
        <v>342</v>
      </c>
      <c r="C28" s="36" t="s">
        <v>343</v>
      </c>
      <c r="D28" s="36" t="s">
        <v>25</v>
      </c>
      <c r="E28" s="37">
        <v>74000</v>
      </c>
      <c r="F28" s="38">
        <v>2104.9299999999998</v>
      </c>
      <c r="G28" s="39">
        <v>7.8300999999999996E-3</v>
      </c>
      <c r="H28" s="34" t="s">
        <v>143</v>
      </c>
    </row>
    <row r="29" spans="1:8" x14ac:dyDescent="0.2">
      <c r="A29" s="35">
        <v>23</v>
      </c>
      <c r="B29" s="36" t="s">
        <v>39</v>
      </c>
      <c r="C29" s="36" t="s">
        <v>40</v>
      </c>
      <c r="D29" s="36" t="s">
        <v>22</v>
      </c>
      <c r="E29" s="37">
        <v>519000</v>
      </c>
      <c r="F29" s="38">
        <v>2104.2855</v>
      </c>
      <c r="G29" s="39">
        <v>7.8276999999999999E-3</v>
      </c>
      <c r="H29" s="34" t="s">
        <v>143</v>
      </c>
    </row>
    <row r="30" spans="1:8" x14ac:dyDescent="0.2">
      <c r="A30" s="35">
        <v>24</v>
      </c>
      <c r="B30" s="36" t="s">
        <v>50</v>
      </c>
      <c r="C30" s="36" t="s">
        <v>51</v>
      </c>
      <c r="D30" s="36" t="s">
        <v>52</v>
      </c>
      <c r="E30" s="37">
        <v>34880</v>
      </c>
      <c r="F30" s="38">
        <v>2084.6032</v>
      </c>
      <c r="G30" s="39">
        <v>7.7544900000000002E-3</v>
      </c>
      <c r="H30" s="34" t="s">
        <v>143</v>
      </c>
    </row>
    <row r="31" spans="1:8" x14ac:dyDescent="0.2">
      <c r="A31" s="35">
        <v>25</v>
      </c>
      <c r="B31" s="36" t="s">
        <v>97</v>
      </c>
      <c r="C31" s="36" t="s">
        <v>98</v>
      </c>
      <c r="D31" s="36" t="s">
        <v>73</v>
      </c>
      <c r="E31" s="37">
        <v>60759</v>
      </c>
      <c r="F31" s="38">
        <v>2065.4414459999998</v>
      </c>
      <c r="G31" s="39">
        <v>7.6832100000000002E-3</v>
      </c>
      <c r="H31" s="34" t="s">
        <v>143</v>
      </c>
    </row>
    <row r="32" spans="1:8" x14ac:dyDescent="0.2">
      <c r="A32" s="35">
        <v>26</v>
      </c>
      <c r="B32" s="36" t="s">
        <v>684</v>
      </c>
      <c r="C32" s="36" t="s">
        <v>685</v>
      </c>
      <c r="D32" s="36" t="s">
        <v>55</v>
      </c>
      <c r="E32" s="37">
        <v>85780</v>
      </c>
      <c r="F32" s="38">
        <v>2008.1955800000001</v>
      </c>
      <c r="G32" s="39">
        <v>7.4702600000000003E-3</v>
      </c>
      <c r="H32" s="34" t="s">
        <v>143</v>
      </c>
    </row>
    <row r="33" spans="1:8" x14ac:dyDescent="0.2">
      <c r="A33" s="35">
        <v>27</v>
      </c>
      <c r="B33" s="36" t="s">
        <v>433</v>
      </c>
      <c r="C33" s="36" t="s">
        <v>434</v>
      </c>
      <c r="D33" s="36" t="s">
        <v>198</v>
      </c>
      <c r="E33" s="37">
        <v>56638</v>
      </c>
      <c r="F33" s="38">
        <v>1960.80756</v>
      </c>
      <c r="G33" s="39">
        <v>7.2939800000000003E-3</v>
      </c>
      <c r="H33" s="34" t="s">
        <v>143</v>
      </c>
    </row>
    <row r="34" spans="1:8" x14ac:dyDescent="0.2">
      <c r="A34" s="35">
        <v>28</v>
      </c>
      <c r="B34" s="36" t="s">
        <v>249</v>
      </c>
      <c r="C34" s="36" t="s">
        <v>250</v>
      </c>
      <c r="D34" s="36" t="s">
        <v>251</v>
      </c>
      <c r="E34" s="37">
        <v>66850</v>
      </c>
      <c r="F34" s="38">
        <v>1950.683</v>
      </c>
      <c r="G34" s="39">
        <v>7.2563200000000001E-3</v>
      </c>
      <c r="H34" s="34" t="s">
        <v>143</v>
      </c>
    </row>
    <row r="35" spans="1:8" x14ac:dyDescent="0.2">
      <c r="A35" s="35">
        <v>29</v>
      </c>
      <c r="B35" s="36" t="s">
        <v>513</v>
      </c>
      <c r="C35" s="36" t="s">
        <v>514</v>
      </c>
      <c r="D35" s="36" t="s">
        <v>198</v>
      </c>
      <c r="E35" s="37">
        <v>114325</v>
      </c>
      <c r="F35" s="38">
        <v>1928.66275</v>
      </c>
      <c r="G35" s="39">
        <v>7.17441E-3</v>
      </c>
      <c r="H35" s="34" t="s">
        <v>143</v>
      </c>
    </row>
    <row r="36" spans="1:8" x14ac:dyDescent="0.2">
      <c r="A36" s="35">
        <v>30</v>
      </c>
      <c r="B36" s="36" t="s">
        <v>505</v>
      </c>
      <c r="C36" s="36" t="s">
        <v>506</v>
      </c>
      <c r="D36" s="36" t="s">
        <v>192</v>
      </c>
      <c r="E36" s="37">
        <v>134200</v>
      </c>
      <c r="F36" s="38">
        <v>1849.9469999999999</v>
      </c>
      <c r="G36" s="39">
        <v>6.8815899999999999E-3</v>
      </c>
      <c r="H36" s="34" t="s">
        <v>143</v>
      </c>
    </row>
    <row r="37" spans="1:8" x14ac:dyDescent="0.2">
      <c r="A37" s="35">
        <v>31</v>
      </c>
      <c r="B37" s="36" t="s">
        <v>219</v>
      </c>
      <c r="C37" s="36" t="s">
        <v>220</v>
      </c>
      <c r="D37" s="36" t="s">
        <v>221</v>
      </c>
      <c r="E37" s="37">
        <v>260000</v>
      </c>
      <c r="F37" s="38">
        <v>1824.68</v>
      </c>
      <c r="G37" s="39">
        <v>6.7876000000000004E-3</v>
      </c>
      <c r="H37" s="34" t="s">
        <v>143</v>
      </c>
    </row>
    <row r="38" spans="1:8" x14ac:dyDescent="0.2">
      <c r="A38" s="35">
        <v>32</v>
      </c>
      <c r="B38" s="36" t="s">
        <v>26</v>
      </c>
      <c r="C38" s="36" t="s">
        <v>27</v>
      </c>
      <c r="D38" s="36" t="s">
        <v>28</v>
      </c>
      <c r="E38" s="37">
        <v>431750</v>
      </c>
      <c r="F38" s="38">
        <v>1819.8262500000001</v>
      </c>
      <c r="G38" s="39">
        <v>6.76955E-3</v>
      </c>
      <c r="H38" s="34" t="s">
        <v>143</v>
      </c>
    </row>
    <row r="39" spans="1:8" x14ac:dyDescent="0.2">
      <c r="A39" s="35">
        <v>33</v>
      </c>
      <c r="B39" s="36" t="s">
        <v>507</v>
      </c>
      <c r="C39" s="36" t="s">
        <v>508</v>
      </c>
      <c r="D39" s="36" t="s">
        <v>226</v>
      </c>
      <c r="E39" s="37">
        <v>125175</v>
      </c>
      <c r="F39" s="38">
        <v>1787.6241749999999</v>
      </c>
      <c r="G39" s="39">
        <v>6.6497600000000002E-3</v>
      </c>
      <c r="H39" s="34" t="s">
        <v>143</v>
      </c>
    </row>
    <row r="40" spans="1:8" x14ac:dyDescent="0.2">
      <c r="A40" s="35">
        <v>34</v>
      </c>
      <c r="B40" s="36" t="s">
        <v>519</v>
      </c>
      <c r="C40" s="36" t="s">
        <v>520</v>
      </c>
      <c r="D40" s="36" t="s">
        <v>192</v>
      </c>
      <c r="E40" s="37">
        <v>85595</v>
      </c>
      <c r="F40" s="38">
        <v>1759.8332</v>
      </c>
      <c r="G40" s="39">
        <v>6.5463800000000001E-3</v>
      </c>
      <c r="H40" s="34" t="s">
        <v>143</v>
      </c>
    </row>
    <row r="41" spans="1:8" ht="25.5" x14ac:dyDescent="0.2">
      <c r="A41" s="35">
        <v>35</v>
      </c>
      <c r="B41" s="36" t="s">
        <v>348</v>
      </c>
      <c r="C41" s="36" t="s">
        <v>349</v>
      </c>
      <c r="D41" s="36" t="s">
        <v>201</v>
      </c>
      <c r="E41" s="37">
        <v>103760</v>
      </c>
      <c r="F41" s="38">
        <v>1738.70632</v>
      </c>
      <c r="G41" s="39">
        <v>6.4677900000000002E-3</v>
      </c>
      <c r="H41" s="34" t="s">
        <v>143</v>
      </c>
    </row>
    <row r="42" spans="1:8" ht="25.5" x14ac:dyDescent="0.2">
      <c r="A42" s="35">
        <v>36</v>
      </c>
      <c r="B42" s="36" t="s">
        <v>261</v>
      </c>
      <c r="C42" s="36" t="s">
        <v>262</v>
      </c>
      <c r="D42" s="36" t="s">
        <v>201</v>
      </c>
      <c r="E42" s="37">
        <v>73350</v>
      </c>
      <c r="F42" s="38">
        <v>1701.5733</v>
      </c>
      <c r="G42" s="39">
        <v>6.32966E-3</v>
      </c>
      <c r="H42" s="34" t="s">
        <v>143</v>
      </c>
    </row>
    <row r="43" spans="1:8" x14ac:dyDescent="0.2">
      <c r="A43" s="35">
        <v>37</v>
      </c>
      <c r="B43" s="36" t="s">
        <v>271</v>
      </c>
      <c r="C43" s="36" t="s">
        <v>272</v>
      </c>
      <c r="D43" s="36" t="s">
        <v>43</v>
      </c>
      <c r="E43" s="37">
        <v>153000</v>
      </c>
      <c r="F43" s="38">
        <v>1689.579</v>
      </c>
      <c r="G43" s="39">
        <v>6.2850400000000004E-3</v>
      </c>
      <c r="H43" s="34" t="s">
        <v>143</v>
      </c>
    </row>
    <row r="44" spans="1:8" x14ac:dyDescent="0.2">
      <c r="A44" s="35">
        <v>38</v>
      </c>
      <c r="B44" s="36" t="s">
        <v>509</v>
      </c>
      <c r="C44" s="36" t="s">
        <v>510</v>
      </c>
      <c r="D44" s="36" t="s">
        <v>251</v>
      </c>
      <c r="E44" s="37">
        <v>39825</v>
      </c>
      <c r="F44" s="38">
        <v>1687.4250750000001</v>
      </c>
      <c r="G44" s="39">
        <v>6.2770300000000003E-3</v>
      </c>
      <c r="H44" s="34" t="s">
        <v>143</v>
      </c>
    </row>
    <row r="45" spans="1:8" ht="25.5" x14ac:dyDescent="0.2">
      <c r="A45" s="35">
        <v>39</v>
      </c>
      <c r="B45" s="36" t="s">
        <v>207</v>
      </c>
      <c r="C45" s="36" t="s">
        <v>208</v>
      </c>
      <c r="D45" s="36" t="s">
        <v>209</v>
      </c>
      <c r="E45" s="37">
        <v>224000</v>
      </c>
      <c r="F45" s="38">
        <v>1618.0640000000001</v>
      </c>
      <c r="G45" s="39">
        <v>6.01901E-3</v>
      </c>
      <c r="H45" s="34" t="s">
        <v>143</v>
      </c>
    </row>
    <row r="46" spans="1:8" x14ac:dyDescent="0.2">
      <c r="A46" s="35">
        <v>40</v>
      </c>
      <c r="B46" s="36" t="s">
        <v>511</v>
      </c>
      <c r="C46" s="36" t="s">
        <v>512</v>
      </c>
      <c r="D46" s="36" t="s">
        <v>251</v>
      </c>
      <c r="E46" s="37">
        <v>19050</v>
      </c>
      <c r="F46" s="38">
        <v>1595.6279999999999</v>
      </c>
      <c r="G46" s="39">
        <v>5.9355500000000004E-3</v>
      </c>
      <c r="H46" s="34" t="s">
        <v>143</v>
      </c>
    </row>
    <row r="47" spans="1:8" ht="25.5" x14ac:dyDescent="0.2">
      <c r="A47" s="35">
        <v>41</v>
      </c>
      <c r="B47" s="36" t="s">
        <v>281</v>
      </c>
      <c r="C47" s="36" t="s">
        <v>282</v>
      </c>
      <c r="D47" s="36" t="s">
        <v>201</v>
      </c>
      <c r="E47" s="37">
        <v>160000</v>
      </c>
      <c r="F47" s="38">
        <v>1583.92</v>
      </c>
      <c r="G47" s="39">
        <v>5.8919999999999997E-3</v>
      </c>
      <c r="H47" s="34" t="s">
        <v>143</v>
      </c>
    </row>
    <row r="48" spans="1:8" x14ac:dyDescent="0.2">
      <c r="A48" s="35">
        <v>42</v>
      </c>
      <c r="B48" s="36" t="s">
        <v>352</v>
      </c>
      <c r="C48" s="36" t="s">
        <v>353</v>
      </c>
      <c r="D48" s="36" t="s">
        <v>354</v>
      </c>
      <c r="E48" s="37">
        <v>378847</v>
      </c>
      <c r="F48" s="38">
        <v>1577.7083315</v>
      </c>
      <c r="G48" s="39">
        <v>5.8688999999999998E-3</v>
      </c>
      <c r="H48" s="34" t="s">
        <v>143</v>
      </c>
    </row>
    <row r="49" spans="1:8" x14ac:dyDescent="0.2">
      <c r="A49" s="35">
        <v>43</v>
      </c>
      <c r="B49" s="36" t="s">
        <v>204</v>
      </c>
      <c r="C49" s="36" t="s">
        <v>205</v>
      </c>
      <c r="D49" s="36" t="s">
        <v>206</v>
      </c>
      <c r="E49" s="37">
        <v>56210</v>
      </c>
      <c r="F49" s="38">
        <v>1557.07321</v>
      </c>
      <c r="G49" s="39">
        <v>5.7921400000000003E-3</v>
      </c>
      <c r="H49" s="34" t="s">
        <v>143</v>
      </c>
    </row>
    <row r="50" spans="1:8" x14ac:dyDescent="0.2">
      <c r="A50" s="35">
        <v>44</v>
      </c>
      <c r="B50" s="36" t="s">
        <v>431</v>
      </c>
      <c r="C50" s="36" t="s">
        <v>432</v>
      </c>
      <c r="D50" s="36" t="s">
        <v>256</v>
      </c>
      <c r="E50" s="37">
        <v>82246</v>
      </c>
      <c r="F50" s="38">
        <v>1511.928218</v>
      </c>
      <c r="G50" s="39">
        <v>5.6242000000000002E-3</v>
      </c>
      <c r="H50" s="34" t="s">
        <v>143</v>
      </c>
    </row>
    <row r="51" spans="1:8" x14ac:dyDescent="0.2">
      <c r="A51" s="35">
        <v>45</v>
      </c>
      <c r="B51" s="36" t="s">
        <v>193</v>
      </c>
      <c r="C51" s="36" t="s">
        <v>194</v>
      </c>
      <c r="D51" s="36" t="s">
        <v>195</v>
      </c>
      <c r="E51" s="37">
        <v>181000</v>
      </c>
      <c r="F51" s="38">
        <v>1438.0450000000001</v>
      </c>
      <c r="G51" s="39">
        <v>5.3493600000000001E-3</v>
      </c>
      <c r="H51" s="34" t="s">
        <v>143</v>
      </c>
    </row>
    <row r="52" spans="1:8" x14ac:dyDescent="0.2">
      <c r="A52" s="35">
        <v>46</v>
      </c>
      <c r="B52" s="36" t="s">
        <v>357</v>
      </c>
      <c r="C52" s="36" t="s">
        <v>358</v>
      </c>
      <c r="D52" s="36" t="s">
        <v>226</v>
      </c>
      <c r="E52" s="37">
        <v>299700</v>
      </c>
      <c r="F52" s="38">
        <v>1371.2773500000001</v>
      </c>
      <c r="G52" s="39">
        <v>5.1009999999999996E-3</v>
      </c>
      <c r="H52" s="34" t="s">
        <v>143</v>
      </c>
    </row>
    <row r="53" spans="1:8" ht="25.5" x14ac:dyDescent="0.2">
      <c r="A53" s="35">
        <v>47</v>
      </c>
      <c r="B53" s="36" t="s">
        <v>199</v>
      </c>
      <c r="C53" s="36" t="s">
        <v>200</v>
      </c>
      <c r="D53" s="36" t="s">
        <v>201</v>
      </c>
      <c r="E53" s="37">
        <v>68182</v>
      </c>
      <c r="F53" s="38">
        <v>1321.36716</v>
      </c>
      <c r="G53" s="39">
        <v>4.9153399999999998E-3</v>
      </c>
      <c r="H53" s="34" t="s">
        <v>143</v>
      </c>
    </row>
    <row r="54" spans="1:8" ht="25.5" x14ac:dyDescent="0.2">
      <c r="A54" s="35">
        <v>48</v>
      </c>
      <c r="B54" s="36" t="s">
        <v>101</v>
      </c>
      <c r="C54" s="36" t="s">
        <v>102</v>
      </c>
      <c r="D54" s="36" t="s">
        <v>25</v>
      </c>
      <c r="E54" s="37">
        <v>225677</v>
      </c>
      <c r="F54" s="38">
        <v>1303.1718364999999</v>
      </c>
      <c r="G54" s="39">
        <v>4.8476500000000002E-3</v>
      </c>
      <c r="H54" s="34" t="s">
        <v>143</v>
      </c>
    </row>
    <row r="55" spans="1:8" x14ac:dyDescent="0.2">
      <c r="A55" s="35">
        <v>49</v>
      </c>
      <c r="B55" s="36" t="s">
        <v>309</v>
      </c>
      <c r="C55" s="36" t="s">
        <v>310</v>
      </c>
      <c r="D55" s="36" t="s">
        <v>206</v>
      </c>
      <c r="E55" s="37">
        <v>27250</v>
      </c>
      <c r="F55" s="38">
        <v>1169.0795000000001</v>
      </c>
      <c r="G55" s="39">
        <v>4.3488399999999997E-3</v>
      </c>
      <c r="H55" s="34" t="s">
        <v>143</v>
      </c>
    </row>
    <row r="56" spans="1:8" x14ac:dyDescent="0.2">
      <c r="A56" s="35">
        <v>50</v>
      </c>
      <c r="B56" s="36" t="s">
        <v>515</v>
      </c>
      <c r="C56" s="36" t="s">
        <v>516</v>
      </c>
      <c r="D56" s="36" t="s">
        <v>43</v>
      </c>
      <c r="E56" s="37">
        <v>104000</v>
      </c>
      <c r="F56" s="38">
        <v>1003.288</v>
      </c>
      <c r="G56" s="39">
        <v>3.7321199999999998E-3</v>
      </c>
      <c r="H56" s="34" t="s">
        <v>143</v>
      </c>
    </row>
    <row r="57" spans="1:8" x14ac:dyDescent="0.2">
      <c r="A57" s="35">
        <v>51</v>
      </c>
      <c r="B57" s="36" t="s">
        <v>245</v>
      </c>
      <c r="C57" s="36" t="s">
        <v>246</v>
      </c>
      <c r="D57" s="36" t="s">
        <v>61</v>
      </c>
      <c r="E57" s="37">
        <v>59500</v>
      </c>
      <c r="F57" s="38">
        <v>986.15300000000002</v>
      </c>
      <c r="G57" s="39">
        <v>3.6683800000000002E-3</v>
      </c>
      <c r="H57" s="34" t="s">
        <v>143</v>
      </c>
    </row>
    <row r="58" spans="1:8" x14ac:dyDescent="0.2">
      <c r="A58" s="35">
        <v>52</v>
      </c>
      <c r="B58" s="36" t="s">
        <v>233</v>
      </c>
      <c r="C58" s="36" t="s">
        <v>234</v>
      </c>
      <c r="D58" s="36" t="s">
        <v>73</v>
      </c>
      <c r="E58" s="37">
        <v>13700</v>
      </c>
      <c r="F58" s="38">
        <v>897.48699999999997</v>
      </c>
      <c r="G58" s="39">
        <v>3.33855E-3</v>
      </c>
      <c r="H58" s="34" t="s">
        <v>143</v>
      </c>
    </row>
    <row r="59" spans="1:8" x14ac:dyDescent="0.2">
      <c r="A59" s="35">
        <v>53</v>
      </c>
      <c r="B59" s="36" t="s">
        <v>311</v>
      </c>
      <c r="C59" s="36" t="s">
        <v>312</v>
      </c>
      <c r="D59" s="36" t="s">
        <v>221</v>
      </c>
      <c r="E59" s="37">
        <v>109000</v>
      </c>
      <c r="F59" s="38">
        <v>828.72699999999998</v>
      </c>
      <c r="G59" s="39">
        <v>3.0827699999999999E-3</v>
      </c>
      <c r="H59" s="34" t="s">
        <v>143</v>
      </c>
    </row>
    <row r="60" spans="1:8" x14ac:dyDescent="0.2">
      <c r="A60" s="35">
        <v>54</v>
      </c>
      <c r="B60" s="36" t="s">
        <v>92</v>
      </c>
      <c r="C60" s="36" t="s">
        <v>93</v>
      </c>
      <c r="D60" s="36" t="s">
        <v>94</v>
      </c>
      <c r="E60" s="37">
        <v>416889</v>
      </c>
      <c r="F60" s="38">
        <v>795.5909676</v>
      </c>
      <c r="G60" s="39">
        <v>2.9595099999999998E-3</v>
      </c>
      <c r="H60" s="34" t="s">
        <v>143</v>
      </c>
    </row>
    <row r="61" spans="1:8" x14ac:dyDescent="0.2">
      <c r="A61" s="35">
        <v>55</v>
      </c>
      <c r="B61" s="36" t="s">
        <v>485</v>
      </c>
      <c r="C61" s="36" t="s">
        <v>486</v>
      </c>
      <c r="D61" s="36" t="s">
        <v>206</v>
      </c>
      <c r="E61" s="37">
        <v>27530</v>
      </c>
      <c r="F61" s="38">
        <v>745.84276</v>
      </c>
      <c r="G61" s="39">
        <v>2.7744499999999999E-3</v>
      </c>
      <c r="H61" s="34" t="s">
        <v>143</v>
      </c>
    </row>
    <row r="62" spans="1:8" x14ac:dyDescent="0.2">
      <c r="A62" s="35">
        <v>56</v>
      </c>
      <c r="B62" s="36" t="s">
        <v>305</v>
      </c>
      <c r="C62" s="36" t="s">
        <v>306</v>
      </c>
      <c r="D62" s="36" t="s">
        <v>195</v>
      </c>
      <c r="E62" s="37">
        <v>116975</v>
      </c>
      <c r="F62" s="38">
        <v>672.19683750000002</v>
      </c>
      <c r="G62" s="39">
        <v>2.5005000000000001E-3</v>
      </c>
      <c r="H62" s="34" t="s">
        <v>143</v>
      </c>
    </row>
    <row r="63" spans="1:8" x14ac:dyDescent="0.2">
      <c r="A63" s="35">
        <v>57</v>
      </c>
      <c r="B63" s="36" t="s">
        <v>202</v>
      </c>
      <c r="C63" s="36" t="s">
        <v>203</v>
      </c>
      <c r="D63" s="36" t="s">
        <v>16</v>
      </c>
      <c r="E63" s="37">
        <v>148556</v>
      </c>
      <c r="F63" s="38">
        <v>650.74955799999998</v>
      </c>
      <c r="G63" s="39">
        <v>2.42071E-3</v>
      </c>
      <c r="H63" s="34" t="s">
        <v>143</v>
      </c>
    </row>
    <row r="64" spans="1:8" ht="25.5" x14ac:dyDescent="0.2">
      <c r="A64" s="35">
        <v>58</v>
      </c>
      <c r="B64" s="36" t="s">
        <v>247</v>
      </c>
      <c r="C64" s="36" t="s">
        <v>248</v>
      </c>
      <c r="D64" s="36" t="s">
        <v>201</v>
      </c>
      <c r="E64" s="37">
        <v>8500</v>
      </c>
      <c r="F64" s="38">
        <v>419.815</v>
      </c>
      <c r="G64" s="39">
        <v>1.5616600000000001E-3</v>
      </c>
      <c r="H64" s="34" t="s">
        <v>143</v>
      </c>
    </row>
    <row r="65" spans="1:8" x14ac:dyDescent="0.2">
      <c r="A65" s="35">
        <v>59</v>
      </c>
      <c r="B65" s="36" t="s">
        <v>427</v>
      </c>
      <c r="C65" s="36" t="s">
        <v>428</v>
      </c>
      <c r="D65" s="36" t="s">
        <v>251</v>
      </c>
      <c r="E65" s="37">
        <v>56000</v>
      </c>
      <c r="F65" s="38">
        <v>385.28</v>
      </c>
      <c r="G65" s="39">
        <v>1.4331999999999999E-3</v>
      </c>
      <c r="H65" s="34" t="s">
        <v>143</v>
      </c>
    </row>
    <row r="66" spans="1:8" x14ac:dyDescent="0.2">
      <c r="A66" s="35">
        <v>60</v>
      </c>
      <c r="B66" s="36" t="s">
        <v>336</v>
      </c>
      <c r="C66" s="36" t="s">
        <v>337</v>
      </c>
      <c r="D66" s="36" t="s">
        <v>28</v>
      </c>
      <c r="E66" s="37">
        <v>5550</v>
      </c>
      <c r="F66" s="38">
        <v>270.27390000000003</v>
      </c>
      <c r="G66" s="39">
        <v>1.0053900000000001E-3</v>
      </c>
      <c r="H66" s="34" t="s">
        <v>143</v>
      </c>
    </row>
    <row r="67" spans="1:8" ht="25.5" x14ac:dyDescent="0.2">
      <c r="A67" s="35">
        <v>61</v>
      </c>
      <c r="B67" s="36" t="s">
        <v>631</v>
      </c>
      <c r="C67" s="36" t="s">
        <v>632</v>
      </c>
      <c r="D67" s="36" t="s">
        <v>633</v>
      </c>
      <c r="E67" s="37">
        <v>6900</v>
      </c>
      <c r="F67" s="38">
        <v>180.73859999999999</v>
      </c>
      <c r="G67" s="39">
        <v>6.7232999999999995E-4</v>
      </c>
      <c r="H67" s="34" t="s">
        <v>143</v>
      </c>
    </row>
    <row r="68" spans="1:8" x14ac:dyDescent="0.2">
      <c r="A68" s="35">
        <v>62</v>
      </c>
      <c r="B68" s="36" t="s">
        <v>773</v>
      </c>
      <c r="C68" s="36" t="s">
        <v>774</v>
      </c>
      <c r="D68" s="36" t="s">
        <v>251</v>
      </c>
      <c r="E68" s="37">
        <v>2275</v>
      </c>
      <c r="F68" s="38">
        <v>128.68537499999999</v>
      </c>
      <c r="G68" s="39">
        <v>4.7869999999999998E-4</v>
      </c>
      <c r="H68" s="34" t="s">
        <v>143</v>
      </c>
    </row>
    <row r="69" spans="1:8" x14ac:dyDescent="0.2">
      <c r="A69" s="35">
        <v>63</v>
      </c>
      <c r="B69" s="36" t="s">
        <v>68</v>
      </c>
      <c r="C69" s="36" t="s">
        <v>69</v>
      </c>
      <c r="D69" s="36" t="s">
        <v>70</v>
      </c>
      <c r="E69" s="37">
        <v>24750</v>
      </c>
      <c r="F69" s="38">
        <v>60.441974999999999</v>
      </c>
      <c r="G69" s="39">
        <v>2.2484E-4</v>
      </c>
      <c r="H69" s="34" t="s">
        <v>143</v>
      </c>
    </row>
    <row r="70" spans="1:8" x14ac:dyDescent="0.2">
      <c r="A70" s="35">
        <v>64</v>
      </c>
      <c r="B70" s="36" t="s">
        <v>359</v>
      </c>
      <c r="C70" s="36" t="s">
        <v>360</v>
      </c>
      <c r="D70" s="36" t="s">
        <v>55</v>
      </c>
      <c r="E70" s="37">
        <v>1400</v>
      </c>
      <c r="F70" s="38">
        <v>51.662799999999997</v>
      </c>
      <c r="G70" s="39">
        <v>1.9217999999999999E-4</v>
      </c>
      <c r="H70" s="34" t="s">
        <v>143</v>
      </c>
    </row>
    <row r="71" spans="1:8" x14ac:dyDescent="0.2">
      <c r="A71" s="35">
        <v>65</v>
      </c>
      <c r="B71" s="36" t="s">
        <v>634</v>
      </c>
      <c r="C71" s="36" t="s">
        <v>635</v>
      </c>
      <c r="D71" s="36" t="s">
        <v>33</v>
      </c>
      <c r="E71" s="37">
        <v>40000</v>
      </c>
      <c r="F71" s="38">
        <v>44.2</v>
      </c>
      <c r="G71" s="39">
        <v>1.6442E-4</v>
      </c>
      <c r="H71" s="34" t="s">
        <v>143</v>
      </c>
    </row>
    <row r="72" spans="1:8" x14ac:dyDescent="0.2">
      <c r="A72" s="35">
        <v>66</v>
      </c>
      <c r="B72" s="36" t="s">
        <v>415</v>
      </c>
      <c r="C72" s="36" t="s">
        <v>416</v>
      </c>
      <c r="D72" s="36" t="s">
        <v>136</v>
      </c>
      <c r="E72" s="37">
        <v>11000</v>
      </c>
      <c r="F72" s="38">
        <v>17.573599999999999</v>
      </c>
      <c r="G72" s="39">
        <v>6.5370000000000006E-5</v>
      </c>
      <c r="H72" s="34" t="s">
        <v>143</v>
      </c>
    </row>
    <row r="73" spans="1:8" ht="25.5" x14ac:dyDescent="0.2">
      <c r="A73" s="35">
        <v>67</v>
      </c>
      <c r="B73" s="36" t="s">
        <v>440</v>
      </c>
      <c r="C73" s="36" t="s">
        <v>441</v>
      </c>
      <c r="D73" s="36" t="s">
        <v>201</v>
      </c>
      <c r="E73" s="37">
        <v>750</v>
      </c>
      <c r="F73" s="38">
        <v>11.29425</v>
      </c>
      <c r="G73" s="40" t="s">
        <v>141</v>
      </c>
      <c r="H73" s="34" t="s">
        <v>143</v>
      </c>
    </row>
    <row r="74" spans="1:8" x14ac:dyDescent="0.2">
      <c r="A74" s="35">
        <v>68</v>
      </c>
      <c r="B74" s="36" t="s">
        <v>521</v>
      </c>
      <c r="C74" s="36" t="s">
        <v>522</v>
      </c>
      <c r="D74" s="36" t="s">
        <v>256</v>
      </c>
      <c r="E74" s="37">
        <v>1100</v>
      </c>
      <c r="F74" s="38">
        <v>8.9573</v>
      </c>
      <c r="G74" s="40" t="s">
        <v>141</v>
      </c>
      <c r="H74" s="34" t="s">
        <v>143</v>
      </c>
    </row>
    <row r="75" spans="1:8" x14ac:dyDescent="0.2">
      <c r="A75" s="41"/>
      <c r="B75" s="41"/>
      <c r="C75" s="42" t="s">
        <v>142</v>
      </c>
      <c r="D75" s="41"/>
      <c r="E75" s="41" t="s">
        <v>143</v>
      </c>
      <c r="F75" s="43">
        <v>177802.51025660001</v>
      </c>
      <c r="G75" s="44">
        <v>0.66140513999999995</v>
      </c>
      <c r="H75" s="34" t="s">
        <v>143</v>
      </c>
    </row>
    <row r="76" spans="1:8" x14ac:dyDescent="0.2">
      <c r="A76" s="41"/>
      <c r="B76" s="41"/>
      <c r="C76" s="45"/>
      <c r="D76" s="41"/>
      <c r="E76" s="41"/>
      <c r="F76" s="46"/>
      <c r="G76" s="46"/>
      <c r="H76" s="34" t="s">
        <v>143</v>
      </c>
    </row>
    <row r="77" spans="1:8" x14ac:dyDescent="0.2">
      <c r="A77" s="41"/>
      <c r="B77" s="41"/>
      <c r="C77" s="42" t="s">
        <v>144</v>
      </c>
      <c r="D77" s="41"/>
      <c r="E77" s="41"/>
      <c r="F77" s="41"/>
      <c r="G77" s="41"/>
      <c r="H77" s="34" t="s">
        <v>143</v>
      </c>
    </row>
    <row r="78" spans="1:8" x14ac:dyDescent="0.2">
      <c r="A78" s="41"/>
      <c r="B78" s="41"/>
      <c r="C78" s="42" t="s">
        <v>142</v>
      </c>
      <c r="D78" s="41"/>
      <c r="E78" s="41" t="s">
        <v>143</v>
      </c>
      <c r="F78" s="47" t="s">
        <v>145</v>
      </c>
      <c r="G78" s="44">
        <v>0</v>
      </c>
      <c r="H78" s="34" t="s">
        <v>143</v>
      </c>
    </row>
    <row r="79" spans="1:8" x14ac:dyDescent="0.2">
      <c r="A79" s="41"/>
      <c r="B79" s="41"/>
      <c r="C79" s="45"/>
      <c r="D79" s="41"/>
      <c r="E79" s="41"/>
      <c r="F79" s="46"/>
      <c r="G79" s="46"/>
      <c r="H79" s="34" t="s">
        <v>143</v>
      </c>
    </row>
    <row r="80" spans="1:8" x14ac:dyDescent="0.2">
      <c r="A80" s="41"/>
      <c r="B80" s="41"/>
      <c r="C80" s="42" t="s">
        <v>146</v>
      </c>
      <c r="D80" s="41"/>
      <c r="E80" s="41"/>
      <c r="F80" s="41"/>
      <c r="G80" s="41"/>
      <c r="H80" s="34" t="s">
        <v>143</v>
      </c>
    </row>
    <row r="81" spans="1:8" x14ac:dyDescent="0.2">
      <c r="A81" s="41"/>
      <c r="B81" s="41"/>
      <c r="C81" s="42" t="s">
        <v>142</v>
      </c>
      <c r="D81" s="41"/>
      <c r="E81" s="41" t="s">
        <v>143</v>
      </c>
      <c r="F81" s="47" t="s">
        <v>145</v>
      </c>
      <c r="G81" s="44">
        <v>0</v>
      </c>
      <c r="H81" s="34" t="s">
        <v>143</v>
      </c>
    </row>
    <row r="82" spans="1:8" x14ac:dyDescent="0.2">
      <c r="A82" s="41"/>
      <c r="B82" s="41"/>
      <c r="C82" s="45"/>
      <c r="D82" s="41"/>
      <c r="E82" s="41"/>
      <c r="F82" s="46"/>
      <c r="G82" s="46"/>
      <c r="H82" s="34" t="s">
        <v>143</v>
      </c>
    </row>
    <row r="83" spans="1:8" x14ac:dyDescent="0.2">
      <c r="A83" s="41"/>
      <c r="B83" s="41"/>
      <c r="C83" s="42" t="s">
        <v>147</v>
      </c>
      <c r="D83" s="41"/>
      <c r="E83" s="41"/>
      <c r="F83" s="41"/>
      <c r="G83" s="41"/>
      <c r="H83" s="34" t="s">
        <v>143</v>
      </c>
    </row>
    <row r="84" spans="1:8" x14ac:dyDescent="0.2">
      <c r="A84" s="41"/>
      <c r="B84" s="41"/>
      <c r="C84" s="42" t="s">
        <v>142</v>
      </c>
      <c r="D84" s="41"/>
      <c r="E84" s="41" t="s">
        <v>143</v>
      </c>
      <c r="F84" s="47" t="s">
        <v>145</v>
      </c>
      <c r="G84" s="44">
        <v>0</v>
      </c>
      <c r="H84" s="34" t="s">
        <v>143</v>
      </c>
    </row>
    <row r="85" spans="1:8" x14ac:dyDescent="0.2">
      <c r="A85" s="41"/>
      <c r="B85" s="41"/>
      <c r="C85" s="45"/>
      <c r="D85" s="41"/>
      <c r="E85" s="41"/>
      <c r="F85" s="46"/>
      <c r="G85" s="46"/>
      <c r="H85" s="34" t="s">
        <v>143</v>
      </c>
    </row>
    <row r="86" spans="1:8" x14ac:dyDescent="0.2">
      <c r="A86" s="41"/>
      <c r="B86" s="41"/>
      <c r="C86" s="42" t="s">
        <v>148</v>
      </c>
      <c r="D86" s="41"/>
      <c r="E86" s="41"/>
      <c r="F86" s="46"/>
      <c r="G86" s="46"/>
      <c r="H86" s="34" t="s">
        <v>143</v>
      </c>
    </row>
    <row r="87" spans="1:8" x14ac:dyDescent="0.2">
      <c r="A87" s="41"/>
      <c r="B87" s="41"/>
      <c r="C87" s="42" t="s">
        <v>142</v>
      </c>
      <c r="D87" s="41"/>
      <c r="E87" s="41" t="s">
        <v>143</v>
      </c>
      <c r="F87" s="47" t="s">
        <v>145</v>
      </c>
      <c r="G87" s="44">
        <v>0</v>
      </c>
      <c r="H87" s="34" t="s">
        <v>143</v>
      </c>
    </row>
    <row r="88" spans="1:8" x14ac:dyDescent="0.2">
      <c r="A88" s="41"/>
      <c r="B88" s="41"/>
      <c r="C88" s="45"/>
      <c r="D88" s="41"/>
      <c r="E88" s="41"/>
      <c r="F88" s="46"/>
      <c r="G88" s="46"/>
      <c r="H88" s="34" t="s">
        <v>143</v>
      </c>
    </row>
    <row r="89" spans="1:8" x14ac:dyDescent="0.2">
      <c r="A89" s="41"/>
      <c r="B89" s="41"/>
      <c r="C89" s="42" t="s">
        <v>149</v>
      </c>
      <c r="D89" s="41"/>
      <c r="E89" s="41"/>
      <c r="F89" s="46"/>
      <c r="G89" s="46"/>
      <c r="H89" s="34" t="s">
        <v>143</v>
      </c>
    </row>
    <row r="90" spans="1:8" x14ac:dyDescent="0.2">
      <c r="A90" s="35">
        <v>1</v>
      </c>
      <c r="B90" s="36"/>
      <c r="C90" s="36" t="s">
        <v>967</v>
      </c>
      <c r="D90" s="36" t="s">
        <v>530</v>
      </c>
      <c r="E90" s="37">
        <v>-1100</v>
      </c>
      <c r="F90" s="38">
        <v>-8.9831500000000002</v>
      </c>
      <c r="G90" s="39">
        <f>F90/$F$170</f>
        <v>-3.34162952781685E-5</v>
      </c>
      <c r="H90" s="34" t="s">
        <v>143</v>
      </c>
    </row>
    <row r="91" spans="1:8" x14ac:dyDescent="0.2">
      <c r="A91" s="35">
        <v>2</v>
      </c>
      <c r="B91" s="36"/>
      <c r="C91" s="36" t="s">
        <v>997</v>
      </c>
      <c r="D91" s="36" t="s">
        <v>530</v>
      </c>
      <c r="E91" s="37">
        <v>-750</v>
      </c>
      <c r="F91" s="38">
        <v>-11.337</v>
      </c>
      <c r="G91" s="39">
        <f t="shared" ref="G91:G110" si="0">F91/$F$170</f>
        <v>-4.2172349294912834E-5</v>
      </c>
      <c r="H91" s="34" t="s">
        <v>143</v>
      </c>
    </row>
    <row r="92" spans="1:8" x14ac:dyDescent="0.2">
      <c r="A92" s="35">
        <v>3</v>
      </c>
      <c r="B92" s="36"/>
      <c r="C92" s="36" t="s">
        <v>996</v>
      </c>
      <c r="D92" s="36" t="s">
        <v>530</v>
      </c>
      <c r="E92" s="37">
        <v>-11000</v>
      </c>
      <c r="F92" s="38">
        <v>-17.6693</v>
      </c>
      <c r="G92" s="39">
        <f t="shared" si="0"/>
        <v>-6.5727784369463114E-5</v>
      </c>
      <c r="H92" s="34" t="s">
        <v>143</v>
      </c>
    </row>
    <row r="93" spans="1:8" x14ac:dyDescent="0.2">
      <c r="A93" s="35">
        <v>4</v>
      </c>
      <c r="B93" s="36"/>
      <c r="C93" s="36" t="s">
        <v>995</v>
      </c>
      <c r="D93" s="36" t="s">
        <v>530</v>
      </c>
      <c r="E93" s="37">
        <v>-40000</v>
      </c>
      <c r="F93" s="38">
        <v>-44.44</v>
      </c>
      <c r="G93" s="39">
        <f t="shared" si="0"/>
        <v>-1.6531174055446117E-4</v>
      </c>
      <c r="H93" s="34" t="s">
        <v>143</v>
      </c>
    </row>
    <row r="94" spans="1:8" x14ac:dyDescent="0.2">
      <c r="A94" s="35">
        <v>5</v>
      </c>
      <c r="B94" s="36"/>
      <c r="C94" s="36" t="s">
        <v>1016</v>
      </c>
      <c r="D94" s="36" t="s">
        <v>530</v>
      </c>
      <c r="E94" s="37">
        <v>-1400</v>
      </c>
      <c r="F94" s="38">
        <v>-51.696399999999997</v>
      </c>
      <c r="G94" s="39">
        <f t="shared" si="0"/>
        <v>-1.9230472242123418E-4</v>
      </c>
      <c r="H94" s="34" t="s">
        <v>143</v>
      </c>
    </row>
    <row r="95" spans="1:8" x14ac:dyDescent="0.2">
      <c r="A95" s="35">
        <v>6</v>
      </c>
      <c r="B95" s="36"/>
      <c r="C95" s="36" t="s">
        <v>1040</v>
      </c>
      <c r="D95" s="36" t="s">
        <v>530</v>
      </c>
      <c r="E95" s="37">
        <v>-24750</v>
      </c>
      <c r="F95" s="38">
        <v>-60.437024999999998</v>
      </c>
      <c r="G95" s="39">
        <f t="shared" si="0"/>
        <v>-2.2481885231060946E-4</v>
      </c>
      <c r="H95" s="34" t="s">
        <v>143</v>
      </c>
    </row>
    <row r="96" spans="1:8" x14ac:dyDescent="0.2">
      <c r="A96" s="35">
        <v>7</v>
      </c>
      <c r="B96" s="36"/>
      <c r="C96" s="36" t="s">
        <v>1041</v>
      </c>
      <c r="D96" s="36" t="s">
        <v>530</v>
      </c>
      <c r="E96" s="37">
        <v>-2275</v>
      </c>
      <c r="F96" s="38">
        <v>-128.89012500000001</v>
      </c>
      <c r="G96" s="39">
        <f t="shared" si="0"/>
        <v>-4.7945659099982163E-4</v>
      </c>
      <c r="H96" s="34" t="s">
        <v>143</v>
      </c>
    </row>
    <row r="97" spans="1:8" x14ac:dyDescent="0.2">
      <c r="A97" s="35">
        <v>8</v>
      </c>
      <c r="B97" s="36"/>
      <c r="C97" s="36" t="s">
        <v>1005</v>
      </c>
      <c r="D97" s="36" t="s">
        <v>530</v>
      </c>
      <c r="E97" s="37">
        <v>-6900</v>
      </c>
      <c r="F97" s="38">
        <v>-181.5873</v>
      </c>
      <c r="G97" s="39">
        <f t="shared" si="0"/>
        <v>-6.7548408248391332E-4</v>
      </c>
      <c r="H97" s="34" t="s">
        <v>143</v>
      </c>
    </row>
    <row r="98" spans="1:8" x14ac:dyDescent="0.2">
      <c r="A98" s="35">
        <v>9</v>
      </c>
      <c r="B98" s="36"/>
      <c r="C98" s="36" t="s">
        <v>973</v>
      </c>
      <c r="D98" s="36" t="s">
        <v>530</v>
      </c>
      <c r="E98" s="37">
        <v>-6500</v>
      </c>
      <c r="F98" s="38">
        <v>-186.095</v>
      </c>
      <c r="G98" s="39">
        <f t="shared" si="0"/>
        <v>-6.9225221328718389E-4</v>
      </c>
      <c r="H98" s="34" t="s">
        <v>143</v>
      </c>
    </row>
    <row r="99" spans="1:8" x14ac:dyDescent="0.2">
      <c r="A99" s="35">
        <v>10</v>
      </c>
      <c r="B99" s="36"/>
      <c r="C99" s="36" t="s">
        <v>960</v>
      </c>
      <c r="D99" s="36" t="s">
        <v>530</v>
      </c>
      <c r="E99" s="37">
        <v>-5550</v>
      </c>
      <c r="F99" s="38">
        <v>-271.96109999999999</v>
      </c>
      <c r="G99" s="39">
        <f t="shared" si="0"/>
        <v>-1.0116643295253348E-3</v>
      </c>
      <c r="H99" s="34" t="s">
        <v>143</v>
      </c>
    </row>
    <row r="100" spans="1:8" x14ac:dyDescent="0.2">
      <c r="A100" s="35">
        <v>11</v>
      </c>
      <c r="B100" s="36"/>
      <c r="C100" s="36" t="s">
        <v>1000</v>
      </c>
      <c r="D100" s="36" t="s">
        <v>530</v>
      </c>
      <c r="E100" s="37">
        <v>-56000</v>
      </c>
      <c r="F100" s="38">
        <v>-387.66</v>
      </c>
      <c r="G100" s="39">
        <f t="shared" si="0"/>
        <v>-1.4420510653317378E-3</v>
      </c>
      <c r="H100" s="34" t="s">
        <v>143</v>
      </c>
    </row>
    <row r="101" spans="1:8" x14ac:dyDescent="0.2">
      <c r="A101" s="35">
        <v>12</v>
      </c>
      <c r="B101" s="36"/>
      <c r="C101" s="36" t="s">
        <v>1042</v>
      </c>
      <c r="D101" s="36" t="s">
        <v>530</v>
      </c>
      <c r="E101" s="37">
        <v>-8500</v>
      </c>
      <c r="F101" s="38">
        <v>-421.98250000000002</v>
      </c>
      <c r="G101" s="39">
        <f t="shared" si="0"/>
        <v>-1.5697268577525409E-3</v>
      </c>
      <c r="H101" s="34" t="s">
        <v>143</v>
      </c>
    </row>
    <row r="102" spans="1:8" x14ac:dyDescent="0.2">
      <c r="A102" s="35">
        <v>13</v>
      </c>
      <c r="B102" s="36"/>
      <c r="C102" s="36" t="s">
        <v>1043</v>
      </c>
      <c r="D102" s="36" t="s">
        <v>530</v>
      </c>
      <c r="E102" s="37">
        <v>-27000</v>
      </c>
      <c r="F102" s="38">
        <v>-457.11</v>
      </c>
      <c r="G102" s="39">
        <f t="shared" si="0"/>
        <v>-1.700397158524972E-3</v>
      </c>
      <c r="H102" s="34" t="s">
        <v>143</v>
      </c>
    </row>
    <row r="103" spans="1:8" x14ac:dyDescent="0.2">
      <c r="A103" s="35">
        <v>14</v>
      </c>
      <c r="B103" s="36"/>
      <c r="C103" s="36" t="s">
        <v>1044</v>
      </c>
      <c r="D103" s="36" t="s">
        <v>530</v>
      </c>
      <c r="E103" s="37">
        <v>-143775</v>
      </c>
      <c r="F103" s="38">
        <v>-633.68831250000005</v>
      </c>
      <c r="G103" s="39">
        <f t="shared" si="0"/>
        <v>-2.35724837777665E-3</v>
      </c>
      <c r="H103" s="34" t="s">
        <v>143</v>
      </c>
    </row>
    <row r="104" spans="1:8" x14ac:dyDescent="0.2">
      <c r="A104" s="35">
        <v>15</v>
      </c>
      <c r="B104" s="36"/>
      <c r="C104" s="36" t="s">
        <v>1045</v>
      </c>
      <c r="D104" s="36" t="s">
        <v>530</v>
      </c>
      <c r="E104" s="37">
        <v>-8650</v>
      </c>
      <c r="F104" s="38">
        <v>-1047.6880000000001</v>
      </c>
      <c r="G104" s="39">
        <f t="shared" si="0"/>
        <v>-3.8972800818636894E-3</v>
      </c>
      <c r="H104" s="34" t="s">
        <v>143</v>
      </c>
    </row>
    <row r="105" spans="1:8" x14ac:dyDescent="0.2">
      <c r="A105" s="35">
        <v>16</v>
      </c>
      <c r="B105" s="36"/>
      <c r="C105" s="36" t="s">
        <v>978</v>
      </c>
      <c r="D105" s="36" t="s">
        <v>530</v>
      </c>
      <c r="E105" s="37">
        <v>-83125</v>
      </c>
      <c r="F105" s="38">
        <v>-1667.4875</v>
      </c>
      <c r="G105" s="39">
        <f t="shared" si="0"/>
        <v>-6.2028636583664962E-3</v>
      </c>
      <c r="H105" s="34" t="s">
        <v>143</v>
      </c>
    </row>
    <row r="106" spans="1:8" x14ac:dyDescent="0.2">
      <c r="A106" s="35">
        <v>17</v>
      </c>
      <c r="B106" s="36"/>
      <c r="C106" s="36" t="s">
        <v>1026</v>
      </c>
      <c r="D106" s="36" t="s">
        <v>530</v>
      </c>
      <c r="E106" s="37">
        <v>-66850</v>
      </c>
      <c r="F106" s="38">
        <v>-1952.4211</v>
      </c>
      <c r="G106" s="39">
        <f t="shared" si="0"/>
        <v>-7.2627842109868525E-3</v>
      </c>
      <c r="H106" s="34" t="s">
        <v>143</v>
      </c>
    </row>
    <row r="107" spans="1:8" x14ac:dyDescent="0.2">
      <c r="A107" s="35">
        <v>18</v>
      </c>
      <c r="B107" s="36"/>
      <c r="C107" s="36" t="s">
        <v>1007</v>
      </c>
      <c r="D107" s="36" t="s">
        <v>530</v>
      </c>
      <c r="E107" s="37">
        <v>-201875</v>
      </c>
      <c r="F107" s="38">
        <v>-2434.006875</v>
      </c>
      <c r="G107" s="39">
        <f t="shared" si="0"/>
        <v>-9.0542284659715314E-3</v>
      </c>
      <c r="H107" s="34" t="s">
        <v>143</v>
      </c>
    </row>
    <row r="108" spans="1:8" x14ac:dyDescent="0.2">
      <c r="A108" s="35">
        <v>19</v>
      </c>
      <c r="B108" s="36"/>
      <c r="C108" s="36" t="s">
        <v>969</v>
      </c>
      <c r="D108" s="36" t="s">
        <v>530</v>
      </c>
      <c r="E108" s="37">
        <v>-71575</v>
      </c>
      <c r="F108" s="38">
        <v>-2640.902775</v>
      </c>
      <c r="G108" s="39">
        <f t="shared" si="0"/>
        <v>-9.8238576590989335E-3</v>
      </c>
      <c r="H108" s="34" t="s">
        <v>143</v>
      </c>
    </row>
    <row r="109" spans="1:8" x14ac:dyDescent="0.2">
      <c r="A109" s="35">
        <v>20</v>
      </c>
      <c r="B109" s="36"/>
      <c r="C109" s="36" t="s">
        <v>965</v>
      </c>
      <c r="D109" s="36" t="s">
        <v>530</v>
      </c>
      <c r="E109" s="37">
        <v>-122600</v>
      </c>
      <c r="F109" s="38">
        <v>-3890.5884000000001</v>
      </c>
      <c r="G109" s="39">
        <f t="shared" si="0"/>
        <v>-1.4472545908753291E-2</v>
      </c>
      <c r="H109" s="34" t="s">
        <v>143</v>
      </c>
    </row>
    <row r="110" spans="1:8" x14ac:dyDescent="0.2">
      <c r="A110" s="35">
        <v>21</v>
      </c>
      <c r="B110" s="36"/>
      <c r="C110" s="36" t="s">
        <v>979</v>
      </c>
      <c r="D110" s="36" t="s">
        <v>530</v>
      </c>
      <c r="E110" s="37">
        <v>-246800</v>
      </c>
      <c r="F110" s="38">
        <v>-3970.2716</v>
      </c>
      <c r="G110" s="39">
        <f t="shared" si="0"/>
        <v>-1.4768958340907865E-2</v>
      </c>
      <c r="H110" s="34" t="s">
        <v>143</v>
      </c>
    </row>
    <row r="111" spans="1:8" x14ac:dyDescent="0.2">
      <c r="A111" s="41"/>
      <c r="B111" s="41"/>
      <c r="C111" s="42" t="s">
        <v>142</v>
      </c>
      <c r="D111" s="41"/>
      <c r="E111" s="41" t="s">
        <v>143</v>
      </c>
      <c r="F111" s="43">
        <f>SUM(F90:F110)</f>
        <v>-20466.903462499999</v>
      </c>
      <c r="G111" s="44">
        <f>SUM(G90:G110)</f>
        <v>-7.6134550745859661E-2</v>
      </c>
      <c r="H111" s="34" t="s">
        <v>143</v>
      </c>
    </row>
    <row r="112" spans="1:8" x14ac:dyDescent="0.2">
      <c r="A112" s="41"/>
      <c r="B112" s="41"/>
      <c r="C112" s="45"/>
      <c r="D112" s="41"/>
      <c r="E112" s="41"/>
      <c r="F112" s="46"/>
      <c r="G112" s="46"/>
      <c r="H112" s="34" t="s">
        <v>143</v>
      </c>
    </row>
    <row r="113" spans="1:8" x14ac:dyDescent="0.2">
      <c r="A113" s="41"/>
      <c r="B113" s="41"/>
      <c r="C113" s="42" t="s">
        <v>150</v>
      </c>
      <c r="D113" s="41"/>
      <c r="E113" s="41"/>
      <c r="F113" s="43">
        <f>F75</f>
        <v>177802.51025660001</v>
      </c>
      <c r="G113" s="44">
        <f>G75</f>
        <v>0.66140513999999995</v>
      </c>
      <c r="H113" s="34" t="s">
        <v>143</v>
      </c>
    </row>
    <row r="114" spans="1:8" x14ac:dyDescent="0.2">
      <c r="A114" s="41"/>
      <c r="B114" s="41"/>
      <c r="C114" s="45"/>
      <c r="D114" s="41"/>
      <c r="E114" s="41"/>
      <c r="F114" s="46"/>
      <c r="G114" s="46"/>
      <c r="H114" s="34" t="s">
        <v>143</v>
      </c>
    </row>
    <row r="115" spans="1:8" x14ac:dyDescent="0.2">
      <c r="A115" s="41"/>
      <c r="B115" s="41"/>
      <c r="C115" s="42" t="s">
        <v>151</v>
      </c>
      <c r="D115" s="41"/>
      <c r="E115" s="41"/>
      <c r="F115" s="46"/>
      <c r="G115" s="46"/>
      <c r="H115" s="34" t="s">
        <v>143</v>
      </c>
    </row>
    <row r="116" spans="1:8" x14ac:dyDescent="0.2">
      <c r="A116" s="41"/>
      <c r="B116" s="41"/>
      <c r="C116" s="42" t="s">
        <v>10</v>
      </c>
      <c r="D116" s="41"/>
      <c r="E116" s="41"/>
      <c r="F116" s="46"/>
      <c r="G116" s="46"/>
      <c r="H116" s="34" t="s">
        <v>143</v>
      </c>
    </row>
    <row r="117" spans="1:8" x14ac:dyDescent="0.2">
      <c r="A117" s="41"/>
      <c r="B117" s="41"/>
      <c r="C117" s="42" t="s">
        <v>142</v>
      </c>
      <c r="D117" s="41"/>
      <c r="E117" s="41" t="s">
        <v>143</v>
      </c>
      <c r="F117" s="47" t="s">
        <v>145</v>
      </c>
      <c r="G117" s="44">
        <v>0</v>
      </c>
      <c r="H117" s="34" t="s">
        <v>143</v>
      </c>
    </row>
    <row r="118" spans="1:8" x14ac:dyDescent="0.2">
      <c r="A118" s="41"/>
      <c r="B118" s="41"/>
      <c r="C118" s="45"/>
      <c r="D118" s="41"/>
      <c r="E118" s="41"/>
      <c r="F118" s="46"/>
      <c r="G118" s="46"/>
      <c r="H118" s="34" t="s">
        <v>143</v>
      </c>
    </row>
    <row r="119" spans="1:8" x14ac:dyDescent="0.2">
      <c r="A119" s="41"/>
      <c r="B119" s="41"/>
      <c r="C119" s="42" t="s">
        <v>152</v>
      </c>
      <c r="D119" s="41"/>
      <c r="E119" s="41"/>
      <c r="F119" s="41"/>
      <c r="G119" s="41"/>
      <c r="H119" s="34" t="s">
        <v>143</v>
      </c>
    </row>
    <row r="120" spans="1:8" x14ac:dyDescent="0.2">
      <c r="A120" s="41"/>
      <c r="B120" s="41"/>
      <c r="C120" s="42" t="s">
        <v>142</v>
      </c>
      <c r="D120" s="41"/>
      <c r="E120" s="41" t="s">
        <v>143</v>
      </c>
      <c r="F120" s="47" t="s">
        <v>145</v>
      </c>
      <c r="G120" s="44">
        <v>0</v>
      </c>
      <c r="H120" s="34" t="s">
        <v>143</v>
      </c>
    </row>
    <row r="121" spans="1:8" x14ac:dyDescent="0.2">
      <c r="A121" s="41"/>
      <c r="B121" s="41"/>
      <c r="C121" s="45"/>
      <c r="D121" s="41"/>
      <c r="E121" s="41"/>
      <c r="F121" s="46"/>
      <c r="G121" s="46"/>
      <c r="H121" s="34" t="s">
        <v>143</v>
      </c>
    </row>
    <row r="122" spans="1:8" x14ac:dyDescent="0.2">
      <c r="A122" s="41"/>
      <c r="B122" s="41"/>
      <c r="C122" s="42" t="s">
        <v>153</v>
      </c>
      <c r="D122" s="41"/>
      <c r="E122" s="41"/>
      <c r="F122" s="41"/>
      <c r="G122" s="41"/>
      <c r="H122" s="34" t="s">
        <v>143</v>
      </c>
    </row>
    <row r="123" spans="1:8" ht="25.5" x14ac:dyDescent="0.2">
      <c r="A123" s="35">
        <v>1</v>
      </c>
      <c r="B123" s="36" t="s">
        <v>648</v>
      </c>
      <c r="C123" s="36" t="s">
        <v>1091</v>
      </c>
      <c r="D123" s="36" t="s">
        <v>610</v>
      </c>
      <c r="E123" s="37">
        <v>10500000</v>
      </c>
      <c r="F123" s="38">
        <v>10810.8</v>
      </c>
      <c r="G123" s="39">
        <v>4.0214949999999999E-2</v>
      </c>
      <c r="H123" s="34">
        <v>5.85</v>
      </c>
    </row>
    <row r="124" spans="1:8" ht="25.5" x14ac:dyDescent="0.2">
      <c r="A124" s="35">
        <v>2</v>
      </c>
      <c r="B124" s="36" t="s">
        <v>705</v>
      </c>
      <c r="C124" s="36" t="s">
        <v>1099</v>
      </c>
      <c r="D124" s="36" t="s">
        <v>610</v>
      </c>
      <c r="E124" s="37">
        <v>5000000</v>
      </c>
      <c r="F124" s="38">
        <v>5178.8999999999996</v>
      </c>
      <c r="G124" s="39">
        <v>1.9264920000000001E-2</v>
      </c>
      <c r="H124" s="34">
        <v>6.0907</v>
      </c>
    </row>
    <row r="125" spans="1:8" ht="25.5" x14ac:dyDescent="0.2">
      <c r="A125" s="35">
        <v>3</v>
      </c>
      <c r="B125" s="36" t="s">
        <v>608</v>
      </c>
      <c r="C125" s="36" t="s">
        <v>609</v>
      </c>
      <c r="D125" s="36" t="s">
        <v>610</v>
      </c>
      <c r="E125" s="37">
        <v>4500000</v>
      </c>
      <c r="F125" s="38">
        <v>4704.4080000000004</v>
      </c>
      <c r="G125" s="39">
        <v>1.7499859999999999E-2</v>
      </c>
      <c r="H125" s="34">
        <v>6.5155000000000003</v>
      </c>
    </row>
    <row r="126" spans="1:8" x14ac:dyDescent="0.2">
      <c r="A126" s="35">
        <v>4</v>
      </c>
      <c r="B126" s="36" t="s">
        <v>660</v>
      </c>
      <c r="C126" s="36" t="s">
        <v>1095</v>
      </c>
      <c r="D126" s="36" t="s">
        <v>610</v>
      </c>
      <c r="E126" s="37">
        <v>3000000</v>
      </c>
      <c r="F126" s="38">
        <v>3161.0039999999999</v>
      </c>
      <c r="G126" s="39">
        <v>1.1758579999999999E-2</v>
      </c>
      <c r="H126" s="34">
        <v>6.2229000000000001</v>
      </c>
    </row>
    <row r="127" spans="1:8" ht="25.5" x14ac:dyDescent="0.2">
      <c r="A127" s="35">
        <v>5</v>
      </c>
      <c r="B127" s="36" t="s">
        <v>834</v>
      </c>
      <c r="C127" s="36" t="s">
        <v>835</v>
      </c>
      <c r="D127" s="36" t="s">
        <v>610</v>
      </c>
      <c r="E127" s="37">
        <v>2000000</v>
      </c>
      <c r="F127" s="38">
        <v>2057.558</v>
      </c>
      <c r="G127" s="39">
        <v>7.6538800000000001E-3</v>
      </c>
      <c r="H127" s="34">
        <v>6.0971000000000002</v>
      </c>
    </row>
    <row r="128" spans="1:8" x14ac:dyDescent="0.2">
      <c r="A128" s="35">
        <v>6</v>
      </c>
      <c r="B128" s="36" t="s">
        <v>703</v>
      </c>
      <c r="C128" s="36" t="s">
        <v>704</v>
      </c>
      <c r="D128" s="36" t="s">
        <v>610</v>
      </c>
      <c r="E128" s="37">
        <v>500000</v>
      </c>
      <c r="F128" s="38">
        <v>521.40099999999995</v>
      </c>
      <c r="G128" s="39">
        <v>1.93955E-3</v>
      </c>
      <c r="H128" s="34">
        <v>6.0109000000000004</v>
      </c>
    </row>
    <row r="129" spans="1:8" x14ac:dyDescent="0.2">
      <c r="A129" s="41"/>
      <c r="B129" s="41"/>
      <c r="C129" s="42" t="s">
        <v>142</v>
      </c>
      <c r="D129" s="41"/>
      <c r="E129" s="41" t="s">
        <v>143</v>
      </c>
      <c r="F129" s="43">
        <v>26434.071</v>
      </c>
      <c r="G129" s="44">
        <v>9.8331740000000001E-2</v>
      </c>
      <c r="H129" s="34" t="s">
        <v>143</v>
      </c>
    </row>
    <row r="130" spans="1:8" x14ac:dyDescent="0.2">
      <c r="A130" s="41"/>
      <c r="B130" s="41"/>
      <c r="C130" s="45"/>
      <c r="D130" s="41"/>
      <c r="E130" s="41"/>
      <c r="F130" s="46"/>
      <c r="G130" s="46"/>
      <c r="H130" s="34" t="s">
        <v>143</v>
      </c>
    </row>
    <row r="131" spans="1:8" x14ac:dyDescent="0.2">
      <c r="A131" s="41"/>
      <c r="B131" s="41"/>
      <c r="C131" s="42" t="s">
        <v>154</v>
      </c>
      <c r="D131" s="41"/>
      <c r="E131" s="41"/>
      <c r="F131" s="46"/>
      <c r="G131" s="46"/>
      <c r="H131" s="34" t="s">
        <v>143</v>
      </c>
    </row>
    <row r="132" spans="1:8" x14ac:dyDescent="0.2">
      <c r="A132" s="41"/>
      <c r="B132" s="41"/>
      <c r="C132" s="42" t="s">
        <v>142</v>
      </c>
      <c r="D132" s="41"/>
      <c r="E132" s="41" t="s">
        <v>143</v>
      </c>
      <c r="F132" s="47" t="s">
        <v>145</v>
      </c>
      <c r="G132" s="44">
        <v>0</v>
      </c>
      <c r="H132" s="34" t="s">
        <v>143</v>
      </c>
    </row>
    <row r="133" spans="1:8" x14ac:dyDescent="0.2">
      <c r="A133" s="41"/>
      <c r="B133" s="41"/>
      <c r="C133" s="45"/>
      <c r="D133" s="41"/>
      <c r="E133" s="41"/>
      <c r="F133" s="46"/>
      <c r="G133" s="46"/>
      <c r="H133" s="34" t="s">
        <v>143</v>
      </c>
    </row>
    <row r="134" spans="1:8" x14ac:dyDescent="0.2">
      <c r="A134" s="41"/>
      <c r="B134" s="41"/>
      <c r="C134" s="42" t="s">
        <v>155</v>
      </c>
      <c r="D134" s="41"/>
      <c r="E134" s="41"/>
      <c r="F134" s="43">
        <v>26434.071</v>
      </c>
      <c r="G134" s="44">
        <v>9.8331740000000001E-2</v>
      </c>
      <c r="H134" s="34" t="s">
        <v>143</v>
      </c>
    </row>
    <row r="135" spans="1:8" x14ac:dyDescent="0.2">
      <c r="A135" s="41"/>
      <c r="B135" s="41"/>
      <c r="C135" s="45"/>
      <c r="D135" s="41"/>
      <c r="E135" s="41"/>
      <c r="F135" s="46"/>
      <c r="G135" s="46"/>
      <c r="H135" s="34" t="s">
        <v>143</v>
      </c>
    </row>
    <row r="136" spans="1:8" x14ac:dyDescent="0.2">
      <c r="A136" s="41"/>
      <c r="B136" s="41"/>
      <c r="C136" s="42" t="s">
        <v>156</v>
      </c>
      <c r="D136" s="41"/>
      <c r="E136" s="41"/>
      <c r="F136" s="46"/>
      <c r="G136" s="46"/>
      <c r="H136" s="34" t="s">
        <v>143</v>
      </c>
    </row>
    <row r="137" spans="1:8" x14ac:dyDescent="0.2">
      <c r="A137" s="41"/>
      <c r="B137" s="41"/>
      <c r="C137" s="42" t="s">
        <v>157</v>
      </c>
      <c r="D137" s="41"/>
      <c r="E137" s="41"/>
      <c r="F137" s="46"/>
      <c r="G137" s="46"/>
      <c r="H137" s="34" t="s">
        <v>143</v>
      </c>
    </row>
    <row r="138" spans="1:8" x14ac:dyDescent="0.2">
      <c r="A138" s="41"/>
      <c r="B138" s="41"/>
      <c r="C138" s="42" t="s">
        <v>142</v>
      </c>
      <c r="D138" s="41"/>
      <c r="E138" s="41" t="s">
        <v>143</v>
      </c>
      <c r="F138" s="47" t="s">
        <v>145</v>
      </c>
      <c r="G138" s="44">
        <v>0</v>
      </c>
      <c r="H138" s="34" t="s">
        <v>143</v>
      </c>
    </row>
    <row r="139" spans="1:8" x14ac:dyDescent="0.2">
      <c r="A139" s="41"/>
      <c r="B139" s="41"/>
      <c r="C139" s="45"/>
      <c r="D139" s="41"/>
      <c r="E139" s="41"/>
      <c r="F139" s="46"/>
      <c r="G139" s="46"/>
      <c r="H139" s="34" t="s">
        <v>143</v>
      </c>
    </row>
    <row r="140" spans="1:8" x14ac:dyDescent="0.2">
      <c r="A140" s="41"/>
      <c r="B140" s="41"/>
      <c r="C140" s="42" t="s">
        <v>158</v>
      </c>
      <c r="D140" s="41"/>
      <c r="E140" s="41"/>
      <c r="F140" s="46"/>
      <c r="G140" s="46"/>
      <c r="H140" s="34" t="s">
        <v>143</v>
      </c>
    </row>
    <row r="141" spans="1:8" x14ac:dyDescent="0.2">
      <c r="A141" s="41"/>
      <c r="B141" s="41"/>
      <c r="C141" s="42" t="s">
        <v>142</v>
      </c>
      <c r="D141" s="41"/>
      <c r="E141" s="41" t="s">
        <v>143</v>
      </c>
      <c r="F141" s="47" t="s">
        <v>145</v>
      </c>
      <c r="G141" s="44">
        <v>0</v>
      </c>
      <c r="H141" s="34" t="s">
        <v>143</v>
      </c>
    </row>
    <row r="142" spans="1:8" x14ac:dyDescent="0.2">
      <c r="A142" s="41"/>
      <c r="B142" s="41"/>
      <c r="C142" s="45"/>
      <c r="D142" s="41"/>
      <c r="E142" s="41"/>
      <c r="F142" s="46"/>
      <c r="G142" s="46"/>
      <c r="H142" s="34" t="s">
        <v>143</v>
      </c>
    </row>
    <row r="143" spans="1:8" x14ac:dyDescent="0.2">
      <c r="A143" s="41"/>
      <c r="B143" s="41"/>
      <c r="C143" s="42" t="s">
        <v>159</v>
      </c>
      <c r="D143" s="41"/>
      <c r="E143" s="41"/>
      <c r="F143" s="46"/>
      <c r="G143" s="46"/>
      <c r="H143" s="34" t="s">
        <v>143</v>
      </c>
    </row>
    <row r="144" spans="1:8" x14ac:dyDescent="0.2">
      <c r="A144" s="41"/>
      <c r="B144" s="41"/>
      <c r="C144" s="42" t="s">
        <v>142</v>
      </c>
      <c r="D144" s="41"/>
      <c r="E144" s="41" t="s">
        <v>143</v>
      </c>
      <c r="F144" s="47" t="s">
        <v>145</v>
      </c>
      <c r="G144" s="44">
        <v>0</v>
      </c>
      <c r="H144" s="34" t="s">
        <v>143</v>
      </c>
    </row>
    <row r="145" spans="1:8" x14ac:dyDescent="0.2">
      <c r="A145" s="41"/>
      <c r="B145" s="41"/>
      <c r="C145" s="45"/>
      <c r="D145" s="41"/>
      <c r="E145" s="41"/>
      <c r="F145" s="46"/>
      <c r="G145" s="46"/>
      <c r="H145" s="34" t="s">
        <v>143</v>
      </c>
    </row>
    <row r="146" spans="1:8" x14ac:dyDescent="0.2">
      <c r="A146" s="41"/>
      <c r="B146" s="41"/>
      <c r="C146" s="42" t="s">
        <v>160</v>
      </c>
      <c r="D146" s="41"/>
      <c r="E146" s="41"/>
      <c r="F146" s="46"/>
      <c r="G146" s="46"/>
      <c r="H146" s="34" t="s">
        <v>143</v>
      </c>
    </row>
    <row r="147" spans="1:8" x14ac:dyDescent="0.2">
      <c r="A147" s="35">
        <v>1</v>
      </c>
      <c r="B147" s="36"/>
      <c r="C147" s="36" t="s">
        <v>161</v>
      </c>
      <c r="D147" s="36"/>
      <c r="E147" s="48"/>
      <c r="F147" s="38">
        <v>7231.5043780160004</v>
      </c>
      <c r="G147" s="39">
        <v>2.690037E-2</v>
      </c>
      <c r="H147" s="34">
        <v>5.47</v>
      </c>
    </row>
    <row r="148" spans="1:8" x14ac:dyDescent="0.2">
      <c r="A148" s="41"/>
      <c r="B148" s="41"/>
      <c r="C148" s="42" t="s">
        <v>142</v>
      </c>
      <c r="D148" s="41"/>
      <c r="E148" s="41" t="s">
        <v>143</v>
      </c>
      <c r="F148" s="43">
        <v>7231.5043780160004</v>
      </c>
      <c r="G148" s="44">
        <v>2.690037E-2</v>
      </c>
      <c r="H148" s="34" t="s">
        <v>143</v>
      </c>
    </row>
    <row r="149" spans="1:8" x14ac:dyDescent="0.2">
      <c r="A149" s="41"/>
      <c r="B149" s="41"/>
      <c r="C149" s="45"/>
      <c r="D149" s="41"/>
      <c r="E149" s="41"/>
      <c r="F149" s="46"/>
      <c r="G149" s="46"/>
      <c r="H149" s="34" t="s">
        <v>143</v>
      </c>
    </row>
    <row r="150" spans="1:8" x14ac:dyDescent="0.2">
      <c r="A150" s="41"/>
      <c r="B150" s="41"/>
      <c r="C150" s="42" t="s">
        <v>162</v>
      </c>
      <c r="D150" s="41"/>
      <c r="E150" s="41"/>
      <c r="F150" s="43">
        <v>7231.5043780160004</v>
      </c>
      <c r="G150" s="44">
        <v>2.690037E-2</v>
      </c>
      <c r="H150" s="34" t="s">
        <v>143</v>
      </c>
    </row>
    <row r="151" spans="1:8" x14ac:dyDescent="0.2">
      <c r="A151" s="41"/>
      <c r="B151" s="41"/>
      <c r="C151" s="46"/>
      <c r="D151" s="41"/>
      <c r="E151" s="41"/>
      <c r="F151" s="41"/>
      <c r="G151" s="41"/>
      <c r="H151" s="34" t="s">
        <v>143</v>
      </c>
    </row>
    <row r="152" spans="1:8" x14ac:dyDescent="0.2">
      <c r="A152" s="41"/>
      <c r="B152" s="41"/>
      <c r="C152" s="42" t="s">
        <v>163</v>
      </c>
      <c r="D152" s="41"/>
      <c r="E152" s="41"/>
      <c r="F152" s="41"/>
      <c r="G152" s="41"/>
      <c r="H152" s="34" t="s">
        <v>143</v>
      </c>
    </row>
    <row r="153" spans="1:8" x14ac:dyDescent="0.2">
      <c r="A153" s="41"/>
      <c r="B153" s="41"/>
      <c r="C153" s="42" t="s">
        <v>164</v>
      </c>
      <c r="D153" s="41"/>
      <c r="E153" s="41"/>
      <c r="F153" s="41"/>
      <c r="G153" s="41"/>
      <c r="H153" s="34" t="s">
        <v>143</v>
      </c>
    </row>
    <row r="154" spans="1:8" x14ac:dyDescent="0.2">
      <c r="A154" s="35">
        <v>1</v>
      </c>
      <c r="B154" s="36" t="s">
        <v>836</v>
      </c>
      <c r="C154" s="36" t="s">
        <v>837</v>
      </c>
      <c r="D154" s="36"/>
      <c r="E154" s="49">
        <v>19705094</v>
      </c>
      <c r="F154" s="38">
        <v>16238.967965399999</v>
      </c>
      <c r="G154" s="39">
        <v>6.040711E-2</v>
      </c>
      <c r="H154" s="34" t="s">
        <v>143</v>
      </c>
    </row>
    <row r="155" spans="1:8" x14ac:dyDescent="0.2">
      <c r="A155" s="35">
        <v>2</v>
      </c>
      <c r="B155" s="36" t="s">
        <v>838</v>
      </c>
      <c r="C155" s="36" t="s">
        <v>839</v>
      </c>
      <c r="D155" s="36"/>
      <c r="E155" s="49">
        <v>20078588</v>
      </c>
      <c r="F155" s="38">
        <v>16060.8625412</v>
      </c>
      <c r="G155" s="39">
        <v>5.9744579999999999E-2</v>
      </c>
      <c r="H155" s="34" t="s">
        <v>143</v>
      </c>
    </row>
    <row r="156" spans="1:8" ht="25.5" x14ac:dyDescent="0.2">
      <c r="A156" s="35">
        <v>3</v>
      </c>
      <c r="B156" s="36" t="s">
        <v>840</v>
      </c>
      <c r="C156" s="36" t="s">
        <v>841</v>
      </c>
      <c r="D156" s="36"/>
      <c r="E156" s="49">
        <v>13123120</v>
      </c>
      <c r="F156" s="38">
        <v>10565.423912</v>
      </c>
      <c r="G156" s="39">
        <v>3.9302169999999997E-2</v>
      </c>
      <c r="H156" s="34" t="s">
        <v>143</v>
      </c>
    </row>
    <row r="157" spans="1:8" x14ac:dyDescent="0.2">
      <c r="A157" s="35">
        <v>4</v>
      </c>
      <c r="B157" s="36" t="s">
        <v>842</v>
      </c>
      <c r="C157" s="36" t="s">
        <v>843</v>
      </c>
      <c r="D157" s="36"/>
      <c r="E157" s="49">
        <v>11312712</v>
      </c>
      <c r="F157" s="38">
        <v>9336.3812135999997</v>
      </c>
      <c r="G157" s="39">
        <v>3.4730280000000002E-2</v>
      </c>
      <c r="H157" s="34" t="s">
        <v>143</v>
      </c>
    </row>
    <row r="158" spans="1:8" x14ac:dyDescent="0.2">
      <c r="A158" s="35">
        <v>5</v>
      </c>
      <c r="B158" s="36" t="s">
        <v>844</v>
      </c>
      <c r="C158" s="36" t="s">
        <v>845</v>
      </c>
      <c r="D158" s="36"/>
      <c r="E158" s="49">
        <v>4448000</v>
      </c>
      <c r="F158" s="38">
        <v>4165.5519999999997</v>
      </c>
      <c r="G158" s="39">
        <v>1.549538E-2</v>
      </c>
      <c r="H158" s="34" t="s">
        <v>143</v>
      </c>
    </row>
    <row r="159" spans="1:8" x14ac:dyDescent="0.2">
      <c r="A159" s="41"/>
      <c r="B159" s="41"/>
      <c r="C159" s="42" t="s">
        <v>142</v>
      </c>
      <c r="D159" s="41"/>
      <c r="E159" s="41" t="s">
        <v>143</v>
      </c>
      <c r="F159" s="43">
        <v>56367.187632200003</v>
      </c>
      <c r="G159" s="44">
        <v>0.20967952000000001</v>
      </c>
      <c r="H159" s="34" t="s">
        <v>143</v>
      </c>
    </row>
    <row r="160" spans="1:8" x14ac:dyDescent="0.2">
      <c r="A160" s="41"/>
      <c r="B160" s="41"/>
      <c r="C160" s="45"/>
      <c r="D160" s="41"/>
      <c r="E160" s="41"/>
      <c r="F160" s="46"/>
      <c r="G160" s="46"/>
      <c r="H160" s="34" t="s">
        <v>143</v>
      </c>
    </row>
    <row r="161" spans="1:17" x14ac:dyDescent="0.2">
      <c r="A161" s="41"/>
      <c r="B161" s="41"/>
      <c r="C161" s="42" t="s">
        <v>165</v>
      </c>
      <c r="D161" s="41"/>
      <c r="E161" s="41"/>
      <c r="F161" s="41"/>
      <c r="G161" s="41"/>
      <c r="H161" s="34" t="s">
        <v>143</v>
      </c>
    </row>
    <row r="162" spans="1:17" x14ac:dyDescent="0.2">
      <c r="A162" s="41"/>
      <c r="B162" s="41"/>
      <c r="C162" s="42" t="s">
        <v>166</v>
      </c>
      <c r="D162" s="41"/>
      <c r="E162" s="41"/>
      <c r="F162" s="41"/>
      <c r="G162" s="41"/>
      <c r="H162" s="34" t="s">
        <v>143</v>
      </c>
    </row>
    <row r="163" spans="1:17" x14ac:dyDescent="0.2">
      <c r="A163" s="41"/>
      <c r="B163" s="41"/>
      <c r="C163" s="42" t="s">
        <v>142</v>
      </c>
      <c r="D163" s="41"/>
      <c r="E163" s="41" t="s">
        <v>143</v>
      </c>
      <c r="F163" s="47" t="s">
        <v>145</v>
      </c>
      <c r="G163" s="44">
        <v>0</v>
      </c>
      <c r="H163" s="34" t="s">
        <v>143</v>
      </c>
    </row>
    <row r="164" spans="1:17" x14ac:dyDescent="0.2">
      <c r="A164" s="41"/>
      <c r="B164" s="41"/>
      <c r="C164" s="45"/>
      <c r="D164" s="41"/>
      <c r="E164" s="41"/>
      <c r="F164" s="46"/>
      <c r="G164" s="46"/>
      <c r="H164" s="34" t="s">
        <v>143</v>
      </c>
    </row>
    <row r="165" spans="1:17" x14ac:dyDescent="0.2">
      <c r="A165" s="41"/>
      <c r="B165" s="41"/>
      <c r="C165" s="42" t="s">
        <v>167</v>
      </c>
      <c r="D165" s="41"/>
      <c r="E165" s="41"/>
      <c r="F165" s="46"/>
      <c r="G165" s="46"/>
      <c r="H165" s="34" t="s">
        <v>143</v>
      </c>
    </row>
    <row r="166" spans="1:17" x14ac:dyDescent="0.2">
      <c r="A166" s="41"/>
      <c r="B166" s="41"/>
      <c r="C166" s="42" t="s">
        <v>142</v>
      </c>
      <c r="D166" s="41"/>
      <c r="E166" s="41" t="s">
        <v>143</v>
      </c>
      <c r="F166" s="47" t="s">
        <v>145</v>
      </c>
      <c r="G166" s="44">
        <v>0</v>
      </c>
      <c r="H166" s="34" t="s">
        <v>143</v>
      </c>
    </row>
    <row r="167" spans="1:17" x14ac:dyDescent="0.2">
      <c r="A167" s="41"/>
      <c r="B167" s="41"/>
      <c r="C167" s="45"/>
      <c r="D167" s="41"/>
      <c r="E167" s="41"/>
      <c r="F167" s="46"/>
      <c r="G167" s="46"/>
      <c r="H167" s="34" t="s">
        <v>143</v>
      </c>
    </row>
    <row r="168" spans="1:17" x14ac:dyDescent="0.2">
      <c r="A168" s="48"/>
      <c r="B168" s="36"/>
      <c r="C168" s="36" t="s">
        <v>627</v>
      </c>
      <c r="D168" s="36"/>
      <c r="E168" s="48"/>
      <c r="F168" s="38">
        <v>174.5859844</v>
      </c>
      <c r="G168" s="39">
        <v>6.4944000000000004E-4</v>
      </c>
      <c r="H168" s="34" t="s">
        <v>143</v>
      </c>
    </row>
    <row r="169" spans="1:17" x14ac:dyDescent="0.2">
      <c r="A169" s="48"/>
      <c r="B169" s="36"/>
      <c r="C169" s="50" t="s">
        <v>985</v>
      </c>
      <c r="D169" s="36"/>
      <c r="E169" s="48"/>
      <c r="F169" s="38">
        <f>21282.47579253+F111</f>
        <v>815.57233003000147</v>
      </c>
      <c r="G169" s="39">
        <f>F169/F170</f>
        <v>3.0338362156912017E-3</v>
      </c>
      <c r="H169" s="34" t="s">
        <v>143</v>
      </c>
    </row>
    <row r="170" spans="1:17" x14ac:dyDescent="0.2">
      <c r="A170" s="45"/>
      <c r="B170" s="45"/>
      <c r="C170" s="42" t="s">
        <v>169</v>
      </c>
      <c r="D170" s="46"/>
      <c r="E170" s="46"/>
      <c r="F170" s="43">
        <v>268825.43158124603</v>
      </c>
      <c r="G170" s="51">
        <v>1.00000004</v>
      </c>
      <c r="H170" s="34" t="s">
        <v>143</v>
      </c>
    </row>
    <row r="171" spans="1:17" x14ac:dyDescent="0.2">
      <c r="A171" s="52"/>
      <c r="B171" s="52"/>
      <c r="C171" s="52"/>
      <c r="D171" s="53"/>
      <c r="E171" s="53"/>
      <c r="F171" s="53"/>
      <c r="G171" s="53"/>
    </row>
    <row r="172" spans="1:17" ht="12.75" customHeight="1" x14ac:dyDescent="0.2">
      <c r="A172" s="54"/>
      <c r="B172" s="158" t="s">
        <v>852</v>
      </c>
      <c r="C172" s="158"/>
      <c r="D172" s="158"/>
      <c r="E172" s="158"/>
      <c r="F172" s="158"/>
      <c r="G172" s="158"/>
      <c r="H172" s="158"/>
      <c r="J172" s="56"/>
    </row>
    <row r="173" spans="1:17" ht="12.75" customHeight="1" x14ac:dyDescent="0.2">
      <c r="A173" s="54"/>
      <c r="B173" s="158" t="s">
        <v>853</v>
      </c>
      <c r="C173" s="158"/>
      <c r="D173" s="158"/>
      <c r="E173" s="158"/>
      <c r="F173" s="158"/>
      <c r="G173" s="158"/>
      <c r="H173" s="158"/>
      <c r="J173" s="56"/>
    </row>
    <row r="174" spans="1:17" ht="12.75" customHeight="1" x14ac:dyDescent="0.2">
      <c r="A174" s="54"/>
      <c r="B174" s="158" t="s">
        <v>854</v>
      </c>
      <c r="C174" s="158"/>
      <c r="D174" s="158"/>
      <c r="E174" s="158"/>
      <c r="F174" s="158"/>
      <c r="G174" s="158"/>
      <c r="H174" s="158"/>
      <c r="J174" s="56"/>
    </row>
    <row r="175" spans="1:17" s="58" customFormat="1" ht="53.25" customHeight="1" x14ac:dyDescent="0.25">
      <c r="A175" s="57"/>
      <c r="B175" s="159" t="s">
        <v>855</v>
      </c>
      <c r="C175" s="159"/>
      <c r="D175" s="159"/>
      <c r="E175" s="159"/>
      <c r="F175" s="159"/>
      <c r="G175" s="159"/>
      <c r="H175" s="159"/>
      <c r="I175"/>
      <c r="J175" s="56"/>
      <c r="K175"/>
      <c r="L175"/>
      <c r="M175"/>
      <c r="N175"/>
      <c r="O175"/>
      <c r="P175"/>
      <c r="Q175"/>
    </row>
    <row r="176" spans="1:17" ht="12.75" customHeight="1" x14ac:dyDescent="0.2">
      <c r="A176" s="54"/>
      <c r="B176" s="158" t="s">
        <v>856</v>
      </c>
      <c r="C176" s="158"/>
      <c r="D176" s="158"/>
      <c r="E176" s="158"/>
      <c r="F176" s="158"/>
      <c r="G176" s="158"/>
      <c r="H176" s="158"/>
      <c r="J176" s="56"/>
    </row>
    <row r="177" spans="1:10" x14ac:dyDescent="0.2">
      <c r="A177" s="54"/>
      <c r="B177" s="54"/>
      <c r="C177" s="54"/>
      <c r="D177" s="59"/>
      <c r="E177" s="59"/>
      <c r="F177" s="59"/>
      <c r="G177" s="59"/>
    </row>
    <row r="178" spans="1:10" x14ac:dyDescent="0.2">
      <c r="A178" s="54"/>
      <c r="B178" s="160" t="s">
        <v>170</v>
      </c>
      <c r="C178" s="161"/>
      <c r="D178" s="162"/>
      <c r="E178" s="60"/>
      <c r="F178" s="59"/>
      <c r="G178" s="59"/>
    </row>
    <row r="179" spans="1:10" ht="27.75" customHeight="1" x14ac:dyDescent="0.2">
      <c r="A179" s="54"/>
      <c r="B179" s="154" t="s">
        <v>171</v>
      </c>
      <c r="C179" s="155"/>
      <c r="D179" s="33" t="s">
        <v>172</v>
      </c>
      <c r="E179" s="60"/>
      <c r="F179" s="59"/>
      <c r="G179" s="59"/>
    </row>
    <row r="180" spans="1:10" ht="12.75" customHeight="1" x14ac:dyDescent="0.2">
      <c r="A180" s="54"/>
      <c r="B180" s="154" t="s">
        <v>857</v>
      </c>
      <c r="C180" s="155"/>
      <c r="D180" s="33" t="s">
        <v>172</v>
      </c>
      <c r="E180" s="60"/>
      <c r="F180" s="59"/>
      <c r="G180" s="59"/>
    </row>
    <row r="181" spans="1:10" ht="12.75" customHeight="1" x14ac:dyDescent="0.2">
      <c r="A181" s="54"/>
      <c r="B181" s="154" t="s">
        <v>173</v>
      </c>
      <c r="C181" s="155"/>
      <c r="D181" s="61" t="s">
        <v>143</v>
      </c>
      <c r="E181" s="60"/>
      <c r="F181" s="59"/>
      <c r="G181" s="59"/>
    </row>
    <row r="182" spans="1:10" x14ac:dyDescent="0.2">
      <c r="A182" s="62"/>
      <c r="B182" s="63" t="s">
        <v>143</v>
      </c>
      <c r="C182" s="63" t="s">
        <v>858</v>
      </c>
      <c r="D182" s="63" t="s">
        <v>174</v>
      </c>
      <c r="E182" s="62"/>
      <c r="F182" s="62"/>
      <c r="G182" s="62"/>
      <c r="H182" s="62"/>
      <c r="J182" s="56"/>
    </row>
    <row r="183" spans="1:10" x14ac:dyDescent="0.2">
      <c r="A183" s="62"/>
      <c r="B183" s="64" t="s">
        <v>175</v>
      </c>
      <c r="C183" s="65">
        <v>45808</v>
      </c>
      <c r="D183" s="65">
        <v>45838</v>
      </c>
      <c r="E183" s="62"/>
      <c r="F183" s="62"/>
      <c r="G183" s="62"/>
      <c r="J183" s="56"/>
    </row>
    <row r="184" spans="1:10" x14ac:dyDescent="0.2">
      <c r="A184" s="66"/>
      <c r="B184" s="36" t="s">
        <v>176</v>
      </c>
      <c r="C184" s="67">
        <v>12.297499999999999</v>
      </c>
      <c r="D184" s="67">
        <v>12.5632</v>
      </c>
      <c r="E184" s="66"/>
      <c r="F184" s="68"/>
      <c r="G184" s="69"/>
    </row>
    <row r="185" spans="1:10" x14ac:dyDescent="0.2">
      <c r="A185" s="66"/>
      <c r="B185" s="36" t="s">
        <v>1086</v>
      </c>
      <c r="C185" s="67">
        <v>12.297499999999999</v>
      </c>
      <c r="D185" s="67">
        <v>12.5632</v>
      </c>
      <c r="E185" s="66"/>
      <c r="F185" s="68"/>
      <c r="G185" s="69"/>
    </row>
    <row r="186" spans="1:10" x14ac:dyDescent="0.2">
      <c r="A186" s="66"/>
      <c r="B186" s="36" t="s">
        <v>177</v>
      </c>
      <c r="C186" s="67">
        <v>12.0373</v>
      </c>
      <c r="D186" s="67">
        <v>12.282400000000001</v>
      </c>
      <c r="E186" s="66"/>
      <c r="F186" s="68"/>
      <c r="G186" s="69"/>
    </row>
    <row r="187" spans="1:10" x14ac:dyDescent="0.2">
      <c r="A187" s="66"/>
      <c r="B187" s="36" t="s">
        <v>1087</v>
      </c>
      <c r="C187" s="67">
        <v>12.0373</v>
      </c>
      <c r="D187" s="67">
        <v>12.282400000000001</v>
      </c>
      <c r="E187" s="66"/>
      <c r="F187" s="68"/>
      <c r="G187" s="69"/>
    </row>
    <row r="188" spans="1:10" x14ac:dyDescent="0.2">
      <c r="A188" s="66"/>
      <c r="B188" s="66"/>
      <c r="C188" s="66"/>
      <c r="D188" s="66"/>
      <c r="E188" s="66"/>
      <c r="F188" s="66"/>
      <c r="G188" s="66"/>
    </row>
    <row r="189" spans="1:10" x14ac:dyDescent="0.2">
      <c r="A189" s="62"/>
      <c r="B189" s="154" t="s">
        <v>860</v>
      </c>
      <c r="C189" s="155"/>
      <c r="D189" s="33" t="s">
        <v>172</v>
      </c>
      <c r="E189" s="62"/>
      <c r="F189" s="62"/>
      <c r="G189" s="62"/>
    </row>
    <row r="190" spans="1:10" x14ac:dyDescent="0.2">
      <c r="A190" s="62"/>
      <c r="B190" s="70"/>
      <c r="C190" s="70"/>
      <c r="D190" s="70"/>
      <c r="E190" s="62"/>
      <c r="F190" s="62"/>
      <c r="G190" s="62"/>
    </row>
    <row r="191" spans="1:10" ht="29.1" customHeight="1" x14ac:dyDescent="0.2">
      <c r="A191" s="62"/>
      <c r="B191" s="154" t="s">
        <v>178</v>
      </c>
      <c r="C191" s="155"/>
      <c r="D191" s="33" t="s">
        <v>913</v>
      </c>
      <c r="E191" s="71"/>
      <c r="F191" s="62"/>
      <c r="G191" s="62"/>
    </row>
    <row r="192" spans="1:10" ht="29.1" customHeight="1" x14ac:dyDescent="0.2">
      <c r="A192" s="62"/>
      <c r="B192" s="154" t="s">
        <v>179</v>
      </c>
      <c r="C192" s="155"/>
      <c r="D192" s="33" t="s">
        <v>172</v>
      </c>
      <c r="E192" s="71"/>
      <c r="F192" s="62"/>
      <c r="G192" s="62"/>
    </row>
    <row r="193" spans="1:7" ht="17.100000000000001" customHeight="1" x14ac:dyDescent="0.2">
      <c r="A193" s="62"/>
      <c r="B193" s="154" t="s">
        <v>180</v>
      </c>
      <c r="C193" s="155"/>
      <c r="D193" s="33" t="s">
        <v>172</v>
      </c>
      <c r="E193" s="71"/>
      <c r="F193" s="62"/>
      <c r="G193" s="62"/>
    </row>
    <row r="194" spans="1:7" ht="17.100000000000001" customHeight="1" x14ac:dyDescent="0.2">
      <c r="A194" s="62"/>
      <c r="B194" s="154" t="s">
        <v>181</v>
      </c>
      <c r="C194" s="155"/>
      <c r="D194" s="72">
        <v>1.5838857689414469</v>
      </c>
      <c r="E194" s="62"/>
      <c r="F194" s="55"/>
      <c r="G194" s="73"/>
    </row>
    <row r="196" spans="1:7" x14ac:dyDescent="0.2">
      <c r="B196" s="190" t="s">
        <v>904</v>
      </c>
      <c r="C196" s="191"/>
      <c r="D196" s="192"/>
    </row>
    <row r="197" spans="1:7" ht="38.25" x14ac:dyDescent="0.2">
      <c r="B197" s="193" t="s">
        <v>905</v>
      </c>
      <c r="C197" s="193"/>
      <c r="D197" s="74" t="s">
        <v>833</v>
      </c>
    </row>
    <row r="198" spans="1:7" x14ac:dyDescent="0.2">
      <c r="B198" s="193" t="s">
        <v>906</v>
      </c>
      <c r="C198" s="193"/>
      <c r="D198" s="75"/>
    </row>
    <row r="199" spans="1:7" x14ac:dyDescent="0.2">
      <c r="B199" s="194"/>
      <c r="C199" s="195"/>
      <c r="D199" s="76"/>
    </row>
    <row r="200" spans="1:7" x14ac:dyDescent="0.2">
      <c r="B200" s="193" t="s">
        <v>907</v>
      </c>
      <c r="C200" s="193"/>
      <c r="D200" s="77">
        <v>5.9411531764850247</v>
      </c>
    </row>
    <row r="201" spans="1:7" x14ac:dyDescent="0.2">
      <c r="B201" s="194"/>
      <c r="C201" s="195"/>
      <c r="D201" s="76"/>
    </row>
    <row r="202" spans="1:7" x14ac:dyDescent="0.2">
      <c r="B202" s="193" t="s">
        <v>908</v>
      </c>
      <c r="C202" s="193"/>
      <c r="D202" s="77">
        <v>2.7168469227029357</v>
      </c>
    </row>
    <row r="203" spans="1:7" x14ac:dyDescent="0.2">
      <c r="B203" s="193" t="s">
        <v>909</v>
      </c>
      <c r="C203" s="193"/>
      <c r="D203" s="77">
        <v>3.2290541140927225</v>
      </c>
    </row>
    <row r="204" spans="1:7" x14ac:dyDescent="0.2">
      <c r="B204" s="194"/>
      <c r="C204" s="195"/>
      <c r="D204" s="76"/>
    </row>
    <row r="205" spans="1:7" x14ac:dyDescent="0.2">
      <c r="B205" s="193" t="s">
        <v>910</v>
      </c>
      <c r="C205" s="193"/>
      <c r="D205" s="78" t="s">
        <v>944</v>
      </c>
    </row>
    <row r="206" spans="1:7" x14ac:dyDescent="0.2">
      <c r="B206" s="194" t="s">
        <v>911</v>
      </c>
      <c r="C206" s="196"/>
      <c r="D206" s="195"/>
    </row>
    <row r="208" spans="1:7" x14ac:dyDescent="0.2">
      <c r="B208" s="156" t="s">
        <v>861</v>
      </c>
      <c r="C208" s="156"/>
    </row>
    <row r="210" spans="2:10" ht="153.75" customHeight="1" x14ac:dyDescent="0.2"/>
    <row r="213" spans="2:10" x14ac:dyDescent="0.2">
      <c r="B213" s="79" t="s">
        <v>862</v>
      </c>
      <c r="C213" s="80"/>
      <c r="D213" s="79"/>
    </row>
    <row r="214" spans="2:10" x14ac:dyDescent="0.2">
      <c r="B214" s="79" t="s">
        <v>941</v>
      </c>
      <c r="D214" s="79"/>
    </row>
    <row r="215" spans="2:10" ht="165" customHeight="1" x14ac:dyDescent="0.2"/>
    <row r="217" spans="2:10" x14ac:dyDescent="0.2">
      <c r="J217" s="31"/>
    </row>
    <row r="225" customFormat="1" x14ac:dyDescent="0.2"/>
  </sheetData>
  <mergeCells count="29">
    <mergeCell ref="B203:C203"/>
    <mergeCell ref="B204:C204"/>
    <mergeCell ref="B205:C205"/>
    <mergeCell ref="B206:D206"/>
    <mergeCell ref="B208:C208"/>
    <mergeCell ref="B198:C198"/>
    <mergeCell ref="B199:C199"/>
    <mergeCell ref="B200:C200"/>
    <mergeCell ref="B201:C201"/>
    <mergeCell ref="B202:C202"/>
    <mergeCell ref="A1:H1"/>
    <mergeCell ref="A2:H2"/>
    <mergeCell ref="A3:H3"/>
    <mergeCell ref="B172:H172"/>
    <mergeCell ref="B173:H173"/>
    <mergeCell ref="B174:H174"/>
    <mergeCell ref="B175:H175"/>
    <mergeCell ref="B176:H176"/>
    <mergeCell ref="B178:D178"/>
    <mergeCell ref="B179:C179"/>
    <mergeCell ref="B180:C180"/>
    <mergeCell ref="B181:C181"/>
    <mergeCell ref="B197:C197"/>
    <mergeCell ref="B189:C189"/>
    <mergeCell ref="B193:C193"/>
    <mergeCell ref="B194:C194"/>
    <mergeCell ref="B191:C191"/>
    <mergeCell ref="B192:C192"/>
    <mergeCell ref="B196:D196"/>
  </mergeCells>
  <hyperlinks>
    <hyperlink ref="I1" location="Index!B2" display="Index" xr:uid="{139F4B7C-DA40-4080-8272-422EE2AB3F15}"/>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276BE-FC22-4339-8B91-6B1C5A6F8179}">
  <sheetPr>
    <pageSetUpPr fitToPage="1"/>
  </sheetPr>
  <dimension ref="A1:K268"/>
  <sheetViews>
    <sheetView tabSelected="1" topLeftCell="A193" zoomScaleNormal="100" workbookViewId="0">
      <selection activeCell="B268" sqref="B268"/>
    </sheetView>
  </sheetViews>
  <sheetFormatPr defaultColWidth="9.140625" defaultRowHeight="13.5" x14ac:dyDescent="0.25"/>
  <cols>
    <col min="1" max="1" width="42" style="197" customWidth="1"/>
    <col min="2" max="2" width="54.7109375" style="197" customWidth="1"/>
    <col min="3" max="3" width="31" style="197" bestFit="1" customWidth="1"/>
    <col min="4" max="4" width="20.140625" style="197" bestFit="1" customWidth="1"/>
    <col min="5" max="5" width="16.5703125" style="197" customWidth="1"/>
    <col min="6" max="6" width="18.7109375" style="197" bestFit="1" customWidth="1"/>
    <col min="7" max="7" width="17.5703125" style="197" customWidth="1"/>
    <col min="8" max="8" width="15.5703125" style="197" bestFit="1" customWidth="1"/>
    <col min="9" max="9" width="13.5703125" style="197" customWidth="1"/>
    <col min="10" max="10" width="20.5703125" style="197" customWidth="1"/>
    <col min="11" max="11" width="12.42578125" style="197" bestFit="1" customWidth="1"/>
    <col min="12" max="16384" width="9.140625" style="197"/>
  </cols>
  <sheetData>
    <row r="1" spans="1:10" x14ac:dyDescent="0.25">
      <c r="F1" s="130" t="s">
        <v>913</v>
      </c>
    </row>
    <row r="2" spans="1:10" x14ac:dyDescent="0.25">
      <c r="A2" s="198" t="s">
        <v>1100</v>
      </c>
      <c r="B2" s="198"/>
      <c r="C2" s="198"/>
      <c r="D2" s="198"/>
      <c r="E2" s="198"/>
      <c r="F2" s="198"/>
    </row>
    <row r="3" spans="1:10" x14ac:dyDescent="0.25">
      <c r="A3" s="198" t="s">
        <v>1101</v>
      </c>
      <c r="B3" s="198"/>
      <c r="C3" s="198"/>
      <c r="D3" s="198"/>
      <c r="E3" s="198"/>
      <c r="F3" s="198"/>
    </row>
    <row r="4" spans="1:10" x14ac:dyDescent="0.25">
      <c r="A4" s="130"/>
      <c r="B4" s="130"/>
      <c r="C4" s="130"/>
      <c r="D4" s="130"/>
      <c r="E4" s="130"/>
      <c r="F4" s="130"/>
    </row>
    <row r="5" spans="1:10" x14ac:dyDescent="0.25">
      <c r="A5" s="198" t="s">
        <v>1102</v>
      </c>
      <c r="B5" s="198"/>
      <c r="C5" s="198"/>
      <c r="D5" s="198"/>
      <c r="E5" s="198"/>
      <c r="F5" s="198"/>
    </row>
    <row r="6" spans="1:10" x14ac:dyDescent="0.25">
      <c r="A6" s="130" t="s">
        <v>1103</v>
      </c>
    </row>
    <row r="8" spans="1:10" s="130" customFormat="1" ht="27" x14ac:dyDescent="0.25">
      <c r="A8" s="199" t="s">
        <v>1104</v>
      </c>
      <c r="B8" s="199" t="s">
        <v>1105</v>
      </c>
      <c r="C8" s="199" t="s">
        <v>1106</v>
      </c>
      <c r="D8" s="200" t="s">
        <v>1107</v>
      </c>
      <c r="E8" s="200" t="s">
        <v>1108</v>
      </c>
      <c r="F8" s="200" t="s">
        <v>1109</v>
      </c>
    </row>
    <row r="9" spans="1:10" x14ac:dyDescent="0.25">
      <c r="A9" s="201" t="s">
        <v>502</v>
      </c>
      <c r="B9" s="201" t="s">
        <v>1110</v>
      </c>
      <c r="C9" s="202" t="s">
        <v>1111</v>
      </c>
      <c r="D9" s="86">
        <v>2026.3</v>
      </c>
      <c r="E9" s="87">
        <v>2066.1999999999998</v>
      </c>
      <c r="F9" s="203">
        <v>16.333065000000001</v>
      </c>
      <c r="J9" s="204"/>
    </row>
    <row r="10" spans="1:10" x14ac:dyDescent="0.25">
      <c r="A10" s="201" t="s">
        <v>502</v>
      </c>
      <c r="B10" s="201" t="s">
        <v>1112</v>
      </c>
      <c r="C10" s="202" t="s">
        <v>1111</v>
      </c>
      <c r="D10" s="86">
        <v>413.44</v>
      </c>
      <c r="E10" s="87">
        <v>424.15</v>
      </c>
      <c r="F10" s="203">
        <v>47.245247999999997</v>
      </c>
    </row>
    <row r="11" spans="1:10" x14ac:dyDescent="0.25">
      <c r="A11" s="201" t="s">
        <v>502</v>
      </c>
      <c r="B11" s="201" t="s">
        <v>1113</v>
      </c>
      <c r="C11" s="202" t="s">
        <v>1111</v>
      </c>
      <c r="D11" s="86">
        <v>1951.78</v>
      </c>
      <c r="E11" s="87">
        <v>2006</v>
      </c>
      <c r="F11" s="203">
        <v>167.30675639999998</v>
      </c>
    </row>
    <row r="12" spans="1:10" x14ac:dyDescent="0.25">
      <c r="A12" s="201" t="s">
        <v>502</v>
      </c>
      <c r="B12" s="201" t="s">
        <v>1114</v>
      </c>
      <c r="C12" s="202" t="s">
        <v>1111</v>
      </c>
      <c r="D12" s="86">
        <v>352.7</v>
      </c>
      <c r="E12" s="87">
        <v>357.55</v>
      </c>
      <c r="F12" s="203">
        <v>7.9391252000000003</v>
      </c>
    </row>
    <row r="13" spans="1:10" x14ac:dyDescent="0.25">
      <c r="A13" s="201" t="s">
        <v>502</v>
      </c>
      <c r="B13" s="201" t="s">
        <v>1115</v>
      </c>
      <c r="C13" s="202" t="s">
        <v>1111</v>
      </c>
      <c r="D13" s="86">
        <v>477.65</v>
      </c>
      <c r="E13" s="87">
        <v>482.55</v>
      </c>
      <c r="F13" s="203">
        <v>1.0772531000000001</v>
      </c>
    </row>
    <row r="14" spans="1:10" x14ac:dyDescent="0.25">
      <c r="A14" s="201" t="s">
        <v>502</v>
      </c>
      <c r="B14" s="201" t="s">
        <v>1116</v>
      </c>
      <c r="C14" s="202" t="s">
        <v>1111</v>
      </c>
      <c r="D14" s="86">
        <v>6586</v>
      </c>
      <c r="E14" s="87">
        <v>6808</v>
      </c>
      <c r="F14" s="203">
        <v>1.216145</v>
      </c>
    </row>
    <row r="15" spans="1:10" x14ac:dyDescent="0.25">
      <c r="A15" s="201" t="s">
        <v>502</v>
      </c>
      <c r="B15" s="201" t="s">
        <v>1117</v>
      </c>
      <c r="C15" s="202" t="s">
        <v>1111</v>
      </c>
      <c r="D15" s="86">
        <v>2816.21</v>
      </c>
      <c r="E15" s="87">
        <v>2863</v>
      </c>
      <c r="F15" s="203">
        <v>34.312580100000005</v>
      </c>
    </row>
    <row r="16" spans="1:10" x14ac:dyDescent="0.25">
      <c r="A16" s="201" t="s">
        <v>502</v>
      </c>
      <c r="B16" s="201" t="s">
        <v>1118</v>
      </c>
      <c r="C16" s="202" t="s">
        <v>1111</v>
      </c>
      <c r="D16" s="86">
        <v>1714.21</v>
      </c>
      <c r="E16" s="87">
        <v>1729.1</v>
      </c>
      <c r="F16" s="203">
        <v>7.4925410000000001</v>
      </c>
    </row>
    <row r="17" spans="1:6" x14ac:dyDescent="0.25">
      <c r="A17" s="201" t="s">
        <v>502</v>
      </c>
      <c r="B17" s="201" t="s">
        <v>1119</v>
      </c>
      <c r="C17" s="202" t="s">
        <v>1111</v>
      </c>
      <c r="D17" s="86">
        <v>1965.8</v>
      </c>
      <c r="E17" s="87">
        <v>2009</v>
      </c>
      <c r="F17" s="203">
        <v>1885.2614203999999</v>
      </c>
    </row>
    <row r="18" spans="1:6" x14ac:dyDescent="0.25">
      <c r="A18" s="201" t="s">
        <v>502</v>
      </c>
      <c r="B18" s="201" t="s">
        <v>1120</v>
      </c>
      <c r="C18" s="202" t="s">
        <v>1111</v>
      </c>
      <c r="D18" s="86">
        <v>787.4</v>
      </c>
      <c r="E18" s="87">
        <v>816.65</v>
      </c>
      <c r="F18" s="203">
        <v>11.025149100000002</v>
      </c>
    </row>
    <row r="19" spans="1:6" x14ac:dyDescent="0.25">
      <c r="A19" s="201" t="s">
        <v>502</v>
      </c>
      <c r="B19" s="201" t="s">
        <v>1121</v>
      </c>
      <c r="C19" s="202" t="s">
        <v>1111</v>
      </c>
      <c r="D19" s="86">
        <v>4862.3999999999996</v>
      </c>
      <c r="E19" s="87">
        <v>4900.2</v>
      </c>
      <c r="F19" s="203">
        <v>6.9736200000000004</v>
      </c>
    </row>
    <row r="20" spans="1:6" x14ac:dyDescent="0.25">
      <c r="A20" s="201" t="s">
        <v>502</v>
      </c>
      <c r="B20" s="201" t="s">
        <v>1122</v>
      </c>
      <c r="C20" s="202" t="s">
        <v>1111</v>
      </c>
      <c r="D20" s="86">
        <v>2297.08</v>
      </c>
      <c r="E20" s="87">
        <v>2308.8000000000002</v>
      </c>
      <c r="F20" s="203">
        <v>36.869534999999999</v>
      </c>
    </row>
    <row r="21" spans="1:6" x14ac:dyDescent="0.25">
      <c r="A21" s="201" t="s">
        <v>502</v>
      </c>
      <c r="B21" s="201" t="s">
        <v>1123</v>
      </c>
      <c r="C21" s="202" t="s">
        <v>1111</v>
      </c>
      <c r="D21" s="86">
        <v>1432.3</v>
      </c>
      <c r="E21" s="87">
        <v>1452.8</v>
      </c>
      <c r="F21" s="203">
        <v>10.904292000000002</v>
      </c>
    </row>
    <row r="22" spans="1:6" x14ac:dyDescent="0.25">
      <c r="A22" s="201" t="s">
        <v>502</v>
      </c>
      <c r="B22" s="201" t="s">
        <v>1124</v>
      </c>
      <c r="C22" s="202" t="s">
        <v>1111</v>
      </c>
      <c r="D22" s="86">
        <v>72.45</v>
      </c>
      <c r="E22" s="87">
        <v>73.31</v>
      </c>
      <c r="F22" s="203">
        <v>37.6326076</v>
      </c>
    </row>
    <row r="23" spans="1:6" x14ac:dyDescent="0.25">
      <c r="A23" s="201" t="s">
        <v>502</v>
      </c>
      <c r="B23" s="201" t="s">
        <v>1125</v>
      </c>
      <c r="C23" s="202" t="s">
        <v>1111</v>
      </c>
      <c r="D23" s="86">
        <v>1613.57</v>
      </c>
      <c r="E23" s="87">
        <v>1608.7</v>
      </c>
      <c r="F23" s="203">
        <v>310.85520000000002</v>
      </c>
    </row>
    <row r="24" spans="1:6" x14ac:dyDescent="0.25">
      <c r="A24" s="201" t="s">
        <v>502</v>
      </c>
      <c r="B24" s="201" t="s">
        <v>1126</v>
      </c>
      <c r="C24" s="202" t="s">
        <v>1111</v>
      </c>
      <c r="D24" s="86">
        <v>2222.62</v>
      </c>
      <c r="E24" s="87">
        <v>2176.5</v>
      </c>
      <c r="F24" s="203">
        <v>319.84792800000002</v>
      </c>
    </row>
    <row r="25" spans="1:6" x14ac:dyDescent="0.25">
      <c r="A25" s="201" t="s">
        <v>502</v>
      </c>
      <c r="B25" s="201" t="s">
        <v>1127</v>
      </c>
      <c r="C25" s="202" t="s">
        <v>1111</v>
      </c>
      <c r="D25" s="86">
        <v>3633.44</v>
      </c>
      <c r="E25" s="87">
        <v>3689.7</v>
      </c>
      <c r="F25" s="203">
        <v>18.3020736</v>
      </c>
    </row>
    <row r="26" spans="1:6" x14ac:dyDescent="0.25">
      <c r="A26" s="201" t="s">
        <v>502</v>
      </c>
      <c r="B26" s="201" t="s">
        <v>1128</v>
      </c>
      <c r="C26" s="202" t="s">
        <v>1111</v>
      </c>
      <c r="D26" s="86">
        <v>3175.61</v>
      </c>
      <c r="E26" s="87">
        <v>3173.4</v>
      </c>
      <c r="F26" s="203">
        <v>11.25468</v>
      </c>
    </row>
    <row r="27" spans="1:6" x14ac:dyDescent="0.25">
      <c r="A27" s="201" t="s">
        <v>502</v>
      </c>
      <c r="B27" s="201" t="s">
        <v>1129</v>
      </c>
      <c r="C27" s="202" t="s">
        <v>1111</v>
      </c>
      <c r="D27" s="86">
        <v>331.95</v>
      </c>
      <c r="E27" s="87">
        <v>336.7</v>
      </c>
      <c r="F27" s="203">
        <v>53.415824999999998</v>
      </c>
    </row>
    <row r="28" spans="1:6" x14ac:dyDescent="0.25">
      <c r="A28" s="201" t="s">
        <v>502</v>
      </c>
      <c r="B28" s="201" t="s">
        <v>1130</v>
      </c>
      <c r="C28" s="202" t="s">
        <v>1111</v>
      </c>
      <c r="D28" s="86">
        <v>291.31</v>
      </c>
      <c r="E28" s="87">
        <v>300.25</v>
      </c>
      <c r="F28" s="203">
        <v>10.358610000000001</v>
      </c>
    </row>
    <row r="29" spans="1:6" x14ac:dyDescent="0.25">
      <c r="A29" s="201" t="s">
        <v>502</v>
      </c>
      <c r="B29" s="201" t="s">
        <v>1131</v>
      </c>
      <c r="C29" s="202" t="s">
        <v>1111</v>
      </c>
      <c r="D29" s="86">
        <v>236.44</v>
      </c>
      <c r="E29" s="87">
        <v>249.57</v>
      </c>
      <c r="F29" s="203">
        <v>136.6923328</v>
      </c>
    </row>
    <row r="30" spans="1:6" x14ac:dyDescent="0.25">
      <c r="A30" s="201" t="s">
        <v>502</v>
      </c>
      <c r="B30" s="201" t="s">
        <v>1132</v>
      </c>
      <c r="C30" s="202" t="s">
        <v>1111</v>
      </c>
      <c r="D30" s="86">
        <v>399.55</v>
      </c>
      <c r="E30" s="87">
        <v>403.95</v>
      </c>
      <c r="F30" s="203">
        <v>1.3808408999999999</v>
      </c>
    </row>
    <row r="31" spans="1:6" x14ac:dyDescent="0.25">
      <c r="A31" s="201" t="s">
        <v>502</v>
      </c>
      <c r="B31" s="201" t="s">
        <v>1133</v>
      </c>
      <c r="C31" s="202" t="s">
        <v>1111</v>
      </c>
      <c r="D31" s="86">
        <v>1476.58</v>
      </c>
      <c r="E31" s="87">
        <v>1508.7</v>
      </c>
      <c r="F31" s="203">
        <v>538.11500000000001</v>
      </c>
    </row>
    <row r="32" spans="1:6" x14ac:dyDescent="0.25">
      <c r="A32" s="201" t="s">
        <v>502</v>
      </c>
      <c r="B32" s="201" t="s">
        <v>1134</v>
      </c>
      <c r="C32" s="202" t="s">
        <v>1111</v>
      </c>
      <c r="D32" s="86">
        <v>1852.4</v>
      </c>
      <c r="E32" s="87">
        <v>1850</v>
      </c>
      <c r="F32" s="203">
        <v>1.2321431</v>
      </c>
    </row>
    <row r="33" spans="1:6" x14ac:dyDescent="0.25">
      <c r="A33" s="201" t="s">
        <v>502</v>
      </c>
      <c r="B33" s="201" t="s">
        <v>1135</v>
      </c>
      <c r="C33" s="202" t="s">
        <v>1111</v>
      </c>
      <c r="D33" s="86">
        <v>804.23</v>
      </c>
      <c r="E33" s="87">
        <v>824.6</v>
      </c>
      <c r="F33" s="203">
        <v>489.20537280000002</v>
      </c>
    </row>
    <row r="34" spans="1:6" x14ac:dyDescent="0.25">
      <c r="A34" s="201" t="s">
        <v>502</v>
      </c>
      <c r="B34" s="201" t="s">
        <v>1136</v>
      </c>
      <c r="C34" s="202" t="s">
        <v>1111</v>
      </c>
      <c r="D34" s="86">
        <v>1684.32</v>
      </c>
      <c r="E34" s="87">
        <v>1679.9</v>
      </c>
      <c r="F34" s="203">
        <v>27.272564800000001</v>
      </c>
    </row>
    <row r="35" spans="1:6" x14ac:dyDescent="0.25">
      <c r="A35" s="201" t="s">
        <v>502</v>
      </c>
      <c r="B35" s="201" t="s">
        <v>1137</v>
      </c>
      <c r="C35" s="202" t="s">
        <v>1111</v>
      </c>
      <c r="D35" s="86">
        <v>3430.9</v>
      </c>
      <c r="E35" s="87">
        <v>3465.2</v>
      </c>
      <c r="F35" s="203">
        <v>28.8654273</v>
      </c>
    </row>
    <row r="36" spans="1:6" x14ac:dyDescent="0.25">
      <c r="A36" s="201" t="s">
        <v>502</v>
      </c>
      <c r="B36" s="201" t="s">
        <v>1138</v>
      </c>
      <c r="C36" s="202" t="s">
        <v>1111</v>
      </c>
      <c r="D36" s="86">
        <v>11732</v>
      </c>
      <c r="E36" s="87">
        <v>12083</v>
      </c>
      <c r="F36" s="203">
        <v>1.0831500000000001</v>
      </c>
    </row>
    <row r="37" spans="1:6" x14ac:dyDescent="0.25">
      <c r="A37" s="201" t="s">
        <v>502</v>
      </c>
      <c r="B37" s="201" t="s">
        <v>1139</v>
      </c>
      <c r="C37" s="202" t="s">
        <v>1111</v>
      </c>
      <c r="D37" s="86">
        <v>968.35</v>
      </c>
      <c r="E37" s="87">
        <v>982.7</v>
      </c>
      <c r="F37" s="203">
        <v>7.8337015000000001</v>
      </c>
    </row>
    <row r="38" spans="1:6" x14ac:dyDescent="0.25">
      <c r="A38" s="199"/>
      <c r="B38" s="199"/>
      <c r="C38" s="199"/>
      <c r="D38" s="200"/>
      <c r="E38" s="200"/>
      <c r="F38" s="200"/>
    </row>
    <row r="39" spans="1:6" x14ac:dyDescent="0.25">
      <c r="A39" s="201" t="s">
        <v>630</v>
      </c>
      <c r="B39" s="201" t="s">
        <v>1140</v>
      </c>
      <c r="C39" s="202" t="s">
        <v>1111</v>
      </c>
      <c r="D39" s="86">
        <v>444.9</v>
      </c>
      <c r="E39" s="87">
        <v>482.4</v>
      </c>
      <c r="F39" s="203">
        <v>3.0090552000000002</v>
      </c>
    </row>
    <row r="40" spans="1:6" x14ac:dyDescent="0.25">
      <c r="A40" s="201" t="s">
        <v>630</v>
      </c>
      <c r="B40" s="201" t="s">
        <v>1141</v>
      </c>
      <c r="C40" s="202" t="s">
        <v>1111</v>
      </c>
      <c r="D40" s="86">
        <v>2465.98</v>
      </c>
      <c r="E40" s="87">
        <v>2631.7</v>
      </c>
      <c r="F40" s="203">
        <v>207.50894400000001</v>
      </c>
    </row>
    <row r="41" spans="1:6" x14ac:dyDescent="0.25">
      <c r="A41" s="201" t="s">
        <v>630</v>
      </c>
      <c r="B41" s="201" t="s">
        <v>1142</v>
      </c>
      <c r="C41" s="202" t="s">
        <v>1111</v>
      </c>
      <c r="D41" s="86">
        <v>1099.1400000000001</v>
      </c>
      <c r="E41" s="87">
        <v>1141.3</v>
      </c>
      <c r="F41" s="203">
        <v>28.964695200000001</v>
      </c>
    </row>
    <row r="42" spans="1:6" x14ac:dyDescent="0.25">
      <c r="A42" s="201" t="s">
        <v>630</v>
      </c>
      <c r="B42" s="201" t="s">
        <v>1143</v>
      </c>
      <c r="C42" s="202" t="s">
        <v>1111</v>
      </c>
      <c r="D42" s="86">
        <v>1219.7</v>
      </c>
      <c r="E42" s="87">
        <v>1205.7</v>
      </c>
      <c r="F42" s="203">
        <v>199.8680943</v>
      </c>
    </row>
    <row r="43" spans="1:6" x14ac:dyDescent="0.25">
      <c r="A43" s="201" t="s">
        <v>630</v>
      </c>
      <c r="B43" s="201" t="s">
        <v>1144</v>
      </c>
      <c r="C43" s="202" t="s">
        <v>1111</v>
      </c>
      <c r="D43" s="86">
        <v>905.99</v>
      </c>
      <c r="E43" s="87">
        <v>942</v>
      </c>
      <c r="F43" s="203">
        <v>128.64622499999999</v>
      </c>
    </row>
    <row r="44" spans="1:6" x14ac:dyDescent="0.25">
      <c r="A44" s="201" t="s">
        <v>630</v>
      </c>
      <c r="B44" s="201" t="s">
        <v>1110</v>
      </c>
      <c r="C44" s="202" t="s">
        <v>1111</v>
      </c>
      <c r="D44" s="86">
        <v>2015.7</v>
      </c>
      <c r="E44" s="87">
        <v>2066.1999999999998</v>
      </c>
      <c r="F44" s="203">
        <v>12.703495</v>
      </c>
    </row>
    <row r="45" spans="1:6" x14ac:dyDescent="0.25">
      <c r="A45" s="201" t="s">
        <v>630</v>
      </c>
      <c r="B45" s="201" t="s">
        <v>1145</v>
      </c>
      <c r="C45" s="202" t="s">
        <v>1111</v>
      </c>
      <c r="D45" s="86">
        <v>240.56</v>
      </c>
      <c r="E45" s="87">
        <v>250.08</v>
      </c>
      <c r="F45" s="203">
        <v>80.965564200000003</v>
      </c>
    </row>
    <row r="46" spans="1:6" x14ac:dyDescent="0.25">
      <c r="A46" s="201" t="s">
        <v>630</v>
      </c>
      <c r="B46" s="201" t="s">
        <v>1113</v>
      </c>
      <c r="C46" s="202" t="s">
        <v>1111</v>
      </c>
      <c r="D46" s="86">
        <v>1930.14</v>
      </c>
      <c r="E46" s="87">
        <v>2006</v>
      </c>
      <c r="F46" s="203">
        <v>81.946166399999996</v>
      </c>
    </row>
    <row r="47" spans="1:6" x14ac:dyDescent="0.25">
      <c r="A47" s="201" t="s">
        <v>630</v>
      </c>
      <c r="B47" s="201" t="s">
        <v>1146</v>
      </c>
      <c r="C47" s="202" t="s">
        <v>1111</v>
      </c>
      <c r="D47" s="86">
        <v>111.54</v>
      </c>
      <c r="E47" s="87">
        <v>114.65</v>
      </c>
      <c r="F47" s="203">
        <v>40.473084999999998</v>
      </c>
    </row>
    <row r="48" spans="1:6" x14ac:dyDescent="0.25">
      <c r="A48" s="201" t="s">
        <v>630</v>
      </c>
      <c r="B48" s="201" t="s">
        <v>1147</v>
      </c>
      <c r="C48" s="202" t="s">
        <v>1111</v>
      </c>
      <c r="D48" s="86">
        <v>1494.82</v>
      </c>
      <c r="E48" s="87">
        <v>1511.6</v>
      </c>
      <c r="F48" s="203">
        <v>42.035019599999998</v>
      </c>
    </row>
    <row r="49" spans="1:6" x14ac:dyDescent="0.25">
      <c r="A49" s="201" t="s">
        <v>630</v>
      </c>
      <c r="B49" s="201" t="s">
        <v>1148</v>
      </c>
      <c r="C49" s="202" t="s">
        <v>1111</v>
      </c>
      <c r="D49" s="86">
        <v>859.08</v>
      </c>
      <c r="E49" s="87">
        <v>842</v>
      </c>
      <c r="F49" s="203">
        <v>13.7735982</v>
      </c>
    </row>
    <row r="50" spans="1:6" x14ac:dyDescent="0.25">
      <c r="A50" s="201" t="s">
        <v>630</v>
      </c>
      <c r="B50" s="201" t="s">
        <v>1149</v>
      </c>
      <c r="C50" s="202" t="s">
        <v>1111</v>
      </c>
      <c r="D50" s="86">
        <v>538.79</v>
      </c>
      <c r="E50" s="87">
        <v>579.95000000000005</v>
      </c>
      <c r="F50" s="203">
        <v>169.8242821</v>
      </c>
    </row>
    <row r="51" spans="1:6" x14ac:dyDescent="0.25">
      <c r="A51" s="201" t="s">
        <v>630</v>
      </c>
      <c r="B51" s="201" t="s">
        <v>1119</v>
      </c>
      <c r="C51" s="202" t="s">
        <v>1111</v>
      </c>
      <c r="D51" s="86">
        <v>1948.55</v>
      </c>
      <c r="E51" s="87">
        <v>2009</v>
      </c>
      <c r="F51" s="203">
        <v>179.08015580000003</v>
      </c>
    </row>
    <row r="52" spans="1:6" x14ac:dyDescent="0.25">
      <c r="A52" s="201" t="s">
        <v>630</v>
      </c>
      <c r="B52" s="201" t="s">
        <v>1150</v>
      </c>
      <c r="C52" s="202" t="s">
        <v>1111</v>
      </c>
      <c r="D52" s="86">
        <v>661.34</v>
      </c>
      <c r="E52" s="87">
        <v>696.2</v>
      </c>
      <c r="F52" s="203">
        <v>113.49384899999998</v>
      </c>
    </row>
    <row r="53" spans="1:6" x14ac:dyDescent="0.25">
      <c r="A53" s="201" t="s">
        <v>630</v>
      </c>
      <c r="B53" s="201" t="s">
        <v>1122</v>
      </c>
      <c r="C53" s="202" t="s">
        <v>1111</v>
      </c>
      <c r="D53" s="86">
        <v>2300.5700000000002</v>
      </c>
      <c r="E53" s="87">
        <v>2308.8000000000002</v>
      </c>
      <c r="F53" s="203">
        <v>51.617348999999997</v>
      </c>
    </row>
    <row r="54" spans="1:6" x14ac:dyDescent="0.25">
      <c r="A54" s="201" t="s">
        <v>630</v>
      </c>
      <c r="B54" s="201" t="s">
        <v>1151</v>
      </c>
      <c r="C54" s="202" t="s">
        <v>1111</v>
      </c>
      <c r="D54" s="86">
        <v>1435.32</v>
      </c>
      <c r="E54" s="87">
        <v>1449.3</v>
      </c>
      <c r="F54" s="203">
        <v>404.81777700000004</v>
      </c>
    </row>
    <row r="55" spans="1:6" x14ac:dyDescent="0.25">
      <c r="A55" s="201" t="s">
        <v>630</v>
      </c>
      <c r="B55" s="201" t="s">
        <v>1152</v>
      </c>
      <c r="C55" s="202" t="s">
        <v>1111</v>
      </c>
      <c r="D55" s="86">
        <v>777.43</v>
      </c>
      <c r="E55" s="87">
        <v>765.3</v>
      </c>
      <c r="F55" s="203">
        <v>95.506715</v>
      </c>
    </row>
    <row r="56" spans="1:6" x14ac:dyDescent="0.25">
      <c r="A56" s="201" t="s">
        <v>630</v>
      </c>
      <c r="B56" s="201" t="s">
        <v>1153</v>
      </c>
      <c r="C56" s="202" t="s">
        <v>1111</v>
      </c>
      <c r="D56" s="86">
        <v>143.5</v>
      </c>
      <c r="E56" s="87">
        <v>147.9</v>
      </c>
      <c r="F56" s="203">
        <v>5.5895192000000007</v>
      </c>
    </row>
    <row r="57" spans="1:6" x14ac:dyDescent="0.25">
      <c r="A57" s="201" t="s">
        <v>630</v>
      </c>
      <c r="B57" s="201" t="s">
        <v>1154</v>
      </c>
      <c r="C57" s="202" t="s">
        <v>1111</v>
      </c>
      <c r="D57" s="86">
        <v>416.31</v>
      </c>
      <c r="E57" s="87">
        <v>422</v>
      </c>
      <c r="F57" s="203">
        <v>57.048652799999999</v>
      </c>
    </row>
    <row r="58" spans="1:6" x14ac:dyDescent="0.25">
      <c r="A58" s="201" t="s">
        <v>630</v>
      </c>
      <c r="B58" s="201" t="s">
        <v>1155</v>
      </c>
      <c r="C58" s="202" t="s">
        <v>1111</v>
      </c>
      <c r="D58" s="86">
        <v>417.94</v>
      </c>
      <c r="E58" s="87">
        <v>418.95</v>
      </c>
      <c r="F58" s="203">
        <v>347.51504</v>
      </c>
    </row>
    <row r="59" spans="1:6" x14ac:dyDescent="0.25">
      <c r="A59" s="201" t="s">
        <v>630</v>
      </c>
      <c r="B59" s="201" t="s">
        <v>1156</v>
      </c>
      <c r="C59" s="202" t="s">
        <v>1111</v>
      </c>
      <c r="D59" s="86">
        <v>514.62</v>
      </c>
      <c r="E59" s="87">
        <v>524.25</v>
      </c>
      <c r="F59" s="203">
        <v>24.848414999999999</v>
      </c>
    </row>
    <row r="60" spans="1:6" x14ac:dyDescent="0.25">
      <c r="A60" s="201" t="s">
        <v>630</v>
      </c>
      <c r="B60" s="201" t="s">
        <v>1127</v>
      </c>
      <c r="C60" s="202" t="s">
        <v>1111</v>
      </c>
      <c r="D60" s="86">
        <v>3644.29</v>
      </c>
      <c r="E60" s="87">
        <v>3689.7</v>
      </c>
      <c r="F60" s="203">
        <v>122.39511719999999</v>
      </c>
    </row>
    <row r="61" spans="1:6" x14ac:dyDescent="0.25">
      <c r="A61" s="201" t="s">
        <v>630</v>
      </c>
      <c r="B61" s="201" t="s">
        <v>1128</v>
      </c>
      <c r="C61" s="202" t="s">
        <v>1111</v>
      </c>
      <c r="D61" s="86">
        <v>3122.09</v>
      </c>
      <c r="E61" s="87">
        <v>3173.4</v>
      </c>
      <c r="F61" s="203">
        <v>23.759879999999999</v>
      </c>
    </row>
    <row r="62" spans="1:6" x14ac:dyDescent="0.25">
      <c r="A62" s="201" t="s">
        <v>630</v>
      </c>
      <c r="B62" s="201" t="s">
        <v>1129</v>
      </c>
      <c r="C62" s="202" t="s">
        <v>1111</v>
      </c>
      <c r="D62" s="86">
        <v>333.7</v>
      </c>
      <c r="E62" s="87">
        <v>336.7</v>
      </c>
      <c r="F62" s="203">
        <v>3.6838500000000001</v>
      </c>
    </row>
    <row r="63" spans="1:6" x14ac:dyDescent="0.25">
      <c r="A63" s="201" t="s">
        <v>630</v>
      </c>
      <c r="B63" s="201" t="s">
        <v>1157</v>
      </c>
      <c r="C63" s="202" t="s">
        <v>1111</v>
      </c>
      <c r="D63" s="86">
        <v>105.97</v>
      </c>
      <c r="E63" s="87">
        <v>111.1</v>
      </c>
      <c r="F63" s="203">
        <v>44.198880000000003</v>
      </c>
    </row>
    <row r="64" spans="1:6" x14ac:dyDescent="0.25">
      <c r="A64" s="201" t="s">
        <v>630</v>
      </c>
      <c r="B64" s="201" t="s">
        <v>1131</v>
      </c>
      <c r="C64" s="202" t="s">
        <v>1111</v>
      </c>
      <c r="D64" s="86">
        <v>240.56</v>
      </c>
      <c r="E64" s="87">
        <v>249.57</v>
      </c>
      <c r="F64" s="203">
        <v>53.395442500000001</v>
      </c>
    </row>
    <row r="65" spans="1:6" x14ac:dyDescent="0.25">
      <c r="A65" s="201" t="s">
        <v>630</v>
      </c>
      <c r="B65" s="201" t="s">
        <v>1133</v>
      </c>
      <c r="C65" s="202" t="s">
        <v>1111</v>
      </c>
      <c r="D65" s="86">
        <v>1476.17</v>
      </c>
      <c r="E65" s="87">
        <v>1508.7</v>
      </c>
      <c r="F65" s="203">
        <v>326.90486249999998</v>
      </c>
    </row>
    <row r="66" spans="1:6" x14ac:dyDescent="0.25">
      <c r="A66" s="201" t="s">
        <v>630</v>
      </c>
      <c r="B66" s="201" t="s">
        <v>1134</v>
      </c>
      <c r="C66" s="202" t="s">
        <v>1111</v>
      </c>
      <c r="D66" s="86">
        <v>1814.92</v>
      </c>
      <c r="E66" s="87">
        <v>1850</v>
      </c>
      <c r="F66" s="203">
        <v>40.660722300000003</v>
      </c>
    </row>
    <row r="67" spans="1:6" x14ac:dyDescent="0.25">
      <c r="A67" s="201" t="s">
        <v>630</v>
      </c>
      <c r="B67" s="201" t="s">
        <v>1135</v>
      </c>
      <c r="C67" s="202" t="s">
        <v>1111</v>
      </c>
      <c r="D67" s="86">
        <v>813.34</v>
      </c>
      <c r="E67" s="87">
        <v>824.6</v>
      </c>
      <c r="F67" s="203">
        <v>45.058389599999998</v>
      </c>
    </row>
    <row r="68" spans="1:6" x14ac:dyDescent="0.25">
      <c r="A68" s="201" t="s">
        <v>630</v>
      </c>
      <c r="B68" s="201" t="s">
        <v>1136</v>
      </c>
      <c r="C68" s="202" t="s">
        <v>1111</v>
      </c>
      <c r="D68" s="86">
        <v>1668.09</v>
      </c>
      <c r="E68" s="87">
        <v>1679.9</v>
      </c>
      <c r="F68" s="203">
        <v>98.600811199999995</v>
      </c>
    </row>
    <row r="69" spans="1:6" x14ac:dyDescent="0.25">
      <c r="A69" s="201" t="s">
        <v>630</v>
      </c>
      <c r="B69" s="201" t="s">
        <v>1137</v>
      </c>
      <c r="C69" s="202" t="s">
        <v>1111</v>
      </c>
      <c r="D69" s="86">
        <v>3405.03</v>
      </c>
      <c r="E69" s="87">
        <v>3465.2</v>
      </c>
      <c r="F69" s="203">
        <v>121.87624860000001</v>
      </c>
    </row>
    <row r="70" spans="1:6" x14ac:dyDescent="0.25">
      <c r="A70" s="201" t="s">
        <v>630</v>
      </c>
      <c r="B70" s="201" t="s">
        <v>1158</v>
      </c>
      <c r="C70" s="202" t="s">
        <v>1111</v>
      </c>
      <c r="D70" s="86">
        <v>1107.71</v>
      </c>
      <c r="E70" s="87">
        <v>1103.0999999999999</v>
      </c>
      <c r="F70" s="203">
        <v>34.054904300000004</v>
      </c>
    </row>
    <row r="71" spans="1:6" x14ac:dyDescent="0.25">
      <c r="A71" s="201" t="s">
        <v>630</v>
      </c>
      <c r="B71" s="201" t="s">
        <v>1159</v>
      </c>
      <c r="C71" s="202" t="s">
        <v>1111</v>
      </c>
      <c r="D71" s="86">
        <v>681.71</v>
      </c>
      <c r="E71" s="87">
        <v>692.25</v>
      </c>
      <c r="F71" s="203">
        <v>72.370090000000005</v>
      </c>
    </row>
    <row r="72" spans="1:6" x14ac:dyDescent="0.25">
      <c r="A72" s="201" t="s">
        <v>630</v>
      </c>
      <c r="B72" s="201" t="s">
        <v>1160</v>
      </c>
      <c r="C72" s="202" t="s">
        <v>1111</v>
      </c>
      <c r="D72" s="86">
        <v>400.58</v>
      </c>
      <c r="E72" s="87">
        <v>407.5</v>
      </c>
      <c r="F72" s="203">
        <v>58.2005664</v>
      </c>
    </row>
    <row r="73" spans="1:6" x14ac:dyDescent="0.25">
      <c r="A73" s="201" t="s">
        <v>630</v>
      </c>
      <c r="B73" s="201" t="s">
        <v>1161</v>
      </c>
      <c r="C73" s="202" t="s">
        <v>1111</v>
      </c>
      <c r="D73" s="86">
        <v>153.26</v>
      </c>
      <c r="E73" s="87">
        <v>160.63</v>
      </c>
      <c r="F73" s="203">
        <v>43.547420000000002</v>
      </c>
    </row>
    <row r="74" spans="1:6" x14ac:dyDescent="0.25">
      <c r="A74" s="199"/>
      <c r="B74" s="199"/>
      <c r="C74" s="199"/>
      <c r="D74" s="200"/>
      <c r="E74" s="200"/>
      <c r="F74" s="200"/>
    </row>
    <row r="75" spans="1:6" x14ac:dyDescent="0.25">
      <c r="A75" s="201" t="s">
        <v>653</v>
      </c>
      <c r="B75" s="201" t="s">
        <v>1143</v>
      </c>
      <c r="C75" s="202" t="s">
        <v>1111</v>
      </c>
      <c r="D75" s="86">
        <v>1215.1500000000001</v>
      </c>
      <c r="E75" s="87">
        <v>1205.7</v>
      </c>
      <c r="F75" s="203">
        <v>2.7192938</v>
      </c>
    </row>
    <row r="76" spans="1:6" x14ac:dyDescent="0.25">
      <c r="A76" s="201" t="s">
        <v>653</v>
      </c>
      <c r="B76" s="201" t="s">
        <v>1110</v>
      </c>
      <c r="C76" s="202" t="s">
        <v>1111</v>
      </c>
      <c r="D76" s="86">
        <v>1972.64</v>
      </c>
      <c r="E76" s="87">
        <v>2066.1999999999998</v>
      </c>
      <c r="F76" s="203">
        <v>275.84732000000002</v>
      </c>
    </row>
    <row r="77" spans="1:6" x14ac:dyDescent="0.25">
      <c r="A77" s="201" t="s">
        <v>653</v>
      </c>
      <c r="B77" s="201" t="s">
        <v>1145</v>
      </c>
      <c r="C77" s="202" t="s">
        <v>1111</v>
      </c>
      <c r="D77" s="86">
        <v>236.31</v>
      </c>
      <c r="E77" s="87">
        <v>250.08</v>
      </c>
      <c r="F77" s="203">
        <v>476.79721139999998</v>
      </c>
    </row>
    <row r="78" spans="1:6" x14ac:dyDescent="0.25">
      <c r="A78" s="201" t="s">
        <v>653</v>
      </c>
      <c r="B78" s="201" t="s">
        <v>1113</v>
      </c>
      <c r="C78" s="202" t="s">
        <v>1111</v>
      </c>
      <c r="D78" s="86">
        <v>1925.97</v>
      </c>
      <c r="E78" s="87">
        <v>2006</v>
      </c>
      <c r="F78" s="203">
        <v>454.11833879999995</v>
      </c>
    </row>
    <row r="79" spans="1:6" x14ac:dyDescent="0.25">
      <c r="A79" s="201" t="s">
        <v>653</v>
      </c>
      <c r="B79" s="201" t="s">
        <v>1146</v>
      </c>
      <c r="C79" s="202" t="s">
        <v>1111</v>
      </c>
      <c r="D79" s="86">
        <v>108.16</v>
      </c>
      <c r="E79" s="87">
        <v>114.65</v>
      </c>
      <c r="F79" s="203">
        <v>459.77424560000003</v>
      </c>
    </row>
    <row r="80" spans="1:6" x14ac:dyDescent="0.25">
      <c r="A80" s="201" t="s">
        <v>653</v>
      </c>
      <c r="B80" s="201" t="s">
        <v>1147</v>
      </c>
      <c r="C80" s="202" t="s">
        <v>1111</v>
      </c>
      <c r="D80" s="86">
        <v>1491.72</v>
      </c>
      <c r="E80" s="87">
        <v>1511.6</v>
      </c>
      <c r="F80" s="203">
        <v>343.28599340000005</v>
      </c>
    </row>
    <row r="81" spans="1:6" x14ac:dyDescent="0.25">
      <c r="A81" s="201" t="s">
        <v>653</v>
      </c>
      <c r="B81" s="201" t="s">
        <v>1162</v>
      </c>
      <c r="C81" s="202" t="s">
        <v>1111</v>
      </c>
      <c r="D81" s="86">
        <v>186.18</v>
      </c>
      <c r="E81" s="87">
        <v>190.88</v>
      </c>
      <c r="F81" s="203">
        <v>30.159304300000002</v>
      </c>
    </row>
    <row r="82" spans="1:6" x14ac:dyDescent="0.25">
      <c r="A82" s="201" t="s">
        <v>653</v>
      </c>
      <c r="B82" s="201" t="s">
        <v>1117</v>
      </c>
      <c r="C82" s="202" t="s">
        <v>1111</v>
      </c>
      <c r="D82" s="86">
        <v>2698.93</v>
      </c>
      <c r="E82" s="87">
        <v>2863</v>
      </c>
      <c r="F82" s="203">
        <v>5.0833452000000001</v>
      </c>
    </row>
    <row r="83" spans="1:6" x14ac:dyDescent="0.25">
      <c r="A83" s="201" t="s">
        <v>653</v>
      </c>
      <c r="B83" s="201" t="s">
        <v>1119</v>
      </c>
      <c r="C83" s="202" t="s">
        <v>1111</v>
      </c>
      <c r="D83" s="86">
        <v>1939.7</v>
      </c>
      <c r="E83" s="87">
        <v>2009</v>
      </c>
      <c r="F83" s="203">
        <v>88.55612099999999</v>
      </c>
    </row>
    <row r="84" spans="1:6" x14ac:dyDescent="0.25">
      <c r="A84" s="201" t="s">
        <v>653</v>
      </c>
      <c r="B84" s="201" t="s">
        <v>1150</v>
      </c>
      <c r="C84" s="202" t="s">
        <v>1111</v>
      </c>
      <c r="D84" s="86">
        <v>648.54999999999995</v>
      </c>
      <c r="E84" s="87">
        <v>696.2</v>
      </c>
      <c r="F84" s="203">
        <v>136.975335</v>
      </c>
    </row>
    <row r="85" spans="1:6" x14ac:dyDescent="0.25">
      <c r="A85" s="201" t="s">
        <v>653</v>
      </c>
      <c r="B85" s="201" t="s">
        <v>1122</v>
      </c>
      <c r="C85" s="202" t="s">
        <v>1111</v>
      </c>
      <c r="D85" s="86">
        <v>2289.08</v>
      </c>
      <c r="E85" s="87">
        <v>2308.8000000000002</v>
      </c>
      <c r="F85" s="203">
        <v>46.701410999999993</v>
      </c>
    </row>
    <row r="86" spans="1:6" x14ac:dyDescent="0.25">
      <c r="A86" s="201" t="s">
        <v>653</v>
      </c>
      <c r="B86" s="201" t="s">
        <v>1123</v>
      </c>
      <c r="C86" s="202" t="s">
        <v>1111</v>
      </c>
      <c r="D86" s="86">
        <v>1432.82</v>
      </c>
      <c r="E86" s="87">
        <v>1452.8</v>
      </c>
      <c r="F86" s="203">
        <v>298.05064800000002</v>
      </c>
    </row>
    <row r="87" spans="1:6" x14ac:dyDescent="0.25">
      <c r="A87" s="201" t="s">
        <v>653</v>
      </c>
      <c r="B87" s="201" t="s">
        <v>1125</v>
      </c>
      <c r="C87" s="202" t="s">
        <v>1111</v>
      </c>
      <c r="D87" s="86">
        <v>1602.69</v>
      </c>
      <c r="E87" s="87">
        <v>1608.7</v>
      </c>
      <c r="F87" s="203">
        <v>138.28485000000001</v>
      </c>
    </row>
    <row r="88" spans="1:6" x14ac:dyDescent="0.25">
      <c r="A88" s="201" t="s">
        <v>653</v>
      </c>
      <c r="B88" s="201" t="s">
        <v>1155</v>
      </c>
      <c r="C88" s="202" t="s">
        <v>1111</v>
      </c>
      <c r="D88" s="86">
        <v>416.59</v>
      </c>
      <c r="E88" s="87">
        <v>418.95</v>
      </c>
      <c r="F88" s="203">
        <v>33.323360000000001</v>
      </c>
    </row>
    <row r="89" spans="1:6" x14ac:dyDescent="0.25">
      <c r="A89" s="201" t="s">
        <v>653</v>
      </c>
      <c r="B89" s="201" t="s">
        <v>1126</v>
      </c>
      <c r="C89" s="202" t="s">
        <v>1111</v>
      </c>
      <c r="D89" s="86">
        <v>2209.67</v>
      </c>
      <c r="E89" s="87">
        <v>2176.5</v>
      </c>
      <c r="F89" s="203">
        <v>481.33977400000003</v>
      </c>
    </row>
    <row r="90" spans="1:6" x14ac:dyDescent="0.25">
      <c r="A90" s="201" t="s">
        <v>653</v>
      </c>
      <c r="B90" s="201" t="s">
        <v>1163</v>
      </c>
      <c r="C90" s="202" t="s">
        <v>1111</v>
      </c>
      <c r="D90" s="86">
        <v>1442.25</v>
      </c>
      <c r="E90" s="87">
        <v>1493.1</v>
      </c>
      <c r="F90" s="203">
        <v>16.114647999999999</v>
      </c>
    </row>
    <row r="91" spans="1:6" x14ac:dyDescent="0.25">
      <c r="A91" s="201" t="s">
        <v>653</v>
      </c>
      <c r="B91" s="201" t="s">
        <v>1133</v>
      </c>
      <c r="C91" s="202" t="s">
        <v>1111</v>
      </c>
      <c r="D91" s="86">
        <v>1482.99</v>
      </c>
      <c r="E91" s="87">
        <v>1508.7</v>
      </c>
      <c r="F91" s="203">
        <v>433.18257499999999</v>
      </c>
    </row>
    <row r="92" spans="1:6" x14ac:dyDescent="0.25">
      <c r="A92" s="201" t="s">
        <v>653</v>
      </c>
      <c r="B92" s="201" t="s">
        <v>1137</v>
      </c>
      <c r="C92" s="202" t="s">
        <v>1111</v>
      </c>
      <c r="D92" s="86">
        <v>3448.88</v>
      </c>
      <c r="E92" s="87">
        <v>3465.2</v>
      </c>
      <c r="F92" s="203">
        <v>50.247225300000004</v>
      </c>
    </row>
    <row r="93" spans="1:6" x14ac:dyDescent="0.25">
      <c r="A93" s="201" t="s">
        <v>653</v>
      </c>
      <c r="B93" s="201" t="s">
        <v>1159</v>
      </c>
      <c r="C93" s="202" t="s">
        <v>1111</v>
      </c>
      <c r="D93" s="86">
        <v>682.17</v>
      </c>
      <c r="E93" s="87">
        <v>692.25</v>
      </c>
      <c r="F93" s="203">
        <v>87.957493999999997</v>
      </c>
    </row>
    <row r="94" spans="1:6" x14ac:dyDescent="0.25">
      <c r="A94" s="201" t="s">
        <v>653</v>
      </c>
      <c r="B94" s="201" t="s">
        <v>1164</v>
      </c>
      <c r="C94" s="202" t="s">
        <v>1111</v>
      </c>
      <c r="D94" s="86">
        <v>3489.25</v>
      </c>
      <c r="E94" s="87">
        <v>3692.6</v>
      </c>
      <c r="F94" s="203">
        <v>22.778541999999998</v>
      </c>
    </row>
    <row r="95" spans="1:6" x14ac:dyDescent="0.25">
      <c r="A95" s="199"/>
      <c r="B95" s="199"/>
      <c r="C95" s="199"/>
      <c r="D95" s="200"/>
      <c r="E95" s="200"/>
      <c r="F95" s="200"/>
    </row>
    <row r="96" spans="1:6" x14ac:dyDescent="0.25">
      <c r="A96" s="201" t="s">
        <v>690</v>
      </c>
      <c r="B96" s="201" t="s">
        <v>1141</v>
      </c>
      <c r="C96" s="202" t="s">
        <v>1111</v>
      </c>
      <c r="D96" s="86">
        <v>2486.5700000000002</v>
      </c>
      <c r="E96" s="87">
        <v>2631.7</v>
      </c>
      <c r="F96" s="203">
        <v>94.732343999999998</v>
      </c>
    </row>
    <row r="97" spans="1:6" x14ac:dyDescent="0.25">
      <c r="A97" s="201" t="s">
        <v>690</v>
      </c>
      <c r="B97" s="201" t="s">
        <v>1142</v>
      </c>
      <c r="C97" s="202" t="s">
        <v>1111</v>
      </c>
      <c r="D97" s="86">
        <v>1110.17</v>
      </c>
      <c r="E97" s="87">
        <v>1141.3</v>
      </c>
      <c r="F97" s="203">
        <v>114.65191849999999</v>
      </c>
    </row>
    <row r="98" spans="1:6" x14ac:dyDescent="0.25">
      <c r="A98" s="201" t="s">
        <v>690</v>
      </c>
      <c r="B98" s="201" t="s">
        <v>1143</v>
      </c>
      <c r="C98" s="202" t="s">
        <v>1111</v>
      </c>
      <c r="D98" s="86">
        <v>1218.3699999999999</v>
      </c>
      <c r="E98" s="87">
        <v>1205.7</v>
      </c>
      <c r="F98" s="203">
        <v>353.508194</v>
      </c>
    </row>
    <row r="99" spans="1:6" x14ac:dyDescent="0.25">
      <c r="A99" s="201" t="s">
        <v>690</v>
      </c>
      <c r="B99" s="201" t="s">
        <v>1144</v>
      </c>
      <c r="C99" s="202" t="s">
        <v>1111</v>
      </c>
      <c r="D99" s="86">
        <v>902.25</v>
      </c>
      <c r="E99" s="87">
        <v>942</v>
      </c>
      <c r="F99" s="203">
        <v>12.612375</v>
      </c>
    </row>
    <row r="100" spans="1:6" x14ac:dyDescent="0.25">
      <c r="A100" s="201" t="s">
        <v>690</v>
      </c>
      <c r="B100" s="201" t="s">
        <v>1110</v>
      </c>
      <c r="C100" s="202" t="s">
        <v>1111</v>
      </c>
      <c r="D100" s="86">
        <v>1969.44</v>
      </c>
      <c r="E100" s="87">
        <v>2066.1999999999998</v>
      </c>
      <c r="F100" s="203">
        <v>21.777419999999999</v>
      </c>
    </row>
    <row r="101" spans="1:6" x14ac:dyDescent="0.25">
      <c r="A101" s="201" t="s">
        <v>690</v>
      </c>
      <c r="B101" s="201" t="s">
        <v>1145</v>
      </c>
      <c r="C101" s="202" t="s">
        <v>1111</v>
      </c>
      <c r="D101" s="86">
        <v>235.39</v>
      </c>
      <c r="E101" s="87">
        <v>250.08</v>
      </c>
      <c r="F101" s="203">
        <v>208.41135970000002</v>
      </c>
    </row>
    <row r="102" spans="1:6" x14ac:dyDescent="0.25">
      <c r="A102" s="201" t="s">
        <v>690</v>
      </c>
      <c r="B102" s="201" t="s">
        <v>1113</v>
      </c>
      <c r="C102" s="202" t="s">
        <v>1111</v>
      </c>
      <c r="D102" s="86">
        <v>1928.17</v>
      </c>
      <c r="E102" s="87">
        <v>2006</v>
      </c>
      <c r="F102" s="203">
        <v>1500.6391722000001</v>
      </c>
    </row>
    <row r="103" spans="1:6" x14ac:dyDescent="0.25">
      <c r="A103" s="201" t="s">
        <v>690</v>
      </c>
      <c r="B103" s="201" t="s">
        <v>1117</v>
      </c>
      <c r="C103" s="202" t="s">
        <v>1111</v>
      </c>
      <c r="D103" s="86">
        <v>2724.54</v>
      </c>
      <c r="E103" s="87">
        <v>2863</v>
      </c>
      <c r="F103" s="203">
        <v>10.1666904</v>
      </c>
    </row>
    <row r="104" spans="1:6" x14ac:dyDescent="0.25">
      <c r="A104" s="201" t="s">
        <v>690</v>
      </c>
      <c r="B104" s="201" t="s">
        <v>1149</v>
      </c>
      <c r="C104" s="202" t="s">
        <v>1111</v>
      </c>
      <c r="D104" s="86">
        <v>538.16</v>
      </c>
      <c r="E104" s="87">
        <v>579.95000000000005</v>
      </c>
      <c r="F104" s="203">
        <v>11.1563397</v>
      </c>
    </row>
    <row r="105" spans="1:6" x14ac:dyDescent="0.25">
      <c r="A105" s="201" t="s">
        <v>690</v>
      </c>
      <c r="B105" s="201" t="s">
        <v>1119</v>
      </c>
      <c r="C105" s="202" t="s">
        <v>1111</v>
      </c>
      <c r="D105" s="86">
        <v>1941.68</v>
      </c>
      <c r="E105" s="87">
        <v>2009</v>
      </c>
      <c r="F105" s="203">
        <v>82.652379600000003</v>
      </c>
    </row>
    <row r="106" spans="1:6" x14ac:dyDescent="0.25">
      <c r="A106" s="201" t="s">
        <v>690</v>
      </c>
      <c r="B106" s="201" t="s">
        <v>1120</v>
      </c>
      <c r="C106" s="202" t="s">
        <v>1111</v>
      </c>
      <c r="D106" s="86">
        <v>777.86</v>
      </c>
      <c r="E106" s="87">
        <v>816.65</v>
      </c>
      <c r="F106" s="203">
        <v>111.8265123</v>
      </c>
    </row>
    <row r="107" spans="1:6" x14ac:dyDescent="0.25">
      <c r="A107" s="201" t="s">
        <v>690</v>
      </c>
      <c r="B107" s="201" t="s">
        <v>1150</v>
      </c>
      <c r="C107" s="202" t="s">
        <v>1111</v>
      </c>
      <c r="D107" s="86">
        <v>654.26</v>
      </c>
      <c r="E107" s="87">
        <v>696.2</v>
      </c>
      <c r="F107" s="203">
        <v>209.37658349999998</v>
      </c>
    </row>
    <row r="108" spans="1:6" x14ac:dyDescent="0.25">
      <c r="A108" s="201" t="s">
        <v>690</v>
      </c>
      <c r="B108" s="201" t="s">
        <v>1122</v>
      </c>
      <c r="C108" s="202" t="s">
        <v>1111</v>
      </c>
      <c r="D108" s="86">
        <v>2282.2800000000002</v>
      </c>
      <c r="E108" s="87">
        <v>2308.8000000000002</v>
      </c>
      <c r="F108" s="203">
        <v>129.0433725</v>
      </c>
    </row>
    <row r="109" spans="1:6" x14ac:dyDescent="0.25">
      <c r="A109" s="201" t="s">
        <v>690</v>
      </c>
      <c r="B109" s="201" t="s">
        <v>1154</v>
      </c>
      <c r="C109" s="202" t="s">
        <v>1111</v>
      </c>
      <c r="D109" s="86">
        <v>405</v>
      </c>
      <c r="E109" s="87">
        <v>422</v>
      </c>
      <c r="F109" s="203">
        <v>3.1693696</v>
      </c>
    </row>
    <row r="110" spans="1:6" x14ac:dyDescent="0.25">
      <c r="A110" s="201" t="s">
        <v>690</v>
      </c>
      <c r="B110" s="201" t="s">
        <v>1125</v>
      </c>
      <c r="C110" s="202" t="s">
        <v>1111</v>
      </c>
      <c r="D110" s="86">
        <v>1596.38</v>
      </c>
      <c r="E110" s="87">
        <v>1608.7</v>
      </c>
      <c r="F110" s="203">
        <v>892.56584999999995</v>
      </c>
    </row>
    <row r="111" spans="1:6" x14ac:dyDescent="0.25">
      <c r="A111" s="201" t="s">
        <v>690</v>
      </c>
      <c r="B111" s="201" t="s">
        <v>1165</v>
      </c>
      <c r="C111" s="202" t="s">
        <v>1111</v>
      </c>
      <c r="D111" s="86">
        <v>5389.99</v>
      </c>
      <c r="E111" s="87">
        <v>5995.5</v>
      </c>
      <c r="F111" s="203">
        <v>178.11478650000004</v>
      </c>
    </row>
    <row r="112" spans="1:6" x14ac:dyDescent="0.25">
      <c r="A112" s="201" t="s">
        <v>690</v>
      </c>
      <c r="B112" s="201" t="s">
        <v>1155</v>
      </c>
      <c r="C112" s="202" t="s">
        <v>1111</v>
      </c>
      <c r="D112" s="86">
        <v>417.83</v>
      </c>
      <c r="E112" s="87">
        <v>418.95</v>
      </c>
      <c r="F112" s="203">
        <v>239.21412000000001</v>
      </c>
    </row>
    <row r="113" spans="1:6" x14ac:dyDescent="0.25">
      <c r="A113" s="201" t="s">
        <v>690</v>
      </c>
      <c r="B113" s="201" t="s">
        <v>1166</v>
      </c>
      <c r="C113" s="202" t="s">
        <v>1111</v>
      </c>
      <c r="D113" s="86">
        <v>990.84</v>
      </c>
      <c r="E113" s="87">
        <v>1022.55</v>
      </c>
      <c r="F113" s="203">
        <v>164.69690159999999</v>
      </c>
    </row>
    <row r="114" spans="1:6" x14ac:dyDescent="0.25">
      <c r="A114" s="201" t="s">
        <v>690</v>
      </c>
      <c r="B114" s="201" t="s">
        <v>1126</v>
      </c>
      <c r="C114" s="202" t="s">
        <v>1111</v>
      </c>
      <c r="D114" s="86">
        <v>2206.86</v>
      </c>
      <c r="E114" s="87">
        <v>2176.5</v>
      </c>
      <c r="F114" s="203">
        <v>72.122572000000005</v>
      </c>
    </row>
    <row r="115" spans="1:6" x14ac:dyDescent="0.25">
      <c r="A115" s="201" t="s">
        <v>690</v>
      </c>
      <c r="B115" s="201" t="s">
        <v>1127</v>
      </c>
      <c r="C115" s="202" t="s">
        <v>1111</v>
      </c>
      <c r="D115" s="86">
        <v>3656.35</v>
      </c>
      <c r="E115" s="87">
        <v>3689.7</v>
      </c>
      <c r="F115" s="203">
        <v>142.98494999999997</v>
      </c>
    </row>
    <row r="116" spans="1:6" x14ac:dyDescent="0.25">
      <c r="A116" s="201" t="s">
        <v>690</v>
      </c>
      <c r="B116" s="201" t="s">
        <v>1167</v>
      </c>
      <c r="C116" s="202" t="s">
        <v>1111</v>
      </c>
      <c r="D116" s="86">
        <v>1953.13</v>
      </c>
      <c r="E116" s="87">
        <v>1942.8</v>
      </c>
      <c r="F116" s="203">
        <v>27.840301200000003</v>
      </c>
    </row>
    <row r="117" spans="1:6" x14ac:dyDescent="0.25">
      <c r="A117" s="201" t="s">
        <v>690</v>
      </c>
      <c r="B117" s="201" t="s">
        <v>1128</v>
      </c>
      <c r="C117" s="202" t="s">
        <v>1111</v>
      </c>
      <c r="D117" s="86">
        <v>3121.92</v>
      </c>
      <c r="E117" s="87">
        <v>3173.4</v>
      </c>
      <c r="F117" s="203">
        <v>52.521839999999997</v>
      </c>
    </row>
    <row r="118" spans="1:6" x14ac:dyDescent="0.25">
      <c r="A118" s="201" t="s">
        <v>690</v>
      </c>
      <c r="B118" s="201" t="s">
        <v>1129</v>
      </c>
      <c r="C118" s="202" t="s">
        <v>1111</v>
      </c>
      <c r="D118" s="86">
        <v>335.88</v>
      </c>
      <c r="E118" s="87">
        <v>336.7</v>
      </c>
      <c r="F118" s="203">
        <v>109.5945375</v>
      </c>
    </row>
    <row r="119" spans="1:6" x14ac:dyDescent="0.25">
      <c r="A119" s="201" t="s">
        <v>690</v>
      </c>
      <c r="B119" s="201" t="s">
        <v>1133</v>
      </c>
      <c r="C119" s="202" t="s">
        <v>1111</v>
      </c>
      <c r="D119" s="86">
        <v>1472.15</v>
      </c>
      <c r="E119" s="87">
        <v>1508.7</v>
      </c>
      <c r="F119" s="203">
        <v>1257.8438125</v>
      </c>
    </row>
    <row r="120" spans="1:6" x14ac:dyDescent="0.25">
      <c r="A120" s="201" t="s">
        <v>690</v>
      </c>
      <c r="B120" s="201" t="s">
        <v>1134</v>
      </c>
      <c r="C120" s="202" t="s">
        <v>1111</v>
      </c>
      <c r="D120" s="86">
        <v>1812.6</v>
      </c>
      <c r="E120" s="87">
        <v>1850</v>
      </c>
      <c r="F120" s="203">
        <v>17.250003399999997</v>
      </c>
    </row>
    <row r="121" spans="1:6" x14ac:dyDescent="0.25">
      <c r="A121" s="201" t="s">
        <v>690</v>
      </c>
      <c r="B121" s="201" t="s">
        <v>1135</v>
      </c>
      <c r="C121" s="202" t="s">
        <v>1111</v>
      </c>
      <c r="D121" s="86">
        <v>817.76</v>
      </c>
      <c r="E121" s="87">
        <v>824.6</v>
      </c>
      <c r="F121" s="203">
        <v>510.66174880000005</v>
      </c>
    </row>
    <row r="122" spans="1:6" x14ac:dyDescent="0.25">
      <c r="A122" s="201" t="s">
        <v>690</v>
      </c>
      <c r="B122" s="201" t="s">
        <v>1137</v>
      </c>
      <c r="C122" s="202" t="s">
        <v>1111</v>
      </c>
      <c r="D122" s="86">
        <v>3434.77</v>
      </c>
      <c r="E122" s="87">
        <v>3465.2</v>
      </c>
      <c r="F122" s="203">
        <v>27.796337400000002</v>
      </c>
    </row>
    <row r="123" spans="1:6" x14ac:dyDescent="0.25">
      <c r="A123" s="201" t="s">
        <v>690</v>
      </c>
      <c r="B123" s="201" t="s">
        <v>1159</v>
      </c>
      <c r="C123" s="202" t="s">
        <v>1111</v>
      </c>
      <c r="D123" s="86">
        <v>678.77</v>
      </c>
      <c r="E123" s="87">
        <v>692.25</v>
      </c>
      <c r="F123" s="203">
        <v>38.968510000000002</v>
      </c>
    </row>
    <row r="124" spans="1:6" x14ac:dyDescent="0.25">
      <c r="A124" s="201" t="s">
        <v>690</v>
      </c>
      <c r="B124" s="201" t="s">
        <v>1164</v>
      </c>
      <c r="C124" s="202" t="s">
        <v>1111</v>
      </c>
      <c r="D124" s="86">
        <v>3489.5</v>
      </c>
      <c r="E124" s="87">
        <v>3692.6</v>
      </c>
      <c r="F124" s="203">
        <v>1.1389270999999999</v>
      </c>
    </row>
    <row r="125" spans="1:6" x14ac:dyDescent="0.25">
      <c r="A125" s="201" t="s">
        <v>690</v>
      </c>
      <c r="B125" s="201" t="s">
        <v>1168</v>
      </c>
      <c r="C125" s="202" t="s">
        <v>1111</v>
      </c>
      <c r="D125" s="86">
        <v>2802.08</v>
      </c>
      <c r="E125" s="87">
        <v>2920.6</v>
      </c>
      <c r="F125" s="203">
        <v>160.57800499999999</v>
      </c>
    </row>
    <row r="126" spans="1:6" x14ac:dyDescent="0.25">
      <c r="A126" s="201" t="s">
        <v>690</v>
      </c>
      <c r="B126" s="201" t="s">
        <v>1169</v>
      </c>
      <c r="C126" s="202" t="s">
        <v>1111</v>
      </c>
      <c r="D126" s="86">
        <v>1438.98</v>
      </c>
      <c r="E126" s="87">
        <v>1433.4</v>
      </c>
      <c r="F126" s="203">
        <v>47.150183999999996</v>
      </c>
    </row>
    <row r="127" spans="1:6" x14ac:dyDescent="0.25">
      <c r="A127" s="199"/>
      <c r="B127" s="199"/>
      <c r="C127" s="199"/>
      <c r="D127" s="200"/>
      <c r="E127" s="200"/>
      <c r="F127" s="200"/>
    </row>
    <row r="128" spans="1:6" x14ac:dyDescent="0.25">
      <c r="A128" s="201" t="s">
        <v>833</v>
      </c>
      <c r="B128" s="201" t="s">
        <v>1141</v>
      </c>
      <c r="C128" s="202" t="s">
        <v>1111</v>
      </c>
      <c r="D128" s="86">
        <v>2552.27</v>
      </c>
      <c r="E128" s="87">
        <v>2631.7</v>
      </c>
      <c r="F128" s="203">
        <v>51.877236000000003</v>
      </c>
    </row>
    <row r="129" spans="1:6" x14ac:dyDescent="0.25">
      <c r="A129" s="201" t="s">
        <v>833</v>
      </c>
      <c r="B129" s="201" t="s">
        <v>1170</v>
      </c>
      <c r="C129" s="202" t="s">
        <v>1111</v>
      </c>
      <c r="D129" s="86">
        <v>4854.29</v>
      </c>
      <c r="E129" s="87">
        <v>4964.5</v>
      </c>
      <c r="F129" s="203">
        <v>74.074100000000001</v>
      </c>
    </row>
    <row r="130" spans="1:6" x14ac:dyDescent="0.25">
      <c r="A130" s="201" t="s">
        <v>833</v>
      </c>
      <c r="B130" s="201" t="s">
        <v>1143</v>
      </c>
      <c r="C130" s="202" t="s">
        <v>1111</v>
      </c>
      <c r="D130" s="86">
        <v>1218.3900000000001</v>
      </c>
      <c r="E130" s="87">
        <v>1205.7</v>
      </c>
      <c r="F130" s="203">
        <v>439.1659487</v>
      </c>
    </row>
    <row r="131" spans="1:6" x14ac:dyDescent="0.25">
      <c r="A131" s="201" t="s">
        <v>833</v>
      </c>
      <c r="B131" s="201" t="s">
        <v>1113</v>
      </c>
      <c r="C131" s="202" t="s">
        <v>1111</v>
      </c>
      <c r="D131" s="86">
        <v>1936.11</v>
      </c>
      <c r="E131" s="87">
        <v>2006</v>
      </c>
      <c r="F131" s="203">
        <v>298.76206500000001</v>
      </c>
    </row>
    <row r="132" spans="1:6" x14ac:dyDescent="0.25">
      <c r="A132" s="201" t="s">
        <v>833</v>
      </c>
      <c r="B132" s="201" t="s">
        <v>1147</v>
      </c>
      <c r="C132" s="202" t="s">
        <v>1111</v>
      </c>
      <c r="D132" s="86">
        <v>1492.7</v>
      </c>
      <c r="E132" s="87">
        <v>1511.6</v>
      </c>
      <c r="F132" s="203">
        <v>2.0016676000000002</v>
      </c>
    </row>
    <row r="133" spans="1:6" x14ac:dyDescent="0.25">
      <c r="A133" s="201" t="s">
        <v>833</v>
      </c>
      <c r="B133" s="201" t="s">
        <v>1171</v>
      </c>
      <c r="C133" s="202" t="s">
        <v>1111</v>
      </c>
      <c r="D133" s="86">
        <v>5547.88</v>
      </c>
      <c r="E133" s="87">
        <v>5665.5</v>
      </c>
      <c r="F133" s="203">
        <v>22.847312799999997</v>
      </c>
    </row>
    <row r="134" spans="1:6" x14ac:dyDescent="0.25">
      <c r="A134" s="201" t="s">
        <v>833</v>
      </c>
      <c r="B134" s="201" t="s">
        <v>1117</v>
      </c>
      <c r="C134" s="202" t="s">
        <v>1111</v>
      </c>
      <c r="D134" s="86">
        <v>2738.81</v>
      </c>
      <c r="E134" s="87">
        <v>2863</v>
      </c>
      <c r="F134" s="203">
        <v>33.041743799999999</v>
      </c>
    </row>
    <row r="135" spans="1:6" x14ac:dyDescent="0.25">
      <c r="A135" s="201" t="s">
        <v>833</v>
      </c>
      <c r="B135" s="201" t="s">
        <v>1120</v>
      </c>
      <c r="C135" s="202" t="s">
        <v>1111</v>
      </c>
      <c r="D135" s="86">
        <v>780.6</v>
      </c>
      <c r="E135" s="87">
        <v>816.65</v>
      </c>
      <c r="F135" s="203">
        <v>1.5750213</v>
      </c>
    </row>
    <row r="136" spans="1:6" x14ac:dyDescent="0.25">
      <c r="A136" s="201" t="s">
        <v>833</v>
      </c>
      <c r="B136" s="201" t="s">
        <v>1121</v>
      </c>
      <c r="C136" s="202" t="s">
        <v>1111</v>
      </c>
      <c r="D136" s="86">
        <v>4949.34</v>
      </c>
      <c r="E136" s="87">
        <v>4900.2</v>
      </c>
      <c r="F136" s="203">
        <v>64.505984999999995</v>
      </c>
    </row>
    <row r="137" spans="1:6" x14ac:dyDescent="0.25">
      <c r="A137" s="201" t="s">
        <v>833</v>
      </c>
      <c r="B137" s="201" t="s">
        <v>1172</v>
      </c>
      <c r="C137" s="202" t="s">
        <v>1111</v>
      </c>
      <c r="D137" s="86">
        <v>390.31</v>
      </c>
      <c r="E137" s="87">
        <v>440.75</v>
      </c>
      <c r="F137" s="203">
        <v>150.34084569999999</v>
      </c>
    </row>
    <row r="138" spans="1:6" x14ac:dyDescent="0.25">
      <c r="A138" s="201" t="s">
        <v>833</v>
      </c>
      <c r="B138" s="201" t="s">
        <v>1125</v>
      </c>
      <c r="C138" s="202" t="s">
        <v>1111</v>
      </c>
      <c r="D138" s="86">
        <v>1595.78</v>
      </c>
      <c r="E138" s="87">
        <v>1608.7</v>
      </c>
      <c r="F138" s="203">
        <v>705.13845000000003</v>
      </c>
    </row>
    <row r="139" spans="1:6" x14ac:dyDescent="0.25">
      <c r="A139" s="201" t="s">
        <v>833</v>
      </c>
      <c r="B139" s="201" t="s">
        <v>1127</v>
      </c>
      <c r="C139" s="202" t="s">
        <v>1111</v>
      </c>
      <c r="D139" s="86">
        <v>3617.79</v>
      </c>
      <c r="E139" s="87">
        <v>3689.7</v>
      </c>
      <c r="F139" s="203">
        <v>467.84675639999995</v>
      </c>
    </row>
    <row r="140" spans="1:6" x14ac:dyDescent="0.25">
      <c r="A140" s="201" t="s">
        <v>833</v>
      </c>
      <c r="B140" s="201" t="s">
        <v>1128</v>
      </c>
      <c r="C140" s="202" t="s">
        <v>1111</v>
      </c>
      <c r="D140" s="86">
        <v>3134.46</v>
      </c>
      <c r="E140" s="87">
        <v>3173.4</v>
      </c>
      <c r="F140" s="203">
        <v>766.56876</v>
      </c>
    </row>
    <row r="141" spans="1:6" x14ac:dyDescent="0.25">
      <c r="A141" s="201" t="s">
        <v>833</v>
      </c>
      <c r="B141" s="201" t="s">
        <v>1173</v>
      </c>
      <c r="C141" s="202" t="s">
        <v>1111</v>
      </c>
      <c r="D141" s="86">
        <v>253.35</v>
      </c>
      <c r="E141" s="87">
        <v>244.19</v>
      </c>
      <c r="F141" s="203">
        <v>12.2274405</v>
      </c>
    </row>
    <row r="142" spans="1:6" x14ac:dyDescent="0.25">
      <c r="A142" s="201" t="s">
        <v>833</v>
      </c>
      <c r="B142" s="201" t="s">
        <v>1157</v>
      </c>
      <c r="C142" s="202" t="s">
        <v>1111</v>
      </c>
      <c r="D142" s="86">
        <v>104.25</v>
      </c>
      <c r="E142" s="87">
        <v>111.1</v>
      </c>
      <c r="F142" s="203">
        <v>9.2081</v>
      </c>
    </row>
    <row r="143" spans="1:6" x14ac:dyDescent="0.25">
      <c r="A143" s="201" t="s">
        <v>833</v>
      </c>
      <c r="B143" s="201" t="s">
        <v>1159</v>
      </c>
      <c r="C143" s="202" t="s">
        <v>1111</v>
      </c>
      <c r="D143" s="86">
        <v>678.73</v>
      </c>
      <c r="E143" s="87">
        <v>692.25</v>
      </c>
      <c r="F143" s="203">
        <v>77.937020000000004</v>
      </c>
    </row>
    <row r="144" spans="1:6" x14ac:dyDescent="0.25">
      <c r="A144" s="201" t="s">
        <v>833</v>
      </c>
      <c r="B144" s="201" t="s">
        <v>1161</v>
      </c>
      <c r="C144" s="202" t="s">
        <v>1111</v>
      </c>
      <c r="D144" s="86">
        <v>153.69999999999999</v>
      </c>
      <c r="E144" s="87">
        <v>160.63</v>
      </c>
      <c r="F144" s="203">
        <v>3.4837935999999998</v>
      </c>
    </row>
    <row r="145" spans="1:6" x14ac:dyDescent="0.25">
      <c r="A145" s="201" t="s">
        <v>833</v>
      </c>
      <c r="B145" s="201" t="s">
        <v>1174</v>
      </c>
      <c r="C145" s="202" t="s">
        <v>1111</v>
      </c>
      <c r="D145" s="86">
        <v>1692.88</v>
      </c>
      <c r="E145" s="87">
        <v>1693</v>
      </c>
      <c r="F145" s="203">
        <v>80.332559999999987</v>
      </c>
    </row>
    <row r="146" spans="1:6" x14ac:dyDescent="0.25">
      <c r="A146" s="201" t="s">
        <v>833</v>
      </c>
      <c r="B146" s="201" t="s">
        <v>1164</v>
      </c>
      <c r="C146" s="202" t="s">
        <v>1111</v>
      </c>
      <c r="D146" s="86">
        <v>3495.86</v>
      </c>
      <c r="E146" s="87">
        <v>3692.6</v>
      </c>
      <c r="F146" s="203">
        <v>9.1114167999999989</v>
      </c>
    </row>
    <row r="147" spans="1:6" x14ac:dyDescent="0.25">
      <c r="A147" s="201" t="s">
        <v>833</v>
      </c>
      <c r="B147" s="201" t="s">
        <v>1168</v>
      </c>
      <c r="C147" s="202" t="s">
        <v>1111</v>
      </c>
      <c r="D147" s="86">
        <v>2796.02</v>
      </c>
      <c r="E147" s="87">
        <v>2920.6</v>
      </c>
      <c r="F147" s="203">
        <v>360.82822299999998</v>
      </c>
    </row>
    <row r="148" spans="1:6" x14ac:dyDescent="0.25">
      <c r="A148" s="201" t="s">
        <v>833</v>
      </c>
      <c r="B148" s="201" t="s">
        <v>1175</v>
      </c>
      <c r="C148" s="202" t="s">
        <v>1111</v>
      </c>
      <c r="D148" s="86">
        <v>11863.05</v>
      </c>
      <c r="E148" s="87">
        <v>12112</v>
      </c>
      <c r="F148" s="203">
        <v>188.17902000000001</v>
      </c>
    </row>
    <row r="149" spans="1:6" x14ac:dyDescent="0.25">
      <c r="A149" s="201"/>
      <c r="B149" s="201"/>
      <c r="C149" s="202"/>
      <c r="D149" s="86"/>
      <c r="E149" s="87"/>
      <c r="F149" s="203"/>
    </row>
    <row r="150" spans="1:6" x14ac:dyDescent="0.25">
      <c r="F150" s="204"/>
    </row>
    <row r="151" spans="1:6" x14ac:dyDescent="0.25">
      <c r="A151" s="130" t="s">
        <v>1176</v>
      </c>
      <c r="D151" s="205"/>
      <c r="E151" s="205"/>
      <c r="F151" s="205"/>
    </row>
    <row r="153" spans="1:6" x14ac:dyDescent="0.25">
      <c r="A153" s="206" t="s">
        <v>1104</v>
      </c>
      <c r="B153" s="206" t="s">
        <v>1177</v>
      </c>
    </row>
    <row r="154" spans="1:6" x14ac:dyDescent="0.25">
      <c r="A154" s="201" t="s">
        <v>502</v>
      </c>
      <c r="B154" s="207">
        <v>3.6440490000000003</v>
      </c>
    </row>
    <row r="155" spans="1:6" x14ac:dyDescent="0.25">
      <c r="A155" s="201" t="s">
        <v>630</v>
      </c>
      <c r="B155" s="207">
        <v>69.653625999999988</v>
      </c>
    </row>
    <row r="156" spans="1:6" x14ac:dyDescent="0.25">
      <c r="A156" s="208" t="s">
        <v>653</v>
      </c>
      <c r="B156" s="207">
        <v>13.05846</v>
      </c>
    </row>
    <row r="157" spans="1:6" x14ac:dyDescent="0.25">
      <c r="A157" s="208" t="s">
        <v>690</v>
      </c>
      <c r="B157" s="207">
        <v>34.351958999999994</v>
      </c>
    </row>
    <row r="158" spans="1:6" x14ac:dyDescent="0.25">
      <c r="A158" s="208" t="s">
        <v>833</v>
      </c>
      <c r="B158" s="207">
        <v>7.6134550000000001</v>
      </c>
    </row>
    <row r="160" spans="1:6" x14ac:dyDescent="0.25">
      <c r="A160" s="130" t="s">
        <v>1178</v>
      </c>
    </row>
    <row r="161" spans="1:11" x14ac:dyDescent="0.25">
      <c r="A161" s="130"/>
    </row>
    <row r="162" spans="1:11" ht="67.5" x14ac:dyDescent="0.25">
      <c r="A162" s="199" t="s">
        <v>1104</v>
      </c>
      <c r="B162" s="200" t="s">
        <v>1179</v>
      </c>
      <c r="C162" s="200" t="s">
        <v>1180</v>
      </c>
      <c r="D162" s="200" t="s">
        <v>1181</v>
      </c>
      <c r="E162" s="200" t="s">
        <v>1182</v>
      </c>
      <c r="F162" s="200" t="s">
        <v>1183</v>
      </c>
    </row>
    <row r="163" spans="1:11" x14ac:dyDescent="0.25">
      <c r="A163" s="201" t="s">
        <v>502</v>
      </c>
      <c r="B163" s="16">
        <v>2774</v>
      </c>
      <c r="C163" s="16">
        <v>2774</v>
      </c>
      <c r="D163" s="17">
        <v>22992.896335700003</v>
      </c>
      <c r="E163" s="17">
        <v>22548.774887800002</v>
      </c>
      <c r="F163" s="17">
        <v>-444.12144790000093</v>
      </c>
      <c r="G163" s="18"/>
      <c r="H163" s="209"/>
      <c r="I163" s="210"/>
      <c r="J163" s="210"/>
      <c r="K163" s="210"/>
    </row>
    <row r="164" spans="1:11" x14ac:dyDescent="0.25">
      <c r="A164" s="201" t="s">
        <v>630</v>
      </c>
      <c r="B164" s="16">
        <v>8936</v>
      </c>
      <c r="C164" s="16">
        <v>8936</v>
      </c>
      <c r="D164" s="17">
        <v>60683.401344700003</v>
      </c>
      <c r="E164" s="17">
        <v>59670.89712059997</v>
      </c>
      <c r="F164" s="17">
        <v>-1042.9610491000337</v>
      </c>
      <c r="G164" s="18"/>
      <c r="H164" s="209"/>
      <c r="I164" s="210"/>
      <c r="J164" s="210"/>
      <c r="K164" s="210"/>
    </row>
    <row r="165" spans="1:11" x14ac:dyDescent="0.25">
      <c r="A165" s="201" t="s">
        <v>653</v>
      </c>
      <c r="B165" s="16">
        <v>8493</v>
      </c>
      <c r="C165" s="16">
        <v>8493</v>
      </c>
      <c r="D165" s="17">
        <v>63408.200289500011</v>
      </c>
      <c r="E165" s="17">
        <v>62738.291736099971</v>
      </c>
      <c r="F165" s="17">
        <v>-824.25607840004056</v>
      </c>
      <c r="G165" s="18"/>
      <c r="H165" s="209"/>
      <c r="I165" s="210"/>
      <c r="J165" s="210"/>
      <c r="K165" s="210"/>
    </row>
    <row r="166" spans="1:11" x14ac:dyDescent="0.25">
      <c r="A166" s="208" t="s">
        <v>690</v>
      </c>
      <c r="B166" s="16">
        <v>15671.2</v>
      </c>
      <c r="C166" s="16">
        <v>15671.2</v>
      </c>
      <c r="D166" s="17">
        <v>111154.94938400001</v>
      </c>
      <c r="E166" s="17">
        <v>109275.07865990003</v>
      </c>
      <c r="F166" s="17">
        <v>-1913.8197365999793</v>
      </c>
      <c r="G166" s="18"/>
      <c r="H166" s="209"/>
      <c r="I166" s="210"/>
      <c r="J166" s="210"/>
      <c r="K166" s="210"/>
    </row>
    <row r="167" spans="1:11" x14ac:dyDescent="0.25">
      <c r="A167" s="201" t="s">
        <v>1054</v>
      </c>
      <c r="B167" s="16">
        <v>1194</v>
      </c>
      <c r="C167" s="16">
        <v>1194</v>
      </c>
      <c r="D167" s="17">
        <v>7649.8414249999996</v>
      </c>
      <c r="E167" s="17">
        <v>6766.4309936</v>
      </c>
      <c r="F167" s="17">
        <v>-883.41043139999965</v>
      </c>
      <c r="G167" s="18"/>
      <c r="H167" s="209"/>
      <c r="I167" s="210"/>
      <c r="J167" s="210"/>
      <c r="K167" s="210"/>
    </row>
    <row r="168" spans="1:11" x14ac:dyDescent="0.25">
      <c r="A168" s="201" t="s">
        <v>182</v>
      </c>
      <c r="B168" s="16">
        <v>868</v>
      </c>
      <c r="C168" s="16">
        <v>868</v>
      </c>
      <c r="D168" s="17">
        <v>4134.9567500000003</v>
      </c>
      <c r="E168" s="17">
        <v>4071.5288227000005</v>
      </c>
      <c r="F168" s="17">
        <v>-63.427927299999737</v>
      </c>
      <c r="G168" s="18"/>
      <c r="H168" s="209"/>
      <c r="I168" s="210"/>
      <c r="J168" s="210"/>
      <c r="K168" s="210"/>
    </row>
    <row r="169" spans="1:11" x14ac:dyDescent="0.25">
      <c r="A169" s="201" t="s">
        <v>833</v>
      </c>
      <c r="B169" s="16">
        <v>10140</v>
      </c>
      <c r="C169" s="16">
        <v>10140</v>
      </c>
      <c r="D169" s="17">
        <v>64913.171859099988</v>
      </c>
      <c r="E169" s="17">
        <v>63106.185937199982</v>
      </c>
      <c r="F169" s="17">
        <v>-1808.5419219000064</v>
      </c>
      <c r="G169" s="18"/>
      <c r="H169" s="209"/>
      <c r="I169" s="210"/>
      <c r="J169" s="210"/>
      <c r="K169" s="210"/>
    </row>
    <row r="170" spans="1:11" x14ac:dyDescent="0.25">
      <c r="A170" s="208"/>
      <c r="B170" s="16"/>
      <c r="C170" s="16"/>
      <c r="D170" s="17"/>
      <c r="E170" s="17"/>
      <c r="F170" s="17"/>
      <c r="G170" s="211"/>
      <c r="K170" s="209"/>
    </row>
    <row r="171" spans="1:11" ht="27" hidden="1" x14ac:dyDescent="0.25">
      <c r="A171" s="199" t="s">
        <v>1104</v>
      </c>
      <c r="B171" s="199" t="s">
        <v>1105</v>
      </c>
      <c r="C171" s="199" t="s">
        <v>1106</v>
      </c>
      <c r="D171" s="200" t="s">
        <v>1107</v>
      </c>
      <c r="E171" s="200" t="s">
        <v>1108</v>
      </c>
      <c r="F171" s="200" t="s">
        <v>1184</v>
      </c>
    </row>
    <row r="172" spans="1:11" hidden="1" x14ac:dyDescent="0.25">
      <c r="A172" s="202" t="s">
        <v>663</v>
      </c>
      <c r="B172" s="202" t="s">
        <v>663</v>
      </c>
      <c r="C172" s="202" t="s">
        <v>1185</v>
      </c>
      <c r="D172" s="202" t="s">
        <v>663</v>
      </c>
      <c r="E172" s="202" t="s">
        <v>663</v>
      </c>
      <c r="F172" s="202" t="s">
        <v>663</v>
      </c>
    </row>
    <row r="173" spans="1:11" hidden="1" x14ac:dyDescent="0.25">
      <c r="A173" s="201"/>
      <c r="B173" s="212"/>
      <c r="C173" s="202" t="s">
        <v>1185</v>
      </c>
      <c r="D173" s="213"/>
      <c r="E173" s="214"/>
      <c r="F173" s="215"/>
    </row>
    <row r="174" spans="1:11" hidden="1" x14ac:dyDescent="0.25">
      <c r="A174" s="201"/>
      <c r="B174" s="212"/>
      <c r="C174" s="202" t="s">
        <v>1185</v>
      </c>
      <c r="D174" s="213"/>
      <c r="E174" s="214"/>
      <c r="F174" s="215"/>
    </row>
    <row r="175" spans="1:11" hidden="1" x14ac:dyDescent="0.25">
      <c r="A175" s="201"/>
      <c r="B175" s="212"/>
      <c r="C175" s="202" t="s">
        <v>1185</v>
      </c>
      <c r="D175" s="213"/>
      <c r="E175" s="214"/>
      <c r="F175" s="215"/>
    </row>
    <row r="176" spans="1:11" hidden="1" x14ac:dyDescent="0.25">
      <c r="A176" s="201"/>
      <c r="B176" s="201"/>
      <c r="C176" s="202"/>
      <c r="D176" s="86"/>
      <c r="E176" s="87"/>
      <c r="F176" s="203"/>
    </row>
    <row r="177" spans="1:11" hidden="1" x14ac:dyDescent="0.25">
      <c r="A177" s="201"/>
      <c r="B177" s="201"/>
      <c r="C177" s="202"/>
      <c r="D177" s="86"/>
      <c r="E177" s="87"/>
      <c r="F177" s="203"/>
    </row>
    <row r="178" spans="1:11" hidden="1" x14ac:dyDescent="0.25">
      <c r="A178" s="201"/>
      <c r="B178" s="201"/>
      <c r="C178" s="202"/>
      <c r="D178" s="86"/>
      <c r="E178" s="87"/>
      <c r="F178" s="203"/>
    </row>
    <row r="179" spans="1:11" hidden="1" x14ac:dyDescent="0.25">
      <c r="A179" s="201"/>
      <c r="B179" s="201"/>
      <c r="C179" s="202"/>
      <c r="D179" s="86"/>
      <c r="E179" s="87"/>
      <c r="F179" s="203"/>
    </row>
    <row r="180" spans="1:11" hidden="1" x14ac:dyDescent="0.25">
      <c r="B180" s="216"/>
      <c r="C180" s="217"/>
      <c r="D180" s="19"/>
      <c r="E180" s="218"/>
      <c r="F180" s="218"/>
      <c r="H180" s="209"/>
    </row>
    <row r="181" spans="1:11" hidden="1" x14ac:dyDescent="0.25">
      <c r="A181" s="130" t="s">
        <v>1186</v>
      </c>
      <c r="H181" s="209"/>
      <c r="K181" s="210"/>
    </row>
    <row r="182" spans="1:11" hidden="1" x14ac:dyDescent="0.25"/>
    <row r="183" spans="1:11" hidden="1" x14ac:dyDescent="0.25">
      <c r="A183" s="206" t="s">
        <v>1104</v>
      </c>
      <c r="B183" s="206" t="s">
        <v>1177</v>
      </c>
    </row>
    <row r="184" spans="1:11" hidden="1" x14ac:dyDescent="0.25">
      <c r="A184" s="201"/>
      <c r="B184" s="219"/>
    </row>
    <row r="185" spans="1:11" hidden="1" x14ac:dyDescent="0.25">
      <c r="A185" s="201"/>
      <c r="B185" s="219"/>
    </row>
    <row r="186" spans="1:11" hidden="1" x14ac:dyDescent="0.25">
      <c r="A186" s="201"/>
      <c r="B186" s="219"/>
    </row>
    <row r="187" spans="1:11" hidden="1" x14ac:dyDescent="0.25">
      <c r="A187" s="201"/>
      <c r="B187" s="219"/>
    </row>
    <row r="188" spans="1:11" x14ac:dyDescent="0.25">
      <c r="A188" s="220"/>
      <c r="B188" s="221"/>
    </row>
    <row r="189" spans="1:11" x14ac:dyDescent="0.25">
      <c r="A189" s="220"/>
      <c r="B189" s="221"/>
    </row>
    <row r="190" spans="1:11" x14ac:dyDescent="0.25">
      <c r="A190" s="130" t="s">
        <v>1187</v>
      </c>
      <c r="B190" s="221"/>
    </row>
    <row r="191" spans="1:11" x14ac:dyDescent="0.25">
      <c r="A191" s="220"/>
      <c r="B191" s="221"/>
    </row>
    <row r="192" spans="1:11" x14ac:dyDescent="0.25">
      <c r="A192" s="130" t="s">
        <v>1188</v>
      </c>
    </row>
    <row r="193" spans="1:8" x14ac:dyDescent="0.25">
      <c r="A193" s="130"/>
    </row>
    <row r="194" spans="1:8" ht="54" x14ac:dyDescent="0.25">
      <c r="A194" s="199" t="s">
        <v>1104</v>
      </c>
      <c r="B194" s="200" t="s">
        <v>1179</v>
      </c>
      <c r="C194" s="200" t="s">
        <v>1180</v>
      </c>
      <c r="D194" s="200" t="s">
        <v>1181</v>
      </c>
      <c r="E194" s="200" t="s">
        <v>1189</v>
      </c>
      <c r="F194" s="200" t="s">
        <v>1190</v>
      </c>
      <c r="G194" s="18"/>
      <c r="H194" s="209">
        <v>0</v>
      </c>
    </row>
    <row r="195" spans="1:8" x14ac:dyDescent="0.25">
      <c r="A195" s="20" t="s">
        <v>182</v>
      </c>
      <c r="B195" s="16">
        <v>7296</v>
      </c>
      <c r="C195" s="16">
        <v>7296</v>
      </c>
      <c r="D195" s="17">
        <v>42162.025789899992</v>
      </c>
      <c r="E195" s="17">
        <v>44342.372975199993</v>
      </c>
      <c r="F195" s="17">
        <v>2180.347185300001</v>
      </c>
      <c r="G195" s="18"/>
      <c r="H195" s="209"/>
    </row>
    <row r="196" spans="1:8" x14ac:dyDescent="0.25">
      <c r="A196" s="20" t="s">
        <v>1054</v>
      </c>
      <c r="B196" s="16">
        <v>2776</v>
      </c>
      <c r="C196" s="16">
        <v>2776</v>
      </c>
      <c r="D196" s="17">
        <v>17629.934174000002</v>
      </c>
      <c r="E196" s="17">
        <v>17790.747401500001</v>
      </c>
      <c r="F196" s="17">
        <v>160.8132274999989</v>
      </c>
      <c r="G196" s="18"/>
      <c r="H196" s="209"/>
    </row>
    <row r="197" spans="1:8" x14ac:dyDescent="0.25">
      <c r="A197" s="20" t="s">
        <v>456</v>
      </c>
      <c r="B197" s="16">
        <v>3419</v>
      </c>
      <c r="C197" s="16">
        <v>3419</v>
      </c>
      <c r="D197" s="17">
        <v>16166.659435</v>
      </c>
      <c r="E197" s="17">
        <v>17318.733829000001</v>
      </c>
      <c r="F197" s="17">
        <v>1152.0743940000011</v>
      </c>
      <c r="G197" s="18"/>
      <c r="H197" s="209"/>
    </row>
    <row r="198" spans="1:8" x14ac:dyDescent="0.25">
      <c r="A198" s="20" t="s">
        <v>502</v>
      </c>
      <c r="B198" s="16">
        <v>14689</v>
      </c>
      <c r="C198" s="16">
        <v>14689</v>
      </c>
      <c r="D198" s="17">
        <v>119718.62853479999</v>
      </c>
      <c r="E198" s="17">
        <v>120197.0341758</v>
      </c>
      <c r="F198" s="17">
        <v>478.40564100000483</v>
      </c>
      <c r="G198" s="18"/>
      <c r="H198" s="209"/>
    </row>
    <row r="199" spans="1:8" x14ac:dyDescent="0.25">
      <c r="A199" s="20" t="s">
        <v>653</v>
      </c>
      <c r="B199" s="16">
        <v>2048</v>
      </c>
      <c r="C199" s="16">
        <v>2048</v>
      </c>
      <c r="D199" s="17">
        <v>17341.761127599999</v>
      </c>
      <c r="E199" s="17">
        <v>17233.675999999999</v>
      </c>
      <c r="F199" s="17">
        <v>-108.0851275999994</v>
      </c>
      <c r="G199" s="18"/>
      <c r="H199" s="209"/>
    </row>
    <row r="200" spans="1:8" x14ac:dyDescent="0.25">
      <c r="A200" s="20" t="s">
        <v>690</v>
      </c>
      <c r="B200" s="16">
        <v>64</v>
      </c>
      <c r="C200" s="16">
        <v>64</v>
      </c>
      <c r="D200" s="17">
        <v>437.63564000000002</v>
      </c>
      <c r="E200" s="17">
        <v>480.2</v>
      </c>
      <c r="F200" s="17">
        <v>42.564359999999965</v>
      </c>
      <c r="G200" s="18"/>
      <c r="H200" s="209"/>
    </row>
    <row r="201" spans="1:8" x14ac:dyDescent="0.25">
      <c r="A201" s="20" t="s">
        <v>812</v>
      </c>
      <c r="B201" s="16">
        <v>4565</v>
      </c>
      <c r="C201" s="16">
        <v>4565</v>
      </c>
      <c r="D201" s="17">
        <v>19905.209662199999</v>
      </c>
      <c r="E201" s="17">
        <v>21480.905519600001</v>
      </c>
      <c r="F201" s="17">
        <v>1575.6958574000018</v>
      </c>
      <c r="G201" s="18"/>
      <c r="H201" s="209"/>
    </row>
    <row r="202" spans="1:8" x14ac:dyDescent="0.25">
      <c r="A202" s="20" t="s">
        <v>816</v>
      </c>
      <c r="B202" s="16">
        <v>128</v>
      </c>
      <c r="C202" s="16">
        <v>128</v>
      </c>
      <c r="D202" s="17">
        <v>726.10384999999997</v>
      </c>
      <c r="E202" s="17">
        <v>728.22919999999999</v>
      </c>
      <c r="F202" s="17">
        <v>2.1253500000000258</v>
      </c>
      <c r="G202" s="18"/>
      <c r="H202" s="209"/>
    </row>
    <row r="203" spans="1:8" x14ac:dyDescent="0.25">
      <c r="A203" s="20" t="s">
        <v>830</v>
      </c>
      <c r="B203" s="16">
        <v>1965</v>
      </c>
      <c r="C203" s="16">
        <v>1965</v>
      </c>
      <c r="D203" s="17">
        <v>8258.2480498999994</v>
      </c>
      <c r="E203" s="17">
        <v>8293.5636680999996</v>
      </c>
      <c r="F203" s="17">
        <v>35.315618200000245</v>
      </c>
      <c r="G203" s="18"/>
      <c r="H203" s="209"/>
    </row>
    <row r="204" spans="1:8" x14ac:dyDescent="0.25">
      <c r="A204" s="20" t="s">
        <v>730</v>
      </c>
      <c r="B204" s="16">
        <v>744</v>
      </c>
      <c r="C204" s="16">
        <v>744</v>
      </c>
      <c r="D204" s="17">
        <v>4568.3620364999997</v>
      </c>
      <c r="E204" s="17">
        <v>4625.1836249999997</v>
      </c>
      <c r="F204" s="17">
        <v>56.821588499999962</v>
      </c>
      <c r="G204" s="18"/>
      <c r="H204" s="209"/>
    </row>
    <row r="205" spans="1:8" x14ac:dyDescent="0.25">
      <c r="B205" s="222"/>
      <c r="C205" s="222"/>
      <c r="D205" s="223"/>
      <c r="E205" s="223"/>
      <c r="F205" s="223"/>
      <c r="G205" s="18"/>
      <c r="H205" s="209"/>
    </row>
    <row r="206" spans="1:8" x14ac:dyDescent="0.25">
      <c r="A206" s="224"/>
      <c r="B206" s="225"/>
      <c r="C206" s="225"/>
      <c r="D206" s="226"/>
      <c r="E206" s="226"/>
      <c r="F206" s="226"/>
      <c r="G206" s="209"/>
    </row>
    <row r="207" spans="1:8" x14ac:dyDescent="0.25">
      <c r="A207" s="130" t="s">
        <v>1191</v>
      </c>
      <c r="C207" s="227"/>
    </row>
    <row r="208" spans="1:8" hidden="1" x14ac:dyDescent="0.25"/>
    <row r="209" spans="1:6" ht="27" hidden="1" x14ac:dyDescent="0.25">
      <c r="A209" s="200" t="s">
        <v>1104</v>
      </c>
      <c r="B209" s="200" t="s">
        <v>1105</v>
      </c>
      <c r="C209" s="200" t="s">
        <v>1192</v>
      </c>
      <c r="D209" s="200" t="s">
        <v>1193</v>
      </c>
      <c r="E209" s="200" t="s">
        <v>1194</v>
      </c>
      <c r="F209" s="200" t="s">
        <v>1195</v>
      </c>
    </row>
    <row r="210" spans="1:6" hidden="1" x14ac:dyDescent="0.25">
      <c r="A210" s="228" t="s">
        <v>663</v>
      </c>
      <c r="B210" s="228" t="s">
        <v>663</v>
      </c>
      <c r="C210" s="228" t="s">
        <v>663</v>
      </c>
      <c r="D210" s="228" t="s">
        <v>663</v>
      </c>
      <c r="E210" s="228" t="s">
        <v>663</v>
      </c>
      <c r="F210" s="228" t="s">
        <v>663</v>
      </c>
    </row>
    <row r="211" spans="1:6" hidden="1" x14ac:dyDescent="0.25">
      <c r="C211" s="227"/>
      <c r="D211" s="227"/>
      <c r="E211" s="229"/>
      <c r="F211" s="229"/>
    </row>
    <row r="212" spans="1:6" hidden="1" x14ac:dyDescent="0.25">
      <c r="C212" s="227"/>
      <c r="D212" s="227"/>
      <c r="E212" s="229"/>
      <c r="F212" s="229"/>
    </row>
    <row r="213" spans="1:6" hidden="1" x14ac:dyDescent="0.25">
      <c r="A213" s="130" t="s">
        <v>1196</v>
      </c>
      <c r="F213" s="197" t="s">
        <v>1197</v>
      </c>
    </row>
    <row r="214" spans="1:6" hidden="1" x14ac:dyDescent="0.25">
      <c r="A214" s="130"/>
    </row>
    <row r="215" spans="1:6" hidden="1" x14ac:dyDescent="0.25">
      <c r="A215" s="206" t="s">
        <v>1104</v>
      </c>
      <c r="B215" s="206" t="s">
        <v>1177</v>
      </c>
    </row>
    <row r="216" spans="1:6" hidden="1" x14ac:dyDescent="0.25">
      <c r="A216" s="228" t="s">
        <v>663</v>
      </c>
      <c r="B216" s="228" t="s">
        <v>663</v>
      </c>
    </row>
    <row r="217" spans="1:6" hidden="1" x14ac:dyDescent="0.25">
      <c r="B217" s="230"/>
      <c r="C217" s="231"/>
    </row>
    <row r="218" spans="1:6" hidden="1" x14ac:dyDescent="0.25">
      <c r="A218" s="130" t="s">
        <v>1198</v>
      </c>
    </row>
    <row r="219" spans="1:6" hidden="1" x14ac:dyDescent="0.25"/>
    <row r="220" spans="1:6" ht="40.5" hidden="1" x14ac:dyDescent="0.25">
      <c r="A220" s="199" t="s">
        <v>1104</v>
      </c>
      <c r="B220" s="200" t="s">
        <v>1199</v>
      </c>
      <c r="C220" s="200" t="s">
        <v>1200</v>
      </c>
      <c r="D220" s="200" t="s">
        <v>1201</v>
      </c>
      <c r="E220" s="200" t="s">
        <v>1202</v>
      </c>
    </row>
    <row r="221" spans="1:6" hidden="1" x14ac:dyDescent="0.25">
      <c r="A221" s="232"/>
      <c r="B221" s="228"/>
      <c r="C221" s="203"/>
      <c r="D221" s="21"/>
      <c r="E221" s="21">
        <v>0</v>
      </c>
    </row>
    <row r="222" spans="1:6" hidden="1" x14ac:dyDescent="0.25">
      <c r="A222" s="233"/>
      <c r="B222" s="234"/>
      <c r="C222" s="235"/>
      <c r="D222" s="235"/>
      <c r="E222" s="22"/>
    </row>
    <row r="223" spans="1:6" hidden="1" x14ac:dyDescent="0.25">
      <c r="A223" s="233"/>
      <c r="B223" s="234"/>
      <c r="C223" s="235"/>
      <c r="D223" s="235"/>
      <c r="E223" s="22"/>
    </row>
    <row r="225" spans="1:6" x14ac:dyDescent="0.25">
      <c r="A225" s="130" t="s">
        <v>1203</v>
      </c>
    </row>
    <row r="226" spans="1:6" hidden="1" x14ac:dyDescent="0.25"/>
    <row r="227" spans="1:6" ht="27" hidden="1" x14ac:dyDescent="0.25">
      <c r="A227" s="200" t="s">
        <v>1104</v>
      </c>
      <c r="B227" s="200" t="s">
        <v>1105</v>
      </c>
      <c r="C227" s="200" t="s">
        <v>1192</v>
      </c>
      <c r="D227" s="200" t="s">
        <v>1193</v>
      </c>
      <c r="E227" s="200" t="s">
        <v>1194</v>
      </c>
      <c r="F227" s="200" t="s">
        <v>1195</v>
      </c>
    </row>
    <row r="228" spans="1:6" hidden="1" x14ac:dyDescent="0.25">
      <c r="A228" s="201" t="s">
        <v>663</v>
      </c>
      <c r="B228" s="201" t="s">
        <v>663</v>
      </c>
      <c r="C228" s="201" t="s">
        <v>663</v>
      </c>
      <c r="D228" s="201" t="s">
        <v>663</v>
      </c>
      <c r="E228" s="201" t="s">
        <v>663</v>
      </c>
      <c r="F228" s="201" t="s">
        <v>663</v>
      </c>
    </row>
    <row r="229" spans="1:6" hidden="1" x14ac:dyDescent="0.25">
      <c r="B229" s="216"/>
      <c r="C229" s="236"/>
      <c r="D229" s="23"/>
      <c r="E229" s="229"/>
      <c r="F229" s="229"/>
    </row>
    <row r="230" spans="1:6" hidden="1" x14ac:dyDescent="0.25">
      <c r="A230" s="130" t="s">
        <v>1204</v>
      </c>
    </row>
    <row r="231" spans="1:6" hidden="1" x14ac:dyDescent="0.25">
      <c r="A231" s="130"/>
    </row>
    <row r="232" spans="1:6" hidden="1" x14ac:dyDescent="0.25">
      <c r="A232" s="206" t="s">
        <v>1104</v>
      </c>
      <c r="B232" s="206" t="s">
        <v>1177</v>
      </c>
    </row>
    <row r="233" spans="1:6" hidden="1" x14ac:dyDescent="0.25">
      <c r="A233" s="201" t="s">
        <v>663</v>
      </c>
      <c r="B233" s="201" t="s">
        <v>663</v>
      </c>
    </row>
    <row r="234" spans="1:6" hidden="1" x14ac:dyDescent="0.25">
      <c r="A234" s="220"/>
      <c r="B234" s="231"/>
    </row>
    <row r="235" spans="1:6" hidden="1" x14ac:dyDescent="0.25">
      <c r="A235" s="130" t="s">
        <v>1205</v>
      </c>
    </row>
    <row r="236" spans="1:6" hidden="1" x14ac:dyDescent="0.25"/>
    <row r="237" spans="1:6" ht="40.5" hidden="1" x14ac:dyDescent="0.25">
      <c r="A237" s="199" t="s">
        <v>1104</v>
      </c>
      <c r="B237" s="200" t="s">
        <v>1199</v>
      </c>
      <c r="C237" s="200" t="s">
        <v>1206</v>
      </c>
      <c r="D237" s="200" t="s">
        <v>1207</v>
      </c>
      <c r="E237" s="200" t="s">
        <v>1202</v>
      </c>
    </row>
    <row r="238" spans="1:6" hidden="1" x14ac:dyDescent="0.25">
      <c r="A238" s="201"/>
      <c r="B238" s="228"/>
      <c r="C238" s="203"/>
      <c r="D238" s="228"/>
      <c r="E238" s="228"/>
    </row>
    <row r="239" spans="1:6" hidden="1" x14ac:dyDescent="0.25">
      <c r="F239" s="204"/>
    </row>
    <row r="240" spans="1:6" x14ac:dyDescent="0.25">
      <c r="E240" s="24"/>
      <c r="F240" s="210"/>
    </row>
    <row r="241" spans="1:7" x14ac:dyDescent="0.25">
      <c r="A241" s="130" t="s">
        <v>1208</v>
      </c>
    </row>
    <row r="242" spans="1:7" ht="26.25" x14ac:dyDescent="0.25">
      <c r="A242" s="237" t="s">
        <v>1209</v>
      </c>
      <c r="B242" s="238" t="s">
        <v>1210</v>
      </c>
      <c r="C242" s="238" t="s">
        <v>1211</v>
      </c>
      <c r="D242" s="239" t="s">
        <v>1212</v>
      </c>
      <c r="E242" s="239" t="s">
        <v>1213</v>
      </c>
      <c r="F242" s="238" t="s">
        <v>1214</v>
      </c>
      <c r="G242" s="238" t="s">
        <v>1215</v>
      </c>
    </row>
    <row r="243" spans="1:7" x14ac:dyDescent="0.25">
      <c r="A243" s="25" t="s">
        <v>1216</v>
      </c>
      <c r="B243" s="25" t="s">
        <v>1217</v>
      </c>
      <c r="C243" s="25" t="s">
        <v>1218</v>
      </c>
      <c r="D243" s="25" t="s">
        <v>1219</v>
      </c>
      <c r="E243" s="25" t="s">
        <v>1220</v>
      </c>
      <c r="F243" s="17">
        <v>2500</v>
      </c>
      <c r="G243" s="26">
        <v>46101</v>
      </c>
    </row>
    <row r="244" spans="1:7" x14ac:dyDescent="0.25">
      <c r="A244" s="25" t="s">
        <v>1216</v>
      </c>
      <c r="B244" s="25" t="s">
        <v>1217</v>
      </c>
      <c r="C244" s="25" t="s">
        <v>1218</v>
      </c>
      <c r="D244" s="25" t="s">
        <v>1219</v>
      </c>
      <c r="E244" s="25" t="s">
        <v>1220</v>
      </c>
      <c r="F244" s="17">
        <v>2500</v>
      </c>
      <c r="G244" s="26">
        <v>46168</v>
      </c>
    </row>
    <row r="245" spans="1:7" x14ac:dyDescent="0.25">
      <c r="A245" s="25" t="s">
        <v>1216</v>
      </c>
      <c r="B245" s="25" t="s">
        <v>1217</v>
      </c>
      <c r="C245" s="25" t="s">
        <v>1221</v>
      </c>
      <c r="D245" s="25" t="s">
        <v>1219</v>
      </c>
      <c r="E245" s="25" t="s">
        <v>1220</v>
      </c>
      <c r="F245" s="17">
        <v>2500</v>
      </c>
      <c r="G245" s="26">
        <v>46087</v>
      </c>
    </row>
    <row r="246" spans="1:7" x14ac:dyDescent="0.25">
      <c r="A246" s="25" t="s">
        <v>1216</v>
      </c>
      <c r="B246" s="25" t="s">
        <v>1217</v>
      </c>
      <c r="C246" s="25" t="s">
        <v>1222</v>
      </c>
      <c r="D246" s="25" t="s">
        <v>1219</v>
      </c>
      <c r="E246" s="25" t="s">
        <v>1220</v>
      </c>
      <c r="F246" s="17">
        <v>2500</v>
      </c>
      <c r="G246" s="26">
        <v>46002</v>
      </c>
    </row>
    <row r="247" spans="1:7" x14ac:dyDescent="0.25">
      <c r="D247" s="210"/>
    </row>
    <row r="248" spans="1:7" x14ac:dyDescent="0.25">
      <c r="A248" s="130" t="s">
        <v>1223</v>
      </c>
      <c r="D248" s="210"/>
    </row>
    <row r="249" spans="1:7" hidden="1" x14ac:dyDescent="0.25">
      <c r="D249" s="210"/>
    </row>
    <row r="250" spans="1:7" ht="27" hidden="1" x14ac:dyDescent="0.25">
      <c r="A250" s="199" t="s">
        <v>1104</v>
      </c>
      <c r="B250" s="200" t="s">
        <v>1105</v>
      </c>
      <c r="C250" s="200" t="s">
        <v>1106</v>
      </c>
      <c r="D250" s="200" t="s">
        <v>1224</v>
      </c>
      <c r="E250" s="200" t="s">
        <v>1225</v>
      </c>
      <c r="F250" s="200" t="s">
        <v>1226</v>
      </c>
    </row>
    <row r="251" spans="1:7" hidden="1" x14ac:dyDescent="0.25">
      <c r="A251" s="27" t="s">
        <v>663</v>
      </c>
      <c r="B251" s="27" t="s">
        <v>663</v>
      </c>
      <c r="C251" s="27" t="s">
        <v>663</v>
      </c>
      <c r="D251" s="27" t="s">
        <v>663</v>
      </c>
      <c r="E251" s="27" t="s">
        <v>663</v>
      </c>
      <c r="F251" s="27" t="s">
        <v>663</v>
      </c>
    </row>
    <row r="252" spans="1:7" hidden="1" x14ac:dyDescent="0.25">
      <c r="D252" s="210"/>
    </row>
    <row r="253" spans="1:7" hidden="1" x14ac:dyDescent="0.25">
      <c r="A253" s="130" t="s">
        <v>1227</v>
      </c>
      <c r="D253" s="210"/>
    </row>
    <row r="254" spans="1:7" hidden="1" x14ac:dyDescent="0.25">
      <c r="A254" s="130"/>
      <c r="D254" s="210"/>
    </row>
    <row r="255" spans="1:7" hidden="1" x14ac:dyDescent="0.25">
      <c r="A255" s="206" t="s">
        <v>1104</v>
      </c>
      <c r="B255" s="206" t="s">
        <v>1177</v>
      </c>
      <c r="D255" s="210"/>
    </row>
    <row r="256" spans="1:7" hidden="1" x14ac:dyDescent="0.25">
      <c r="A256" s="27" t="s">
        <v>663</v>
      </c>
      <c r="B256" s="27" t="s">
        <v>663</v>
      </c>
      <c r="D256" s="210"/>
    </row>
    <row r="257" spans="1:9" x14ac:dyDescent="0.25">
      <c r="D257" s="210"/>
    </row>
    <row r="258" spans="1:9" hidden="1" x14ac:dyDescent="0.25">
      <c r="A258" s="130" t="s">
        <v>1228</v>
      </c>
      <c r="D258" s="210"/>
    </row>
    <row r="259" spans="1:9" hidden="1" x14ac:dyDescent="0.25">
      <c r="D259" s="210"/>
    </row>
    <row r="260" spans="1:9" ht="67.5" hidden="1" x14ac:dyDescent="0.25">
      <c r="A260" s="199" t="s">
        <v>1104</v>
      </c>
      <c r="B260" s="200" t="s">
        <v>1179</v>
      </c>
      <c r="C260" s="200" t="s">
        <v>1180</v>
      </c>
      <c r="D260" s="200" t="s">
        <v>1181</v>
      </c>
      <c r="E260" s="200" t="s">
        <v>1182</v>
      </c>
      <c r="F260" s="200" t="s">
        <v>1183</v>
      </c>
    </row>
    <row r="261" spans="1:9" hidden="1" x14ac:dyDescent="0.25">
      <c r="A261" s="240"/>
      <c r="B261" s="240"/>
      <c r="C261" s="16"/>
      <c r="D261" s="241"/>
      <c r="E261" s="28"/>
      <c r="F261" s="242"/>
      <c r="H261" s="209"/>
      <c r="I261" s="210"/>
    </row>
    <row r="262" spans="1:9" hidden="1" x14ac:dyDescent="0.25">
      <c r="D262" s="210"/>
    </row>
    <row r="263" spans="1:9" hidden="1" x14ac:dyDescent="0.25">
      <c r="D263" s="210"/>
    </row>
    <row r="264" spans="1:9" hidden="1" x14ac:dyDescent="0.25">
      <c r="A264" s="130" t="s">
        <v>1229</v>
      </c>
      <c r="D264" s="210"/>
    </row>
    <row r="265" spans="1:9" hidden="1" x14ac:dyDescent="0.25">
      <c r="D265" s="210"/>
    </row>
    <row r="266" spans="1:9" ht="67.5" hidden="1" x14ac:dyDescent="0.25">
      <c r="A266" s="199" t="s">
        <v>1104</v>
      </c>
      <c r="B266" s="200" t="s">
        <v>1179</v>
      </c>
      <c r="C266" s="200" t="s">
        <v>1180</v>
      </c>
      <c r="D266" s="200" t="s">
        <v>1181</v>
      </c>
      <c r="E266" s="200" t="s">
        <v>1182</v>
      </c>
      <c r="F266" s="200" t="s">
        <v>1183</v>
      </c>
    </row>
    <row r="267" spans="1:9" hidden="1" x14ac:dyDescent="0.25">
      <c r="A267" s="202"/>
      <c r="B267" s="228"/>
      <c r="C267" s="228"/>
      <c r="D267" s="243"/>
      <c r="E267" s="243"/>
      <c r="F267" s="243"/>
    </row>
    <row r="268" spans="1:9" x14ac:dyDescent="0.25">
      <c r="A268" s="197" t="s">
        <v>1230</v>
      </c>
    </row>
  </sheetData>
  <mergeCells count="3">
    <mergeCell ref="A2:F2"/>
    <mergeCell ref="A3:F3"/>
    <mergeCell ref="A5:F5"/>
  </mergeCells>
  <printOptions horizontalCentered="1"/>
  <pageMargins left="0.17" right="0.15748031496062992" top="0.43307086614173229" bottom="0.47244094488188981" header="0.31496062992125984" footer="0.31496062992125984"/>
  <pageSetup paperSize="9" scale="42" fitToHeight="3" orientation="portrait" r:id="rId1"/>
  <headerFooter>
    <oddHeader>&amp;L&amp;"Aptos"&amp;10&amp;KFF0000 "Sensitivity: Internal Use Only"&amp;1#_x000D_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Index</vt:lpstr>
      <vt:lpstr>CAPEXG</vt:lpstr>
      <vt:lpstr>GLOB</vt:lpstr>
      <vt:lpstr>MIDCAP</vt:lpstr>
      <vt:lpstr>MULTIP</vt:lpstr>
      <vt:lpstr>SLTADV3</vt:lpstr>
      <vt:lpstr>SLTADV4</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SUNCYF</vt:lpstr>
      <vt:lpstr>SUNFCF</vt:lpstr>
      <vt:lpstr>SUNFOP</vt:lpstr>
      <vt:lpstr>SUNMAF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2025-07-01T15:23:30Z</dcterms:created>
  <dcterms:modified xsi:type="dcterms:W3CDTF">2025-12-09T10:34:27Z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fa6dec7-ad36-4603-99ea-a4fb4d4185bf_Enabled">
    <vt:lpwstr>true</vt:lpwstr>
  </property>
  <property fmtid="{D5CDD505-2E9C-101B-9397-08002B2CF9AE}" pid="3" name="MSIP_Label_3fa6dec7-ad36-4603-99ea-a4fb4d4185bf_SetDate">
    <vt:lpwstr>2025-12-09T10:33:41Z</vt:lpwstr>
  </property>
  <property fmtid="{D5CDD505-2E9C-101B-9397-08002B2CF9AE}" pid="4" name="MSIP_Label_3fa6dec7-ad36-4603-99ea-a4fb4d4185bf_Method">
    <vt:lpwstr>Privileged</vt:lpwstr>
  </property>
  <property fmtid="{D5CDD505-2E9C-101B-9397-08002B2CF9AE}" pid="5" name="MSIP_Label_3fa6dec7-ad36-4603-99ea-a4fb4d4185bf_Name">
    <vt:lpwstr>Internal Use Only</vt:lpwstr>
  </property>
  <property fmtid="{D5CDD505-2E9C-101B-9397-08002B2CF9AE}" pid="6" name="MSIP_Label_3fa6dec7-ad36-4603-99ea-a4fb4d4185bf_SiteId">
    <vt:lpwstr>b8d87d45-aff7-4067-8708-1c35bbaab723</vt:lpwstr>
  </property>
  <property fmtid="{D5CDD505-2E9C-101B-9397-08002B2CF9AE}" pid="7" name="MSIP_Label_3fa6dec7-ad36-4603-99ea-a4fb4d4185bf_ActionId">
    <vt:lpwstr>edb41700-c693-4786-976f-e03dd26285bc</vt:lpwstr>
  </property>
  <property fmtid="{D5CDD505-2E9C-101B-9397-08002B2CF9AE}" pid="8" name="MSIP_Label_3fa6dec7-ad36-4603-99ea-a4fb4d4185bf_ContentBits">
    <vt:lpwstr>1</vt:lpwstr>
  </property>
  <property fmtid="{D5CDD505-2E9C-101B-9397-08002B2CF9AE}" pid="9" name="MSIP_Label_3fa6dec7-ad36-4603-99ea-a4fb4d4185bf_Tag">
    <vt:lpwstr>10, 0, 1, 1</vt:lpwstr>
  </property>
</Properties>
</file>