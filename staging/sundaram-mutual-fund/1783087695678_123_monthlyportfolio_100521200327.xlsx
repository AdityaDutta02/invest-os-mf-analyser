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eview\2021-22\1. Apr 2021\Final\"/>
    </mc:Choice>
  </mc:AlternateContent>
  <xr:revisionPtr revIDLastSave="0" documentId="13_ncr:1_{818953C3-6B1C-45FC-B5F1-38648773B63C}" xr6:coauthVersionLast="46" xr6:coauthVersionMax="46" xr10:uidLastSave="{00000000-0000-0000-0000-000000000000}"/>
  <bookViews>
    <workbookView xWindow="-120" yWindow="-120" windowWidth="20730" windowHeight="11160" tabRatio="877" xr2:uid="{00000000-000D-0000-FFFF-FFFF00000000}"/>
  </bookViews>
  <sheets>
    <sheet name="Index" sheetId="43" r:id="rId1"/>
    <sheet name="CAPEXG" sheetId="1" r:id="rId2"/>
    <sheet name="MICAP14" sheetId="2" r:id="rId3"/>
    <sheet name="MICAP15" sheetId="3" r:id="rId4"/>
    <sheet name="MICAP16" sheetId="4" r:id="rId5"/>
    <sheet name="MICAP17" sheetId="5" r:id="rId6"/>
    <sheet name="MIDCAP" sheetId="6" r:id="rId7"/>
    <sheet name="MULTI1" sheetId="7" r:id="rId8"/>
    <sheet name="MULTI2" sheetId="8" r:id="rId9"/>
    <sheet name="MULTIP" sheetId="9" r:id="rId10"/>
    <sheet name="SESCAP1" sheetId="10" r:id="rId11"/>
    <sheet name="SESCAP2" sheetId="11" r:id="rId12"/>
    <sheet name="SESCAP3" sheetId="12" r:id="rId13"/>
    <sheet name="SESCAP4" sheetId="13" r:id="rId14"/>
    <sheet name="SESCAP5" sheetId="14" r:id="rId15"/>
    <sheet name="SESCAP6" sheetId="15" r:id="rId16"/>
    <sheet name="SESCAP7" sheetId="16" r:id="rId17"/>
    <sheet name="SFOCUS" sheetId="17" r:id="rId18"/>
    <sheet name="SLTADV3" sheetId="18" r:id="rId19"/>
    <sheet name="SLTADV4" sheetId="19" r:id="rId20"/>
    <sheet name="SLTAX1" sheetId="20" r:id="rId21"/>
    <sheet name="SLTAX2" sheetId="21" r:id="rId22"/>
    <sheet name="SLTAX3" sheetId="22" r:id="rId23"/>
    <sheet name="SLTAX4" sheetId="23" r:id="rId24"/>
    <sheet name="SLTAX5" sheetId="24" r:id="rId25"/>
    <sheet name="SLTAX6" sheetId="25" r:id="rId26"/>
    <sheet name="SMALL5" sheetId="26" r:id="rId27"/>
    <sheet name="SMALL6" sheetId="27" r:id="rId28"/>
    <sheet name="SMILE" sheetId="28" r:id="rId29"/>
    <sheet name="SRURAL" sheetId="29" r:id="rId30"/>
    <sheet name="SSFUND" sheetId="30" r:id="rId31"/>
    <sheet name="SSN100" sheetId="31" r:id="rId32"/>
    <sheet name="STAX" sheetId="32" r:id="rId33"/>
    <sheet name="SUNARF" sheetId="33" r:id="rId34"/>
    <sheet name="SUNBAF" sheetId="44" r:id="rId35"/>
    <sheet name="SUNBAL" sheetId="45" r:id="rId36"/>
    <sheet name="SUNBCF" sheetId="34" r:id="rId37"/>
    <sheet name="SUNEQF" sheetId="35" r:id="rId38"/>
    <sheet name="SUNESF" sheetId="36" r:id="rId39"/>
    <sheet name="SUNFOP" sheetId="37" r:id="rId40"/>
    <sheet name="SUNVALF10" sheetId="38" r:id="rId41"/>
    <sheet name="SUNVALF7" sheetId="39" r:id="rId42"/>
    <sheet name="SUNVALF8" sheetId="40" r:id="rId43"/>
    <sheet name="SUNVALF9" sheetId="41" r:id="rId44"/>
    <sheet name="GLOB" sheetId="46" r:id="rId45"/>
    <sheet name="Annexure A" sheetId="48" r:id="rId46"/>
    <sheet name="Annexure B" sheetId="47" r:id="rId47"/>
  </sheets>
  <definedNames>
    <definedName name="_xlnm._FilterDatabase" localSheetId="45" hidden="1">'Annexure A'!$B$8:$I$61</definedName>
    <definedName name="_xlnm._FilterDatabase" localSheetId="1" hidden="1">CAPEXG!$A$7:$H$125</definedName>
    <definedName name="_xlnm._FilterDatabase" localSheetId="2" hidden="1">MICAP14!$A$7:$H$7</definedName>
    <definedName name="_xlnm._FilterDatabase" localSheetId="3" hidden="1">MICAP15!$A$7:$H$7</definedName>
    <definedName name="_xlnm._FilterDatabase" localSheetId="4" hidden="1">MICAP16!$A$7:$H$158</definedName>
    <definedName name="_xlnm._FilterDatabase" localSheetId="5" hidden="1">MICAP17!$A$7:$H$159</definedName>
    <definedName name="_xlnm._FilterDatabase" localSheetId="6" hidden="1">MIDCAP!$A$7:$H$154</definedName>
    <definedName name="_xlnm._FilterDatabase" localSheetId="7" hidden="1">MULTI1!$A$7:$H$7</definedName>
    <definedName name="_xlnm._FilterDatabase" localSheetId="8" hidden="1">MULTI2!$A$7:$H$138</definedName>
    <definedName name="_xlnm._FilterDatabase" localSheetId="9" hidden="1">MULTIP!$A$7:$H$134</definedName>
    <definedName name="_xlnm._FilterDatabase" localSheetId="10" hidden="1">SESCAP1!$A$7:$H$160</definedName>
    <definedName name="_xlnm._FilterDatabase" localSheetId="11" hidden="1">SESCAP2!$A$7:$H$7</definedName>
    <definedName name="_xlnm._FilterDatabase" localSheetId="12" hidden="1">SESCAP3!$A$7:$H$7</definedName>
    <definedName name="_xlnm._FilterDatabase" localSheetId="13" hidden="1">SESCAP4!$A$7:$H$161</definedName>
    <definedName name="_xlnm._FilterDatabase" localSheetId="14" hidden="1">SESCAP5!$A$7:$H$160</definedName>
    <definedName name="_xlnm._FilterDatabase" localSheetId="15" hidden="1">SESCAP6!$A$7:$H$158</definedName>
    <definedName name="_xlnm._FilterDatabase" localSheetId="16" hidden="1">SESCAP7!$A$7:$H$148</definedName>
    <definedName name="_xlnm._FilterDatabase" localSheetId="17" hidden="1">SFOCUS!$A$7:$H$129</definedName>
    <definedName name="_xlnm._FilterDatabase" localSheetId="18" hidden="1">SLTADV3!$A$7:$H$7</definedName>
    <definedName name="_xlnm._FilterDatabase" localSheetId="19" hidden="1">SLTADV4!$A$7:$H$7</definedName>
    <definedName name="_xlnm._FilterDatabase" localSheetId="20" hidden="1">SLTAX1!$A$7:$H$128</definedName>
    <definedName name="_xlnm._FilterDatabase" localSheetId="21" hidden="1">SLTAX2!$A$7:$H$125</definedName>
    <definedName name="_xlnm._FilterDatabase" localSheetId="22" hidden="1">SLTAX3!$A$7:$H$7</definedName>
    <definedName name="_xlnm._FilterDatabase" localSheetId="23" hidden="1">SLTAX4!$A$7:$H$151</definedName>
    <definedName name="_xlnm._FilterDatabase" localSheetId="24" hidden="1">SLTAX5!$A$7:$H$7</definedName>
    <definedName name="_xlnm._FilterDatabase" localSheetId="25" hidden="1">SLTAX6!$A$7:$H$157</definedName>
    <definedName name="_xlnm._FilterDatabase" localSheetId="26" hidden="1">SMALL5!$A$7:$H$140</definedName>
    <definedName name="_xlnm._FilterDatabase" localSheetId="27" hidden="1">SMALL6!$A$7:$H$140</definedName>
    <definedName name="_xlnm._FilterDatabase" localSheetId="28" hidden="1">SMILE!$A$7:$H$7</definedName>
    <definedName name="_xlnm._FilterDatabase" localSheetId="29" hidden="1">SRURAL!$A$7:$H$135</definedName>
    <definedName name="_xlnm._FilterDatabase" localSheetId="30" hidden="1">SSFUND!$A$7:$H$136</definedName>
    <definedName name="_xlnm._FilterDatabase" localSheetId="31" hidden="1">'SSN100'!$A$7:$H$7</definedName>
    <definedName name="_xlnm._FilterDatabase" localSheetId="32" hidden="1">STAX!$A$7:$H$7</definedName>
    <definedName name="_xlnm._FilterDatabase" localSheetId="33" hidden="1">SUNARF!$A$7:$H$22</definedName>
    <definedName name="_xlnm._FilterDatabase" localSheetId="34" hidden="1">SUNBAF!$A$7:$H$7</definedName>
    <definedName name="_xlnm._FilterDatabase" localSheetId="35" hidden="1">SUNBAL!$A$7:$H$56</definedName>
    <definedName name="_xlnm._FilterDatabase" localSheetId="37" hidden="1">SUNEQF!$A$7:$H$7</definedName>
    <definedName name="_xlnm._FilterDatabase" localSheetId="38" hidden="1">SUNESF!$A$7:$H$145</definedName>
    <definedName name="_xlnm._FilterDatabase" localSheetId="39" hidden="1">SUNFOP!$A$7:$H$7</definedName>
    <definedName name="_xlnm._FilterDatabase" localSheetId="40" hidden="1">SUNVALF10!$A$7:$H$131</definedName>
    <definedName name="_xlnm._FilterDatabase" localSheetId="41" hidden="1">SUNVALF7!$A$7:$H$124</definedName>
    <definedName name="_xlnm._FilterDatabase" localSheetId="42" hidden="1">SUNVALF8!$A$7:$H$26</definedName>
    <definedName name="_xlnm._FilterDatabase" localSheetId="43" hidden="1">SUNVALF9!$A$7:$H$131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3" i="48" l="1"/>
  <c r="G146" i="48"/>
  <c r="G145" i="48"/>
  <c r="G144" i="48"/>
  <c r="G143" i="48"/>
  <c r="G142" i="48"/>
  <c r="G141" i="48"/>
  <c r="G140" i="48"/>
  <c r="G139" i="48"/>
  <c r="G138" i="48"/>
  <c r="G137" i="48"/>
  <c r="G136" i="48"/>
  <c r="G135" i="48"/>
  <c r="G134" i="48"/>
  <c r="G133" i="48"/>
  <c r="G132" i="48"/>
  <c r="G131" i="48"/>
  <c r="G130" i="48"/>
  <c r="G129" i="48"/>
  <c r="G128" i="48"/>
  <c r="G127" i="48"/>
  <c r="G126" i="48"/>
  <c r="G125" i="48"/>
  <c r="G124" i="48"/>
  <c r="G123" i="48"/>
  <c r="G100" i="48"/>
  <c r="G99" i="48"/>
  <c r="G98" i="48"/>
  <c r="G97" i="48"/>
  <c r="G96" i="48"/>
  <c r="G95" i="48"/>
  <c r="G94" i="48"/>
  <c r="G93" i="48"/>
  <c r="G92" i="48"/>
  <c r="G91" i="48"/>
  <c r="G90" i="48"/>
  <c r="G89" i="48"/>
  <c r="G88" i="48"/>
  <c r="G87" i="48"/>
  <c r="G86" i="48"/>
  <c r="G85" i="48"/>
  <c r="G84" i="48"/>
  <c r="B84" i="48"/>
  <c r="G83" i="48"/>
  <c r="B83" i="48"/>
  <c r="G82" i="48"/>
  <c r="G81" i="48"/>
  <c r="G80" i="48"/>
  <c r="B78" i="48"/>
  <c r="G72" i="44" l="1"/>
  <c r="F72" i="44"/>
  <c r="G39" i="33"/>
  <c r="G40" i="33"/>
  <c r="G41" i="33"/>
  <c r="G42" i="33"/>
  <c r="G43" i="33"/>
  <c r="G44" i="33"/>
  <c r="G45" i="33"/>
  <c r="G46" i="33"/>
  <c r="G47" i="33"/>
  <c r="G48" i="33"/>
  <c r="G49" i="33"/>
  <c r="G50" i="33"/>
  <c r="G51" i="33"/>
  <c r="G52" i="33"/>
  <c r="G53" i="33"/>
  <c r="G38" i="33"/>
  <c r="G61" i="41" l="1"/>
  <c r="G66" i="41" s="1"/>
  <c r="F61" i="41"/>
  <c r="F66" i="41" s="1"/>
  <c r="F16" i="46" l="1"/>
  <c r="G16" i="46" s="1"/>
  <c r="G18" i="46" s="1"/>
  <c r="G14" i="46"/>
  <c r="F14" i="46"/>
  <c r="G12" i="46"/>
  <c r="G11" i="46"/>
  <c r="G8" i="46"/>
  <c r="F8" i="46"/>
  <c r="G6" i="46"/>
</calcChain>
</file>

<file path=xl/sharedStrings.xml><?xml version="1.0" encoding="utf-8"?>
<sst xmlns="http://schemas.openxmlformats.org/spreadsheetml/2006/main" count="31939" uniqueCount="1084">
  <si>
    <t>SUNDARAM MUTUAL FUND</t>
  </si>
  <si>
    <t>Sundaram Infrastructure Advantage Fund</t>
  </si>
  <si>
    <t>SL No</t>
  </si>
  <si>
    <t>ISIN Code</t>
  </si>
  <si>
    <t>Name of the instrument</t>
  </si>
  <si>
    <t>Rating / 
Industry</t>
  </si>
  <si>
    <t>Quantity</t>
  </si>
  <si>
    <t>Mkt Value
Rs. in Lacs</t>
  </si>
  <si>
    <t>% of Net Asset</t>
  </si>
  <si>
    <t/>
  </si>
  <si>
    <t>A) Equity &amp; Equity Related</t>
  </si>
  <si>
    <t>(a) Listed / awaiting listing on Stock Exchange</t>
  </si>
  <si>
    <t>INE018A01030</t>
  </si>
  <si>
    <t>Larsen &amp; Toubro Ltd</t>
  </si>
  <si>
    <t>Construction Project</t>
  </si>
  <si>
    <t>INE002A01018</t>
  </si>
  <si>
    <t>Reliance Industries Ltd</t>
  </si>
  <si>
    <t>Petroleum Products</t>
  </si>
  <si>
    <t>INE331A01037</t>
  </si>
  <si>
    <t>The Ramco Cements Ltd</t>
  </si>
  <si>
    <t>INE090A01021</t>
  </si>
  <si>
    <t>ICICI Bank Ltd</t>
  </si>
  <si>
    <t>Banks</t>
  </si>
  <si>
    <t>INE074A01025</t>
  </si>
  <si>
    <t>Praj Industries Ltd</t>
  </si>
  <si>
    <t>Industrial Capital Goods</t>
  </si>
  <si>
    <t>INE536A01023</t>
  </si>
  <si>
    <t>Grindwell Norton Ltd</t>
  </si>
  <si>
    <t>Industrial Products</t>
  </si>
  <si>
    <t>INE397D01024</t>
  </si>
  <si>
    <t>Bharti Airtel Ltd</t>
  </si>
  <si>
    <t>Telecom - Services</t>
  </si>
  <si>
    <t>INE671A01010</t>
  </si>
  <si>
    <t>Honeywell Automation India Ltd</t>
  </si>
  <si>
    <t>INE823G01014</t>
  </si>
  <si>
    <t>JK Cement Ltd</t>
  </si>
  <si>
    <t>INE791I01019</t>
  </si>
  <si>
    <t>Brigade Enterprises Ltd</t>
  </si>
  <si>
    <t>Construction</t>
  </si>
  <si>
    <t>INE481G01011</t>
  </si>
  <si>
    <t>Ultratech Cement Ltd</t>
  </si>
  <si>
    <t>INE455K01017</t>
  </si>
  <si>
    <t>Polycab India Ltd</t>
  </si>
  <si>
    <t>INE284A01012</t>
  </si>
  <si>
    <t>ESAB India Ltd</t>
  </si>
  <si>
    <t>INE114A01011</t>
  </si>
  <si>
    <t>Steel Authority of India Ltd</t>
  </si>
  <si>
    <t>Ferrous Metals</t>
  </si>
  <si>
    <t>INE325A01013</t>
  </si>
  <si>
    <t>Timken India Ltd</t>
  </si>
  <si>
    <t>INE999A01015</t>
  </si>
  <si>
    <t>KSB Ltd</t>
  </si>
  <si>
    <t>INE245A01021</t>
  </si>
  <si>
    <t>Power</t>
  </si>
  <si>
    <t>INE040A01034</t>
  </si>
  <si>
    <t>HDFC Bank Ltd</t>
  </si>
  <si>
    <t>INE371P01015</t>
  </si>
  <si>
    <t>Amber Enterprises India Ltd</t>
  </si>
  <si>
    <t>Consumer Durables</t>
  </si>
  <si>
    <t>INE264T01014</t>
  </si>
  <si>
    <t>Capacite Infraprojects Ltd</t>
  </si>
  <si>
    <t>INE766P01016</t>
  </si>
  <si>
    <t>Mahindra Logistics Ltd</t>
  </si>
  <si>
    <t>Transportation</t>
  </si>
  <si>
    <t>INE386C01029</t>
  </si>
  <si>
    <t>Astra Microwave Products Ltd</t>
  </si>
  <si>
    <t>Telecom -  Equipment &amp; Accessories</t>
  </si>
  <si>
    <t>INE858B01029</t>
  </si>
  <si>
    <t>ISGEC Heavy  Engineering Ltd</t>
  </si>
  <si>
    <t>INE029A01011</t>
  </si>
  <si>
    <t>Bharat Petroleum Corporation Ltd</t>
  </si>
  <si>
    <t>INE531A01024</t>
  </si>
  <si>
    <t>Kansai Nerolac Paints Ltd</t>
  </si>
  <si>
    <t>Consumer Non Durables</t>
  </si>
  <si>
    <t>INE541A01023</t>
  </si>
  <si>
    <t>GMM Pfaudler Ltd</t>
  </si>
  <si>
    <t>INE129A01019</t>
  </si>
  <si>
    <t>GAIL (India) Ltd</t>
  </si>
  <si>
    <t>Gas</t>
  </si>
  <si>
    <t>INE419M01019</t>
  </si>
  <si>
    <t>TD Power Systems Ltd</t>
  </si>
  <si>
    <t>INE868B01028</t>
  </si>
  <si>
    <t>NCC Ltd</t>
  </si>
  <si>
    <t>INE298A01020</t>
  </si>
  <si>
    <t>Cummins India Ltd</t>
  </si>
  <si>
    <t>INE347G01014</t>
  </si>
  <si>
    <t>Petronet LNG Ltd</t>
  </si>
  <si>
    <t>INE742F01042</t>
  </si>
  <si>
    <t>Adani Ports and Special Economic Zone Ltd</t>
  </si>
  <si>
    <t>INE208A01029</t>
  </si>
  <si>
    <t>Ashok Leyland Ltd</t>
  </si>
  <si>
    <t>Auto</t>
  </si>
  <si>
    <t>INE324L01013</t>
  </si>
  <si>
    <t>R.P.P. Infra Projects Ltd</t>
  </si>
  <si>
    <t>Sub Total</t>
  </si>
  <si>
    <t>(b) Overseas Security</t>
  </si>
  <si>
    <t>(c) Privately Placed / Unlisted</t>
  </si>
  <si>
    <t>INE551A01022</t>
  </si>
  <si>
    <t>Engineering Services</t>
  </si>
  <si>
    <t>#</t>
  </si>
  <si>
    <t>(d) Preference / Right Shares</t>
  </si>
  <si>
    <t>(e) Warrants</t>
  </si>
  <si>
    <t>f) Derivative</t>
  </si>
  <si>
    <t>Stock Future</t>
  </si>
  <si>
    <t>Total for Equity &amp; Equity Related</t>
  </si>
  <si>
    <t>B) Debt Instruments</t>
  </si>
  <si>
    <t>(b) Privately Placed / Unlisted</t>
  </si>
  <si>
    <t>(c) Govt Security</t>
  </si>
  <si>
    <t>(d) Securitized Debt Instruments</t>
  </si>
  <si>
    <t>Total for Debt Instruments</t>
  </si>
  <si>
    <t>C) Money Market Instruments</t>
  </si>
  <si>
    <t>(a) Certificate of Deposits</t>
  </si>
  <si>
    <t>(b) Commercial Papers</t>
  </si>
  <si>
    <t>(c) Treasury Bills</t>
  </si>
  <si>
    <t>(d) ReverseRepo / TREPS</t>
  </si>
  <si>
    <t>TREPS</t>
  </si>
  <si>
    <t>Reverse Repo</t>
  </si>
  <si>
    <t>Total for Money Market Instruments</t>
  </si>
  <si>
    <t>D) Mutual Fund Units</t>
  </si>
  <si>
    <t>(a) Investment in Mutual Fund Units</t>
  </si>
  <si>
    <t>E) Others</t>
  </si>
  <si>
    <t>(a) Deposits with Commercial Banks</t>
  </si>
  <si>
    <t>(b) Share Application Money pending Allotment</t>
  </si>
  <si>
    <t>Margin Money For Derivatives</t>
  </si>
  <si>
    <t>Cash and Other Net Current Assets</t>
  </si>
  <si>
    <t>Grand Total</t>
  </si>
  <si>
    <t># percentage to NAV of security is less than 0.01%</t>
  </si>
  <si>
    <t>Notes</t>
  </si>
  <si>
    <t>a) Total securities classified as below investment grade or default provided for and its percentage to NAV</t>
  </si>
  <si>
    <t>Nil</t>
  </si>
  <si>
    <t>b) Total value and percentage of illiquid equity shares</t>
  </si>
  <si>
    <t>c) NAV  per  unit (Rupees per unit)</t>
  </si>
  <si>
    <t>At the 
beginning</t>
  </si>
  <si>
    <t>At the end</t>
  </si>
  <si>
    <t>Option</t>
  </si>
  <si>
    <t>31/03/2021</t>
  </si>
  <si>
    <t>30/04/2021</t>
  </si>
  <si>
    <t>Direct Plan - Growth</t>
  </si>
  <si>
    <t>Regular Plan - Growth</t>
  </si>
  <si>
    <t>e) Total outstanding exposure in derivative instruments at the end of the period</t>
  </si>
  <si>
    <t>f) Total investments in foreign securities /ADR'S/GDR'S at the end of the period</t>
  </si>
  <si>
    <t>g) Portfolio Turnover Ratio</t>
  </si>
  <si>
    <t>h) Repo in corporate debt</t>
  </si>
  <si>
    <t>Sundaram Select Micro Cap Series XIV</t>
  </si>
  <si>
    <t>INE048G01026</t>
  </si>
  <si>
    <t>Navin Fluorine International Ltd</t>
  </si>
  <si>
    <t>Chemicals</t>
  </si>
  <si>
    <t>INE02A801020</t>
  </si>
  <si>
    <t>Rossari Biotech Ltd</t>
  </si>
  <si>
    <t>INE00WC01019</t>
  </si>
  <si>
    <t>Affle (India) Ltd</t>
  </si>
  <si>
    <t>Software</t>
  </si>
  <si>
    <t>INE383A01012</t>
  </si>
  <si>
    <t>The India Cements Ltd</t>
  </si>
  <si>
    <t>INE988K01017</t>
  </si>
  <si>
    <t>Equitas Holdings Ltd</t>
  </si>
  <si>
    <t>Finance</t>
  </si>
  <si>
    <t>INE878B01027</t>
  </si>
  <si>
    <t>KEI Industries Ltd</t>
  </si>
  <si>
    <t>INE348B01021</t>
  </si>
  <si>
    <t>Century Plyboards (India) Ltd</t>
  </si>
  <si>
    <t>INE974X01010</t>
  </si>
  <si>
    <t>Tube Investments of India Ltd</t>
  </si>
  <si>
    <t>Auto Ancillaries</t>
  </si>
  <si>
    <t>INE419U01012</t>
  </si>
  <si>
    <t>Happiest Minds Technologies Limited</t>
  </si>
  <si>
    <t>INE578A01017</t>
  </si>
  <si>
    <t>HeidelbergCement India Ltd</t>
  </si>
  <si>
    <t>INE04I401011</t>
  </si>
  <si>
    <t>KPIT Technologies Ltd</t>
  </si>
  <si>
    <t>INE594H01019</t>
  </si>
  <si>
    <t>Thyrocare Technologies Ltd</t>
  </si>
  <si>
    <t>Healthcare Services</t>
  </si>
  <si>
    <t>INE227C01017</t>
  </si>
  <si>
    <t>MM Forgings Ltd</t>
  </si>
  <si>
    <t>INE220B01022</t>
  </si>
  <si>
    <t>Kalpataru Power Transmission Ltd</t>
  </si>
  <si>
    <t>INE056C01010</t>
  </si>
  <si>
    <t>Tata Metaliks Ltd</t>
  </si>
  <si>
    <t>INE884B01025</t>
  </si>
  <si>
    <t>INE113A01013</t>
  </si>
  <si>
    <t>Gujarat Narmada Valley Fertilizers &amp; Chemicals Ltd</t>
  </si>
  <si>
    <t>INE782A01015</t>
  </si>
  <si>
    <t>Johnson Controls-Hitachi AirConditioning India Ltd</t>
  </si>
  <si>
    <t>INE075I01017</t>
  </si>
  <si>
    <t>Healthcare Global Enterprises Ltd</t>
  </si>
  <si>
    <t>INE296E01026</t>
  </si>
  <si>
    <t>Rajapalayam Mills Ltd</t>
  </si>
  <si>
    <t>Textiles - Cotton</t>
  </si>
  <si>
    <t>INE262H01013</t>
  </si>
  <si>
    <t>Persistent Systems Ltd</t>
  </si>
  <si>
    <t>INE873D01024</t>
  </si>
  <si>
    <t>Indoco Remedies Ltd</t>
  </si>
  <si>
    <t>Pharmaceuticals</t>
  </si>
  <si>
    <t>INE978A01027</t>
  </si>
  <si>
    <t>Heritage Foods Ltd</t>
  </si>
  <si>
    <t>INE136B01020</t>
  </si>
  <si>
    <t>Cyient Ltd</t>
  </si>
  <si>
    <t>INE043D01016</t>
  </si>
  <si>
    <t>IDFC Ltd</t>
  </si>
  <si>
    <t>INE615P01015</t>
  </si>
  <si>
    <t>Quess Corp Ltd</t>
  </si>
  <si>
    <t>INE442H01029</t>
  </si>
  <si>
    <t>Ashoka Buildcon Ltd</t>
  </si>
  <si>
    <t>INE312H01016</t>
  </si>
  <si>
    <t>INOX Leisure Ltd</t>
  </si>
  <si>
    <t>INE934S01014</t>
  </si>
  <si>
    <t>GNA Axles Ltd</t>
  </si>
  <si>
    <t>INE092B01025</t>
  </si>
  <si>
    <t>India Nippon Electricals Ltd</t>
  </si>
  <si>
    <t>INE947Q01028</t>
  </si>
  <si>
    <t>Laurus Labs Ltd</t>
  </si>
  <si>
    <t>INE211B01039</t>
  </si>
  <si>
    <t>The Phoenix Mills Ltd</t>
  </si>
  <si>
    <t>INE067A01029</t>
  </si>
  <si>
    <t>CG Power and Industrial Solutions Ltd</t>
  </si>
  <si>
    <t>INE998I01010</t>
  </si>
  <si>
    <t>Mahindra Holidays &amp; Resorts India Ltd</t>
  </si>
  <si>
    <t>INE477A01020</t>
  </si>
  <si>
    <t>Can Fin Homes Ltd</t>
  </si>
  <si>
    <t>INE864I01014</t>
  </si>
  <si>
    <t>MTAR Technologies Ltd</t>
  </si>
  <si>
    <t>INE349A01021</t>
  </si>
  <si>
    <t>NRB Bearing Ltd</t>
  </si>
  <si>
    <t>INE429E01023</t>
  </si>
  <si>
    <t>Safari Industries (India) Ltd</t>
  </si>
  <si>
    <t>INE049A01027</t>
  </si>
  <si>
    <t>Himatsingka Seide Ltd</t>
  </si>
  <si>
    <t>Textile Products</t>
  </si>
  <si>
    <t>INE572A01028</t>
  </si>
  <si>
    <t>JB Chemicals &amp; Pharmaceuticals Ltd</t>
  </si>
  <si>
    <t>INE481N01025</t>
  </si>
  <si>
    <t>Home First Finance Company Ltd</t>
  </si>
  <si>
    <t>INE614A01028</t>
  </si>
  <si>
    <t>Ramco Industries Ltd</t>
  </si>
  <si>
    <t>INE274F01020</t>
  </si>
  <si>
    <t>Westlife Development Ltd</t>
  </si>
  <si>
    <t>INE732I01013</t>
  </si>
  <si>
    <t>Angel Broking ltd</t>
  </si>
  <si>
    <t>INE00IN01015</t>
  </si>
  <si>
    <t>Stove Kraft Ltd</t>
  </si>
  <si>
    <t>INE384A01010</t>
  </si>
  <si>
    <t>Rane Holdings Ltd</t>
  </si>
  <si>
    <t>INE060A01024</t>
  </si>
  <si>
    <t>Navneet Education Ltd</t>
  </si>
  <si>
    <t>INE503A01015</t>
  </si>
  <si>
    <t>DCB Bank Ltd</t>
  </si>
  <si>
    <t>INE07O001018</t>
  </si>
  <si>
    <t>Easy Trip Planners Ltd</t>
  </si>
  <si>
    <t>INE435A01028</t>
  </si>
  <si>
    <t>International Paper APPM Ltd</t>
  </si>
  <si>
    <t>Paper</t>
  </si>
  <si>
    <t>INE877F01012</t>
  </si>
  <si>
    <t>PTC India Ltd</t>
  </si>
  <si>
    <t>INE834I01025</t>
  </si>
  <si>
    <t>Khadim India Ltd</t>
  </si>
  <si>
    <t>INE586B01026</t>
  </si>
  <si>
    <t>Taj GVK Hotels &amp; Resorts Ltd</t>
  </si>
  <si>
    <t>INE745G01035</t>
  </si>
  <si>
    <t>Multi Commodity Exchange of India Ltd</t>
  </si>
  <si>
    <t>INE022I01019</t>
  </si>
  <si>
    <t>Asian Granito India Ltd</t>
  </si>
  <si>
    <t>INE565V01010</t>
  </si>
  <si>
    <t>Valiant Organics Ltd</t>
  </si>
  <si>
    <t>INE901L01018</t>
  </si>
  <si>
    <t>Alembic Pharmaceuticals Ltd</t>
  </si>
  <si>
    <t>INE152M01016</t>
  </si>
  <si>
    <t>Triveni Turbine Ltd</t>
  </si>
  <si>
    <t>INE970X01018</t>
  </si>
  <si>
    <t>Lemon Tree Hotels Ltd</t>
  </si>
  <si>
    <t>INE955V01021</t>
  </si>
  <si>
    <t>Arvind Fashions Ltd</t>
  </si>
  <si>
    <t>Retailing</t>
  </si>
  <si>
    <t>INE201M01011</t>
  </si>
  <si>
    <t>CL Educate Ltd</t>
  </si>
  <si>
    <t>INE611L01021</t>
  </si>
  <si>
    <t>Indian Terrain Fashions Ltd</t>
  </si>
  <si>
    <t>Sundaram Select Micro Cap Series XV</t>
  </si>
  <si>
    <t>INE386A01015</t>
  </si>
  <si>
    <t>Vesuvius India Ltd</t>
  </si>
  <si>
    <t>Sundaram Select Micro Cap Series XVI</t>
  </si>
  <si>
    <t>Sundaram Select Micro Cap Series XVII</t>
  </si>
  <si>
    <t>INE045A01017</t>
  </si>
  <si>
    <t>Ador Welding Ltd</t>
  </si>
  <si>
    <t>INE750A01020</t>
  </si>
  <si>
    <t>Oriental Hotels Ltd</t>
  </si>
  <si>
    <t>Sundaram Mid Cap Fund</t>
  </si>
  <si>
    <t>INE121A01024</t>
  </si>
  <si>
    <t>Cholamandalam Investment and Finance Company Ltd</t>
  </si>
  <si>
    <t>INE180A01020</t>
  </si>
  <si>
    <t>Max Financial Services Ltd</t>
  </si>
  <si>
    <t>INE105A01035</t>
  </si>
  <si>
    <t>Sundaram Clayton Ltd</t>
  </si>
  <si>
    <t>INE437A01024</t>
  </si>
  <si>
    <t>Apollo Hospitals Enterprise Ltd</t>
  </si>
  <si>
    <t>INE018I01017</t>
  </si>
  <si>
    <t>MindTree Ltd</t>
  </si>
  <si>
    <t>INE171A01029</t>
  </si>
  <si>
    <t>The Federal Bank  Ltd</t>
  </si>
  <si>
    <t>INE987B01026</t>
  </si>
  <si>
    <t>Natco Pharma Ltd</t>
  </si>
  <si>
    <t>INE226A01021</t>
  </si>
  <si>
    <t>Voltas Ltd</t>
  </si>
  <si>
    <t>INE949L01017</t>
  </si>
  <si>
    <t>AU Small Finance Bank Ltd</t>
  </si>
  <si>
    <t>INE797F01012</t>
  </si>
  <si>
    <t>Jubilant Foodworks Ltd</t>
  </si>
  <si>
    <t>INE571A01020</t>
  </si>
  <si>
    <t>IPCA Laboratories Ltd</t>
  </si>
  <si>
    <t>INE716A01013</t>
  </si>
  <si>
    <t>Whirlpool of India Ltd</t>
  </si>
  <si>
    <t>INE603J01030</t>
  </si>
  <si>
    <t>PI Industries Ltd</t>
  </si>
  <si>
    <t>Pesticides</t>
  </si>
  <si>
    <t>INE548C01032</t>
  </si>
  <si>
    <t>Emami Ltd</t>
  </si>
  <si>
    <t>INE883A01011</t>
  </si>
  <si>
    <t>MRF Ltd</t>
  </si>
  <si>
    <t>INE491A01021</t>
  </si>
  <si>
    <t>City Union Bank Ltd</t>
  </si>
  <si>
    <t>INE749A01030</t>
  </si>
  <si>
    <t>Jindal Steel &amp; Power Ltd</t>
  </si>
  <si>
    <t>INE203G01027</t>
  </si>
  <si>
    <t>Indraprastha Gas Ltd</t>
  </si>
  <si>
    <t>INE299U01018</t>
  </si>
  <si>
    <t>Crompton Greaves Consumer Electricals Ltd</t>
  </si>
  <si>
    <t>INE200M01013</t>
  </si>
  <si>
    <t>Varun Beverages Ltd</t>
  </si>
  <si>
    <t>INE513A01014</t>
  </si>
  <si>
    <t>INE647A01010</t>
  </si>
  <si>
    <t>INE849A01020</t>
  </si>
  <si>
    <t>Trent Ltd</t>
  </si>
  <si>
    <t>INE092T01019</t>
  </si>
  <si>
    <t>IDFC First Bank Ltd</t>
  </si>
  <si>
    <t>INE115A01026</t>
  </si>
  <si>
    <t>LIC Housing Finance Ltd</t>
  </si>
  <si>
    <t>INE769A01020</t>
  </si>
  <si>
    <t>Aarti Industries Ltd</t>
  </si>
  <si>
    <t>INE068V01023</t>
  </si>
  <si>
    <t>Gland Pharma Ltd</t>
  </si>
  <si>
    <t>INE761H01022</t>
  </si>
  <si>
    <t>Page Industries Ltd</t>
  </si>
  <si>
    <t>INE935N01020</t>
  </si>
  <si>
    <t>Dixon Technologies (India) Ltd</t>
  </si>
  <si>
    <t>INE263A01024</t>
  </si>
  <si>
    <t>Bharat Electronics Ltd</t>
  </si>
  <si>
    <t>INE192A01025</t>
  </si>
  <si>
    <t>TATA Consumer Products Ltd</t>
  </si>
  <si>
    <t>INE774D01024</t>
  </si>
  <si>
    <t>Mahindra &amp; Mahindra Financial Services Ltd</t>
  </si>
  <si>
    <t>INE763G01038</t>
  </si>
  <si>
    <t>ICICI Securities Ltd</t>
  </si>
  <si>
    <t>INE465A01025</t>
  </si>
  <si>
    <t>Bharat Forge Ltd</t>
  </si>
  <si>
    <t>INE111A01025</t>
  </si>
  <si>
    <t>Container Corporation of India Ltd</t>
  </si>
  <si>
    <t>INE860A01027</t>
  </si>
  <si>
    <t>HCL Technologies Ltd</t>
  </si>
  <si>
    <t>INE466L01020</t>
  </si>
  <si>
    <t>IIFL Wealth Management Ltd</t>
  </si>
  <si>
    <t>INE010V01017</t>
  </si>
  <si>
    <t>L&amp;T Technology Services Ltd</t>
  </si>
  <si>
    <t>INE169A01031</t>
  </si>
  <si>
    <t>Coromandel International Ltd</t>
  </si>
  <si>
    <t>Fertilisers</t>
  </si>
  <si>
    <t>INE256A01028</t>
  </si>
  <si>
    <t>Zee Entertainment Enterprises Ltd</t>
  </si>
  <si>
    <t>INE028A01039</t>
  </si>
  <si>
    <t>Bank of Baroda</t>
  </si>
  <si>
    <t>INE885A01032</t>
  </si>
  <si>
    <t>INE335Y01012</t>
  </si>
  <si>
    <t>INE303R01014</t>
  </si>
  <si>
    <t>Kalyan Jewellers India Ltd</t>
  </si>
  <si>
    <t>INE285J01028</t>
  </si>
  <si>
    <t>SIS Ltd</t>
  </si>
  <si>
    <t>Commercial Services</t>
  </si>
  <si>
    <t>INE484J01027</t>
  </si>
  <si>
    <t>Godrej Properties Ltd</t>
  </si>
  <si>
    <t>INE356A01018</t>
  </si>
  <si>
    <t>MphasiS Ltd</t>
  </si>
  <si>
    <t>INE976G01028</t>
  </si>
  <si>
    <t>RBL Bank Ltd</t>
  </si>
  <si>
    <t>INE918I01018</t>
  </si>
  <si>
    <t>Bajaj Finserv Ltd</t>
  </si>
  <si>
    <t>INE216P01012</t>
  </si>
  <si>
    <t>Aavas Financiers Ltd</t>
  </si>
  <si>
    <t>INE058A01010</t>
  </si>
  <si>
    <t>Sanofi India Ltd</t>
  </si>
  <si>
    <t>INE342J01019</t>
  </si>
  <si>
    <t>IN9647O01027</t>
  </si>
  <si>
    <t>Aditya Birla Fashion and Retail Ltd</t>
  </si>
  <si>
    <t>Institutional Plan - Growth</t>
  </si>
  <si>
    <t>Sundaram Multi Cap Fund Series I</t>
  </si>
  <si>
    <t>INE009A01021</t>
  </si>
  <si>
    <t>Infosys Ltd</t>
  </si>
  <si>
    <t>INE001A01036</t>
  </si>
  <si>
    <t>Housing Development Finance Corporation Ltd</t>
  </si>
  <si>
    <t>INE238A01034</t>
  </si>
  <si>
    <t>Axis Bank Ltd</t>
  </si>
  <si>
    <t>INE062A01020</t>
  </si>
  <si>
    <t>State Bank of India</t>
  </si>
  <si>
    <t>INE101A01026</t>
  </si>
  <si>
    <t>Mahindra &amp; Mahindra Ltd</t>
  </si>
  <si>
    <t>INE123W01016</t>
  </si>
  <si>
    <t>SBI Life Insurance Company Ltd</t>
  </si>
  <si>
    <t>INE406A01037</t>
  </si>
  <si>
    <t>Aurobindo Pharma Ltd</t>
  </si>
  <si>
    <t>INE044A01036</t>
  </si>
  <si>
    <t>Sun Pharmaceutical Industries Ltd</t>
  </si>
  <si>
    <t>INE467B01029</t>
  </si>
  <si>
    <t>Tata Consultancy Services Ltd</t>
  </si>
  <si>
    <t>INE075A01022</t>
  </si>
  <si>
    <t>Wipro Ltd</t>
  </si>
  <si>
    <t>INE081A01012</t>
  </si>
  <si>
    <t>Tata Steel Ltd</t>
  </si>
  <si>
    <t>INE030A01027</t>
  </si>
  <si>
    <t>Hindustan UniLever Ltd</t>
  </si>
  <si>
    <t>INE361B01024</t>
  </si>
  <si>
    <t>Divi's Laboratories Ltd</t>
  </si>
  <si>
    <t>INE765G01017</t>
  </si>
  <si>
    <t>ICICI Lombard General Insurance Company Ltd</t>
  </si>
  <si>
    <t>INE154A01025</t>
  </si>
  <si>
    <t>ITC Ltd</t>
  </si>
  <si>
    <t>INE237A01028</t>
  </si>
  <si>
    <t>Kotak Mahindra Bank Ltd</t>
  </si>
  <si>
    <t>INE038A01020</t>
  </si>
  <si>
    <t>Hindalco Industries Ltd</t>
  </si>
  <si>
    <t>Non - Ferrous Metals</t>
  </si>
  <si>
    <t>INE494B01023</t>
  </si>
  <si>
    <t>TVS Motor Company Ltd</t>
  </si>
  <si>
    <t>Sundaram Multi Cap Fund -Series II</t>
  </si>
  <si>
    <t>Sundaram Large and Mid Cap Fund</t>
  </si>
  <si>
    <t>INE006I01046</t>
  </si>
  <si>
    <t>INE059A01026</t>
  </si>
  <si>
    <t>Cipla Ltd</t>
  </si>
  <si>
    <t>INE089A01023</t>
  </si>
  <si>
    <t>INE149A01033</t>
  </si>
  <si>
    <t>Cholamandalam Financial Holdings Ltd</t>
  </si>
  <si>
    <t>INE647O01011</t>
  </si>
  <si>
    <t>Sundaram Emerging Small Cap Series I</t>
  </si>
  <si>
    <t>INE142Z01019</t>
  </si>
  <si>
    <t>Orient Electric Ltd</t>
  </si>
  <si>
    <t>INE717A01029</t>
  </si>
  <si>
    <t>Kennametal India Ltd</t>
  </si>
  <si>
    <t>INE472A01039</t>
  </si>
  <si>
    <t>Blue Star Ltd</t>
  </si>
  <si>
    <t>INE896L01010</t>
  </si>
  <si>
    <t>Indostar Capital Finance Ltd</t>
  </si>
  <si>
    <t>INE778U01029</t>
  </si>
  <si>
    <t>INE120A01034</t>
  </si>
  <si>
    <t>Carborundum Universal Ltd</t>
  </si>
  <si>
    <t>INE688A01022</t>
  </si>
  <si>
    <t>Transport Corporation of India Ltd</t>
  </si>
  <si>
    <t>INE741K01010</t>
  </si>
  <si>
    <t>Creditaccess Grameen Ltd</t>
  </si>
  <si>
    <t>INE489L01022</t>
  </si>
  <si>
    <t>IIFL Securities Ltd</t>
  </si>
  <si>
    <t>INE457F01013</t>
  </si>
  <si>
    <t>Salzer Electronics Ltd</t>
  </si>
  <si>
    <t>Sundaram Emerging Small Cap Series II</t>
  </si>
  <si>
    <t>Sundaram Emerging Small Cap Series III</t>
  </si>
  <si>
    <t>INE475B01022</t>
  </si>
  <si>
    <t>Hikal Ltd</t>
  </si>
  <si>
    <t>Sundaram Emerging Small Cap Series IV</t>
  </si>
  <si>
    <t>Sundaram Emerging Small Cap Series V</t>
  </si>
  <si>
    <t>Sundaram Emerging Small Cap Series VI</t>
  </si>
  <si>
    <t>Sundaram Emerging Small Cap Series VII</t>
  </si>
  <si>
    <t>INE287B01021</t>
  </si>
  <si>
    <t>Subros Ltd</t>
  </si>
  <si>
    <t>INE182A01018</t>
  </si>
  <si>
    <t>Pfizer Ltd</t>
  </si>
  <si>
    <t>INE517F01014</t>
  </si>
  <si>
    <t>Gujarat Pipavav Port Ltd</t>
  </si>
  <si>
    <t>INE189B01011</t>
  </si>
  <si>
    <t>INEOS Styrolution India Ltd</t>
  </si>
  <si>
    <t>INE172A01027</t>
  </si>
  <si>
    <t>Castrol India Ltd</t>
  </si>
  <si>
    <t>INE323A01026</t>
  </si>
  <si>
    <t>Bosch Ltd</t>
  </si>
  <si>
    <t>INE179A01014</t>
  </si>
  <si>
    <t>INE854D01024</t>
  </si>
  <si>
    <t>United Spirits Ltd</t>
  </si>
  <si>
    <t>INE686A01026</t>
  </si>
  <si>
    <t>ITD Cementation India Ltd</t>
  </si>
  <si>
    <t>INE07T201019</t>
  </si>
  <si>
    <t>Burger King India Ltd</t>
  </si>
  <si>
    <t>Sundaram Select Focus</t>
  </si>
  <si>
    <t>INE585B01010</t>
  </si>
  <si>
    <t>Maruti Suzuki India Ltd</t>
  </si>
  <si>
    <t>Sundaram Long Term Tax Advantage Fund Series III</t>
  </si>
  <si>
    <t>Sundaram Long Term Tax Advantage Fund Series IV</t>
  </si>
  <si>
    <t>Sundaram Long Term Tax Advantage Fund Series-I</t>
  </si>
  <si>
    <t>INE256C01024</t>
  </si>
  <si>
    <t>Triveni Engineering &amp; Industries Ltd</t>
  </si>
  <si>
    <t>INE669C01036</t>
  </si>
  <si>
    <t>Tech Mahindra Ltd</t>
  </si>
  <si>
    <t>INE340A01012</t>
  </si>
  <si>
    <t>Birla Corporation Ltd</t>
  </si>
  <si>
    <t>Sundaram Long Term Tax Advantage Fund Series-II</t>
  </si>
  <si>
    <t>Sundaram Long Term Micro Cap Tax Advantage Fund Series III</t>
  </si>
  <si>
    <t>Sundaram Long Term Micro Cap Tax Advantage Fund Series IV</t>
  </si>
  <si>
    <t>Sundaram Long Term Micro Cap Tax Advantage Fund Series V</t>
  </si>
  <si>
    <t>Sundaram Long Term Micro Cap Tax Advantage Fund Series VI</t>
  </si>
  <si>
    <t>Sundaram Select Small Cap Series V</t>
  </si>
  <si>
    <t>INE214T01019</t>
  </si>
  <si>
    <t>Larsen &amp; Toubro Infotech Ltd</t>
  </si>
  <si>
    <t>INE003A01024</t>
  </si>
  <si>
    <t>Siemens Ltd</t>
  </si>
  <si>
    <t>INE470A01017</t>
  </si>
  <si>
    <t>3M India Ltd</t>
  </si>
  <si>
    <t>INE951I01027</t>
  </si>
  <si>
    <t>V-Guard Industries Ltd</t>
  </si>
  <si>
    <t>INE498L01015</t>
  </si>
  <si>
    <t>L&amp;T Finance Holdings Ltd</t>
  </si>
  <si>
    <t>INE825A01012</t>
  </si>
  <si>
    <t>Vardhman Textiles Ltd</t>
  </si>
  <si>
    <t>INE780C01023</t>
  </si>
  <si>
    <t>JM Financial Ltd</t>
  </si>
  <si>
    <t>INE787D01026</t>
  </si>
  <si>
    <t>Balkrishna Industries Ltd</t>
  </si>
  <si>
    <t>INE230A01023</t>
  </si>
  <si>
    <t>EIH Ltd</t>
  </si>
  <si>
    <t>Sundaram Select Small Cap Series VI</t>
  </si>
  <si>
    <t>Sundaram Small Cap Fund</t>
  </si>
  <si>
    <t>INE098F01031</t>
  </si>
  <si>
    <t>Amrutanjan Health Care Ltd</t>
  </si>
  <si>
    <t>INE295F01017</t>
  </si>
  <si>
    <t>Butterfly Gandhimathi Appliances Ltd</t>
  </si>
  <si>
    <t>INE679A01013</t>
  </si>
  <si>
    <t>CSB Bank Ltd</t>
  </si>
  <si>
    <t>INE085A01013</t>
  </si>
  <si>
    <t>Chambal Fertilizers &amp; Chemicals Ltd</t>
  </si>
  <si>
    <t>INE199A01012</t>
  </si>
  <si>
    <t>Procter &amp; Gamble Health Ltd</t>
  </si>
  <si>
    <t>INE119A01028</t>
  </si>
  <si>
    <t>Balrampur Chini Mills Ltd</t>
  </si>
  <si>
    <t>INE136S01016</t>
  </si>
  <si>
    <t>Neogen Chemicals Ltd</t>
  </si>
  <si>
    <t>INE217B01036</t>
  </si>
  <si>
    <t>Kajaria Ceramics Ltd</t>
  </si>
  <si>
    <t>INE389H01022</t>
  </si>
  <si>
    <t>KEC International Ltd</t>
  </si>
  <si>
    <t>INE03QK01018</t>
  </si>
  <si>
    <t>Suven Pharmaceuticals Ltd</t>
  </si>
  <si>
    <t>INE246B01019</t>
  </si>
  <si>
    <t>Ramco Systems Ltd</t>
  </si>
  <si>
    <t>INE930P01018</t>
  </si>
  <si>
    <t>Anupam Rasayan India Ltd</t>
  </si>
  <si>
    <t>INE177F01017</t>
  </si>
  <si>
    <t>Kovai Medical Center &amp; Hospital Ltd</t>
  </si>
  <si>
    <t>INE599M01018</t>
  </si>
  <si>
    <t>INE743M01012</t>
  </si>
  <si>
    <t>Orient Refractories Ltd</t>
  </si>
  <si>
    <t>INE596I01012</t>
  </si>
  <si>
    <t>Computer Age Management Services Ltd</t>
  </si>
  <si>
    <t>INE702C01027</t>
  </si>
  <si>
    <t>APL Apollo Tubes Ltd</t>
  </si>
  <si>
    <t>INE562A01011</t>
  </si>
  <si>
    <t>Indian Bank</t>
  </si>
  <si>
    <t>INE418L01021</t>
  </si>
  <si>
    <t>Nazara Technologies Ltd</t>
  </si>
  <si>
    <t>Sundaram Rural and Consumption Fund</t>
  </si>
  <si>
    <t>INE021A01026</t>
  </si>
  <si>
    <t>Asian Paints Ltd</t>
  </si>
  <si>
    <t>INE690A01010</t>
  </si>
  <si>
    <t>TTK Prestige Ltd</t>
  </si>
  <si>
    <t>INE296A01024</t>
  </si>
  <si>
    <t>Bajaj Finance Ltd</t>
  </si>
  <si>
    <t>INE239A01016</t>
  </si>
  <si>
    <t>Nestle India Ltd</t>
  </si>
  <si>
    <t>INE544R01013</t>
  </si>
  <si>
    <t>Greenlam Industries Ltd</t>
  </si>
  <si>
    <t>INE280A01028</t>
  </si>
  <si>
    <t>Titan Company Ltd</t>
  </si>
  <si>
    <t>INE176A01028</t>
  </si>
  <si>
    <t>Bata India Ltd</t>
  </si>
  <si>
    <t>Sundaram Services Fund</t>
  </si>
  <si>
    <t>INE933S01016</t>
  </si>
  <si>
    <t>Indiamart Intermesh Ltd</t>
  </si>
  <si>
    <t>INE795G01014</t>
  </si>
  <si>
    <t>HDFC Life Insurance Company Ltd</t>
  </si>
  <si>
    <t>INE112L01020</t>
  </si>
  <si>
    <t>Metropolis Healthcare Ltd</t>
  </si>
  <si>
    <t>INE663F01024</t>
  </si>
  <si>
    <t>Info Edge (India) Ltd</t>
  </si>
  <si>
    <t>INE094J01016</t>
  </si>
  <si>
    <t>INE192R01011</t>
  </si>
  <si>
    <t>Avenue Supermarts Ltd</t>
  </si>
  <si>
    <t>Sundaram Smart NIFTY 100 Equal Weight Fund</t>
  </si>
  <si>
    <t>INE019A01038</t>
  </si>
  <si>
    <t>JSW Steel Ltd</t>
  </si>
  <si>
    <t>INE010B01027</t>
  </si>
  <si>
    <t>Cadila Healthcare Ltd</t>
  </si>
  <si>
    <t>INE584A01023</t>
  </si>
  <si>
    <t>Minerals/Mining</t>
  </si>
  <si>
    <t>INE931S01010</t>
  </si>
  <si>
    <t>Adani Transmission Ltd</t>
  </si>
  <si>
    <t>INE726G01019</t>
  </si>
  <si>
    <t>ICICI Prudential Life Insurance Company Ltd</t>
  </si>
  <si>
    <t>INE423A01024</t>
  </si>
  <si>
    <t>INE205A01025</t>
  </si>
  <si>
    <t>Vedanta Ltd</t>
  </si>
  <si>
    <t>INE775A01035</t>
  </si>
  <si>
    <t>Motherson Sumi Systems Ltd</t>
  </si>
  <si>
    <t>INE917I01010</t>
  </si>
  <si>
    <t>Bajaj Auto Ltd</t>
  </si>
  <si>
    <t>INE326A01037</t>
  </si>
  <si>
    <t>Lupin Ltd</t>
  </si>
  <si>
    <t>INE018E01016</t>
  </si>
  <si>
    <t>SBI Cards and Payment Services Ltd</t>
  </si>
  <si>
    <t>INE213A01029</t>
  </si>
  <si>
    <t>Oil &amp; Natural Gas Corporation Ltd</t>
  </si>
  <si>
    <t>Oil</t>
  </si>
  <si>
    <t>INE079A01024</t>
  </si>
  <si>
    <t>Ambuja Cements Ltd</t>
  </si>
  <si>
    <t>INE118A01012</t>
  </si>
  <si>
    <t>Bajaj Holdings &amp; Investment Ltd</t>
  </si>
  <si>
    <t>INE196A01026</t>
  </si>
  <si>
    <t>Marico Ltd</t>
  </si>
  <si>
    <t>INE121J01017</t>
  </si>
  <si>
    <t>INE540L01014</t>
  </si>
  <si>
    <t>Alkem Laboratories Ltd</t>
  </si>
  <si>
    <t>INE016A01026</t>
  </si>
  <si>
    <t>Dabur India Ltd</t>
  </si>
  <si>
    <t>INE522F01014</t>
  </si>
  <si>
    <t>Coal India Ltd</t>
  </si>
  <si>
    <t>INE094A01015</t>
  </si>
  <si>
    <t>Hindustan Petroleum Corporation Ltd</t>
  </si>
  <si>
    <t>INE318A01026</t>
  </si>
  <si>
    <t>Pidilite Industries Ltd</t>
  </si>
  <si>
    <t>INE528G01035</t>
  </si>
  <si>
    <t>Yes Bank Ltd</t>
  </si>
  <si>
    <t>INE685A01028</t>
  </si>
  <si>
    <t>Torrent Pharmaceuticals Ltd</t>
  </si>
  <si>
    <t>INE155A01022</t>
  </si>
  <si>
    <t>Tata Motors Ltd</t>
  </si>
  <si>
    <t>INE047A01021</t>
  </si>
  <si>
    <t>Grasim Industries Ltd</t>
  </si>
  <si>
    <t>INE752E01010</t>
  </si>
  <si>
    <t>Power Grid Corporation of India Ltd</t>
  </si>
  <si>
    <t>INE628A01036</t>
  </si>
  <si>
    <t>UPL Ltd</t>
  </si>
  <si>
    <t>INE102D01028</t>
  </si>
  <si>
    <t>Godrej Consumer Products Ltd</t>
  </si>
  <si>
    <t>INE012A01025</t>
  </si>
  <si>
    <t>ACC Ltd</t>
  </si>
  <si>
    <t>INE070A01015</t>
  </si>
  <si>
    <t>Shree Cement Ltd</t>
  </si>
  <si>
    <t>INE358A01014</t>
  </si>
  <si>
    <t>Abbott India Ltd</t>
  </si>
  <si>
    <t>INE242A01010</t>
  </si>
  <si>
    <t>Indian Oil Corporation Ltd</t>
  </si>
  <si>
    <t>INE686F01025</t>
  </si>
  <si>
    <t>United Breweries Ltd</t>
  </si>
  <si>
    <t>INE216A01030</t>
  </si>
  <si>
    <t>Britannia Industries Ltd</t>
  </si>
  <si>
    <t>INE646L01027</t>
  </si>
  <si>
    <t>Interglobe Aviation Ltd</t>
  </si>
  <si>
    <t>INE733E01010</t>
  </si>
  <si>
    <t>NTPC Ltd</t>
  </si>
  <si>
    <t>INE127D01025</t>
  </si>
  <si>
    <t>HDFC Asset Management Company Ltd</t>
  </si>
  <si>
    <t>INE160A01022</t>
  </si>
  <si>
    <t>Punjab National Bank</t>
  </si>
  <si>
    <t>INE095A01012</t>
  </si>
  <si>
    <t>IndusInd Bank Ltd</t>
  </si>
  <si>
    <t>INE414G01012</t>
  </si>
  <si>
    <t>Muthoot Finance Ltd</t>
  </si>
  <si>
    <t>INE259A01022</t>
  </si>
  <si>
    <t>Colgate Palmolive (India) Ltd</t>
  </si>
  <si>
    <t>INE176B01034</t>
  </si>
  <si>
    <t>Havells India Ltd</t>
  </si>
  <si>
    <t>INE158A01026</t>
  </si>
  <si>
    <t>INE463A01038</t>
  </si>
  <si>
    <t>INE376G01013</t>
  </si>
  <si>
    <t>Biocon Ltd</t>
  </si>
  <si>
    <t>INE545U01014</t>
  </si>
  <si>
    <t>Bandhan Bank Ltd</t>
  </si>
  <si>
    <t>INE066A01021</t>
  </si>
  <si>
    <t>Eicher Motors Ltd</t>
  </si>
  <si>
    <t>INE140A01024</t>
  </si>
  <si>
    <t>Piramal Enterprises Ltd</t>
  </si>
  <si>
    <t>INE271C01023</t>
  </si>
  <si>
    <t>DLF Ltd</t>
  </si>
  <si>
    <t>INE364U01010</t>
  </si>
  <si>
    <t>Adani Green Energy Ltd</t>
  </si>
  <si>
    <t>Sundaram Diversified Equity</t>
  </si>
  <si>
    <t>Sundaram Arbitrage Fund</t>
  </si>
  <si>
    <t>INE476A01014</t>
  </si>
  <si>
    <t>Canara Bank</t>
  </si>
  <si>
    <t>INF903J01QF2</t>
  </si>
  <si>
    <t>Sundaram Bluechip Fund</t>
  </si>
  <si>
    <t>INE721A01013</t>
  </si>
  <si>
    <t>Sundaram Equity Fund</t>
  </si>
  <si>
    <t>INE269B01029</t>
  </si>
  <si>
    <t>Lakshmi Machine Works Ltd</t>
  </si>
  <si>
    <t>INE944F01028</t>
  </si>
  <si>
    <t>Radico Khaitan Ltd</t>
  </si>
  <si>
    <t>INE008A01015</t>
  </si>
  <si>
    <t>INE093I01010</t>
  </si>
  <si>
    <t>Oberoi Realty Ltd</t>
  </si>
  <si>
    <t>Sundaram Equity Savings Fund</t>
  </si>
  <si>
    <t>Index Future</t>
  </si>
  <si>
    <t>INE020B08BF0</t>
  </si>
  <si>
    <t>REC Ltd - 8.45% - 22/03/2022**</t>
  </si>
  <si>
    <t xml:space="preserve"> CRISIL AAA </t>
  </si>
  <si>
    <t>INE001A07RS3</t>
  </si>
  <si>
    <t>Housing Development Finance Corporation Ltd - 8.58% - 18/03/2022**</t>
  </si>
  <si>
    <t>INE020B08AT3</t>
  </si>
  <si>
    <t>REC Ltd - 7.99% - 23/02/2023**</t>
  </si>
  <si>
    <t>IN0020180488</t>
  </si>
  <si>
    <t>Sovereign</t>
  </si>
  <si>
    <t>** Thinly traded / Non Traded Securities</t>
  </si>
  <si>
    <t>Sundaram Financial Services Opportunities Fund</t>
  </si>
  <si>
    <t>INE674K01013</t>
  </si>
  <si>
    <t>Aditya Birla Capital Ltd</t>
  </si>
  <si>
    <t>INE334L01012</t>
  </si>
  <si>
    <t>Ujjivan Financial Services Ltd</t>
  </si>
  <si>
    <t>Sundaram Value Fund Series X</t>
  </si>
  <si>
    <t>Sundaram Value Fund Series VII</t>
  </si>
  <si>
    <t>INE805C01028</t>
  </si>
  <si>
    <t>KCP Ltd</t>
  </si>
  <si>
    <t>INE722A01011</t>
  </si>
  <si>
    <t>Shriram City Union Finance Ltd</t>
  </si>
  <si>
    <t>INE026A01025</t>
  </si>
  <si>
    <t>Gujarat State Fertilizers &amp; Chemicals Ltd</t>
  </si>
  <si>
    <t>INE807K01035</t>
  </si>
  <si>
    <t>S Chand and Company Ltd</t>
  </si>
  <si>
    <t>INE050M01012</t>
  </si>
  <si>
    <t>Vardhman Special Steels Ltd</t>
  </si>
  <si>
    <t>INE036D01028</t>
  </si>
  <si>
    <t>Karur Vysya Bank Ltd</t>
  </si>
  <si>
    <t>Sundaram Value Fund Series VIII</t>
  </si>
  <si>
    <t>Sundaram Value Fund Series IX</t>
  </si>
  <si>
    <t>S.NO.</t>
  </si>
  <si>
    <t>ACRONYM</t>
  </si>
  <si>
    <t>SCHEME NAME</t>
  </si>
  <si>
    <t>CAPEXG</t>
  </si>
  <si>
    <t>MICAP14</t>
  </si>
  <si>
    <t>MICAP15</t>
  </si>
  <si>
    <t>MICAP16</t>
  </si>
  <si>
    <t>MICAP17</t>
  </si>
  <si>
    <t>MIDCAP</t>
  </si>
  <si>
    <t>MULTI1</t>
  </si>
  <si>
    <t>MULTI2</t>
  </si>
  <si>
    <t>Sundaram Multi Cap Fund Series II</t>
  </si>
  <si>
    <t>MULTIP</t>
  </si>
  <si>
    <t>Sundaram Large And Mid Cap Fund</t>
  </si>
  <si>
    <t>SESCAP1</t>
  </si>
  <si>
    <t>SESCAP2</t>
  </si>
  <si>
    <t>SESCAP3</t>
  </si>
  <si>
    <t>SESCAP4</t>
  </si>
  <si>
    <t>SESCAP5</t>
  </si>
  <si>
    <t>SESCAP6</t>
  </si>
  <si>
    <t>SESCAP7</t>
  </si>
  <si>
    <t>SFOCUS</t>
  </si>
  <si>
    <t>SLTADV3</t>
  </si>
  <si>
    <t>Sundaram Long Term Advantage Fund Series III</t>
  </si>
  <si>
    <t>SLTADV4</t>
  </si>
  <si>
    <t>Sundaram Long Term Advantage Fund Series IV</t>
  </si>
  <si>
    <t>SLTAX1</t>
  </si>
  <si>
    <t>Sundaram Long Term Tax Advantage Fund Series I</t>
  </si>
  <si>
    <t>SLTAX2</t>
  </si>
  <si>
    <t>Sundaram Long Term Tax Advantage Fund Series II</t>
  </si>
  <si>
    <t>SLTAX3</t>
  </si>
  <si>
    <t>SLTAX4</t>
  </si>
  <si>
    <t>SLTAX5</t>
  </si>
  <si>
    <t>SLTAX6</t>
  </si>
  <si>
    <t>SMALL5</t>
  </si>
  <si>
    <t>SMALL6</t>
  </si>
  <si>
    <t>SMILE</t>
  </si>
  <si>
    <t>SRURAL</t>
  </si>
  <si>
    <t>Sundaram Rural And Consumption Fund</t>
  </si>
  <si>
    <t>SSFUND</t>
  </si>
  <si>
    <t>Sundaram Service Fund</t>
  </si>
  <si>
    <t>SSN100</t>
  </si>
  <si>
    <t>Sundaram Smart Nifty 100 Equity Weight Fund</t>
  </si>
  <si>
    <t>STAX</t>
  </si>
  <si>
    <t>SUNARF</t>
  </si>
  <si>
    <t>SUNBAF</t>
  </si>
  <si>
    <t>Sundaram Balanced Advantage Fund</t>
  </si>
  <si>
    <t>SUNBAL</t>
  </si>
  <si>
    <t>Sundaram Equity Hybrid Fund</t>
  </si>
  <si>
    <t>SUNBCF</t>
  </si>
  <si>
    <t>SUNEQF</t>
  </si>
  <si>
    <t>SUNESF</t>
  </si>
  <si>
    <t>SUNFOP</t>
  </si>
  <si>
    <t>SUNVALF10</t>
  </si>
  <si>
    <t>SUNVALF7</t>
  </si>
  <si>
    <t>SUNVALF8</t>
  </si>
  <si>
    <t>SUNVALF9</t>
  </si>
  <si>
    <t>GLOB</t>
  </si>
  <si>
    <t>Sundaram Global Brand Fund</t>
  </si>
  <si>
    <t>INE261F08CA0</t>
  </si>
  <si>
    <t>National Bank for Agricultural &amp; Rural Development - 6.4% - 31/07/2023**</t>
  </si>
  <si>
    <t>INE115A07OH1</t>
  </si>
  <si>
    <t>LIC Housing Finance Ltd - 7.6% - 22/11/2022**</t>
  </si>
  <si>
    <t>INE020B08CN2</t>
  </si>
  <si>
    <t>REC Ltd - 6.8% - 30/06/2023**</t>
  </si>
  <si>
    <t>INE261F08BW6</t>
  </si>
  <si>
    <t>National Bank for Agricultural &amp; Rural Development - 6.72% - 14/04/2023**</t>
  </si>
  <si>
    <t>INE001A07SH4</t>
  </si>
  <si>
    <t>Housing Development Finance Corporation Ltd - 6.99% - 13/02/2023**</t>
  </si>
  <si>
    <t>INE020B08DC3</t>
  </si>
  <si>
    <t>REC Ltd - 5.69% - 30/09/2023**</t>
  </si>
  <si>
    <t>INE001A07SQ5</t>
  </si>
  <si>
    <t>Housing Development Finance Corporation Ltd - 4.95% - 09/09/2022**</t>
  </si>
  <si>
    <t>INE115A07CY1</t>
  </si>
  <si>
    <t>LIC Housing Finance Ltd - 9.3% - 14/09/2022**</t>
  </si>
  <si>
    <t>INE134E08KJ6</t>
  </si>
  <si>
    <t>Power Finance Corporation Ltd - 7.04% - 14/04/2023**</t>
  </si>
  <si>
    <t>INE020B08CD3</t>
  </si>
  <si>
    <t>REC Ltd - 7.09% - 13/12/2022**</t>
  </si>
  <si>
    <t>INE053F07BZ2</t>
  </si>
  <si>
    <t>Indian Railway Finance Corporation Ltd - 6.59% - 14/04/2023**</t>
  </si>
  <si>
    <t>INE134E08IN2</t>
  </si>
  <si>
    <t>Power Finance Corporation Ltd - 7.27% - 22/12/2021**</t>
  </si>
  <si>
    <t>INE261F08AL1</t>
  </si>
  <si>
    <t>National Bank for Agricultural &amp; Rural Development - 8.39% - 19/07/2021</t>
  </si>
  <si>
    <t>IN0020200021</t>
  </si>
  <si>
    <t>5.09% Central Government Securities 13/04/2022</t>
  </si>
  <si>
    <t>INE115A14DA5</t>
  </si>
  <si>
    <t>LIC Housing Finance Ltd - 14/02/2022**</t>
  </si>
  <si>
    <t xml:space="preserve"> CRISIL A1+ </t>
  </si>
  <si>
    <t>Cash and Other Net Current Assets^</t>
  </si>
  <si>
    <t>**Non Traded Securities</t>
  </si>
  <si>
    <t>^ Net current assets includes interest accrued on fixed income securities</t>
  </si>
  <si>
    <t>INE811K01011</t>
  </si>
  <si>
    <t>Prestige Estates Projects Ltd</t>
  </si>
  <si>
    <t>INE001A07SD3</t>
  </si>
  <si>
    <t>Housing Development Finance Corporation Ltd - 7.21% - 30/12/2022**</t>
  </si>
  <si>
    <t>INE134E08KO6</t>
  </si>
  <si>
    <t>Power Finance Corporation Ltd - 6.83% - 24/04/2023**</t>
  </si>
  <si>
    <t>INE062A08157</t>
  </si>
  <si>
    <t xml:space="preserve"> CRISIL AA+ </t>
  </si>
  <si>
    <t>INE261F08CS2</t>
  </si>
  <si>
    <t>National Bank for Agricultural &amp; Rural Development - 4.6% - 29/07/2022</t>
  </si>
  <si>
    <t>INE040A08377</t>
  </si>
  <si>
    <t>INE514E08FL5</t>
  </si>
  <si>
    <t>INE062A08140</t>
  </si>
  <si>
    <t>INE028A08158</t>
  </si>
  <si>
    <t>Bank of Baroda - 8.55% - 14/02/2029**</t>
  </si>
  <si>
    <t xml:space="preserve"> IND AAA </t>
  </si>
  <si>
    <t>INE557F08FG1</t>
  </si>
  <si>
    <t>National Housing Bank  - 7.05% - 18/12/2024**</t>
  </si>
  <si>
    <t>INE028A08117</t>
  </si>
  <si>
    <t>INE115A07PE5</t>
  </si>
  <si>
    <t>LIC Housing Finance Ltd - 4.545% - 28/03/2022**</t>
  </si>
  <si>
    <t xml:space="preserve"> CARE AAA </t>
  </si>
  <si>
    <t>INE134E08KD9</t>
  </si>
  <si>
    <t>Power Finance Corporation Ltd - 8.1% - 04/06/2024**</t>
  </si>
  <si>
    <t>INE261F08BK1</t>
  </si>
  <si>
    <t>National Bank for Agricultural &amp; Rural Development - 7.69% - 29/05/2024**</t>
  </si>
  <si>
    <t>INE115A07OJ7</t>
  </si>
  <si>
    <t>LIC Housing Finance Ltd - 7.445% - 13/01/2023**</t>
  </si>
  <si>
    <t>INE090A08TW2</t>
  </si>
  <si>
    <t>INE238A08443</t>
  </si>
  <si>
    <t>INE020B08641</t>
  </si>
  <si>
    <t>REC Ltd - 9.75% - 11/11/2021**</t>
  </si>
  <si>
    <t>INE001A07SC5</t>
  </si>
  <si>
    <t>Housing Development Finance Corporation Ltd - 6.99% - 25/11/2021**</t>
  </si>
  <si>
    <t>INE528G08246</t>
  </si>
  <si>
    <t>Yes Bank Ltd - 9.9% - 31/10/2022**</t>
  </si>
  <si>
    <t>INE895D07487</t>
  </si>
  <si>
    <t>Tata Sons Pvt Ltd - 9.3% - 19/06/2024**</t>
  </si>
  <si>
    <t>IN0020130012</t>
  </si>
  <si>
    <t>IN002020X522</t>
  </si>
  <si>
    <t>Individual &amp; HUF</t>
  </si>
  <si>
    <t>Others</t>
  </si>
  <si>
    <t>Oil &amp; Natural Gas Corporation Ltd May 2021</t>
  </si>
  <si>
    <t>Axis Bank Ltd May 2021</t>
  </si>
  <si>
    <t>Pidilite Industries Ltd May 2021</t>
  </si>
  <si>
    <t>Federal Bank May 2021</t>
  </si>
  <si>
    <t>Bajaj Auto Ltd May 2021</t>
  </si>
  <si>
    <t>Reliance Industries Ltd May 2021</t>
  </si>
  <si>
    <t>TATA Consultancy Services Ltd May 2021</t>
  </si>
  <si>
    <t>Tata Motors Ltd.</t>
  </si>
  <si>
    <t>United Spirits Ltd.</t>
  </si>
  <si>
    <t>Bharti Airtel Limited</t>
  </si>
  <si>
    <t>Jindal Steel &amp; Power Ltd May 2021</t>
  </si>
  <si>
    <t>Tech Mahindra Ltd May 2021</t>
  </si>
  <si>
    <t>ICICI Bank Ltd May 2021</t>
  </si>
  <si>
    <t>Housing Development Fin Corp Ltd May 2021</t>
  </si>
  <si>
    <t>Hindustan Unilever Ltd May 2021</t>
  </si>
  <si>
    <t>Voltas Ltd May 2021</t>
  </si>
  <si>
    <t>Adani Ports &amp; SEZ Ltd May 2021</t>
  </si>
  <si>
    <t>UPL Limited</t>
  </si>
  <si>
    <t>ICICI Lombard General Insurance Company Ltd May 2021</t>
  </si>
  <si>
    <t>Larsen &amp; Toubro Ltd May 2021</t>
  </si>
  <si>
    <t>HDFC Life Insurance Company Ltd May 2021</t>
  </si>
  <si>
    <t>Dr.Reddys Laboratories Ltd May 2021</t>
  </si>
  <si>
    <t>State Bank of India May 2021</t>
  </si>
  <si>
    <t>Steel Authority of India Limited</t>
  </si>
  <si>
    <t>Marico Ltd.</t>
  </si>
  <si>
    <t>Nifty May 2021</t>
  </si>
  <si>
    <t>Divis Labarotories Ltd May 2021</t>
  </si>
  <si>
    <t>Maruti Suzuki India Limited</t>
  </si>
  <si>
    <t>Canara Bank May 2021</t>
  </si>
  <si>
    <t>Indraprastha Gas Ltd May 2021</t>
  </si>
  <si>
    <t>Page Industries Ltd May 2021</t>
  </si>
  <si>
    <t>LIC Housing Finance Ltd May 2021</t>
  </si>
  <si>
    <t>Ashok Leyland Ltd May 2021</t>
  </si>
  <si>
    <t>Bharat Forge Ltd May 2021</t>
  </si>
  <si>
    <t>SUNDARAM GLOBAL BRAND FUND</t>
  </si>
  <si>
    <t>Monthly Portfolio Statement for the period ended 30 April 2021</t>
  </si>
  <si>
    <t>S.NO</t>
  </si>
  <si>
    <t>ISIN CODE</t>
  </si>
  <si>
    <t>Name of the Instrument</t>
  </si>
  <si>
    <t>Industry/ Rating</t>
  </si>
  <si>
    <t>YTM (%)</t>
  </si>
  <si>
    <t>A) Investments in Foreign Securities - Units of Mutual Funds</t>
  </si>
  <si>
    <t>SG9999013908</t>
  </si>
  <si>
    <t>SUNDARAM GLOBAL BRAND FUND -MASTER CLASS (Singapore)</t>
  </si>
  <si>
    <t>Mutual Funds</t>
  </si>
  <si>
    <t>Total for Investments in Foreign Securities - Units of Mutual Funds</t>
  </si>
  <si>
    <t>B) Money Market Investments</t>
  </si>
  <si>
    <t>Cash and Other Net Curent Assets</t>
  </si>
  <si>
    <t>a) Total securities below investment grade or default  - Nil</t>
  </si>
  <si>
    <t>b) Total value and percentage of illiquid equity shares - Nil</t>
  </si>
  <si>
    <t xml:space="preserve"> </t>
  </si>
  <si>
    <t>Options</t>
  </si>
  <si>
    <t>Direct Plan - IDCW ^^</t>
  </si>
  <si>
    <t>Regular Plan - IDCW ^^</t>
  </si>
  <si>
    <t>^^ IDCW means Income distribution cum capital withdrawal (Payout/Reinvestment/Transfer)</t>
  </si>
  <si>
    <t>d) IDCW declared during the period (Rupees per unit) - Nil</t>
  </si>
  <si>
    <t>e) Total outstanding exposure in derivative instrumentsat the end of the period - Nil</t>
  </si>
  <si>
    <t>f) Total investments in foreign securities /ADR'S/GDR'S  at the end of the period - Rs. 6,218.12 lacs</t>
  </si>
  <si>
    <t>g) Repo in Corporate Debt - Nil</t>
  </si>
  <si>
    <t>Federal Bank Ltd</t>
  </si>
  <si>
    <t>ISGEC Heavy Engineering Ltd</t>
  </si>
  <si>
    <t>NMDC LTD</t>
  </si>
  <si>
    <t>TATA Power Co Ltd</t>
  </si>
  <si>
    <t>IDBI BANK Ltd</t>
  </si>
  <si>
    <t>Kirloskar Ferrous Industries Ltd</t>
  </si>
  <si>
    <t>Gujarat Narmada Valley Fertilizers and Chemicals Ltd</t>
  </si>
  <si>
    <t>Home First Finance Company India Ltd</t>
  </si>
  <si>
    <t>Shriram Transport Finance Co Ltd</t>
  </si>
  <si>
    <t>UTI Asset Management Company Ltd</t>
  </si>
  <si>
    <t>Hindustan Unilever Ltd</t>
  </si>
  <si>
    <t>Tata Consumer Products Ltd</t>
  </si>
  <si>
    <t>TATA Consultancy Services Ltd</t>
  </si>
  <si>
    <t>UltraTech Cement Ltd</t>
  </si>
  <si>
    <t>Dr Reddy's Laboratories Ltd</t>
  </si>
  <si>
    <t>Hero Motocorp Ltd</t>
  </si>
  <si>
    <t>Johnson Controls - Hitachi Air Conditioning India Ltd</t>
  </si>
  <si>
    <t>SRF LTD</t>
  </si>
  <si>
    <t>WABCO India Ltd</t>
  </si>
  <si>
    <t>Happiest Minds Technologies Ltd</t>
  </si>
  <si>
    <t>Heidelberg Cement India Ltd</t>
  </si>
  <si>
    <t>M M Forgings Ltd</t>
  </si>
  <si>
    <t>NRB Bearings Ltd</t>
  </si>
  <si>
    <t>Angel Broking Ltd</t>
  </si>
  <si>
    <t>Andhra Paper Ltd</t>
  </si>
  <si>
    <t>SCHAEFFLER INDIA Ltd</t>
  </si>
  <si>
    <t>Amara Raja Batteries Ltd</t>
  </si>
  <si>
    <t>Indian Railway Catering And Tourism Corporation Ltd</t>
  </si>
  <si>
    <t>Astral Poly Technik Ltd</t>
  </si>
  <si>
    <t>TCNS Clothing Co Ltd</t>
  </si>
  <si>
    <t>Procter &amp; Gamble Hygiene &amp; Health Care Ltd</t>
  </si>
  <si>
    <t>Justdial Ltd</t>
  </si>
  <si>
    <t>Adani Enterprises Ltd</t>
  </si>
  <si>
    <t>Indus Towers Ltd</t>
  </si>
  <si>
    <t>Berger Paints India Ltd</t>
  </si>
  <si>
    <t xml:space="preserve"> ICRA AAA </t>
  </si>
  <si>
    <t xml:space="preserve"> ICRA AA+ </t>
  </si>
  <si>
    <t xml:space="preserve"> ICRA BBB </t>
  </si>
  <si>
    <t>7.32 % Central Government Securities 28/01/2024</t>
  </si>
  <si>
    <t xml:space="preserve">7.16% Central Government Securities 20/05/2023 </t>
  </si>
  <si>
    <t>INE041025011</t>
  </si>
  <si>
    <t>Embassy Office Parks REIT</t>
  </si>
  <si>
    <t>INE001A13049</t>
  </si>
  <si>
    <t>Housing Development Finance
Corporation Ltd</t>
  </si>
  <si>
    <t>91 Days - T Bill - 17062021</t>
  </si>
  <si>
    <t>INE0GGX23010</t>
  </si>
  <si>
    <t>Sundaram Money Fund - Direct Growth @@</t>
  </si>
  <si>
    <t xml:space="preserve"> @@ Placed as margin for derivatives</t>
  </si>
  <si>
    <t>ANNEXURE - B 
SECURITIES CLASSIFIED AS BELOW INVESTMENT GRADE OR DEFAULT</t>
  </si>
  <si>
    <t>SCHEME: SUNDARAM EQUITY HYBRID FUND</t>
  </si>
  <si>
    <t>ISIN</t>
  </si>
  <si>
    <t>NAME OF THE SECURITY</t>
  </si>
  <si>
    <t>VALUE OF THE SECURITY CONSIDERED UNDER NET RECEIVABLES</t>
  </si>
  <si>
    <t>% TO AUM</t>
  </si>
  <si>
    <t>INE528G08394</t>
  </si>
  <si>
    <t>9%-YES BANK LTD-NCD-Call opt-18/10/2022-Perpetual Bond $</t>
  </si>
  <si>
    <t>TOTAL AMOUNT INCLUDING INTEREST DUE TO THE SCHEME</t>
  </si>
  <si>
    <t>TOTAL AMOUNT DUE</t>
  </si>
  <si>
    <t>PRINCIPAL (Rs. in Lacs)</t>
  </si>
  <si>
    <t>Interest Accrued till 05 Mar 2020
(Rs. in Lacs)</t>
  </si>
  <si>
    <t>Total 
(Rs. in Lacs)</t>
  </si>
  <si>
    <t>$ Yes Bank Limited Reconstruction Scheme 2020” was notified in the Official Gazette on March 13, 2020. Based on that, the Basel III Additional Tier I Bonds (ISIN - INE528G08394) were written down in the scheme along with the Interest accrued.</t>
  </si>
  <si>
    <t>As Per Annexure-A</t>
  </si>
  <si>
    <t>g) Average Maturity - only for Debt portion (years)</t>
  </si>
  <si>
    <t>h) Macaulay Duration - only for Debt portion (years)</t>
  </si>
  <si>
    <t>i) Portfolio Turnover Ratio</t>
  </si>
  <si>
    <t>j) Repo in corporate debt</t>
  </si>
  <si>
    <t>b) Total value and percentage of illiquid equity shares @</t>
  </si>
  <si>
    <t>0.00 / #</t>
  </si>
  <si>
    <t>Hindustan Dorr-Oliver Ltd @</t>
  </si>
  <si>
    <t>% to AUM as on 30.04.2021</t>
  </si>
  <si>
    <t>Institutional Plan - IDCW ^^</t>
  </si>
  <si>
    <t>Powergrid Infrastructure Investment Trust (InvIT)</t>
  </si>
  <si>
    <t>Cement &amp; Cement Products</t>
  </si>
  <si>
    <t>Aerospace &amp; Defense</t>
  </si>
  <si>
    <t>Other Services</t>
  </si>
  <si>
    <t>Entertainment</t>
  </si>
  <si>
    <t>Leisure Services</t>
  </si>
  <si>
    <t>Capital Markets</t>
  </si>
  <si>
    <t>Printing &amp; Publication</t>
  </si>
  <si>
    <t>Other Consumer Services</t>
  </si>
  <si>
    <t>Insurance</t>
  </si>
  <si>
    <t>Hospital &amp; Healthcare Services</t>
  </si>
  <si>
    <t>Power - Transmission</t>
  </si>
  <si>
    <t>d) IDCW declared during the period (Rupees per unit)</t>
  </si>
  <si>
    <t>Refer Annexure B</t>
  </si>
  <si>
    <t>TATA Consumer Products Limited May 2021</t>
  </si>
  <si>
    <t>Monthly Portfolio Statement for the month ended 30 April 2021</t>
  </si>
  <si>
    <t>Interest not accrued upto 30/04/2021 from the default date (Rs. in Lacs)</t>
  </si>
  <si>
    <t>Aditya Birla Fashion and Retail Ltd - Partly Paid Right Shares</t>
  </si>
  <si>
    <t>Bank of Baroda - 8.65% - Call Dt 11/08/2022**  (Perpetual Bond under Basel III)</t>
  </si>
  <si>
    <t>HDFC Bank Ltd - 8.85% - Call Dt 12/05/2022** (Perpetual Bond under Basel III)</t>
  </si>
  <si>
    <t>State Bank of India - 8.39% - Call Dt 25/10/2021** (Perpetual Bond under Basel III)</t>
  </si>
  <si>
    <t>State Bank of India - 8.15% - Call Dt 02/08/2022** (Perpetual Bond under Basel III)</t>
  </si>
  <si>
    <t>ICICI Bank Ltd - 9.2% - Call Dt 17/03/2022** (Perpetual Bond under Basel III)</t>
  </si>
  <si>
    <t>Axis Bank Ltd - 8.75% - Call Dt 28/06/2022** (Perpetual Bond under Basel III)</t>
  </si>
  <si>
    <t>Export Import Bank of India - 8.6% - Call Dt 31/03/2022** (Perpetual Bond under Basel III)</t>
  </si>
  <si>
    <t>Annexure-A</t>
  </si>
  <si>
    <t>DERIVATIVES DISCLOSURE</t>
  </si>
  <si>
    <t>Disclosure regarding Derivative positions pursuant to SEBI Circular no CIR/IMD/DF/11/2010 dated August18,2010</t>
  </si>
  <si>
    <t>DETAILS OF INVESTMENTS IN DERIVATIVE INSTRUMENTS</t>
  </si>
  <si>
    <t>A. Hedging Positions through Futures as on April 30,2021 :</t>
  </si>
  <si>
    <t>Scheme Name</t>
  </si>
  <si>
    <t>Underlying</t>
  </si>
  <si>
    <t>Long/Short</t>
  </si>
  <si>
    <t>Futures Price When Purchased</t>
  </si>
  <si>
    <t>Current Price of the contract</t>
  </si>
  <si>
    <t>Margin maintained in       (Rs in Lakhs)*</t>
  </si>
  <si>
    <t>Short</t>
  </si>
  <si>
    <t>Tata Consumer Products Limited May 2021</t>
  </si>
  <si>
    <t xml:space="preserve">Total percentage of existing assets hedged through futures as a percentage of net assets </t>
  </si>
  <si>
    <t>%</t>
  </si>
  <si>
    <t>For the period ended April 30,2021 following were the hedging transactions through futures which have been squared off/ expired</t>
  </si>
  <si>
    <t>Total Number of contracts where futures were Bought</t>
  </si>
  <si>
    <t>Total Number of contracts where futures were Sold</t>
  </si>
  <si>
    <t>Gross Notional value of contracts where futures were bought                      (Rs. in Lakhs)</t>
  </si>
  <si>
    <t>Gross Notional value of contracts where futures were sold        (Rs. in Lakhs)</t>
  </si>
  <si>
    <t>Net Profit / (Loss) value on all contracts combined       (Rs. in lakhs)</t>
  </si>
  <si>
    <t>Sundaram Select Micro Cap Series IX</t>
  </si>
  <si>
    <t>Sundaram Select Micro Cap Series VIII</t>
  </si>
  <si>
    <t>Sundaram Select Micro Cap Series XII</t>
  </si>
  <si>
    <t>Sundaram Select Micro Cap Series XI</t>
  </si>
  <si>
    <t>Sundaram Select Micro Cap Series X</t>
  </si>
  <si>
    <t>B. Other than hedging positions through futures as on April 30,2021:</t>
  </si>
  <si>
    <t>Margin maintained in       (Rs. in Lakhs) *</t>
  </si>
  <si>
    <t>LONG</t>
  </si>
  <si>
    <t>Total percentage of existing assets due to non-hedging positions as a percentage of net assets</t>
  </si>
  <si>
    <t>For the period ended April 30,2021 following were the non-hedging transactions through futures which have been squared off / expired</t>
  </si>
  <si>
    <t>Gross Notional value of contracts where futures were sold      ( Rs. in Lakhs)</t>
  </si>
  <si>
    <t>Net Profit / (Loss) value on all contracts combined      (Rs. in lakhs)</t>
  </si>
  <si>
    <t>C. Hedging Positions through Put Options as on April 30,2021:</t>
  </si>
  <si>
    <t>Call/Put</t>
  </si>
  <si>
    <t>Number of Contracts</t>
  </si>
  <si>
    <t>Option Price when purchased</t>
  </si>
  <si>
    <t>Current Option Price</t>
  </si>
  <si>
    <t>-</t>
  </si>
  <si>
    <t>Total % of existing assets hedged through Put Options</t>
  </si>
  <si>
    <t>For the period ended  April 30,2021, the following hedging transactions through options which have been already exercised/expired</t>
  </si>
  <si>
    <t>Total Number of contracts entered into</t>
  </si>
  <si>
    <t>Gross Notional value of contracts bought                      (Rs. in Lakhs)</t>
  </si>
  <si>
    <t>Gross Notional value of contracts  sold  (Rs. in Lakhs)</t>
  </si>
  <si>
    <t>Net Profit/(Loss) on all contracts 
(Rs. in Lakhs)</t>
  </si>
  <si>
    <t>D. Other than Hedging Positions through options as on April 30,2021:</t>
  </si>
  <si>
    <t xml:space="preserve">Total Exposure through Options other than hedging as a percentage of net assets </t>
  </si>
  <si>
    <t>For the period ended April 30,2021, the following non hedging transactions through options which have been already exercised/expired</t>
  </si>
  <si>
    <t>Gross Notional value of contracts  bought(Rs. in Lakhs)</t>
  </si>
  <si>
    <t>Gross Notional value of contracts  sold (Rs. in Lakhs)</t>
  </si>
  <si>
    <t>E. Hedging Positions through Swaps as on April 30,2021- Nil</t>
  </si>
  <si>
    <t>F. Hedging Positions through Interest Rate Futures as on April 30,2021:</t>
  </si>
  <si>
    <t xml:space="preserve">Futures Price
When Purchased </t>
  </si>
  <si>
    <t>Current Price of
the contract</t>
  </si>
  <si>
    <t>Margin maintained
in (Rs. in Lakhs)</t>
  </si>
  <si>
    <t>Total percentage of existing assets hedged through Interest Rate Futures a Percentage of net assets</t>
  </si>
  <si>
    <t>For the period ended April 30,2021 following were the hedging transactions through Interest Rate Futures which have been squared off/ expired</t>
  </si>
  <si>
    <t>For the period ended April 30,2021 following were the Non Hedging transactions through Interest Rate Futures which have been squared off/ expired</t>
  </si>
  <si>
    <t>* Note: Margin maintained denotes security specific margin.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</si>
</sst>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 * #,##0.00_ ;_ * \-#,##0.00_ ;_ * &quot;-&quot;??_ ;_ @_ "/>
    <numFmt numFmtId="164" formatCode="_(* #,##0.00_);_(* \(#,##0.00\);_(* &quot;-&quot;??_);_(@_)"/>
    <numFmt numFmtId="165" formatCode="[$-1014009]General"/>
    <numFmt numFmtId="166" formatCode="[$-1014009]###0;\(###0\)"/>
    <numFmt numFmtId="167" formatCode="[$-1014009]###0.00;\(###0.00\)"/>
    <numFmt numFmtId="168" formatCode="[$-1014009]###0.00%;\(###0.00%\)"/>
    <numFmt numFmtId="169" formatCode="[$-1014009]#,##0.00;\-#,##0.00"/>
    <numFmt numFmtId="170" formatCode="[$-1014009]#,##0.00%"/>
    <numFmt numFmtId="171" formatCode="[$-1014009]#,##0.0000;\-#,##0.0000"/>
    <numFmt numFmtId="172" formatCode="[$-1014009]#,##0.000000;\-#,##0.000000"/>
    <numFmt numFmtId="173" formatCode="[$-1014009]#.0000"/>
    <numFmt numFmtId="174" formatCode="[$-1014009]#,##0.00;\(#,##0.00\)"/>
    <numFmt numFmtId="175" formatCode="0.000"/>
    <numFmt numFmtId="176" formatCode="#,##0.000"/>
    <numFmt numFmtId="177" formatCode="0.00000"/>
    <numFmt numFmtId="178" formatCode="dd\/mm\/yyyy"/>
    <numFmt numFmtId="179" formatCode="0.0000"/>
    <numFmt numFmtId="180" formatCode="0.00_);[Red]\(0.00\)"/>
    <numFmt numFmtId="181" formatCode="0.000000000"/>
    <numFmt numFmtId="182" formatCode="_(* #,##0.0000_);_(* \(#,##0.0000\);_(* &quot;-&quot;??_);_(@_)"/>
    <numFmt numFmtId="183" formatCode="#,##0.0000;\(#,##0.0000\)"/>
    <numFmt numFmtId="184" formatCode="_(* #,##0.000_);_(* \(#,##0.000\);_(* &quot;-&quot;??_);_(@_)"/>
    <numFmt numFmtId="185" formatCode="_(* #,##0_);_(* \(#,##0\);_(* &quot;-&quot;??_);_(@_)"/>
  </numFmts>
  <fonts count="30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i/>
      <sz val="10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u/>
      <sz val="1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</fills>
  <borders count="3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6">
    <xf numFmtId="0" fontId="0" fillId="0" borderId="0">
      <alignment wrapText="1"/>
    </xf>
    <xf numFmtId="0" fontId="12" fillId="0" borderId="0"/>
    <xf numFmtId="0" fontId="14" fillId="0" borderId="0">
      <alignment wrapText="1"/>
    </xf>
    <xf numFmtId="0" fontId="6" fillId="0" borderId="0"/>
    <xf numFmtId="0" fontId="14" fillId="0" borderId="0"/>
    <xf numFmtId="0" fontId="6" fillId="0" borderId="0"/>
    <xf numFmtId="164" fontId="6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14" fillId="0" borderId="0"/>
    <xf numFmtId="0" fontId="14" fillId="0" borderId="0"/>
    <xf numFmtId="0" fontId="5" fillId="0" borderId="0"/>
    <xf numFmtId="164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380">
    <xf numFmtId="0" fontId="0" fillId="0" borderId="0" xfId="0">
      <alignment wrapText="1"/>
    </xf>
    <xf numFmtId="0" fontId="7" fillId="2" borderId="4" xfId="0" applyFont="1" applyFill="1" applyBorder="1" applyAlignment="1">
      <alignment horizontal="left" vertical="center" wrapText="1" readingOrder="1"/>
    </xf>
    <xf numFmtId="0" fontId="7" fillId="2" borderId="4" xfId="0" applyFont="1" applyFill="1" applyBorder="1" applyAlignment="1">
      <alignment horizontal="right" vertical="center" wrapText="1" readingOrder="1"/>
    </xf>
    <xf numFmtId="0" fontId="9" fillId="2" borderId="4" xfId="0" applyFont="1" applyFill="1" applyBorder="1" applyAlignment="1">
      <alignment horizontal="left" vertical="center" wrapText="1" readingOrder="1"/>
    </xf>
    <xf numFmtId="165" fontId="8" fillId="2" borderId="4" xfId="0" applyNumberFormat="1" applyFont="1" applyFill="1" applyBorder="1" applyAlignment="1">
      <alignment horizontal="right" vertical="center" wrapText="1" readingOrder="1"/>
    </xf>
    <xf numFmtId="0" fontId="8" fillId="2" borderId="4" xfId="0" applyFont="1" applyFill="1" applyBorder="1" applyAlignment="1">
      <alignment horizontal="left" vertical="center" wrapText="1" readingOrder="1"/>
    </xf>
    <xf numFmtId="166" fontId="8" fillId="2" borderId="4" xfId="0" applyNumberFormat="1" applyFont="1" applyFill="1" applyBorder="1" applyAlignment="1">
      <alignment horizontal="right" vertical="center" wrapText="1" readingOrder="1"/>
    </xf>
    <xf numFmtId="167" fontId="8" fillId="2" borderId="4" xfId="0" applyNumberFormat="1" applyFont="1" applyFill="1" applyBorder="1" applyAlignment="1">
      <alignment horizontal="right" vertical="center" wrapText="1" readingOrder="1"/>
    </xf>
    <xf numFmtId="168" fontId="8" fillId="2" borderId="4" xfId="0" applyNumberFormat="1" applyFont="1" applyFill="1" applyBorder="1" applyAlignment="1">
      <alignment horizontal="right" vertical="center" wrapText="1" readingOrder="1"/>
    </xf>
    <xf numFmtId="167" fontId="9" fillId="2" borderId="4" xfId="0" applyNumberFormat="1" applyFont="1" applyFill="1" applyBorder="1" applyAlignment="1">
      <alignment horizontal="right" vertical="center" wrapText="1" readingOrder="1"/>
    </xf>
    <xf numFmtId="168" fontId="9" fillId="2" borderId="4" xfId="0" applyNumberFormat="1" applyFont="1" applyFill="1" applyBorder="1" applyAlignment="1">
      <alignment horizontal="right" vertical="center" wrapText="1" readingOrder="1"/>
    </xf>
    <xf numFmtId="0" fontId="10" fillId="2" borderId="4" xfId="0" applyFont="1" applyFill="1" applyBorder="1" applyAlignment="1">
      <alignment horizontal="left" vertical="center" wrapText="1" readingOrder="1"/>
    </xf>
    <xf numFmtId="0" fontId="10" fillId="2" borderId="4" xfId="0" applyFont="1" applyFill="1" applyBorder="1" applyAlignment="1">
      <alignment horizontal="right" vertical="center" wrapText="1" readingOrder="1"/>
    </xf>
    <xf numFmtId="169" fontId="9" fillId="2" borderId="4" xfId="0" applyNumberFormat="1" applyFont="1" applyFill="1" applyBorder="1" applyAlignment="1">
      <alignment horizontal="right" vertical="center" wrapText="1" readingOrder="1"/>
    </xf>
    <xf numFmtId="170" fontId="9" fillId="2" borderId="4" xfId="0" applyNumberFormat="1" applyFont="1" applyFill="1" applyBorder="1" applyAlignment="1">
      <alignment horizontal="right" vertical="center" wrapText="1" readingOrder="1"/>
    </xf>
    <xf numFmtId="0" fontId="8" fillId="2" borderId="4" xfId="0" applyFont="1" applyFill="1" applyBorder="1" applyAlignment="1">
      <alignment horizontal="right" vertical="center" wrapText="1" readingOrder="1"/>
    </xf>
    <xf numFmtId="0" fontId="9" fillId="2" borderId="4" xfId="0" applyFont="1" applyFill="1" applyBorder="1" applyAlignment="1">
      <alignment horizontal="right" vertical="center" wrapText="1" readingOrder="1"/>
    </xf>
    <xf numFmtId="0" fontId="10" fillId="2" borderId="5" xfId="0" applyFont="1" applyFill="1" applyBorder="1" applyAlignment="1">
      <alignment horizontal="left" vertical="center" wrapText="1" readingOrder="1"/>
    </xf>
    <xf numFmtId="0" fontId="10" fillId="2" borderId="5" xfId="0" applyFont="1" applyFill="1" applyBorder="1" applyAlignment="1">
      <alignment horizontal="right" vertical="center" wrapText="1" readingOrder="1"/>
    </xf>
    <xf numFmtId="0" fontId="10" fillId="2" borderId="0" xfId="0" applyFont="1" applyFill="1" applyBorder="1" applyAlignment="1">
      <alignment horizontal="left" vertical="center" wrapText="1" readingOrder="1"/>
    </xf>
    <xf numFmtId="0" fontId="10" fillId="2" borderId="0" xfId="0" applyFont="1" applyFill="1" applyBorder="1" applyAlignment="1">
      <alignment horizontal="right" vertical="center" wrapText="1" readingOrder="1"/>
    </xf>
    <xf numFmtId="0" fontId="10" fillId="2" borderId="6" xfId="0" applyFont="1" applyFill="1" applyBorder="1" applyAlignment="1">
      <alignment horizontal="right" vertical="center" wrapText="1" readingOrder="1"/>
    </xf>
    <xf numFmtId="0" fontId="8" fillId="2" borderId="0" xfId="0" applyFont="1" applyFill="1" applyBorder="1" applyAlignment="1">
      <alignment horizontal="right" vertical="top" wrapText="1" readingOrder="1"/>
    </xf>
    <xf numFmtId="0" fontId="9" fillId="2" borderId="4" xfId="0" applyFont="1" applyFill="1" applyBorder="1" applyAlignment="1">
      <alignment horizontal="right" vertical="top" wrapText="1" readingOrder="1"/>
    </xf>
    <xf numFmtId="171" fontId="8" fillId="2" borderId="4" xfId="0" applyNumberFormat="1" applyFont="1" applyFill="1" applyBorder="1" applyAlignment="1">
      <alignment horizontal="right" vertical="center" wrapText="1" readingOrder="1"/>
    </xf>
    <xf numFmtId="0" fontId="8" fillId="2" borderId="0" xfId="0" applyFont="1" applyFill="1" applyBorder="1" applyAlignment="1">
      <alignment horizontal="right" vertical="center" wrapText="1" readingOrder="1"/>
    </xf>
    <xf numFmtId="0" fontId="8" fillId="2" borderId="5" xfId="0" applyFont="1" applyFill="1" applyBorder="1" applyAlignment="1">
      <alignment horizontal="right" vertical="top" wrapText="1" readingOrder="1"/>
    </xf>
    <xf numFmtId="170" fontId="9" fillId="2" borderId="4" xfId="0" applyNumberFormat="1" applyFont="1" applyFill="1" applyBorder="1" applyAlignment="1">
      <alignment horizontal="left" vertical="center" wrapText="1" readingOrder="1"/>
    </xf>
    <xf numFmtId="0" fontId="6" fillId="0" borderId="0" xfId="3"/>
    <xf numFmtId="0" fontId="13" fillId="0" borderId="7" xfId="4" applyFont="1" applyBorder="1" applyAlignment="1">
      <alignment horizontal="center" vertical="center" wrapText="1"/>
    </xf>
    <xf numFmtId="0" fontId="15" fillId="0" borderId="7" xfId="3" applyFont="1" applyBorder="1" applyAlignment="1">
      <alignment horizontal="center" vertical="center" wrapText="1" readingOrder="1"/>
    </xf>
    <xf numFmtId="0" fontId="16" fillId="0" borderId="7" xfId="5" applyFont="1" applyBorder="1" applyProtection="1">
      <protection locked="0"/>
    </xf>
    <xf numFmtId="0" fontId="17" fillId="0" borderId="7" xfId="5" applyFont="1" applyBorder="1" applyAlignment="1" applyProtection="1">
      <alignment wrapText="1"/>
      <protection locked="0"/>
    </xf>
    <xf numFmtId="0" fontId="16" fillId="0" borderId="7" xfId="5" applyFont="1" applyBorder="1" applyAlignment="1">
      <alignment horizontal="right"/>
    </xf>
    <xf numFmtId="0" fontId="16" fillId="0" borderId="7" xfId="5" applyFont="1" applyBorder="1" applyAlignment="1" applyProtection="1">
      <alignment wrapText="1"/>
      <protection locked="0"/>
    </xf>
    <xf numFmtId="175" fontId="16" fillId="0" borderId="7" xfId="5" applyNumberFormat="1" applyFont="1" applyBorder="1" applyProtection="1">
      <protection locked="0"/>
    </xf>
    <xf numFmtId="164" fontId="16" fillId="0" borderId="7" xfId="6" applyFont="1" applyFill="1" applyBorder="1" applyAlignment="1">
      <alignment horizontal="right"/>
    </xf>
    <xf numFmtId="2" fontId="16" fillId="0" borderId="7" xfId="5" applyNumberFormat="1" applyFont="1" applyBorder="1" applyAlignment="1">
      <alignment horizontal="right"/>
    </xf>
    <xf numFmtId="0" fontId="16" fillId="0" borderId="7" xfId="5" applyFont="1" applyBorder="1" applyAlignment="1">
      <alignment horizontal="center"/>
    </xf>
    <xf numFmtId="0" fontId="16" fillId="0" borderId="7" xfId="5" applyFont="1" applyBorder="1"/>
    <xf numFmtId="0" fontId="17" fillId="0" borderId="7" xfId="4" applyFont="1" applyBorder="1" applyAlignment="1">
      <alignment vertical="center" wrapText="1"/>
    </xf>
    <xf numFmtId="175" fontId="17" fillId="0" borderId="7" xfId="4" applyNumberFormat="1" applyFont="1" applyBorder="1" applyAlignment="1">
      <alignment vertical="center" wrapText="1"/>
    </xf>
    <xf numFmtId="164" fontId="17" fillId="0" borderId="7" xfId="7" applyFont="1" applyFill="1" applyBorder="1" applyAlignment="1">
      <alignment vertical="center" wrapText="1"/>
    </xf>
    <xf numFmtId="164" fontId="17" fillId="0" borderId="7" xfId="6" applyFont="1" applyBorder="1" applyAlignment="1">
      <alignment horizontal="right" vertical="center"/>
    </xf>
    <xf numFmtId="164" fontId="16" fillId="0" borderId="7" xfId="7" applyFont="1" applyFill="1" applyBorder="1" applyAlignment="1">
      <alignment horizontal="right"/>
    </xf>
    <xf numFmtId="0" fontId="17" fillId="0" borderId="7" xfId="5" applyFont="1" applyBorder="1" applyProtection="1">
      <protection locked="0"/>
    </xf>
    <xf numFmtId="164" fontId="16" fillId="0" borderId="7" xfId="7" applyFont="1" applyFill="1" applyBorder="1" applyAlignment="1" applyProtection="1">
      <alignment horizontal="right"/>
      <protection locked="0"/>
    </xf>
    <xf numFmtId="0" fontId="16" fillId="0" borderId="7" xfId="3" applyFont="1" applyBorder="1"/>
    <xf numFmtId="164" fontId="16" fillId="0" borderId="7" xfId="7" applyFont="1" applyFill="1" applyBorder="1"/>
    <xf numFmtId="164" fontId="18" fillId="0" borderId="7" xfId="3" applyNumberFormat="1" applyFont="1" applyBorder="1"/>
    <xf numFmtId="0" fontId="17" fillId="0" borderId="7" xfId="5" applyFont="1" applyBorder="1"/>
    <xf numFmtId="164" fontId="17" fillId="0" borderId="7" xfId="7" applyFont="1" applyFill="1" applyBorder="1" applyAlignment="1">
      <alignment horizontal="right"/>
    </xf>
    <xf numFmtId="2" fontId="17" fillId="0" borderId="7" xfId="5" applyNumberFormat="1" applyFont="1" applyBorder="1" applyAlignment="1">
      <alignment horizontal="right"/>
    </xf>
    <xf numFmtId="4" fontId="19" fillId="0" borderId="7" xfId="3" applyNumberFormat="1" applyFont="1" applyBorder="1"/>
    <xf numFmtId="0" fontId="20" fillId="0" borderId="0" xfId="8" applyFont="1" applyAlignment="1">
      <alignment horizontal="left" vertical="center" wrapText="1"/>
    </xf>
    <xf numFmtId="0" fontId="21" fillId="0" borderId="0" xfId="8" applyFont="1" applyAlignment="1">
      <alignment vertical="center"/>
    </xf>
    <xf numFmtId="164" fontId="21" fillId="0" borderId="0" xfId="8" applyNumberFormat="1" applyFont="1" applyAlignment="1">
      <alignment vertical="center"/>
    </xf>
    <xf numFmtId="4" fontId="22" fillId="0" borderId="0" xfId="3" applyNumberFormat="1" applyFont="1"/>
    <xf numFmtId="2" fontId="21" fillId="0" borderId="0" xfId="8" applyNumberFormat="1" applyFont="1" applyAlignment="1">
      <alignment vertical="center"/>
    </xf>
    <xf numFmtId="0" fontId="16" fillId="0" borderId="0" xfId="9" applyFont="1" applyAlignment="1">
      <alignment vertical="center"/>
    </xf>
    <xf numFmtId="0" fontId="21" fillId="0" borderId="7" xfId="8" applyFont="1" applyBorder="1" applyAlignment="1">
      <alignment vertical="center"/>
    </xf>
    <xf numFmtId="0" fontId="17" fillId="0" borderId="7" xfId="9" applyFont="1" applyBorder="1" applyAlignment="1">
      <alignment horizontal="center" vertical="center"/>
    </xf>
    <xf numFmtId="0" fontId="20" fillId="0" borderId="0" xfId="8" applyFont="1" applyAlignment="1">
      <alignment vertical="center"/>
    </xf>
    <xf numFmtId="0" fontId="17" fillId="0" borderId="7" xfId="9" applyFont="1" applyBorder="1" applyAlignment="1">
      <alignment vertical="center"/>
    </xf>
    <xf numFmtId="178" fontId="20" fillId="0" borderId="7" xfId="8" applyNumberFormat="1" applyFont="1" applyBorder="1" applyAlignment="1">
      <alignment horizontal="center"/>
    </xf>
    <xf numFmtId="14" fontId="20" fillId="0" borderId="0" xfId="8" applyNumberFormat="1" applyFont="1" applyAlignment="1">
      <alignment horizontal="center"/>
    </xf>
    <xf numFmtId="0" fontId="18" fillId="0" borderId="0" xfId="3" applyFont="1"/>
    <xf numFmtId="0" fontId="21" fillId="0" borderId="7" xfId="8" applyFont="1" applyBorder="1" applyAlignment="1">
      <alignment horizontal="left" vertical="center"/>
    </xf>
    <xf numFmtId="179" fontId="18" fillId="0" borderId="7" xfId="3" applyNumberFormat="1" applyFont="1" applyBorder="1"/>
    <xf numFmtId="179" fontId="18" fillId="0" borderId="0" xfId="3" applyNumberFormat="1" applyFont="1"/>
    <xf numFmtId="0" fontId="16" fillId="0" borderId="0" xfId="8" applyFont="1" applyAlignment="1">
      <alignment horizontal="center" vertical="center"/>
    </xf>
    <xf numFmtId="0" fontId="21" fillId="0" borderId="0" xfId="8" quotePrefix="1" applyFont="1" applyAlignment="1">
      <alignment vertical="center"/>
    </xf>
    <xf numFmtId="0" fontId="16" fillId="0" borderId="0" xfId="3" applyFont="1" applyAlignment="1">
      <alignment vertical="center" wrapText="1"/>
    </xf>
    <xf numFmtId="0" fontId="8" fillId="2" borderId="0" xfId="0" applyFont="1" applyFill="1" applyBorder="1" applyAlignment="1">
      <alignment horizontal="left" vertical="center" wrapText="1" readingOrder="1"/>
    </xf>
    <xf numFmtId="0" fontId="21" fillId="0" borderId="0" xfId="8" applyFont="1" applyAlignment="1">
      <alignment horizontal="left" vertical="center"/>
    </xf>
    <xf numFmtId="0" fontId="8" fillId="2" borderId="4" xfId="2" applyFont="1" applyFill="1" applyBorder="1" applyAlignment="1">
      <alignment horizontal="left" vertical="center" wrapText="1" readingOrder="1"/>
    </xf>
    <xf numFmtId="0" fontId="8" fillId="0" borderId="4" xfId="0" applyFont="1" applyBorder="1" applyAlignment="1">
      <alignment horizontal="left" vertical="center" wrapText="1" readingOrder="1"/>
    </xf>
    <xf numFmtId="166" fontId="8" fillId="0" borderId="4" xfId="0" applyNumberFormat="1" applyFont="1" applyBorder="1" applyAlignment="1">
      <alignment horizontal="right" vertical="center" wrapText="1" readingOrder="1"/>
    </xf>
    <xf numFmtId="167" fontId="8" fillId="0" borderId="4" xfId="0" applyNumberFormat="1" applyFont="1" applyBorder="1" applyAlignment="1">
      <alignment horizontal="right" vertical="center" wrapText="1" readingOrder="1"/>
    </xf>
    <xf numFmtId="168" fontId="8" fillId="0" borderId="4" xfId="0" applyNumberFormat="1" applyFont="1" applyBorder="1" applyAlignment="1">
      <alignment horizontal="right" vertical="center" wrapText="1" readingOrder="1"/>
    </xf>
    <xf numFmtId="0" fontId="8" fillId="0" borderId="4" xfId="0" applyFont="1" applyFill="1" applyBorder="1" applyAlignment="1">
      <alignment horizontal="left" vertical="center" wrapText="1" readingOrder="1"/>
    </xf>
    <xf numFmtId="166" fontId="8" fillId="0" borderId="4" xfId="0" applyNumberFormat="1" applyFont="1" applyFill="1" applyBorder="1" applyAlignment="1">
      <alignment horizontal="right" vertical="center" wrapText="1" readingOrder="1"/>
    </xf>
    <xf numFmtId="167" fontId="8" fillId="0" borderId="4" xfId="0" applyNumberFormat="1" applyFont="1" applyFill="1" applyBorder="1" applyAlignment="1">
      <alignment horizontal="right" vertical="center" wrapText="1" readingOrder="1"/>
    </xf>
    <xf numFmtId="165" fontId="8" fillId="0" borderId="4" xfId="0" applyNumberFormat="1" applyFont="1" applyFill="1" applyBorder="1" applyAlignment="1">
      <alignment horizontal="right" vertical="center" wrapText="1" readingOrder="1"/>
    </xf>
    <xf numFmtId="0" fontId="8" fillId="0" borderId="4" xfId="2" applyFont="1" applyFill="1" applyBorder="1" applyAlignment="1">
      <alignment horizontal="left" vertical="center" wrapText="1" readingOrder="1"/>
    </xf>
    <xf numFmtId="174" fontId="8" fillId="2" borderId="4" xfId="0" applyNumberFormat="1" applyFont="1" applyFill="1" applyBorder="1" applyAlignment="1">
      <alignment horizontal="right" vertical="center" readingOrder="1"/>
    </xf>
    <xf numFmtId="0" fontId="10" fillId="2" borderId="0" xfId="0" applyFont="1" applyFill="1" applyAlignment="1">
      <alignment horizontal="left" vertical="center" wrapText="1" readingOrder="1"/>
    </xf>
    <xf numFmtId="0" fontId="10" fillId="2" borderId="0" xfId="0" applyFont="1" applyFill="1" applyAlignment="1">
      <alignment horizontal="right" vertical="center" wrapText="1" readingOrder="1"/>
    </xf>
    <xf numFmtId="0" fontId="9" fillId="0" borderId="4" xfId="2" applyFont="1" applyFill="1" applyBorder="1" applyAlignment="1">
      <alignment horizontal="left" vertical="center" wrapText="1" readingOrder="1"/>
    </xf>
    <xf numFmtId="0" fontId="11" fillId="0" borderId="0" xfId="10" applyFont="1" applyAlignment="1">
      <alignment horizontal="center"/>
    </xf>
    <xf numFmtId="0" fontId="11" fillId="0" borderId="7" xfId="10" applyFont="1" applyBorder="1" applyAlignment="1">
      <alignment horizontal="center" vertical="center" wrapText="1"/>
    </xf>
    <xf numFmtId="0" fontId="11" fillId="0" borderId="18" xfId="10" applyFont="1" applyBorder="1" applyAlignment="1">
      <alignment horizontal="center" vertical="center" wrapText="1"/>
    </xf>
    <xf numFmtId="0" fontId="8" fillId="2" borderId="0" xfId="2" applyFont="1" applyFill="1" applyAlignment="1">
      <alignment horizontal="right" vertical="top" wrapText="1" readingOrder="1"/>
    </xf>
    <xf numFmtId="0" fontId="8" fillId="2" borderId="6" xfId="2" applyFont="1" applyFill="1" applyBorder="1" applyAlignment="1">
      <alignment horizontal="right" vertical="top" wrapText="1" readingOrder="1"/>
    </xf>
    <xf numFmtId="0" fontId="10" fillId="2" borderId="0" xfId="2" applyFont="1" applyFill="1" applyAlignment="1">
      <alignment horizontal="left" vertical="center" wrapText="1" readingOrder="1"/>
    </xf>
    <xf numFmtId="0" fontId="8" fillId="2" borderId="0" xfId="2" applyFont="1" applyFill="1" applyAlignment="1">
      <alignment horizontal="left" vertical="center" wrapText="1" readingOrder="1"/>
    </xf>
    <xf numFmtId="0" fontId="10" fillId="2" borderId="0" xfId="2" applyFont="1" applyFill="1" applyAlignment="1">
      <alignment horizontal="right" vertical="center" wrapText="1" readingOrder="1"/>
    </xf>
    <xf numFmtId="0" fontId="18" fillId="0" borderId="7" xfId="3" applyFont="1" applyBorder="1"/>
    <xf numFmtId="0" fontId="24" fillId="2" borderId="0" xfId="0" applyFont="1" applyFill="1" applyBorder="1" applyAlignment="1">
      <alignment horizontal="center" vertical="top" readingOrder="1"/>
    </xf>
    <xf numFmtId="2" fontId="26" fillId="0" borderId="7" xfId="3" applyNumberFormat="1" applyFont="1" applyBorder="1" applyAlignment="1">
      <alignment vertical="center"/>
    </xf>
    <xf numFmtId="0" fontId="26" fillId="0" borderId="7" xfId="3" applyFont="1" applyBorder="1" applyAlignment="1">
      <alignment vertical="center"/>
    </xf>
    <xf numFmtId="0" fontId="9" fillId="2" borderId="4" xfId="2" applyFont="1" applyFill="1" applyBorder="1" applyAlignment="1">
      <alignment horizontal="left" vertical="center" wrapText="1" readingOrder="1"/>
    </xf>
    <xf numFmtId="165" fontId="8" fillId="2" borderId="4" xfId="2" applyNumberFormat="1" applyFont="1" applyFill="1" applyBorder="1" applyAlignment="1">
      <alignment horizontal="right" vertical="center" wrapText="1" readingOrder="1"/>
    </xf>
    <xf numFmtId="166" fontId="8" fillId="2" borderId="4" xfId="2" applyNumberFormat="1" applyFont="1" applyFill="1" applyBorder="1" applyAlignment="1">
      <alignment horizontal="right" vertical="center" wrapText="1" readingOrder="1"/>
    </xf>
    <xf numFmtId="167" fontId="8" fillId="2" borderId="4" xfId="2" applyNumberFormat="1" applyFont="1" applyFill="1" applyBorder="1" applyAlignment="1">
      <alignment horizontal="right" vertical="center" wrapText="1" readingOrder="1"/>
    </xf>
    <xf numFmtId="168" fontId="8" fillId="2" borderId="4" xfId="2" applyNumberFormat="1" applyFont="1" applyFill="1" applyBorder="1" applyAlignment="1">
      <alignment horizontal="right" vertical="center" wrapText="1" readingOrder="1"/>
    </xf>
    <xf numFmtId="167" fontId="9" fillId="2" borderId="4" xfId="2" applyNumberFormat="1" applyFont="1" applyFill="1" applyBorder="1" applyAlignment="1">
      <alignment horizontal="right" vertical="center" wrapText="1" readingOrder="1"/>
    </xf>
    <xf numFmtId="168" fontId="9" fillId="2" borderId="4" xfId="2" applyNumberFormat="1" applyFont="1" applyFill="1" applyBorder="1" applyAlignment="1">
      <alignment horizontal="right" vertical="center" wrapText="1" readingOrder="1"/>
    </xf>
    <xf numFmtId="0" fontId="10" fillId="2" borderId="4" xfId="2" applyFont="1" applyFill="1" applyBorder="1" applyAlignment="1">
      <alignment horizontal="left" vertical="center" wrapText="1" readingOrder="1"/>
    </xf>
    <xf numFmtId="0" fontId="10" fillId="2" borderId="4" xfId="2" applyFont="1" applyFill="1" applyBorder="1" applyAlignment="1">
      <alignment horizontal="right" vertical="center" wrapText="1" readingOrder="1"/>
    </xf>
    <xf numFmtId="169" fontId="9" fillId="2" borderId="4" xfId="2" applyNumberFormat="1" applyFont="1" applyFill="1" applyBorder="1" applyAlignment="1">
      <alignment horizontal="right" vertical="center" wrapText="1" readingOrder="1"/>
    </xf>
    <xf numFmtId="170" fontId="9" fillId="2" borderId="4" xfId="2" applyNumberFormat="1" applyFont="1" applyFill="1" applyBorder="1" applyAlignment="1">
      <alignment horizontal="right" vertical="center" wrapText="1" readingOrder="1"/>
    </xf>
    <xf numFmtId="0" fontId="8" fillId="2" borderId="4" xfId="2" applyFont="1" applyFill="1" applyBorder="1" applyAlignment="1">
      <alignment horizontal="right" vertical="center" wrapText="1" readingOrder="1"/>
    </xf>
    <xf numFmtId="0" fontId="10" fillId="2" borderId="5" xfId="2" applyFont="1" applyFill="1" applyBorder="1" applyAlignment="1">
      <alignment horizontal="left" vertical="center" wrapText="1" readingOrder="1"/>
    </xf>
    <xf numFmtId="0" fontId="10" fillId="2" borderId="5" xfId="2" applyFont="1" applyFill="1" applyBorder="1" applyAlignment="1">
      <alignment horizontal="right" vertical="center" wrapText="1" readingOrder="1"/>
    </xf>
    <xf numFmtId="0" fontId="10" fillId="2" borderId="6" xfId="2" applyFont="1" applyFill="1" applyBorder="1" applyAlignment="1">
      <alignment horizontal="right" vertical="center" wrapText="1" readingOrder="1"/>
    </xf>
    <xf numFmtId="0" fontId="9" fillId="2" borderId="4" xfId="2" applyFont="1" applyFill="1" applyBorder="1" applyAlignment="1">
      <alignment horizontal="right" vertical="top" wrapText="1" readingOrder="1"/>
    </xf>
    <xf numFmtId="0" fontId="9" fillId="2" borderId="4" xfId="2" applyFont="1" applyFill="1" applyBorder="1" applyAlignment="1">
      <alignment horizontal="left" vertical="top" wrapText="1" readingOrder="1"/>
    </xf>
    <xf numFmtId="0" fontId="8" fillId="2" borderId="0" xfId="2" applyFont="1" applyFill="1" applyAlignment="1">
      <alignment horizontal="right" vertical="center" wrapText="1" readingOrder="1"/>
    </xf>
    <xf numFmtId="165" fontId="8" fillId="0" borderId="4" xfId="2" applyNumberFormat="1" applyFont="1" applyFill="1" applyBorder="1" applyAlignment="1">
      <alignment horizontal="right" vertical="center" wrapText="1" readingOrder="1"/>
    </xf>
    <xf numFmtId="166" fontId="8" fillId="0" borderId="4" xfId="2" applyNumberFormat="1" applyFont="1" applyFill="1" applyBorder="1" applyAlignment="1">
      <alignment horizontal="right" vertical="center" wrapText="1" readingOrder="1"/>
    </xf>
    <xf numFmtId="167" fontId="8" fillId="0" borderId="4" xfId="2" applyNumberFormat="1" applyFont="1" applyFill="1" applyBorder="1" applyAlignment="1">
      <alignment horizontal="right" vertical="center" wrapText="1" readingOrder="1"/>
    </xf>
    <xf numFmtId="168" fontId="8" fillId="0" borderId="4" xfId="2" applyNumberFormat="1" applyFont="1" applyFill="1" applyBorder="1" applyAlignment="1">
      <alignment horizontal="right" vertical="center" wrapText="1" readingOrder="1"/>
    </xf>
    <xf numFmtId="167" fontId="9" fillId="0" borderId="4" xfId="2" applyNumberFormat="1" applyFont="1" applyFill="1" applyBorder="1" applyAlignment="1">
      <alignment horizontal="right" vertical="center" wrapText="1" readingOrder="1"/>
    </xf>
    <xf numFmtId="168" fontId="9" fillId="0" borderId="4" xfId="2" applyNumberFormat="1" applyFont="1" applyFill="1" applyBorder="1" applyAlignment="1">
      <alignment horizontal="right" vertical="center" wrapText="1" readingOrder="1"/>
    </xf>
    <xf numFmtId="0" fontId="10" fillId="0" borderId="4" xfId="2" applyFont="1" applyFill="1" applyBorder="1" applyAlignment="1">
      <alignment horizontal="left" vertical="center" wrapText="1" readingOrder="1"/>
    </xf>
    <xf numFmtId="0" fontId="10" fillId="0" borderId="4" xfId="2" applyFont="1" applyFill="1" applyBorder="1" applyAlignment="1">
      <alignment horizontal="right" vertical="center" wrapText="1" readingOrder="1"/>
    </xf>
    <xf numFmtId="169" fontId="9" fillId="0" borderId="4" xfId="2" applyNumberFormat="1" applyFont="1" applyFill="1" applyBorder="1" applyAlignment="1">
      <alignment horizontal="right" vertical="center" wrapText="1" readingOrder="1"/>
    </xf>
    <xf numFmtId="170" fontId="9" fillId="0" borderId="4" xfId="2" applyNumberFormat="1" applyFont="1" applyFill="1" applyBorder="1" applyAlignment="1">
      <alignment horizontal="right" vertical="center" wrapText="1" readingOrder="1"/>
    </xf>
    <xf numFmtId="0" fontId="8" fillId="0" borderId="4" xfId="2" applyFont="1" applyFill="1" applyBorder="1" applyAlignment="1">
      <alignment horizontal="right" vertical="center" wrapText="1" readingOrder="1"/>
    </xf>
    <xf numFmtId="0" fontId="10" fillId="0" borderId="5" xfId="2" applyFont="1" applyFill="1" applyBorder="1" applyAlignment="1">
      <alignment horizontal="left" vertical="center" wrapText="1" readingOrder="1"/>
    </xf>
    <xf numFmtId="0" fontId="10" fillId="0" borderId="5" xfId="2" applyFont="1" applyFill="1" applyBorder="1" applyAlignment="1">
      <alignment horizontal="right" vertical="center" wrapText="1" readingOrder="1"/>
    </xf>
    <xf numFmtId="0" fontId="10" fillId="0" borderId="0" xfId="2" applyFont="1" applyFill="1" applyAlignment="1">
      <alignment horizontal="left" vertical="center" wrapText="1" readingOrder="1"/>
    </xf>
    <xf numFmtId="0" fontId="10" fillId="0" borderId="0" xfId="2" applyFont="1" applyFill="1" applyAlignment="1">
      <alignment horizontal="right" vertical="center" wrapText="1" readingOrder="1"/>
    </xf>
    <xf numFmtId="0" fontId="10" fillId="0" borderId="6" xfId="2" applyFont="1" applyFill="1" applyBorder="1" applyAlignment="1">
      <alignment horizontal="right" vertical="center" wrapText="1" readingOrder="1"/>
    </xf>
    <xf numFmtId="0" fontId="8" fillId="0" borderId="0" xfId="2" applyFont="1" applyFill="1" applyAlignment="1">
      <alignment horizontal="right" vertical="top" wrapText="1" readingOrder="1"/>
    </xf>
    <xf numFmtId="0" fontId="9" fillId="0" borderId="4" xfId="2" applyFont="1" applyFill="1" applyBorder="1" applyAlignment="1">
      <alignment horizontal="right" vertical="top" wrapText="1" readingOrder="1"/>
    </xf>
    <xf numFmtId="0" fontId="9" fillId="0" borderId="4" xfId="2" applyFont="1" applyFill="1" applyBorder="1" applyAlignment="1">
      <alignment horizontal="left" vertical="top" wrapText="1" readingOrder="1"/>
    </xf>
    <xf numFmtId="0" fontId="8" fillId="0" borderId="0" xfId="2" applyFont="1" applyFill="1" applyAlignment="1">
      <alignment horizontal="left" vertical="center" wrapText="1" readingOrder="1"/>
    </xf>
    <xf numFmtId="0" fontId="8" fillId="0" borderId="0" xfId="2" applyFont="1" applyFill="1" applyAlignment="1">
      <alignment horizontal="right" vertical="center" wrapText="1" readingOrder="1"/>
    </xf>
    <xf numFmtId="0" fontId="24" fillId="0" borderId="0" xfId="2" applyFont="1" applyFill="1" applyAlignment="1">
      <alignment horizontal="center" vertical="top" readingOrder="1"/>
    </xf>
    <xf numFmtId="0" fontId="15" fillId="0" borderId="7" xfId="1" applyFont="1" applyBorder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24" fillId="2" borderId="0" xfId="0" applyFont="1" applyFill="1" applyBorder="1" applyAlignment="1">
      <alignment horizontal="center" vertical="center" readingOrder="1"/>
    </xf>
    <xf numFmtId="0" fontId="8" fillId="2" borderId="5" xfId="0" applyFont="1" applyFill="1" applyBorder="1" applyAlignment="1">
      <alignment horizontal="right" vertical="center" wrapText="1" readingOrder="1"/>
    </xf>
    <xf numFmtId="0" fontId="24" fillId="0" borderId="0" xfId="2" applyFont="1" applyAlignment="1">
      <alignment vertical="center" wrapText="1"/>
    </xf>
    <xf numFmtId="0" fontId="8" fillId="2" borderId="6" xfId="2" applyFont="1" applyFill="1" applyBorder="1" applyAlignment="1">
      <alignment horizontal="right" vertical="center" wrapText="1" readingOrder="1"/>
    </xf>
    <xf numFmtId="0" fontId="24" fillId="0" borderId="0" xfId="2" applyFont="1" applyFill="1" applyAlignment="1">
      <alignment vertical="center" wrapText="1"/>
    </xf>
    <xf numFmtId="0" fontId="8" fillId="0" borderId="6" xfId="2" applyFont="1" applyFill="1" applyBorder="1" applyAlignment="1">
      <alignment horizontal="right" vertical="center" wrapText="1" readingOrder="1"/>
    </xf>
    <xf numFmtId="0" fontId="27" fillId="0" borderId="7" xfId="1" applyFont="1" applyBorder="1" applyAlignment="1">
      <alignment horizontal="center" vertical="center"/>
    </xf>
    <xf numFmtId="0" fontId="25" fillId="0" borderId="0" xfId="1" applyFont="1" applyAlignment="1">
      <alignment horizontal="center" vertical="center"/>
    </xf>
    <xf numFmtId="0" fontId="25" fillId="0" borderId="7" xfId="1" applyFont="1" applyBorder="1" applyAlignment="1">
      <alignment horizontal="center" vertical="center"/>
    </xf>
    <xf numFmtId="0" fontId="28" fillId="0" borderId="7" xfId="1" applyFont="1" applyBorder="1" applyAlignment="1">
      <alignment vertical="center"/>
    </xf>
    <xf numFmtId="0" fontId="25" fillId="0" borderId="0" xfId="1" applyFont="1" applyAlignment="1">
      <alignment vertical="center"/>
    </xf>
    <xf numFmtId="0" fontId="25" fillId="0" borderId="7" xfId="1" applyFont="1" applyBorder="1" applyAlignment="1">
      <alignment vertical="center"/>
    </xf>
    <xf numFmtId="0" fontId="28" fillId="0" borderId="0" xfId="0" applyFont="1" applyAlignment="1">
      <alignment vertical="center" wrapText="1"/>
    </xf>
    <xf numFmtId="0" fontId="4" fillId="0" borderId="0" xfId="3" applyFont="1"/>
    <xf numFmtId="0" fontId="28" fillId="0" borderId="0" xfId="2" applyFont="1" applyAlignment="1">
      <alignment vertical="center" wrapText="1"/>
    </xf>
    <xf numFmtId="0" fontId="28" fillId="0" borderId="0" xfId="2" applyFont="1" applyFill="1" applyAlignment="1">
      <alignment vertical="center" wrapText="1"/>
    </xf>
    <xf numFmtId="0" fontId="7" fillId="2" borderId="31" xfId="0" applyFont="1" applyFill="1" applyBorder="1" applyAlignment="1">
      <alignment horizontal="left" vertical="center" wrapText="1" readingOrder="1"/>
    </xf>
    <xf numFmtId="0" fontId="7" fillId="2" borderId="31" xfId="0" applyFont="1" applyFill="1" applyBorder="1" applyAlignment="1">
      <alignment horizontal="right" vertical="center" wrapText="1" readingOrder="1"/>
    </xf>
    <xf numFmtId="0" fontId="15" fillId="0" borderId="25" xfId="3" applyFont="1" applyBorder="1" applyAlignment="1">
      <alignment horizontal="center" vertical="center" wrapText="1" readingOrder="1"/>
    </xf>
    <xf numFmtId="0" fontId="7" fillId="2" borderId="31" xfId="2" applyFont="1" applyFill="1" applyBorder="1" applyAlignment="1">
      <alignment horizontal="left" vertical="center" wrapText="1" readingOrder="1"/>
    </xf>
    <xf numFmtId="0" fontId="7" fillId="2" borderId="31" xfId="2" applyFont="1" applyFill="1" applyBorder="1" applyAlignment="1">
      <alignment horizontal="right" vertical="center" wrapText="1" readingOrder="1"/>
    </xf>
    <xf numFmtId="0" fontId="7" fillId="0" borderId="31" xfId="2" applyFont="1" applyFill="1" applyBorder="1" applyAlignment="1">
      <alignment horizontal="left" vertical="center" wrapText="1" readingOrder="1"/>
    </xf>
    <xf numFmtId="0" fontId="7" fillId="0" borderId="31" xfId="2" applyFont="1" applyFill="1" applyBorder="1" applyAlignment="1">
      <alignment horizontal="right" vertical="center" wrapText="1" readingOrder="1"/>
    </xf>
    <xf numFmtId="0" fontId="28" fillId="0" borderId="0" xfId="0" applyFont="1" applyFill="1" applyAlignment="1">
      <alignment vertical="center" wrapText="1"/>
    </xf>
    <xf numFmtId="164" fontId="18" fillId="0" borderId="0" xfId="3" applyNumberFormat="1" applyFont="1"/>
    <xf numFmtId="175" fontId="18" fillId="0" borderId="0" xfId="3" applyNumberFormat="1" applyFont="1"/>
    <xf numFmtId="176" fontId="18" fillId="0" borderId="7" xfId="3" applyNumberFormat="1" applyFont="1" applyBorder="1"/>
    <xf numFmtId="10" fontId="18" fillId="0" borderId="7" xfId="3" applyNumberFormat="1" applyFont="1" applyBorder="1"/>
    <xf numFmtId="4" fontId="18" fillId="0" borderId="0" xfId="3" applyNumberFormat="1" applyFont="1"/>
    <xf numFmtId="177" fontId="18" fillId="0" borderId="0" xfId="3" applyNumberFormat="1" applyFont="1"/>
    <xf numFmtId="0" fontId="8" fillId="0" borderId="4" xfId="3" applyFont="1" applyBorder="1" applyAlignment="1">
      <alignment horizontal="left" vertical="center" wrapText="1" readingOrder="1"/>
    </xf>
    <xf numFmtId="0" fontId="8" fillId="0" borderId="0" xfId="3" applyFont="1" applyAlignment="1">
      <alignment vertical="center" readingOrder="1"/>
    </xf>
    <xf numFmtId="0" fontId="8" fillId="0" borderId="0" xfId="3" applyFont="1" applyAlignment="1">
      <alignment vertical="center" wrapText="1" readingOrder="1"/>
    </xf>
    <xf numFmtId="0" fontId="10" fillId="2" borderId="0" xfId="0" applyFont="1" applyFill="1" applyBorder="1" applyAlignment="1">
      <alignment horizontal="left" vertical="top" wrapText="1" readingOrder="1"/>
    </xf>
    <xf numFmtId="0" fontId="9" fillId="2" borderId="4" xfId="0" applyFont="1" applyFill="1" applyBorder="1" applyAlignment="1">
      <alignment horizontal="left" vertical="top" wrapText="1" readingOrder="1"/>
    </xf>
    <xf numFmtId="0" fontId="10" fillId="2" borderId="6" xfId="0" applyFont="1" applyFill="1" applyBorder="1" applyAlignment="1">
      <alignment horizontal="right" vertical="top" wrapText="1" readingOrder="1"/>
    </xf>
    <xf numFmtId="0" fontId="10" fillId="2" borderId="0" xfId="0" applyFont="1" applyFill="1" applyBorder="1" applyAlignment="1">
      <alignment horizontal="right" vertical="top" wrapText="1" readingOrder="1"/>
    </xf>
    <xf numFmtId="0" fontId="24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10" fillId="2" borderId="4" xfId="0" applyFont="1" applyFill="1" applyBorder="1" applyAlignment="1">
      <alignment horizontal="right" vertical="top" wrapText="1" readingOrder="1"/>
    </xf>
    <xf numFmtId="0" fontId="8" fillId="2" borderId="4" xfId="0" applyFont="1" applyFill="1" applyBorder="1" applyAlignment="1">
      <alignment horizontal="left" vertical="top" wrapText="1" readingOrder="1"/>
    </xf>
    <xf numFmtId="171" fontId="8" fillId="2" borderId="4" xfId="0" applyNumberFormat="1" applyFont="1" applyFill="1" applyBorder="1" applyAlignment="1">
      <alignment horizontal="right" vertical="top" wrapText="1" readingOrder="1"/>
    </xf>
    <xf numFmtId="0" fontId="8" fillId="2" borderId="0" xfId="0" applyFont="1" applyFill="1" applyBorder="1" applyAlignment="1">
      <alignment horizontal="left" vertical="top" wrapText="1" readingOrder="1"/>
    </xf>
    <xf numFmtId="170" fontId="9" fillId="2" borderId="4" xfId="0" applyNumberFormat="1" applyFont="1" applyFill="1" applyBorder="1" applyAlignment="1">
      <alignment horizontal="left" vertical="top" wrapText="1" readingOrder="1"/>
    </xf>
    <xf numFmtId="174" fontId="9" fillId="2" borderId="4" xfId="2" applyNumberFormat="1" applyFont="1" applyFill="1" applyBorder="1" applyAlignment="1">
      <alignment horizontal="left" vertical="top" wrapText="1" readingOrder="1"/>
    </xf>
    <xf numFmtId="0" fontId="9" fillId="2" borderId="4" xfId="0" applyFont="1" applyFill="1" applyBorder="1" applyAlignment="1">
      <alignment horizontal="left" vertical="top" readingOrder="1"/>
    </xf>
    <xf numFmtId="0" fontId="10" fillId="2" borderId="0" xfId="0" applyFont="1" applyFill="1" applyAlignment="1">
      <alignment horizontal="right" vertical="top" wrapText="1" readingOrder="1"/>
    </xf>
    <xf numFmtId="0" fontId="9" fillId="2" borderId="10" xfId="0" applyFont="1" applyFill="1" applyBorder="1" applyAlignment="1">
      <alignment horizontal="left" vertical="top" wrapText="1" readingOrder="1"/>
    </xf>
    <xf numFmtId="0" fontId="9" fillId="2" borderId="7" xfId="0" applyFont="1" applyFill="1" applyBorder="1" applyAlignment="1">
      <alignment horizontal="center" vertical="top" readingOrder="1"/>
    </xf>
    <xf numFmtId="0" fontId="8" fillId="2" borderId="4" xfId="2" applyFont="1" applyFill="1" applyBorder="1" applyAlignment="1">
      <alignment horizontal="left" vertical="top" wrapText="1" readingOrder="1"/>
    </xf>
    <xf numFmtId="172" fontId="8" fillId="2" borderId="4" xfId="2" applyNumberFormat="1" applyFont="1" applyFill="1" applyBorder="1" applyAlignment="1">
      <alignment horizontal="right" vertical="top" wrapText="1" readingOrder="1"/>
    </xf>
    <xf numFmtId="0" fontId="10" fillId="0" borderId="4" xfId="2" applyFont="1" applyFill="1" applyBorder="1" applyAlignment="1">
      <alignment horizontal="right" vertical="top" wrapText="1" readingOrder="1"/>
    </xf>
    <xf numFmtId="0" fontId="8" fillId="0" borderId="4" xfId="2" applyFont="1" applyFill="1" applyBorder="1" applyAlignment="1">
      <alignment horizontal="left" vertical="top" wrapText="1" readingOrder="1"/>
    </xf>
    <xf numFmtId="173" fontId="8" fillId="0" borderId="4" xfId="2" applyNumberFormat="1" applyFont="1" applyFill="1" applyBorder="1" applyAlignment="1">
      <alignment horizontal="right" vertical="top" wrapText="1" readingOrder="1"/>
    </xf>
    <xf numFmtId="0" fontId="8" fillId="0" borderId="0" xfId="2" applyFont="1" applyFill="1" applyAlignment="1">
      <alignment horizontal="left" vertical="top" wrapText="1" readingOrder="1"/>
    </xf>
    <xf numFmtId="174" fontId="9" fillId="0" borderId="4" xfId="2" applyNumberFormat="1" applyFont="1" applyFill="1" applyBorder="1" applyAlignment="1">
      <alignment horizontal="left" vertical="top" wrapText="1" readingOrder="1"/>
    </xf>
    <xf numFmtId="170" fontId="9" fillId="0" borderId="4" xfId="2" applyNumberFormat="1" applyFont="1" applyFill="1" applyBorder="1" applyAlignment="1">
      <alignment horizontal="left" vertical="top" wrapText="1" readingOrder="1"/>
    </xf>
    <xf numFmtId="0" fontId="10" fillId="2" borderId="4" xfId="2" applyFont="1" applyFill="1" applyBorder="1" applyAlignment="1">
      <alignment horizontal="right" vertical="top" wrapText="1" readingOrder="1"/>
    </xf>
    <xf numFmtId="173" fontId="8" fillId="2" borderId="4" xfId="2" applyNumberFormat="1" applyFont="1" applyFill="1" applyBorder="1" applyAlignment="1">
      <alignment horizontal="right" vertical="top" wrapText="1" readingOrder="1"/>
    </xf>
    <xf numFmtId="0" fontId="8" fillId="2" borderId="5" xfId="2" applyFont="1" applyFill="1" applyBorder="1" applyAlignment="1">
      <alignment horizontal="left" vertical="top" wrapText="1" readingOrder="1"/>
    </xf>
    <xf numFmtId="0" fontId="9" fillId="2" borderId="5" xfId="2" applyFont="1" applyFill="1" applyBorder="1" applyAlignment="1">
      <alignment horizontal="left" vertical="top" wrapText="1" readingOrder="1"/>
    </xf>
    <xf numFmtId="0" fontId="8" fillId="2" borderId="0" xfId="2" applyFont="1" applyFill="1" applyAlignment="1">
      <alignment horizontal="left" vertical="top" wrapText="1" readingOrder="1"/>
    </xf>
    <xf numFmtId="170" fontId="9" fillId="2" borderId="4" xfId="2" applyNumberFormat="1" applyFont="1" applyFill="1" applyBorder="1" applyAlignment="1">
      <alignment horizontal="left" vertical="top" wrapText="1" readingOrder="1"/>
    </xf>
    <xf numFmtId="0" fontId="3" fillId="0" borderId="0" xfId="10" applyFont="1"/>
    <xf numFmtId="0" fontId="3" fillId="0" borderId="17" xfId="10" applyFont="1" applyBorder="1"/>
    <xf numFmtId="0" fontId="3" fillId="0" borderId="7" xfId="10" applyFont="1" applyBorder="1"/>
    <xf numFmtId="0" fontId="3" fillId="0" borderId="18" xfId="10" applyFont="1" applyBorder="1"/>
    <xf numFmtId="14" fontId="3" fillId="0" borderId="0" xfId="10" applyNumberFormat="1" applyFont="1"/>
    <xf numFmtId="4" fontId="3" fillId="0" borderId="0" xfId="10" applyNumberFormat="1" applyFont="1"/>
    <xf numFmtId="2" fontId="3" fillId="0" borderId="0" xfId="10" applyNumberFormat="1" applyFont="1"/>
    <xf numFmtId="2" fontId="11" fillId="0" borderId="0" xfId="10" applyNumberFormat="1" applyFont="1"/>
    <xf numFmtId="0" fontId="18" fillId="0" borderId="17" xfId="10" applyFont="1" applyBorder="1"/>
    <xf numFmtId="0" fontId="18" fillId="0" borderId="7" xfId="10" applyFont="1" applyBorder="1"/>
    <xf numFmtId="0" fontId="18" fillId="0" borderId="0" xfId="10" applyFont="1"/>
    <xf numFmtId="0" fontId="18" fillId="0" borderId="26" xfId="10" applyFont="1" applyBorder="1" applyAlignment="1">
      <alignment horizontal="left" vertical="center"/>
    </xf>
    <xf numFmtId="0" fontId="18" fillId="0" borderId="27" xfId="10" applyFont="1" applyBorder="1" applyAlignment="1">
      <alignment horizontal="left" vertical="center"/>
    </xf>
    <xf numFmtId="2" fontId="18" fillId="0" borderId="27" xfId="10" applyNumberFormat="1" applyFont="1" applyBorder="1" applyAlignment="1">
      <alignment horizontal="right" vertical="center" wrapText="1"/>
    </xf>
    <xf numFmtId="164" fontId="18" fillId="0" borderId="27" xfId="11" applyFont="1" applyBorder="1" applyAlignment="1">
      <alignment horizontal="right" vertical="center" wrapText="1"/>
    </xf>
    <xf numFmtId="4" fontId="18" fillId="0" borderId="27" xfId="10" applyNumberFormat="1" applyFont="1" applyBorder="1" applyAlignment="1">
      <alignment horizontal="right"/>
    </xf>
    <xf numFmtId="10" fontId="18" fillId="0" borderId="28" xfId="12" applyNumberFormat="1" applyFont="1" applyBorder="1" applyAlignment="1">
      <alignment wrapText="1"/>
    </xf>
    <xf numFmtId="0" fontId="3" fillId="0" borderId="35" xfId="10" applyFont="1" applyBorder="1"/>
    <xf numFmtId="0" fontId="3" fillId="0" borderId="36" xfId="10" applyFont="1" applyBorder="1"/>
    <xf numFmtId="4" fontId="3" fillId="0" borderId="35" xfId="10" applyNumberFormat="1" applyFont="1" applyBorder="1"/>
    <xf numFmtId="2" fontId="3" fillId="0" borderId="35" xfId="10" applyNumberFormat="1" applyFont="1" applyBorder="1"/>
    <xf numFmtId="10" fontId="3" fillId="0" borderId="37" xfId="12" applyNumberFormat="1" applyFont="1" applyBorder="1"/>
    <xf numFmtId="0" fontId="2" fillId="0" borderId="0" xfId="10" applyFont="1"/>
    <xf numFmtId="0" fontId="11" fillId="0" borderId="17" xfId="10" applyFont="1" applyBorder="1" applyAlignment="1">
      <alignment horizontal="center"/>
    </xf>
    <xf numFmtId="0" fontId="11" fillId="0" borderId="7" xfId="10" applyFont="1" applyBorder="1" applyAlignment="1">
      <alignment horizontal="center"/>
    </xf>
    <xf numFmtId="0" fontId="8" fillId="2" borderId="0" xfId="0" applyFont="1" applyFill="1" applyBorder="1" applyAlignment="1">
      <alignment horizontal="left" vertical="top" wrapText="1" readingOrder="1"/>
    </xf>
    <xf numFmtId="0" fontId="8" fillId="2" borderId="0" xfId="0" applyFont="1" applyFill="1" applyBorder="1" applyAlignment="1">
      <alignment horizontal="left" vertical="center" wrapText="1" readingOrder="1"/>
    </xf>
    <xf numFmtId="0" fontId="8" fillId="2" borderId="0" xfId="2" applyFont="1" applyFill="1" applyBorder="1" applyAlignment="1">
      <alignment horizontal="left" vertical="top" wrapText="1" readingOrder="1"/>
    </xf>
    <xf numFmtId="0" fontId="8" fillId="2" borderId="0" xfId="0" applyFont="1" applyFill="1" applyAlignment="1">
      <alignment horizontal="right" vertical="top" wrapText="1" readingOrder="1"/>
    </xf>
    <xf numFmtId="172" fontId="8" fillId="2" borderId="0" xfId="2" applyNumberFormat="1" applyFont="1" applyFill="1" applyBorder="1" applyAlignment="1">
      <alignment horizontal="right" vertical="top" wrapText="1" readingOrder="1"/>
    </xf>
    <xf numFmtId="0" fontId="9" fillId="0" borderId="4" xfId="0" applyFont="1" applyBorder="1" applyAlignment="1">
      <alignment horizontal="left" vertical="center" readingOrder="1"/>
    </xf>
    <xf numFmtId="10" fontId="28" fillId="0" borderId="0" xfId="13" applyNumberFormat="1" applyFont="1" applyAlignment="1">
      <alignment vertical="center" wrapText="1"/>
    </xf>
    <xf numFmtId="0" fontId="0" fillId="0" borderId="0" xfId="0" applyAlignment="1"/>
    <xf numFmtId="165" fontId="8" fillId="0" borderId="4" xfId="0" applyNumberFormat="1" applyFont="1" applyBorder="1" applyAlignment="1">
      <alignment horizontal="right" vertical="center" wrapText="1" readingOrder="1"/>
    </xf>
    <xf numFmtId="0" fontId="8" fillId="2" borderId="1" xfId="0" applyFont="1" applyFill="1" applyBorder="1" applyAlignment="1">
      <alignment horizontal="left" vertical="top" wrapText="1" readingOrder="1"/>
    </xf>
    <xf numFmtId="0" fontId="8" fillId="2" borderId="3" xfId="0" applyFont="1" applyFill="1" applyBorder="1" applyAlignment="1">
      <alignment horizontal="left" vertical="top" wrapText="1" readingOrder="1"/>
    </xf>
    <xf numFmtId="0" fontId="8" fillId="2" borderId="1" xfId="0" applyFont="1" applyFill="1" applyBorder="1" applyAlignment="1">
      <alignment horizontal="left" vertical="center" wrapText="1" readingOrder="1"/>
    </xf>
    <xf numFmtId="0" fontId="8" fillId="2" borderId="3" xfId="0" applyFont="1" applyFill="1" applyBorder="1" applyAlignment="1">
      <alignment horizontal="left" vertical="center" wrapText="1" readingOrder="1"/>
    </xf>
    <xf numFmtId="0" fontId="8" fillId="0" borderId="1" xfId="0" applyFont="1" applyBorder="1" applyAlignment="1">
      <alignment horizontal="left" vertical="center" wrapText="1" readingOrder="1"/>
    </xf>
    <xf numFmtId="0" fontId="8" fillId="0" borderId="3" xfId="0" applyFont="1" applyBorder="1" applyAlignment="1">
      <alignment horizontal="left" vertical="center" wrapText="1" readingOrder="1"/>
    </xf>
    <xf numFmtId="0" fontId="8" fillId="0" borderId="0" xfId="0" applyFont="1" applyAlignment="1">
      <alignment horizontal="left" vertical="center" wrapText="1" readingOrder="1"/>
    </xf>
    <xf numFmtId="0" fontId="9" fillId="2" borderId="1" xfId="0" applyFont="1" applyFill="1" applyBorder="1" applyAlignment="1">
      <alignment horizontal="left" vertical="top" wrapText="1" readingOrder="1"/>
    </xf>
    <xf numFmtId="0" fontId="9" fillId="2" borderId="3" xfId="0" applyFont="1" applyFill="1" applyBorder="1" applyAlignment="1">
      <alignment horizontal="left" vertical="top" wrapText="1" readingOrder="1"/>
    </xf>
    <xf numFmtId="0" fontId="8" fillId="2" borderId="0" xfId="0" applyFont="1" applyFill="1" applyBorder="1" applyAlignment="1">
      <alignment horizontal="left" vertical="top" wrapText="1" readingOrder="1"/>
    </xf>
    <xf numFmtId="0" fontId="7" fillId="2" borderId="7" xfId="0" applyFont="1" applyFill="1" applyBorder="1" applyAlignment="1">
      <alignment horizontal="center" vertical="center" wrapText="1" readingOrder="1"/>
    </xf>
    <xf numFmtId="0" fontId="7" fillId="2" borderId="19" xfId="0" applyFont="1" applyFill="1" applyBorder="1" applyAlignment="1">
      <alignment horizontal="center" vertical="center" wrapText="1" readingOrder="1"/>
    </xf>
    <xf numFmtId="0" fontId="7" fillId="2" borderId="20" xfId="0" applyFont="1" applyFill="1" applyBorder="1" applyAlignment="1">
      <alignment horizontal="center" vertical="center" wrapText="1" readingOrder="1"/>
    </xf>
    <xf numFmtId="0" fontId="7" fillId="2" borderId="21" xfId="0" applyFont="1" applyFill="1" applyBorder="1" applyAlignment="1">
      <alignment horizontal="center" vertical="center" wrapText="1" readingOrder="1"/>
    </xf>
    <xf numFmtId="0" fontId="8" fillId="2" borderId="0" xfId="0" applyFont="1" applyFill="1" applyBorder="1" applyAlignment="1">
      <alignment horizontal="left" vertical="center" wrapText="1" readingOrder="1"/>
    </xf>
    <xf numFmtId="0" fontId="7" fillId="2" borderId="29" xfId="0" applyFont="1" applyFill="1" applyBorder="1" applyAlignment="1">
      <alignment horizontal="center" vertical="center" wrapText="1" readingOrder="1"/>
    </xf>
    <xf numFmtId="0" fontId="7" fillId="2" borderId="30" xfId="0" applyFont="1" applyFill="1" applyBorder="1" applyAlignment="1">
      <alignment horizontal="center" vertical="center" wrapText="1" readingOrder="1"/>
    </xf>
    <xf numFmtId="0" fontId="8" fillId="2" borderId="8" xfId="0" applyFont="1" applyFill="1" applyBorder="1" applyAlignment="1">
      <alignment horizontal="left" vertical="top" wrapText="1" readingOrder="1"/>
    </xf>
    <xf numFmtId="0" fontId="8" fillId="2" borderId="9" xfId="0" applyFont="1" applyFill="1" applyBorder="1" applyAlignment="1">
      <alignment horizontal="left" vertical="top" wrapText="1" readingOrder="1"/>
    </xf>
    <xf numFmtId="0" fontId="8" fillId="2" borderId="0" xfId="0" applyFont="1" applyFill="1" applyAlignment="1">
      <alignment horizontal="left" vertical="center" wrapText="1" readingOrder="1"/>
    </xf>
    <xf numFmtId="0" fontId="8" fillId="0" borderId="1" xfId="2" applyFont="1" applyFill="1" applyBorder="1" applyAlignment="1">
      <alignment horizontal="left" vertical="top" wrapText="1" readingOrder="1"/>
    </xf>
    <xf numFmtId="0" fontId="8" fillId="0" borderId="3" xfId="2" applyFont="1" applyFill="1" applyBorder="1" applyAlignment="1">
      <alignment horizontal="left" vertical="top" wrapText="1" readingOrder="1"/>
    </xf>
    <xf numFmtId="0" fontId="8" fillId="0" borderId="0" xfId="2" applyFont="1" applyFill="1" applyAlignment="1">
      <alignment horizontal="left" vertical="center" wrapText="1" readingOrder="1"/>
    </xf>
    <xf numFmtId="0" fontId="9" fillId="0" borderId="1" xfId="2" applyFont="1" applyFill="1" applyBorder="1" applyAlignment="1">
      <alignment horizontal="left" vertical="top" wrapText="1" readingOrder="1"/>
    </xf>
    <xf numFmtId="0" fontId="9" fillId="0" borderId="2" xfId="2" applyFont="1" applyFill="1" applyBorder="1" applyAlignment="1">
      <alignment horizontal="left" vertical="top" wrapText="1" readingOrder="1"/>
    </xf>
    <xf numFmtId="0" fontId="9" fillId="0" borderId="3" xfId="2" applyFont="1" applyFill="1" applyBorder="1" applyAlignment="1">
      <alignment horizontal="left" vertical="top" wrapText="1" readingOrder="1"/>
    </xf>
    <xf numFmtId="0" fontId="8" fillId="2" borderId="1" xfId="2" applyFont="1" applyFill="1" applyBorder="1" applyAlignment="1">
      <alignment horizontal="left" vertical="top" wrapText="1" readingOrder="1"/>
    </xf>
    <xf numFmtId="0" fontId="8" fillId="2" borderId="3" xfId="2" applyFont="1" applyFill="1" applyBorder="1" applyAlignment="1">
      <alignment horizontal="left" vertical="top" wrapText="1" readingOrder="1"/>
    </xf>
    <xf numFmtId="0" fontId="8" fillId="2" borderId="0" xfId="2" applyFont="1" applyFill="1" applyAlignment="1">
      <alignment horizontal="left" vertical="center" wrapText="1" readingOrder="1"/>
    </xf>
    <xf numFmtId="0" fontId="9" fillId="2" borderId="1" xfId="2" applyFont="1" applyFill="1" applyBorder="1" applyAlignment="1">
      <alignment horizontal="left" vertical="top" wrapText="1" readingOrder="1"/>
    </xf>
    <xf numFmtId="0" fontId="9" fillId="2" borderId="2" xfId="2" applyFont="1" applyFill="1" applyBorder="1" applyAlignment="1">
      <alignment horizontal="left" vertical="top" wrapText="1" readingOrder="1"/>
    </xf>
    <xf numFmtId="0" fontId="9" fillId="2" borderId="3" xfId="2" applyFont="1" applyFill="1" applyBorder="1" applyAlignment="1">
      <alignment horizontal="left" vertical="top" wrapText="1" readingOrder="1"/>
    </xf>
    <xf numFmtId="0" fontId="9" fillId="2" borderId="1" xfId="0" applyFont="1" applyFill="1" applyBorder="1" applyAlignment="1">
      <alignment horizontal="left" vertical="center" wrapText="1" readingOrder="1"/>
    </xf>
    <xf numFmtId="0" fontId="9" fillId="2" borderId="3" xfId="0" applyFont="1" applyFill="1" applyBorder="1" applyAlignment="1">
      <alignment horizontal="left" vertical="center" wrapText="1" readingOrder="1"/>
    </xf>
    <xf numFmtId="0" fontId="21" fillId="0" borderId="0" xfId="8" applyFont="1" applyAlignment="1">
      <alignment horizontal="left" vertical="center"/>
    </xf>
    <xf numFmtId="0" fontId="18" fillId="0" borderId="0" xfId="3" applyFont="1" applyAlignment="1">
      <alignment horizontal="left"/>
    </xf>
    <xf numFmtId="0" fontId="11" fillId="0" borderId="7" xfId="3" applyFont="1" applyBorder="1" applyAlignment="1">
      <alignment horizontal="center"/>
    </xf>
    <xf numFmtId="0" fontId="13" fillId="0" borderId="7" xfId="4" applyFont="1" applyBorder="1" applyAlignment="1">
      <alignment horizontal="center" vertical="center"/>
    </xf>
    <xf numFmtId="0" fontId="15" fillId="3" borderId="7" xfId="4" applyFont="1" applyFill="1" applyBorder="1" applyAlignment="1">
      <alignment horizontal="center" vertical="center" wrapText="1"/>
    </xf>
    <xf numFmtId="0" fontId="21" fillId="0" borderId="0" xfId="8" applyFont="1" applyAlignment="1">
      <alignment horizontal="left"/>
    </xf>
    <xf numFmtId="0" fontId="11" fillId="4" borderId="11" xfId="10" applyFont="1" applyFill="1" applyBorder="1" applyAlignment="1">
      <alignment horizontal="center" wrapText="1"/>
    </xf>
    <xf numFmtId="0" fontId="11" fillId="4" borderId="12" xfId="10" applyFont="1" applyFill="1" applyBorder="1" applyAlignment="1">
      <alignment horizontal="center" wrapText="1"/>
    </xf>
    <xf numFmtId="0" fontId="11" fillId="4" borderId="13" xfId="10" applyFont="1" applyFill="1" applyBorder="1" applyAlignment="1">
      <alignment horizontal="center" wrapText="1"/>
    </xf>
    <xf numFmtId="0" fontId="11" fillId="0" borderId="14" xfId="10" applyFont="1" applyBorder="1" applyAlignment="1">
      <alignment horizontal="center" wrapText="1"/>
    </xf>
    <xf numFmtId="0" fontId="11" fillId="0" borderId="15" xfId="10" applyFont="1" applyBorder="1" applyAlignment="1">
      <alignment horizontal="center" wrapText="1"/>
    </xf>
    <xf numFmtId="0" fontId="11" fillId="0" borderId="16" xfId="10" applyFont="1" applyBorder="1" applyAlignment="1">
      <alignment horizontal="center" wrapText="1"/>
    </xf>
    <xf numFmtId="0" fontId="11" fillId="0" borderId="7" xfId="10" applyFont="1" applyBorder="1" applyAlignment="1">
      <alignment horizontal="center" wrapText="1"/>
    </xf>
    <xf numFmtId="0" fontId="11" fillId="0" borderId="7" xfId="10" applyFont="1" applyBorder="1" applyAlignment="1">
      <alignment horizontal="center"/>
    </xf>
    <xf numFmtId="0" fontId="11" fillId="0" borderId="18" xfId="10" applyFont="1" applyBorder="1" applyAlignment="1">
      <alignment horizontal="center"/>
    </xf>
    <xf numFmtId="0" fontId="18" fillId="0" borderId="7" xfId="10" applyFont="1" applyBorder="1" applyAlignment="1">
      <alignment horizontal="center"/>
    </xf>
    <xf numFmtId="0" fontId="18" fillId="0" borderId="18" xfId="10" applyFont="1" applyBorder="1" applyAlignment="1">
      <alignment horizontal="center"/>
    </xf>
    <xf numFmtId="0" fontId="18" fillId="0" borderId="32" xfId="10" applyFont="1" applyBorder="1" applyAlignment="1">
      <alignment horizontal="left" wrapText="1"/>
    </xf>
    <xf numFmtId="0" fontId="18" fillId="0" borderId="33" xfId="10" applyFont="1" applyBorder="1" applyAlignment="1">
      <alignment horizontal="left"/>
    </xf>
    <xf numFmtId="0" fontId="18" fillId="0" borderId="34" xfId="10" applyFont="1" applyBorder="1" applyAlignment="1">
      <alignment horizontal="left"/>
    </xf>
    <xf numFmtId="0" fontId="3" fillId="0" borderId="19" xfId="10" applyFont="1" applyBorder="1" applyAlignment="1">
      <alignment horizontal="center"/>
    </xf>
    <xf numFmtId="0" fontId="3" fillId="0" borderId="20" xfId="10" applyFont="1" applyBorder="1" applyAlignment="1">
      <alignment horizontal="center"/>
    </xf>
    <xf numFmtId="0" fontId="3" fillId="0" borderId="21" xfId="10" applyFont="1" applyBorder="1" applyAlignment="1">
      <alignment horizontal="center"/>
    </xf>
    <xf numFmtId="0" fontId="3" fillId="0" borderId="22" xfId="10" applyFont="1" applyBorder="1" applyAlignment="1">
      <alignment horizontal="center"/>
    </xf>
    <xf numFmtId="0" fontId="11" fillId="0" borderId="23" xfId="10" applyFont="1" applyBorder="1" applyAlignment="1">
      <alignment horizontal="center"/>
    </xf>
    <xf numFmtId="0" fontId="11" fillId="0" borderId="20" xfId="10" applyFont="1" applyBorder="1" applyAlignment="1">
      <alignment horizontal="center"/>
    </xf>
    <xf numFmtId="0" fontId="11" fillId="0" borderId="22" xfId="10" applyFont="1" applyBorder="1" applyAlignment="1">
      <alignment horizontal="center"/>
    </xf>
    <xf numFmtId="0" fontId="11" fillId="0" borderId="24" xfId="10" applyFont="1" applyBorder="1" applyAlignment="1">
      <alignment horizontal="center" vertical="center"/>
    </xf>
    <xf numFmtId="0" fontId="11" fillId="0" borderId="17" xfId="10" applyFont="1" applyBorder="1" applyAlignment="1">
      <alignment horizontal="center" vertical="center"/>
    </xf>
    <xf numFmtId="0" fontId="11" fillId="0" borderId="25" xfId="10" applyFont="1" applyBorder="1" applyAlignment="1">
      <alignment horizontal="center" vertical="center"/>
    </xf>
    <xf numFmtId="0" fontId="11" fillId="0" borderId="7" xfId="10" applyFont="1" applyBorder="1" applyAlignment="1">
      <alignment horizontal="center" vertical="center"/>
    </xf>
    <xf numFmtId="0" fontId="11" fillId="0" borderId="19" xfId="10" applyFont="1" applyBorder="1" applyAlignment="1">
      <alignment horizontal="center" vertical="center"/>
    </xf>
    <xf numFmtId="0" fontId="11" fillId="0" borderId="20" xfId="10" applyFont="1" applyBorder="1" applyAlignment="1">
      <alignment horizontal="center" vertical="center"/>
    </xf>
    <xf numFmtId="0" fontId="16" fillId="0" borderId="0" xfId="14" applyFont="1"/>
    <xf numFmtId="0" fontId="17" fillId="0" borderId="0" xfId="14" applyFont="1"/>
    <xf numFmtId="0" fontId="17" fillId="0" borderId="0" xfId="14" applyFont="1" applyAlignment="1">
      <alignment horizontal="center"/>
    </xf>
    <xf numFmtId="0" fontId="17" fillId="0" borderId="7" xfId="14" applyFont="1" applyBorder="1" applyAlignment="1">
      <alignment horizontal="center" vertical="top"/>
    </xf>
    <xf numFmtId="0" fontId="17" fillId="0" borderId="7" xfId="14" applyFont="1" applyBorder="1" applyAlignment="1">
      <alignment horizontal="center" vertical="top" wrapText="1"/>
    </xf>
    <xf numFmtId="0" fontId="16" fillId="0" borderId="7" xfId="14" applyFont="1" applyBorder="1" applyAlignment="1">
      <alignment horizontal="left" vertical="top"/>
    </xf>
    <xf numFmtId="0" fontId="8" fillId="2" borderId="4" xfId="14" applyFont="1" applyFill="1" applyBorder="1" applyAlignment="1">
      <alignment horizontal="left" vertical="center" readingOrder="1"/>
    </xf>
    <xf numFmtId="0" fontId="16" fillId="0" borderId="7" xfId="14" applyFont="1" applyBorder="1" applyAlignment="1">
      <alignment horizontal="center" vertical="top"/>
    </xf>
    <xf numFmtId="174" fontId="8" fillId="2" borderId="4" xfId="14" applyNumberFormat="1" applyFont="1" applyFill="1" applyBorder="1" applyAlignment="1">
      <alignment horizontal="right" vertical="center" readingOrder="1"/>
    </xf>
    <xf numFmtId="2" fontId="16" fillId="0" borderId="7" xfId="14" applyNumberFormat="1" applyFont="1" applyBorder="1" applyAlignment="1">
      <alignment horizontal="right" vertical="top" wrapText="1"/>
    </xf>
    <xf numFmtId="4" fontId="16" fillId="0" borderId="0" xfId="14" applyNumberFormat="1" applyFont="1"/>
    <xf numFmtId="0" fontId="16" fillId="0" borderId="38" xfId="14" applyFont="1" applyBorder="1" applyAlignment="1">
      <alignment horizontal="left" vertical="top"/>
    </xf>
    <xf numFmtId="0" fontId="8" fillId="2" borderId="10" xfId="14" applyFont="1" applyFill="1" applyBorder="1" applyAlignment="1">
      <alignment horizontal="left" vertical="center" readingOrder="1"/>
    </xf>
    <xf numFmtId="0" fontId="8" fillId="2" borderId="7" xfId="14" applyFont="1" applyFill="1" applyBorder="1" applyAlignment="1">
      <alignment horizontal="left" vertical="center" readingOrder="1"/>
    </xf>
    <xf numFmtId="0" fontId="24" fillId="0" borderId="19" xfId="4" applyFont="1" applyBorder="1" applyAlignment="1">
      <alignment vertical="center" wrapText="1"/>
    </xf>
    <xf numFmtId="4" fontId="16" fillId="0" borderId="7" xfId="14" applyNumberFormat="1" applyFont="1" applyBorder="1"/>
    <xf numFmtId="180" fontId="16" fillId="0" borderId="7" xfId="14" applyNumberFormat="1" applyFont="1" applyBorder="1" applyAlignment="1">
      <alignment horizontal="right" vertical="top" wrapText="1"/>
    </xf>
    <xf numFmtId="2" fontId="16" fillId="0" borderId="0" xfId="14" applyNumberFormat="1" applyFont="1" applyAlignment="1">
      <alignment horizontal="right" vertical="top" wrapText="1"/>
    </xf>
    <xf numFmtId="0" fontId="16" fillId="0" borderId="30" xfId="14" applyFont="1" applyBorder="1" applyAlignment="1">
      <alignment horizontal="center"/>
    </xf>
    <xf numFmtId="0" fontId="16" fillId="0" borderId="30" xfId="14" applyFont="1" applyBorder="1" applyAlignment="1" applyProtection="1">
      <alignment horizontal="center"/>
      <protection locked="0"/>
    </xf>
    <xf numFmtId="164" fontId="16" fillId="0" borderId="30" xfId="11" applyFont="1" applyFill="1" applyBorder="1" applyAlignment="1" applyProtection="1">
      <alignment horizontal="center"/>
      <protection locked="0"/>
    </xf>
    <xf numFmtId="0" fontId="17" fillId="0" borderId="7" xfId="14" applyFont="1" applyBorder="1" applyAlignment="1">
      <alignment horizontal="center"/>
    </xf>
    <xf numFmtId="2" fontId="16" fillId="0" borderId="7" xfId="14" applyNumberFormat="1" applyFont="1" applyBorder="1" applyAlignment="1">
      <alignment horizontal="center"/>
    </xf>
    <xf numFmtId="0" fontId="16" fillId="0" borderId="7" xfId="14" applyFont="1" applyBorder="1" applyAlignment="1">
      <alignment horizontal="center"/>
    </xf>
    <xf numFmtId="0" fontId="16" fillId="0" borderId="7" xfId="14" applyFont="1" applyBorder="1"/>
    <xf numFmtId="37" fontId="16" fillId="0" borderId="7" xfId="11" applyNumberFormat="1" applyFont="1" applyFill="1" applyBorder="1" applyAlignment="1">
      <alignment horizontal="center"/>
    </xf>
    <xf numFmtId="164" fontId="16" fillId="0" borderId="7" xfId="11" applyFont="1" applyFill="1" applyBorder="1"/>
    <xf numFmtId="164" fontId="16" fillId="0" borderId="0" xfId="11" applyFont="1" applyFill="1" applyBorder="1"/>
    <xf numFmtId="164" fontId="16" fillId="0" borderId="0" xfId="14" applyNumberFormat="1" applyFont="1"/>
    <xf numFmtId="0" fontId="16" fillId="0" borderId="7" xfId="14" applyFont="1" applyBorder="1" applyAlignment="1">
      <alignment vertical="top" wrapText="1"/>
    </xf>
    <xf numFmtId="0" fontId="16" fillId="0" borderId="7" xfId="11" applyNumberFormat="1" applyFont="1" applyFill="1" applyBorder="1" applyAlignment="1">
      <alignment horizontal="center"/>
    </xf>
    <xf numFmtId="4" fontId="16" fillId="0" borderId="7" xfId="11" applyNumberFormat="1" applyFont="1" applyFill="1" applyBorder="1"/>
    <xf numFmtId="4" fontId="16" fillId="0" borderId="0" xfId="11" applyNumberFormat="1" applyFont="1" applyFill="1" applyBorder="1"/>
    <xf numFmtId="181" fontId="16" fillId="0" borderId="0" xfId="14" applyNumberFormat="1" applyFont="1"/>
    <xf numFmtId="0" fontId="16" fillId="0" borderId="7" xfId="14" applyFont="1" applyBorder="1" applyAlignment="1">
      <alignment horizontal="center" vertical="top" wrapText="1"/>
    </xf>
    <xf numFmtId="2" fontId="16" fillId="0" borderId="7" xfId="14" applyNumberFormat="1" applyFont="1" applyBorder="1" applyAlignment="1">
      <alignment horizontal="center" vertical="top" wrapText="1"/>
    </xf>
    <xf numFmtId="4" fontId="16" fillId="0" borderId="7" xfId="14" applyNumberFormat="1" applyFont="1" applyBorder="1" applyAlignment="1">
      <alignment horizontal="center" vertical="top" wrapText="1"/>
    </xf>
    <xf numFmtId="2" fontId="16" fillId="0" borderId="0" xfId="14" applyNumberFormat="1" applyFont="1" applyAlignment="1">
      <alignment vertical="top" wrapText="1"/>
    </xf>
    <xf numFmtId="164" fontId="16" fillId="0" borderId="0" xfId="11" applyFont="1" applyFill="1" applyBorder="1" applyAlignment="1"/>
    <xf numFmtId="0" fontId="16" fillId="0" borderId="0" xfId="14" applyFont="1" applyAlignment="1" applyProtection="1">
      <alignment horizontal="left"/>
      <protection locked="0"/>
    </xf>
    <xf numFmtId="0" fontId="16" fillId="0" borderId="0" xfId="14" applyFont="1" applyAlignment="1">
      <alignment horizontal="center" vertical="top"/>
    </xf>
    <xf numFmtId="164" fontId="16" fillId="0" borderId="0" xfId="11" applyFont="1" applyFill="1" applyBorder="1" applyAlignment="1" applyProtection="1">
      <alignment horizontal="left"/>
      <protection locked="0"/>
    </xf>
    <xf numFmtId="4" fontId="16" fillId="0" borderId="0" xfId="14" applyNumberFormat="1" applyFont="1" applyAlignment="1">
      <alignment horizontal="right" vertical="center"/>
    </xf>
    <xf numFmtId="10" fontId="16" fillId="0" borderId="7" xfId="15" applyNumberFormat="1" applyFont="1" applyFill="1" applyBorder="1" applyAlignment="1">
      <alignment horizontal="center"/>
    </xf>
    <xf numFmtId="0" fontId="16" fillId="0" borderId="0" xfId="14" applyFont="1" applyAlignment="1">
      <alignment horizontal="left" vertical="top"/>
    </xf>
    <xf numFmtId="10" fontId="16" fillId="0" borderId="0" xfId="14" applyNumberFormat="1" applyFont="1" applyAlignment="1">
      <alignment horizontal="center"/>
    </xf>
    <xf numFmtId="164" fontId="16" fillId="0" borderId="7" xfId="11" applyFont="1" applyFill="1" applyBorder="1" applyAlignment="1">
      <alignment horizontal="center" vertical="top" wrapText="1"/>
    </xf>
    <xf numFmtId="2" fontId="16" fillId="0" borderId="7" xfId="14" applyNumberFormat="1" applyFont="1" applyBorder="1" applyAlignment="1">
      <alignment horizontal="right"/>
    </xf>
    <xf numFmtId="1" fontId="16" fillId="0" borderId="7" xfId="14" applyNumberFormat="1" applyFont="1" applyBorder="1" applyAlignment="1">
      <alignment horizontal="center"/>
    </xf>
    <xf numFmtId="164" fontId="17" fillId="0" borderId="0" xfId="11" applyFont="1" applyFill="1" applyBorder="1"/>
    <xf numFmtId="182" fontId="16" fillId="0" borderId="0" xfId="14" applyNumberFormat="1" applyFont="1"/>
    <xf numFmtId="164" fontId="17" fillId="0" borderId="0" xfId="14" applyNumberFormat="1" applyFont="1"/>
    <xf numFmtId="43" fontId="16" fillId="0" borderId="0" xfId="14" applyNumberFormat="1" applyFont="1"/>
    <xf numFmtId="0" fontId="16" fillId="0" borderId="7" xfId="14" applyFont="1" applyBorder="1" applyAlignment="1">
      <alignment horizontal="left"/>
    </xf>
    <xf numFmtId="0" fontId="17" fillId="0" borderId="0" xfId="14" applyFont="1" applyAlignment="1">
      <alignment vertical="top" wrapText="1"/>
    </xf>
    <xf numFmtId="0" fontId="16" fillId="0" borderId="0" xfId="14" applyFont="1" applyAlignment="1">
      <alignment horizontal="center"/>
    </xf>
    <xf numFmtId="2" fontId="16" fillId="0" borderId="0" xfId="14" applyNumberFormat="1" applyFont="1" applyAlignment="1">
      <alignment horizontal="right"/>
    </xf>
    <xf numFmtId="0" fontId="16" fillId="0" borderId="0" xfId="14" applyFont="1" applyAlignment="1">
      <alignment horizontal="right" vertical="top" wrapText="1"/>
    </xf>
    <xf numFmtId="183" fontId="16" fillId="0" borderId="0" xfId="14" applyNumberFormat="1" applyFont="1" applyAlignment="1">
      <alignment horizontal="right" vertical="top" wrapText="1"/>
    </xf>
    <xf numFmtId="2" fontId="16" fillId="0" borderId="0" xfId="14" applyNumberFormat="1" applyFont="1" applyAlignment="1">
      <alignment horizontal="center"/>
    </xf>
    <xf numFmtId="0" fontId="16" fillId="0" borderId="0" xfId="14" applyFont="1" applyAlignment="1">
      <alignment horizontal="left"/>
    </xf>
    <xf numFmtId="0" fontId="16" fillId="0" borderId="0" xfId="14" applyFont="1" applyAlignment="1">
      <alignment horizontal="right" vertical="top"/>
    </xf>
    <xf numFmtId="2" fontId="16" fillId="0" borderId="0" xfId="14" applyNumberFormat="1" applyFont="1" applyAlignment="1">
      <alignment horizontal="right" vertical="top"/>
    </xf>
    <xf numFmtId="184" fontId="16" fillId="0" borderId="0" xfId="11" applyNumberFormat="1" applyFont="1" applyFill="1" applyBorder="1" applyAlignment="1">
      <alignment horizontal="center" vertical="top" wrapText="1"/>
    </xf>
    <xf numFmtId="0" fontId="16" fillId="0" borderId="0" xfId="14" applyFont="1" applyAlignment="1">
      <alignment horizontal="left" vertical="top" wrapText="1"/>
    </xf>
    <xf numFmtId="185" fontId="16" fillId="0" borderId="0" xfId="11" applyNumberFormat="1" applyFont="1" applyFill="1" applyBorder="1" applyAlignment="1">
      <alignment horizontal="right" vertical="top" wrapText="1"/>
    </xf>
    <xf numFmtId="2" fontId="16" fillId="0" borderId="0" xfId="14" applyNumberFormat="1" applyFont="1"/>
    <xf numFmtId="2" fontId="16" fillId="0" borderId="7" xfId="14" applyNumberFormat="1" applyFont="1" applyBorder="1" applyAlignment="1">
      <alignment vertical="top" wrapText="1"/>
    </xf>
    <xf numFmtId="164" fontId="16" fillId="0" borderId="7" xfId="11" applyFont="1" applyFill="1" applyBorder="1" applyAlignment="1"/>
    <xf numFmtId="4" fontId="16" fillId="0" borderId="7" xfId="14" applyNumberFormat="1" applyFont="1" applyBorder="1" applyAlignment="1">
      <alignment horizontal="center"/>
    </xf>
    <xf numFmtId="4" fontId="16" fillId="0" borderId="7" xfId="11" applyNumberFormat="1" applyFont="1" applyFill="1" applyBorder="1" applyAlignment="1">
      <alignment horizontal="center"/>
    </xf>
    <xf numFmtId="4" fontId="17" fillId="0" borderId="7" xfId="14" applyNumberFormat="1" applyFont="1" applyBorder="1" applyAlignment="1">
      <alignment horizontal="center" vertical="top" wrapText="1"/>
    </xf>
    <xf numFmtId="180" fontId="16" fillId="0" borderId="7" xfId="14" applyNumberFormat="1" applyFont="1" applyBorder="1" applyAlignment="1">
      <alignment vertical="center"/>
    </xf>
  </cellXfs>
  <cellStyles count="16">
    <cellStyle name="Comma 10" xfId="7" xr:uid="{9B73ACED-5AD5-4E50-8466-7F8817781D45}"/>
    <cellStyle name="Comma 2" xfId="6" xr:uid="{6B5F7595-C210-479C-BC2A-04628164B488}"/>
    <cellStyle name="Comma 2 2" xfId="11" xr:uid="{7272EFF9-C5D6-49C9-98A1-CB4A955F6182}"/>
    <cellStyle name="Normal" xfId="0" builtinId="0"/>
    <cellStyle name="Normal 2" xfId="2" xr:uid="{E3DE6312-8764-4B97-A2AE-A68FBAA3F6F0}"/>
    <cellStyle name="Normal 2 2" xfId="1" xr:uid="{00000000-0005-0000-0000-000001000000}"/>
    <cellStyle name="Normal 2 2 2" xfId="5" xr:uid="{74C44EFB-8664-4CF0-B7FD-57CEFF67984F}"/>
    <cellStyle name="Normal 2 2 3" xfId="10" xr:uid="{76A65933-86BF-4F50-A6D8-862565DC3602}"/>
    <cellStyle name="Normal 3" xfId="14" xr:uid="{2223FC7E-2AF9-4826-9B85-0E65918395F4}"/>
    <cellStyle name="Normal 4" xfId="3" xr:uid="{DDC41524-7BCD-4DE7-A19A-45B386B2D9A9}"/>
    <cellStyle name="Normal_Bonsaverportfolio 2 2" xfId="4" xr:uid="{8AB54102-457F-40B9-BF78-EF89CFEB9760}"/>
    <cellStyle name="Normal_Halfyearly_Debtholdings_30092011 2" xfId="8" xr:uid="{F851688C-D46D-49EB-8EB2-DFE07572E554}"/>
    <cellStyle name="Normal_Holdingotherschemes new" xfId="9" xr:uid="{EF888292-AF2E-4864-9882-E3AD54EE9C08}"/>
    <cellStyle name="Percent" xfId="13" builtinId="5"/>
    <cellStyle name="Percent 2" xfId="12" xr:uid="{6CDD5B4B-AB88-4886-957B-9BE0BD477A16}"/>
    <cellStyle name="Percent 3" xfId="15" xr:uid="{18ED94DA-C4F4-41C5-AE68-FFDDB3864F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457200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0095FC-4153-440F-84E7-E4F0BC663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3505200" cy="2019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457200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736C6F-6CA6-40F4-B6F1-5F2954BA0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3505200" cy="2019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457200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DFEB36-B07F-433F-99A0-968CB903E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3505200" cy="2019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457200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A29B6B-89E4-4E25-ACF9-C5A2D3377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3505200" cy="2019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457200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192E74-8D86-49EF-9DA9-82BF5ED0A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3505200" cy="20193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457200</xdr:colOff>
      <xdr:row>7</xdr:row>
      <xdr:rowOff>228600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2CA6F3-9F5B-4CB3-B49E-52DEBA392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3505200" cy="20193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457200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BB8-F44B-4B5D-9891-2B4E49797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3505200" cy="20193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457200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1143B6-0E15-40DC-A938-1047E40F6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3505200" cy="20193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457200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89BA1B-0CF7-484A-89A2-45A7740BB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3505200" cy="20193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457200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DC34A5-6924-4D3A-A22F-1C5BF47BD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3505200" cy="20193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457200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8969CC-E5DB-48C6-9EA2-293B71BAB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3505200" cy="20193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457200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7F3F4A-F3AE-4E5D-A3B5-5D6132C13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3505200" cy="20193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457200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3DDDAD-6427-455E-9AAF-3E411A184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3505200" cy="20193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457200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FA7341-9A35-4D53-9ED3-A4B55CC5D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3505200" cy="20193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457200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203C8F-6F3C-4465-82E4-EA3DE2F12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3505200" cy="20193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457200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118EE6-EC9C-4303-91A0-2D9144CF7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3505200" cy="20193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457200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333D92-974B-4BA2-868E-55E5E3EF0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3505200" cy="20193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457200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016320-F60A-4440-B99D-C58152C78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3505200" cy="20193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457200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86873A-A5B9-4A76-A96F-42F26F108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3505200" cy="20193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457200</xdr:colOff>
      <xdr:row>8</xdr:row>
      <xdr:rowOff>171450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F9304D-5E17-4CBF-A745-557EA59E0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3505200" cy="20193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457200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B3E1A7-FE81-4FBE-8094-ACACFCED0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3505200" cy="20193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457200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842013-A8ED-42A3-9B90-0D5DE2AEC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3505200" cy="20193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457200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1B6831-DB14-4F88-B70E-506D79FE1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3505200" cy="20193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457200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1DEA6-C3EB-48E5-912F-988E0646D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3505200" cy="20193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457200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930E1E-A183-4C90-A718-893520C3F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3505200" cy="20193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457200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B4953C-CFAE-4601-AE78-573C89E76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3505200" cy="20193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457200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EAE538-5E9F-4BB1-AE1F-B52EE7E1A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3505200" cy="20193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457200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6F2BFB-B1E7-492C-9EA2-58F5C5BFA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3505200" cy="201930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457200</xdr:colOff>
      <xdr:row>7</xdr:row>
      <xdr:rowOff>228600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D9DC4E-1B1A-4B29-B8CE-C3B6446A9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3505200" cy="20193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457200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F9FE9C-A310-499E-872B-EB065EF36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3505200" cy="20193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457200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FFD87D-2B1E-43CC-A69F-24DD6F81A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3505200" cy="20193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457200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829943-3BC6-483A-8628-CED50C72A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3505200" cy="20193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457200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1E677C-2307-4011-8EF4-71DDB4D2D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3505200" cy="201930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457200</xdr:colOff>
      <xdr:row>8</xdr:row>
      <xdr:rowOff>171450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97A87418-6161-49BB-9CFE-D7B7914E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72700" y="0"/>
          <a:ext cx="3505200" cy="201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457200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70C9E0-5CD3-42BE-B9F4-E8FE37BFF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3505200" cy="201930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457200</xdr:colOff>
      <xdr:row>8</xdr:row>
      <xdr:rowOff>171450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4493F13-130C-4CD0-AE19-55D872EC3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3505200" cy="201930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457200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0C42AE-41A0-455F-913B-747EBE171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3505200" cy="201930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457200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EB1DC7-D6BA-4D87-B9D4-D11A4DF6F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325" y="0"/>
          <a:ext cx="3505200" cy="201930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457200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8DEA7A-73ED-41F5-88D6-974076EBA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3505200" cy="201930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457200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D94160-816C-4A9F-9C49-3B092E854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3505200" cy="201930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457200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409CD3-8800-481C-B2F2-7A3487E4F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2700" y="0"/>
          <a:ext cx="3505200" cy="201930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457200</xdr:colOff>
      <xdr:row>8</xdr:row>
      <xdr:rowOff>171450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97682830-B213-4B06-9DE7-F349E4973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72700" y="0"/>
          <a:ext cx="3505200" cy="201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457200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5CEDE1-220D-45C0-BEF0-340AE1E63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25075" y="0"/>
          <a:ext cx="3505200" cy="201930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361950</xdr:colOff>
      <xdr:row>7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F6DB16-CEC5-4E4A-875D-0E0BF932B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2975" y="0"/>
          <a:ext cx="3505200" cy="201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45"/>
  <sheetViews>
    <sheetView tabSelected="1" workbookViewId="0">
      <pane ySplit="1" topLeftCell="A2" activePane="bottomLeft" state="frozen"/>
      <selection sqref="A1:H1"/>
      <selection pane="bottomLeft" activeCell="A2" sqref="A2"/>
    </sheetView>
  </sheetViews>
  <sheetFormatPr defaultColWidth="8.85546875" defaultRowHeight="15" x14ac:dyDescent="0.2"/>
  <cols>
    <col min="1" max="1" width="6" style="150" bestFit="1" customWidth="1"/>
    <col min="2" max="2" width="11.140625" style="153" bestFit="1" customWidth="1"/>
    <col min="3" max="3" width="56.42578125" style="153" bestFit="1" customWidth="1"/>
    <col min="4" max="16384" width="8.85546875" style="153"/>
  </cols>
  <sheetData>
    <row r="1" spans="1:3" s="150" customFormat="1" x14ac:dyDescent="0.2">
      <c r="A1" s="149" t="s">
        <v>734</v>
      </c>
      <c r="B1" s="141" t="s">
        <v>735</v>
      </c>
      <c r="C1" s="141" t="s">
        <v>736</v>
      </c>
    </row>
    <row r="2" spans="1:3" x14ac:dyDescent="0.2">
      <c r="A2" s="151">
        <v>1</v>
      </c>
      <c r="B2" s="152" t="s">
        <v>737</v>
      </c>
      <c r="C2" s="152" t="s">
        <v>1</v>
      </c>
    </row>
    <row r="3" spans="1:3" x14ac:dyDescent="0.2">
      <c r="A3" s="151">
        <v>2</v>
      </c>
      <c r="B3" s="152" t="s">
        <v>738</v>
      </c>
      <c r="C3" s="152" t="s">
        <v>143</v>
      </c>
    </row>
    <row r="4" spans="1:3" x14ac:dyDescent="0.2">
      <c r="A4" s="151">
        <v>3</v>
      </c>
      <c r="B4" s="152" t="s">
        <v>739</v>
      </c>
      <c r="C4" s="154" t="s">
        <v>277</v>
      </c>
    </row>
    <row r="5" spans="1:3" x14ac:dyDescent="0.2">
      <c r="A5" s="151">
        <v>4</v>
      </c>
      <c r="B5" s="152" t="s">
        <v>740</v>
      </c>
      <c r="C5" s="154" t="s">
        <v>280</v>
      </c>
    </row>
    <row r="6" spans="1:3" x14ac:dyDescent="0.2">
      <c r="A6" s="151">
        <v>5</v>
      </c>
      <c r="B6" s="152" t="s">
        <v>741</v>
      </c>
      <c r="C6" s="154" t="s">
        <v>281</v>
      </c>
    </row>
    <row r="7" spans="1:3" x14ac:dyDescent="0.2">
      <c r="A7" s="151">
        <v>6</v>
      </c>
      <c r="B7" s="152" t="s">
        <v>742</v>
      </c>
      <c r="C7" s="152" t="s">
        <v>286</v>
      </c>
    </row>
    <row r="8" spans="1:3" x14ac:dyDescent="0.2">
      <c r="A8" s="151">
        <v>7</v>
      </c>
      <c r="B8" s="152" t="s">
        <v>743</v>
      </c>
      <c r="C8" s="152" t="s">
        <v>392</v>
      </c>
    </row>
    <row r="9" spans="1:3" x14ac:dyDescent="0.2">
      <c r="A9" s="151">
        <v>8</v>
      </c>
      <c r="B9" s="152" t="s">
        <v>744</v>
      </c>
      <c r="C9" s="152" t="s">
        <v>745</v>
      </c>
    </row>
    <row r="10" spans="1:3" x14ac:dyDescent="0.2">
      <c r="A10" s="151">
        <v>9</v>
      </c>
      <c r="B10" s="152" t="s">
        <v>746</v>
      </c>
      <c r="C10" s="152" t="s">
        <v>747</v>
      </c>
    </row>
    <row r="11" spans="1:3" x14ac:dyDescent="0.2">
      <c r="A11" s="151">
        <v>10</v>
      </c>
      <c r="B11" s="152" t="s">
        <v>748</v>
      </c>
      <c r="C11" s="152" t="s">
        <v>439</v>
      </c>
    </row>
    <row r="12" spans="1:3" x14ac:dyDescent="0.2">
      <c r="A12" s="151">
        <v>11</v>
      </c>
      <c r="B12" s="152" t="s">
        <v>749</v>
      </c>
      <c r="C12" s="152" t="s">
        <v>459</v>
      </c>
    </row>
    <row r="13" spans="1:3" x14ac:dyDescent="0.2">
      <c r="A13" s="151">
        <v>12</v>
      </c>
      <c r="B13" s="152" t="s">
        <v>750</v>
      </c>
      <c r="C13" s="152" t="s">
        <v>460</v>
      </c>
    </row>
    <row r="14" spans="1:3" x14ac:dyDescent="0.2">
      <c r="A14" s="151">
        <v>13</v>
      </c>
      <c r="B14" s="152" t="s">
        <v>751</v>
      </c>
      <c r="C14" s="152" t="s">
        <v>463</v>
      </c>
    </row>
    <row r="15" spans="1:3" x14ac:dyDescent="0.2">
      <c r="A15" s="151">
        <v>14</v>
      </c>
      <c r="B15" s="152" t="s">
        <v>752</v>
      </c>
      <c r="C15" s="152" t="s">
        <v>464</v>
      </c>
    </row>
    <row r="16" spans="1:3" x14ac:dyDescent="0.2">
      <c r="A16" s="151">
        <v>15</v>
      </c>
      <c r="B16" s="154" t="s">
        <v>753</v>
      </c>
      <c r="C16" s="154" t="s">
        <v>465</v>
      </c>
    </row>
    <row r="17" spans="1:3" x14ac:dyDescent="0.2">
      <c r="A17" s="151">
        <v>16</v>
      </c>
      <c r="B17" s="154" t="s">
        <v>754</v>
      </c>
      <c r="C17" s="154" t="s">
        <v>466</v>
      </c>
    </row>
    <row r="18" spans="1:3" x14ac:dyDescent="0.2">
      <c r="A18" s="151">
        <v>17</v>
      </c>
      <c r="B18" s="154" t="s">
        <v>755</v>
      </c>
      <c r="C18" s="154" t="s">
        <v>486</v>
      </c>
    </row>
    <row r="19" spans="1:3" x14ac:dyDescent="0.2">
      <c r="A19" s="151">
        <v>18</v>
      </c>
      <c r="B19" s="154" t="s">
        <v>756</v>
      </c>
      <c r="C19" s="154" t="s">
        <v>757</v>
      </c>
    </row>
    <row r="20" spans="1:3" x14ac:dyDescent="0.2">
      <c r="A20" s="151">
        <v>19</v>
      </c>
      <c r="B20" s="154" t="s">
        <v>758</v>
      </c>
      <c r="C20" s="154" t="s">
        <v>759</v>
      </c>
    </row>
    <row r="21" spans="1:3" x14ac:dyDescent="0.2">
      <c r="A21" s="151">
        <v>20</v>
      </c>
      <c r="B21" s="154" t="s">
        <v>760</v>
      </c>
      <c r="C21" s="154" t="s">
        <v>761</v>
      </c>
    </row>
    <row r="22" spans="1:3" x14ac:dyDescent="0.2">
      <c r="A22" s="151">
        <v>21</v>
      </c>
      <c r="B22" s="154" t="s">
        <v>762</v>
      </c>
      <c r="C22" s="154" t="s">
        <v>763</v>
      </c>
    </row>
    <row r="23" spans="1:3" x14ac:dyDescent="0.2">
      <c r="A23" s="151">
        <v>22</v>
      </c>
      <c r="B23" s="154" t="s">
        <v>764</v>
      </c>
      <c r="C23" s="154" t="s">
        <v>499</v>
      </c>
    </row>
    <row r="24" spans="1:3" x14ac:dyDescent="0.2">
      <c r="A24" s="151">
        <v>23</v>
      </c>
      <c r="B24" s="154" t="s">
        <v>765</v>
      </c>
      <c r="C24" s="154" t="s">
        <v>500</v>
      </c>
    </row>
    <row r="25" spans="1:3" x14ac:dyDescent="0.2">
      <c r="A25" s="151">
        <v>24</v>
      </c>
      <c r="B25" s="154" t="s">
        <v>766</v>
      </c>
      <c r="C25" s="154" t="s">
        <v>501</v>
      </c>
    </row>
    <row r="26" spans="1:3" x14ac:dyDescent="0.2">
      <c r="A26" s="151">
        <v>25</v>
      </c>
      <c r="B26" s="154" t="s">
        <v>767</v>
      </c>
      <c r="C26" s="154" t="s">
        <v>502</v>
      </c>
    </row>
    <row r="27" spans="1:3" x14ac:dyDescent="0.2">
      <c r="A27" s="151">
        <v>26</v>
      </c>
      <c r="B27" s="154" t="s">
        <v>768</v>
      </c>
      <c r="C27" s="154" t="s">
        <v>503</v>
      </c>
    </row>
    <row r="28" spans="1:3" x14ac:dyDescent="0.2">
      <c r="A28" s="151">
        <v>27</v>
      </c>
      <c r="B28" s="154" t="s">
        <v>769</v>
      </c>
      <c r="C28" s="154" t="s">
        <v>522</v>
      </c>
    </row>
    <row r="29" spans="1:3" x14ac:dyDescent="0.2">
      <c r="A29" s="151">
        <v>28</v>
      </c>
      <c r="B29" s="154" t="s">
        <v>770</v>
      </c>
      <c r="C29" s="154" t="s">
        <v>523</v>
      </c>
    </row>
    <row r="30" spans="1:3" x14ac:dyDescent="0.2">
      <c r="A30" s="151">
        <v>29</v>
      </c>
      <c r="B30" s="154" t="s">
        <v>771</v>
      </c>
      <c r="C30" s="154" t="s">
        <v>772</v>
      </c>
    </row>
    <row r="31" spans="1:3" x14ac:dyDescent="0.2">
      <c r="A31" s="151">
        <v>30</v>
      </c>
      <c r="B31" s="154" t="s">
        <v>773</v>
      </c>
      <c r="C31" s="154" t="s">
        <v>774</v>
      </c>
    </row>
    <row r="32" spans="1:3" x14ac:dyDescent="0.2">
      <c r="A32" s="151">
        <v>31</v>
      </c>
      <c r="B32" s="154" t="s">
        <v>775</v>
      </c>
      <c r="C32" s="154" t="s">
        <v>776</v>
      </c>
    </row>
    <row r="33" spans="1:3" x14ac:dyDescent="0.2">
      <c r="A33" s="151">
        <v>32</v>
      </c>
      <c r="B33" s="154" t="s">
        <v>777</v>
      </c>
      <c r="C33" s="154" t="s">
        <v>686</v>
      </c>
    </row>
    <row r="34" spans="1:3" x14ac:dyDescent="0.2">
      <c r="A34" s="151">
        <v>33</v>
      </c>
      <c r="B34" s="154" t="s">
        <v>778</v>
      </c>
      <c r="C34" s="154" t="s">
        <v>687</v>
      </c>
    </row>
    <row r="35" spans="1:3" x14ac:dyDescent="0.2">
      <c r="A35" s="151">
        <v>34</v>
      </c>
      <c r="B35" s="154" t="s">
        <v>779</v>
      </c>
      <c r="C35" s="154" t="s">
        <v>780</v>
      </c>
    </row>
    <row r="36" spans="1:3" x14ac:dyDescent="0.2">
      <c r="A36" s="151">
        <v>35</v>
      </c>
      <c r="B36" s="154" t="s">
        <v>781</v>
      </c>
      <c r="C36" s="154" t="s">
        <v>782</v>
      </c>
    </row>
    <row r="37" spans="1:3" x14ac:dyDescent="0.2">
      <c r="A37" s="151">
        <v>36</v>
      </c>
      <c r="B37" s="154" t="s">
        <v>783</v>
      </c>
      <c r="C37" s="154" t="s">
        <v>691</v>
      </c>
    </row>
    <row r="38" spans="1:3" x14ac:dyDescent="0.2">
      <c r="A38" s="151">
        <v>37</v>
      </c>
      <c r="B38" s="154" t="s">
        <v>784</v>
      </c>
      <c r="C38" s="154" t="s">
        <v>693</v>
      </c>
    </row>
    <row r="39" spans="1:3" x14ac:dyDescent="0.2">
      <c r="A39" s="151">
        <v>38</v>
      </c>
      <c r="B39" s="154" t="s">
        <v>785</v>
      </c>
      <c r="C39" s="154" t="s">
        <v>701</v>
      </c>
    </row>
    <row r="40" spans="1:3" x14ac:dyDescent="0.2">
      <c r="A40" s="151">
        <v>39</v>
      </c>
      <c r="B40" s="154" t="s">
        <v>786</v>
      </c>
      <c r="C40" s="154" t="s">
        <v>713</v>
      </c>
    </row>
    <row r="41" spans="1:3" x14ac:dyDescent="0.2">
      <c r="A41" s="151">
        <v>40</v>
      </c>
      <c r="B41" s="154" t="s">
        <v>787</v>
      </c>
      <c r="C41" s="154" t="s">
        <v>718</v>
      </c>
    </row>
    <row r="42" spans="1:3" x14ac:dyDescent="0.2">
      <c r="A42" s="151">
        <v>41</v>
      </c>
      <c r="B42" s="154" t="s">
        <v>788</v>
      </c>
      <c r="C42" s="154" t="s">
        <v>719</v>
      </c>
    </row>
    <row r="43" spans="1:3" x14ac:dyDescent="0.2">
      <c r="A43" s="151">
        <v>42</v>
      </c>
      <c r="B43" s="154" t="s">
        <v>789</v>
      </c>
      <c r="C43" s="154" t="s">
        <v>732</v>
      </c>
    </row>
    <row r="44" spans="1:3" x14ac:dyDescent="0.2">
      <c r="A44" s="151">
        <v>43</v>
      </c>
      <c r="B44" s="154" t="s">
        <v>790</v>
      </c>
      <c r="C44" s="154" t="s">
        <v>733</v>
      </c>
    </row>
    <row r="45" spans="1:3" x14ac:dyDescent="0.2">
      <c r="A45" s="151">
        <v>44</v>
      </c>
      <c r="B45" s="154" t="s">
        <v>791</v>
      </c>
      <c r="C45" s="154" t="s">
        <v>792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H131"/>
  <sheetViews>
    <sheetView showGridLines="0" workbookViewId="0">
      <selection sqref="A1:H1"/>
    </sheetView>
  </sheetViews>
  <sheetFormatPr defaultRowHeight="15" x14ac:dyDescent="0.2"/>
  <cols>
    <col min="1" max="1" width="6.85546875" style="155" customWidth="1"/>
    <col min="2" max="2" width="20.5703125" style="155" customWidth="1"/>
    <col min="3" max="3" width="34.28515625" style="155" customWidth="1"/>
    <col min="4" max="4" width="17.85546875" style="155" customWidth="1"/>
    <col min="5" max="6" width="19.140625" style="155" customWidth="1"/>
    <col min="7" max="7" width="16.42578125" style="155" customWidth="1"/>
    <col min="8" max="16384" width="9.140625" style="155"/>
  </cols>
  <sheetData>
    <row r="1" spans="1:8" x14ac:dyDescent="0.2">
      <c r="A1" s="250" t="s">
        <v>0</v>
      </c>
      <c r="B1" s="250"/>
      <c r="C1" s="250"/>
      <c r="D1" s="250"/>
      <c r="E1" s="250"/>
      <c r="F1" s="250"/>
      <c r="G1" s="250"/>
      <c r="H1" s="250"/>
    </row>
    <row r="2" spans="1:8" x14ac:dyDescent="0.2">
      <c r="A2" s="251" t="s">
        <v>1</v>
      </c>
      <c r="B2" s="252"/>
      <c r="C2" s="252"/>
      <c r="D2" s="252"/>
      <c r="E2" s="252"/>
      <c r="F2" s="252"/>
      <c r="G2" s="252"/>
      <c r="H2" s="253"/>
    </row>
    <row r="3" spans="1:8" x14ac:dyDescent="0.2">
      <c r="A3" s="250" t="s">
        <v>1015</v>
      </c>
      <c r="B3" s="250"/>
      <c r="C3" s="250"/>
      <c r="D3" s="250"/>
      <c r="E3" s="250"/>
      <c r="F3" s="250"/>
      <c r="G3" s="250"/>
      <c r="H3" s="250"/>
    </row>
    <row r="4" spans="1:8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60" t="s">
        <v>6</v>
      </c>
      <c r="F4" s="160" t="s">
        <v>7</v>
      </c>
      <c r="G4" s="160" t="s">
        <v>8</v>
      </c>
      <c r="H4" s="161" t="s">
        <v>909</v>
      </c>
    </row>
    <row r="5" spans="1:8" x14ac:dyDescent="0.2">
      <c r="A5" s="15" t="s">
        <v>9</v>
      </c>
      <c r="B5" s="15" t="s">
        <v>9</v>
      </c>
      <c r="C5" s="3" t="s">
        <v>10</v>
      </c>
      <c r="D5" s="15" t="s">
        <v>9</v>
      </c>
      <c r="E5" s="15" t="s">
        <v>9</v>
      </c>
      <c r="F5" s="15" t="s">
        <v>9</v>
      </c>
      <c r="G5" s="15" t="s">
        <v>9</v>
      </c>
      <c r="H5" s="100"/>
    </row>
    <row r="6" spans="1:8" ht="25.5" x14ac:dyDescent="0.2">
      <c r="A6" s="15" t="s">
        <v>9</v>
      </c>
      <c r="B6" s="15" t="s">
        <v>9</v>
      </c>
      <c r="C6" s="3" t="s">
        <v>11</v>
      </c>
      <c r="D6" s="15" t="s">
        <v>9</v>
      </c>
      <c r="E6" s="15" t="s">
        <v>9</v>
      </c>
      <c r="F6" s="15" t="s">
        <v>9</v>
      </c>
      <c r="G6" s="15" t="s">
        <v>9</v>
      </c>
      <c r="H6" s="100"/>
    </row>
    <row r="7" spans="1:8" x14ac:dyDescent="0.2">
      <c r="A7" s="4">
        <v>1</v>
      </c>
      <c r="B7" s="5" t="s">
        <v>12</v>
      </c>
      <c r="C7" s="5" t="s">
        <v>13</v>
      </c>
      <c r="D7" s="5" t="s">
        <v>14</v>
      </c>
      <c r="E7" s="6">
        <v>321736</v>
      </c>
      <c r="F7" s="7">
        <v>4312.710212</v>
      </c>
      <c r="G7" s="8">
        <v>7.8914438000000003E-2</v>
      </c>
      <c r="H7" s="100"/>
    </row>
    <row r="8" spans="1:8" x14ac:dyDescent="0.2">
      <c r="A8" s="4">
        <v>2</v>
      </c>
      <c r="B8" s="5" t="s">
        <v>15</v>
      </c>
      <c r="C8" s="5" t="s">
        <v>16</v>
      </c>
      <c r="D8" s="5" t="s">
        <v>17</v>
      </c>
      <c r="E8" s="6">
        <v>206442</v>
      </c>
      <c r="F8" s="7">
        <v>4117.4856900000004</v>
      </c>
      <c r="G8" s="8">
        <v>7.5342197999999999E-2</v>
      </c>
      <c r="H8" s="100"/>
    </row>
    <row r="9" spans="1:8" ht="25.5" x14ac:dyDescent="0.2">
      <c r="A9" s="4">
        <v>3</v>
      </c>
      <c r="B9" s="5" t="s">
        <v>18</v>
      </c>
      <c r="C9" s="5" t="s">
        <v>19</v>
      </c>
      <c r="D9" s="5" t="s">
        <v>1001</v>
      </c>
      <c r="E9" s="6">
        <v>362486</v>
      </c>
      <c r="F9" s="7">
        <v>3572.2995299999998</v>
      </c>
      <c r="G9" s="8">
        <v>6.5366323000000004E-2</v>
      </c>
      <c r="H9" s="100"/>
    </row>
    <row r="10" spans="1:8" x14ac:dyDescent="0.2">
      <c r="A10" s="4">
        <v>4</v>
      </c>
      <c r="B10" s="5" t="s">
        <v>20</v>
      </c>
      <c r="C10" s="5" t="s">
        <v>21</v>
      </c>
      <c r="D10" s="5" t="s">
        <v>22</v>
      </c>
      <c r="E10" s="6">
        <v>498729</v>
      </c>
      <c r="F10" s="7">
        <v>2994.8676449999998</v>
      </c>
      <c r="G10" s="8">
        <v>5.4800412E-2</v>
      </c>
      <c r="H10" s="100"/>
    </row>
    <row r="11" spans="1:8" ht="25.5" x14ac:dyDescent="0.2">
      <c r="A11" s="4">
        <v>5</v>
      </c>
      <c r="B11" s="5" t="s">
        <v>23</v>
      </c>
      <c r="C11" s="5" t="s">
        <v>24</v>
      </c>
      <c r="D11" s="5" t="s">
        <v>25</v>
      </c>
      <c r="E11" s="6">
        <v>1116811</v>
      </c>
      <c r="F11" s="7">
        <v>2620.5970115</v>
      </c>
      <c r="G11" s="8">
        <v>4.7951966999999998E-2</v>
      </c>
      <c r="H11" s="100"/>
    </row>
    <row r="12" spans="1:8" x14ac:dyDescent="0.2">
      <c r="A12" s="4">
        <v>6</v>
      </c>
      <c r="B12" s="5" t="s">
        <v>26</v>
      </c>
      <c r="C12" s="5" t="s">
        <v>27</v>
      </c>
      <c r="D12" s="5" t="s">
        <v>28</v>
      </c>
      <c r="E12" s="6">
        <v>232062</v>
      </c>
      <c r="F12" s="7">
        <v>2125.4558579999998</v>
      </c>
      <c r="G12" s="8">
        <v>3.8891821E-2</v>
      </c>
      <c r="H12" s="100"/>
    </row>
    <row r="13" spans="1:8" x14ac:dyDescent="0.2">
      <c r="A13" s="4">
        <v>7</v>
      </c>
      <c r="B13" s="5" t="s">
        <v>29</v>
      </c>
      <c r="C13" s="5" t="s">
        <v>30</v>
      </c>
      <c r="D13" s="5" t="s">
        <v>31</v>
      </c>
      <c r="E13" s="6">
        <v>380000</v>
      </c>
      <c r="F13" s="7">
        <v>2039.65</v>
      </c>
      <c r="G13" s="8">
        <v>3.7321736000000001E-2</v>
      </c>
      <c r="H13" s="100"/>
    </row>
    <row r="14" spans="1:8" ht="25.5" x14ac:dyDescent="0.2">
      <c r="A14" s="4">
        <v>8</v>
      </c>
      <c r="B14" s="5" t="s">
        <v>32</v>
      </c>
      <c r="C14" s="5" t="s">
        <v>33</v>
      </c>
      <c r="D14" s="5" t="s">
        <v>25</v>
      </c>
      <c r="E14" s="6">
        <v>4685</v>
      </c>
      <c r="F14" s="7">
        <v>2019.9354075000001</v>
      </c>
      <c r="G14" s="8">
        <v>3.6960996000000003E-2</v>
      </c>
      <c r="H14" s="100"/>
    </row>
    <row r="15" spans="1:8" ht="25.5" x14ac:dyDescent="0.2">
      <c r="A15" s="4">
        <v>9</v>
      </c>
      <c r="B15" s="5" t="s">
        <v>34</v>
      </c>
      <c r="C15" s="5" t="s">
        <v>35</v>
      </c>
      <c r="D15" s="5" t="s">
        <v>1001</v>
      </c>
      <c r="E15" s="6">
        <v>70820</v>
      </c>
      <c r="F15" s="7">
        <v>1987.4924799999999</v>
      </c>
      <c r="G15" s="8">
        <v>3.6367351999999999E-2</v>
      </c>
      <c r="H15" s="100"/>
    </row>
    <row r="16" spans="1:8" x14ac:dyDescent="0.2">
      <c r="A16" s="4">
        <v>10</v>
      </c>
      <c r="B16" s="5" t="s">
        <v>36</v>
      </c>
      <c r="C16" s="5" t="s">
        <v>37</v>
      </c>
      <c r="D16" s="5" t="s">
        <v>38</v>
      </c>
      <c r="E16" s="6">
        <v>793635</v>
      </c>
      <c r="F16" s="7">
        <v>1987.2620400000001</v>
      </c>
      <c r="G16" s="8">
        <v>3.6363135999999997E-2</v>
      </c>
      <c r="H16" s="100"/>
    </row>
    <row r="17" spans="1:8" ht="25.5" x14ac:dyDescent="0.2">
      <c r="A17" s="4">
        <v>11</v>
      </c>
      <c r="B17" s="5" t="s">
        <v>39</v>
      </c>
      <c r="C17" s="5" t="s">
        <v>941</v>
      </c>
      <c r="D17" s="5" t="s">
        <v>1001</v>
      </c>
      <c r="E17" s="6">
        <v>28500</v>
      </c>
      <c r="F17" s="7">
        <v>1789.5007499999999</v>
      </c>
      <c r="G17" s="8">
        <v>3.2744478E-2</v>
      </c>
      <c r="H17" s="100"/>
    </row>
    <row r="18" spans="1:8" x14ac:dyDescent="0.2">
      <c r="A18" s="4">
        <v>12</v>
      </c>
      <c r="B18" s="5" t="s">
        <v>41</v>
      </c>
      <c r="C18" s="5" t="s">
        <v>42</v>
      </c>
      <c r="D18" s="5" t="s">
        <v>28</v>
      </c>
      <c r="E18" s="6">
        <v>118332</v>
      </c>
      <c r="F18" s="7">
        <v>1735.9896060000001</v>
      </c>
      <c r="G18" s="8">
        <v>3.1765324999999997E-2</v>
      </c>
      <c r="H18" s="100"/>
    </row>
    <row r="19" spans="1:8" x14ac:dyDescent="0.2">
      <c r="A19" s="4">
        <v>13</v>
      </c>
      <c r="B19" s="5" t="s">
        <v>43</v>
      </c>
      <c r="C19" s="5" t="s">
        <v>44</v>
      </c>
      <c r="D19" s="5" t="s">
        <v>28</v>
      </c>
      <c r="E19" s="6">
        <v>86944</v>
      </c>
      <c r="F19" s="7">
        <v>1549.0377759999999</v>
      </c>
      <c r="G19" s="8">
        <v>2.8344461000000001E-2</v>
      </c>
      <c r="H19" s="100"/>
    </row>
    <row r="20" spans="1:8" x14ac:dyDescent="0.2">
      <c r="A20" s="4">
        <v>14</v>
      </c>
      <c r="B20" s="5" t="s">
        <v>45</v>
      </c>
      <c r="C20" s="5" t="s">
        <v>46</v>
      </c>
      <c r="D20" s="5" t="s">
        <v>47</v>
      </c>
      <c r="E20" s="6">
        <v>1250000</v>
      </c>
      <c r="F20" s="7">
        <v>1493.75</v>
      </c>
      <c r="G20" s="8">
        <v>2.7332799000000001E-2</v>
      </c>
      <c r="H20" s="100"/>
    </row>
    <row r="21" spans="1:8" x14ac:dyDescent="0.2">
      <c r="A21" s="4">
        <v>15</v>
      </c>
      <c r="B21" s="5" t="s">
        <v>48</v>
      </c>
      <c r="C21" s="5" t="s">
        <v>49</v>
      </c>
      <c r="D21" s="5" t="s">
        <v>28</v>
      </c>
      <c r="E21" s="6">
        <v>99055</v>
      </c>
      <c r="F21" s="7">
        <v>1390.8807824999999</v>
      </c>
      <c r="G21" s="8">
        <v>2.5450487000000001E-2</v>
      </c>
      <c r="H21" s="100"/>
    </row>
    <row r="22" spans="1:8" x14ac:dyDescent="0.2">
      <c r="A22" s="4">
        <v>16</v>
      </c>
      <c r="B22" s="5" t="s">
        <v>50</v>
      </c>
      <c r="C22" s="5" t="s">
        <v>51</v>
      </c>
      <c r="D22" s="5" t="s">
        <v>28</v>
      </c>
      <c r="E22" s="6">
        <v>152664</v>
      </c>
      <c r="F22" s="7">
        <v>1350.236748</v>
      </c>
      <c r="G22" s="8">
        <v>2.4706777999999999E-2</v>
      </c>
      <c r="H22" s="100"/>
    </row>
    <row r="23" spans="1:8" x14ac:dyDescent="0.2">
      <c r="A23" s="4">
        <v>17</v>
      </c>
      <c r="B23" s="5" t="s">
        <v>52</v>
      </c>
      <c r="C23" s="5" t="s">
        <v>931</v>
      </c>
      <c r="D23" s="5" t="s">
        <v>53</v>
      </c>
      <c r="E23" s="6">
        <v>1356087</v>
      </c>
      <c r="F23" s="7">
        <v>1340.4919995</v>
      </c>
      <c r="G23" s="8">
        <v>2.4528468000000001E-2</v>
      </c>
      <c r="H23" s="100"/>
    </row>
    <row r="24" spans="1:8" x14ac:dyDescent="0.2">
      <c r="A24" s="4">
        <v>18</v>
      </c>
      <c r="B24" s="5" t="s">
        <v>54</v>
      </c>
      <c r="C24" s="5" t="s">
        <v>55</v>
      </c>
      <c r="D24" s="5" t="s">
        <v>22</v>
      </c>
      <c r="E24" s="6">
        <v>90000</v>
      </c>
      <c r="F24" s="7">
        <v>1271.07</v>
      </c>
      <c r="G24" s="8">
        <v>2.3258175999999998E-2</v>
      </c>
      <c r="H24" s="100"/>
    </row>
    <row r="25" spans="1:8" x14ac:dyDescent="0.2">
      <c r="A25" s="4">
        <v>19</v>
      </c>
      <c r="B25" s="5" t="s">
        <v>56</v>
      </c>
      <c r="C25" s="5" t="s">
        <v>57</v>
      </c>
      <c r="D25" s="5" t="s">
        <v>58</v>
      </c>
      <c r="E25" s="6">
        <v>40750</v>
      </c>
      <c r="F25" s="7">
        <v>1262.9647500000001</v>
      </c>
      <c r="G25" s="8">
        <v>2.3109866E-2</v>
      </c>
      <c r="H25" s="100"/>
    </row>
    <row r="26" spans="1:8" x14ac:dyDescent="0.2">
      <c r="A26" s="4">
        <v>20</v>
      </c>
      <c r="B26" s="5" t="s">
        <v>59</v>
      </c>
      <c r="C26" s="5" t="s">
        <v>60</v>
      </c>
      <c r="D26" s="5" t="s">
        <v>38</v>
      </c>
      <c r="E26" s="6">
        <v>615245</v>
      </c>
      <c r="F26" s="7">
        <v>1166.8121424999999</v>
      </c>
      <c r="G26" s="8">
        <v>2.1350455000000001E-2</v>
      </c>
      <c r="H26" s="100"/>
    </row>
    <row r="27" spans="1:8" x14ac:dyDescent="0.2">
      <c r="A27" s="4">
        <v>21</v>
      </c>
      <c r="B27" s="5" t="s">
        <v>61</v>
      </c>
      <c r="C27" s="5" t="s">
        <v>62</v>
      </c>
      <c r="D27" s="5" t="s">
        <v>63</v>
      </c>
      <c r="E27" s="6">
        <v>208993</v>
      </c>
      <c r="F27" s="7">
        <v>1116.2316129999999</v>
      </c>
      <c r="G27" s="8">
        <v>2.0424926999999999E-2</v>
      </c>
      <c r="H27" s="100"/>
    </row>
    <row r="28" spans="1:8" x14ac:dyDescent="0.2">
      <c r="A28" s="4">
        <v>22</v>
      </c>
      <c r="B28" s="5" t="s">
        <v>64</v>
      </c>
      <c r="C28" s="5" t="s">
        <v>65</v>
      </c>
      <c r="D28" s="5" t="s">
        <v>1002</v>
      </c>
      <c r="E28" s="6">
        <v>964843</v>
      </c>
      <c r="F28" s="7">
        <v>1114.8760864999999</v>
      </c>
      <c r="G28" s="8">
        <v>2.0400122999999999E-2</v>
      </c>
      <c r="H28" s="100"/>
    </row>
    <row r="29" spans="1:8" ht="25.5" x14ac:dyDescent="0.2">
      <c r="A29" s="4">
        <v>23</v>
      </c>
      <c r="B29" s="5" t="s">
        <v>67</v>
      </c>
      <c r="C29" s="5" t="s">
        <v>929</v>
      </c>
      <c r="D29" s="5" t="s">
        <v>25</v>
      </c>
      <c r="E29" s="6">
        <v>205886</v>
      </c>
      <c r="F29" s="7">
        <v>1109.5196539999999</v>
      </c>
      <c r="G29" s="8">
        <v>2.0302111000000001E-2</v>
      </c>
      <c r="H29" s="100"/>
    </row>
    <row r="30" spans="1:8" x14ac:dyDescent="0.2">
      <c r="A30" s="4">
        <v>24</v>
      </c>
      <c r="B30" s="5" t="s">
        <v>69</v>
      </c>
      <c r="C30" s="5" t="s">
        <v>70</v>
      </c>
      <c r="D30" s="5" t="s">
        <v>17</v>
      </c>
      <c r="E30" s="6">
        <v>260339</v>
      </c>
      <c r="F30" s="7">
        <v>1098.1099019999999</v>
      </c>
      <c r="G30" s="8">
        <v>2.0093334000000001E-2</v>
      </c>
      <c r="H30" s="100"/>
    </row>
    <row r="31" spans="1:8" ht="25.5" x14ac:dyDescent="0.2">
      <c r="A31" s="4">
        <v>25</v>
      </c>
      <c r="B31" s="5" t="s">
        <v>71</v>
      </c>
      <c r="C31" s="5" t="s">
        <v>72</v>
      </c>
      <c r="D31" s="5" t="s">
        <v>73</v>
      </c>
      <c r="E31" s="6">
        <v>187344</v>
      </c>
      <c r="F31" s="7">
        <v>1041.16428</v>
      </c>
      <c r="G31" s="8">
        <v>1.9051337000000002E-2</v>
      </c>
      <c r="H31" s="100"/>
    </row>
    <row r="32" spans="1:8" ht="25.5" x14ac:dyDescent="0.2">
      <c r="A32" s="4">
        <v>26</v>
      </c>
      <c r="B32" s="5" t="s">
        <v>74</v>
      </c>
      <c r="C32" s="5" t="s">
        <v>75</v>
      </c>
      <c r="D32" s="5" t="s">
        <v>25</v>
      </c>
      <c r="E32" s="6">
        <v>23847</v>
      </c>
      <c r="F32" s="7">
        <v>990.79515600000002</v>
      </c>
      <c r="G32" s="8">
        <v>1.8129677E-2</v>
      </c>
      <c r="H32" s="100"/>
    </row>
    <row r="33" spans="1:8" x14ac:dyDescent="0.2">
      <c r="A33" s="4">
        <v>27</v>
      </c>
      <c r="B33" s="5" t="s">
        <v>76</v>
      </c>
      <c r="C33" s="5" t="s">
        <v>77</v>
      </c>
      <c r="D33" s="5" t="s">
        <v>78</v>
      </c>
      <c r="E33" s="6">
        <v>716249</v>
      </c>
      <c r="F33" s="7">
        <v>982.69362799999999</v>
      </c>
      <c r="G33" s="8">
        <v>1.7981434000000001E-2</v>
      </c>
      <c r="H33" s="100"/>
    </row>
    <row r="34" spans="1:8" ht="25.5" x14ac:dyDescent="0.2">
      <c r="A34" s="4">
        <v>28</v>
      </c>
      <c r="B34" s="5" t="s">
        <v>79</v>
      </c>
      <c r="C34" s="5" t="s">
        <v>80</v>
      </c>
      <c r="D34" s="5" t="s">
        <v>25</v>
      </c>
      <c r="E34" s="6">
        <v>483281</v>
      </c>
      <c r="F34" s="7">
        <v>773.00795949999997</v>
      </c>
      <c r="G34" s="8">
        <v>1.4144583000000001E-2</v>
      </c>
      <c r="H34" s="100"/>
    </row>
    <row r="35" spans="1:8" x14ac:dyDescent="0.2">
      <c r="A35" s="4">
        <v>29</v>
      </c>
      <c r="B35" s="5" t="s">
        <v>81</v>
      </c>
      <c r="C35" s="5" t="s">
        <v>82</v>
      </c>
      <c r="D35" s="5" t="s">
        <v>14</v>
      </c>
      <c r="E35" s="6">
        <v>948975</v>
      </c>
      <c r="F35" s="7">
        <v>708.40983749999998</v>
      </c>
      <c r="G35" s="8">
        <v>1.296256E-2</v>
      </c>
      <c r="H35" s="100"/>
    </row>
    <row r="36" spans="1:8" x14ac:dyDescent="0.2">
      <c r="A36" s="4">
        <v>30</v>
      </c>
      <c r="B36" s="5" t="s">
        <v>83</v>
      </c>
      <c r="C36" s="5" t="s">
        <v>84</v>
      </c>
      <c r="D36" s="5" t="s">
        <v>28</v>
      </c>
      <c r="E36" s="6">
        <v>62906</v>
      </c>
      <c r="F36" s="7">
        <v>526.90065600000003</v>
      </c>
      <c r="G36" s="8">
        <v>9.6412849999999994E-3</v>
      </c>
      <c r="H36" s="100"/>
    </row>
    <row r="37" spans="1:8" x14ac:dyDescent="0.2">
      <c r="A37" s="4">
        <v>31</v>
      </c>
      <c r="B37" s="5" t="s">
        <v>85</v>
      </c>
      <c r="C37" s="5" t="s">
        <v>86</v>
      </c>
      <c r="D37" s="5" t="s">
        <v>78</v>
      </c>
      <c r="E37" s="6">
        <v>199331</v>
      </c>
      <c r="F37" s="7">
        <v>478.2947345</v>
      </c>
      <c r="G37" s="8">
        <v>8.7518890000000005E-3</v>
      </c>
      <c r="H37" s="100"/>
    </row>
    <row r="38" spans="1:8" ht="25.5" x14ac:dyDescent="0.2">
      <c r="A38" s="4">
        <v>32</v>
      </c>
      <c r="B38" s="5" t="s">
        <v>87</v>
      </c>
      <c r="C38" s="5" t="s">
        <v>88</v>
      </c>
      <c r="D38" s="5" t="s">
        <v>63</v>
      </c>
      <c r="E38" s="6">
        <v>57455</v>
      </c>
      <c r="F38" s="7">
        <v>419.45022749999998</v>
      </c>
      <c r="G38" s="8">
        <v>7.6751459999999999E-3</v>
      </c>
      <c r="H38" s="100"/>
    </row>
    <row r="39" spans="1:8" x14ac:dyDescent="0.2">
      <c r="A39" s="4">
        <v>33</v>
      </c>
      <c r="B39" s="5" t="s">
        <v>89</v>
      </c>
      <c r="C39" s="5" t="s">
        <v>90</v>
      </c>
      <c r="D39" s="5" t="s">
        <v>91</v>
      </c>
      <c r="E39" s="6">
        <v>350000</v>
      </c>
      <c r="F39" s="7">
        <v>394.45</v>
      </c>
      <c r="G39" s="8">
        <v>7.2176890000000002E-3</v>
      </c>
      <c r="H39" s="100"/>
    </row>
    <row r="40" spans="1:8" x14ac:dyDescent="0.2">
      <c r="A40" s="4">
        <v>34</v>
      </c>
      <c r="B40" s="5" t="s">
        <v>92</v>
      </c>
      <c r="C40" s="5" t="s">
        <v>93</v>
      </c>
      <c r="D40" s="5" t="s">
        <v>38</v>
      </c>
      <c r="E40" s="6">
        <v>397500</v>
      </c>
      <c r="F40" s="7">
        <v>241.48124999999999</v>
      </c>
      <c r="G40" s="8">
        <v>4.4186499999999997E-3</v>
      </c>
      <c r="H40" s="100"/>
    </row>
    <row r="41" spans="1:8" x14ac:dyDescent="0.2">
      <c r="A41" s="15" t="s">
        <v>9</v>
      </c>
      <c r="B41" s="15" t="s">
        <v>9</v>
      </c>
      <c r="C41" s="3" t="s">
        <v>94</v>
      </c>
      <c r="D41" s="15" t="s">
        <v>9</v>
      </c>
      <c r="E41" s="15" t="s">
        <v>9</v>
      </c>
      <c r="F41" s="9">
        <v>53123.875413000002</v>
      </c>
      <c r="G41" s="10">
        <v>0.97206641699999996</v>
      </c>
      <c r="H41" s="100"/>
    </row>
    <row r="42" spans="1:8" x14ac:dyDescent="0.2">
      <c r="A42" s="15" t="s">
        <v>9</v>
      </c>
      <c r="B42" s="15" t="s">
        <v>9</v>
      </c>
      <c r="C42" s="11" t="s">
        <v>9</v>
      </c>
      <c r="D42" s="15" t="s">
        <v>9</v>
      </c>
      <c r="E42" s="15" t="s">
        <v>9</v>
      </c>
      <c r="F42" s="12" t="s">
        <v>9</v>
      </c>
      <c r="G42" s="12" t="s">
        <v>9</v>
      </c>
      <c r="H42" s="100"/>
    </row>
    <row r="43" spans="1:8" x14ac:dyDescent="0.2">
      <c r="A43" s="15" t="s">
        <v>9</v>
      </c>
      <c r="B43" s="15" t="s">
        <v>9</v>
      </c>
      <c r="C43" s="3" t="s">
        <v>95</v>
      </c>
      <c r="D43" s="15" t="s">
        <v>9</v>
      </c>
      <c r="E43" s="15" t="s">
        <v>9</v>
      </c>
      <c r="F43" s="15" t="s">
        <v>9</v>
      </c>
      <c r="G43" s="15" t="s">
        <v>9</v>
      </c>
      <c r="H43" s="100"/>
    </row>
    <row r="44" spans="1:8" x14ac:dyDescent="0.2">
      <c r="A44" s="15" t="s">
        <v>9</v>
      </c>
      <c r="B44" s="15" t="s">
        <v>9</v>
      </c>
      <c r="C44" s="3" t="s">
        <v>94</v>
      </c>
      <c r="D44" s="15" t="s">
        <v>9</v>
      </c>
      <c r="E44" s="15" t="s">
        <v>9</v>
      </c>
      <c r="F44" s="13">
        <v>0</v>
      </c>
      <c r="G44" s="14">
        <v>0</v>
      </c>
      <c r="H44" s="100"/>
    </row>
    <row r="45" spans="1:8" x14ac:dyDescent="0.2">
      <c r="A45" s="15" t="s">
        <v>9</v>
      </c>
      <c r="B45" s="15" t="s">
        <v>9</v>
      </c>
      <c r="C45" s="11" t="s">
        <v>9</v>
      </c>
      <c r="D45" s="15" t="s">
        <v>9</v>
      </c>
      <c r="E45" s="15" t="s">
        <v>9</v>
      </c>
      <c r="F45" s="12" t="s">
        <v>9</v>
      </c>
      <c r="G45" s="12" t="s">
        <v>9</v>
      </c>
      <c r="H45" s="100"/>
    </row>
    <row r="46" spans="1:8" x14ac:dyDescent="0.2">
      <c r="A46" s="15" t="s">
        <v>9</v>
      </c>
      <c r="B46" s="15" t="s">
        <v>9</v>
      </c>
      <c r="C46" s="3" t="s">
        <v>96</v>
      </c>
      <c r="D46" s="15" t="s">
        <v>9</v>
      </c>
      <c r="E46" s="15" t="s">
        <v>9</v>
      </c>
      <c r="F46" s="15" t="s">
        <v>9</v>
      </c>
      <c r="G46" s="15" t="s">
        <v>9</v>
      </c>
      <c r="H46" s="100"/>
    </row>
    <row r="47" spans="1:8" x14ac:dyDescent="0.2">
      <c r="A47" s="4">
        <v>1</v>
      </c>
      <c r="B47" s="5" t="s">
        <v>97</v>
      </c>
      <c r="C47" s="5" t="s">
        <v>997</v>
      </c>
      <c r="D47" s="5" t="s">
        <v>98</v>
      </c>
      <c r="E47" s="6">
        <v>559425</v>
      </c>
      <c r="F47" s="7">
        <v>1.1189000000000001E-5</v>
      </c>
      <c r="G47" s="15" t="s">
        <v>99</v>
      </c>
      <c r="H47" s="100"/>
    </row>
    <row r="48" spans="1:8" x14ac:dyDescent="0.2">
      <c r="A48" s="15" t="s">
        <v>9</v>
      </c>
      <c r="B48" s="15" t="s">
        <v>9</v>
      </c>
      <c r="C48" s="3" t="s">
        <v>94</v>
      </c>
      <c r="D48" s="15" t="s">
        <v>9</v>
      </c>
      <c r="E48" s="15" t="s">
        <v>9</v>
      </c>
      <c r="F48" s="9">
        <v>1.1189000000000001E-5</v>
      </c>
      <c r="G48" s="10">
        <v>0</v>
      </c>
      <c r="H48" s="100"/>
    </row>
    <row r="49" spans="1:8" x14ac:dyDescent="0.2">
      <c r="A49" s="15" t="s">
        <v>9</v>
      </c>
      <c r="B49" s="15" t="s">
        <v>9</v>
      </c>
      <c r="C49" s="11" t="s">
        <v>9</v>
      </c>
      <c r="D49" s="15" t="s">
        <v>9</v>
      </c>
      <c r="E49" s="15" t="s">
        <v>9</v>
      </c>
      <c r="F49" s="12" t="s">
        <v>9</v>
      </c>
      <c r="G49" s="12" t="s">
        <v>9</v>
      </c>
      <c r="H49" s="100"/>
    </row>
    <row r="50" spans="1:8" x14ac:dyDescent="0.2">
      <c r="A50" s="15" t="s">
        <v>9</v>
      </c>
      <c r="B50" s="15" t="s">
        <v>9</v>
      </c>
      <c r="C50" s="3" t="s">
        <v>100</v>
      </c>
      <c r="D50" s="15" t="s">
        <v>9</v>
      </c>
      <c r="E50" s="15" t="s">
        <v>9</v>
      </c>
      <c r="F50" s="15" t="s">
        <v>9</v>
      </c>
      <c r="G50" s="15" t="s">
        <v>9</v>
      </c>
      <c r="H50" s="100"/>
    </row>
    <row r="51" spans="1:8" x14ac:dyDescent="0.2">
      <c r="A51" s="15" t="s">
        <v>9</v>
      </c>
      <c r="B51" s="15" t="s">
        <v>9</v>
      </c>
      <c r="C51" s="3" t="s">
        <v>94</v>
      </c>
      <c r="D51" s="15" t="s">
        <v>9</v>
      </c>
      <c r="E51" s="15" t="s">
        <v>9</v>
      </c>
      <c r="F51" s="13">
        <v>0</v>
      </c>
      <c r="G51" s="14">
        <v>0</v>
      </c>
      <c r="H51" s="100"/>
    </row>
    <row r="52" spans="1:8" x14ac:dyDescent="0.2">
      <c r="A52" s="15" t="s">
        <v>9</v>
      </c>
      <c r="B52" s="15" t="s">
        <v>9</v>
      </c>
      <c r="C52" s="11" t="s">
        <v>9</v>
      </c>
      <c r="D52" s="15" t="s">
        <v>9</v>
      </c>
      <c r="E52" s="15" t="s">
        <v>9</v>
      </c>
      <c r="F52" s="12" t="s">
        <v>9</v>
      </c>
      <c r="G52" s="12" t="s">
        <v>9</v>
      </c>
      <c r="H52" s="100"/>
    </row>
    <row r="53" spans="1:8" x14ac:dyDescent="0.2">
      <c r="A53" s="15" t="s">
        <v>9</v>
      </c>
      <c r="B53" s="15" t="s">
        <v>9</v>
      </c>
      <c r="C53" s="3" t="s">
        <v>101</v>
      </c>
      <c r="D53" s="15" t="s">
        <v>9</v>
      </c>
      <c r="E53" s="15" t="s">
        <v>9</v>
      </c>
      <c r="F53" s="12" t="s">
        <v>9</v>
      </c>
      <c r="G53" s="12" t="s">
        <v>9</v>
      </c>
      <c r="H53" s="100"/>
    </row>
    <row r="54" spans="1:8" x14ac:dyDescent="0.2">
      <c r="A54" s="15" t="s">
        <v>9</v>
      </c>
      <c r="B54" s="15" t="s">
        <v>9</v>
      </c>
      <c r="C54" s="3" t="s">
        <v>94</v>
      </c>
      <c r="D54" s="15" t="s">
        <v>9</v>
      </c>
      <c r="E54" s="15" t="s">
        <v>9</v>
      </c>
      <c r="F54" s="13">
        <v>0</v>
      </c>
      <c r="G54" s="14">
        <v>0</v>
      </c>
      <c r="H54" s="100"/>
    </row>
    <row r="55" spans="1:8" x14ac:dyDescent="0.2">
      <c r="A55" s="15" t="s">
        <v>9</v>
      </c>
      <c r="B55" s="15" t="s">
        <v>9</v>
      </c>
      <c r="C55" s="11" t="s">
        <v>9</v>
      </c>
      <c r="D55" s="15" t="s">
        <v>9</v>
      </c>
      <c r="E55" s="15" t="s">
        <v>9</v>
      </c>
      <c r="F55" s="12" t="s">
        <v>9</v>
      </c>
      <c r="G55" s="12" t="s">
        <v>9</v>
      </c>
      <c r="H55" s="100"/>
    </row>
    <row r="56" spans="1:8" x14ac:dyDescent="0.2">
      <c r="A56" s="15" t="s">
        <v>9</v>
      </c>
      <c r="B56" s="15" t="s">
        <v>9</v>
      </c>
      <c r="C56" s="3" t="s">
        <v>102</v>
      </c>
      <c r="D56" s="15" t="s">
        <v>9</v>
      </c>
      <c r="E56" s="15" t="s">
        <v>9</v>
      </c>
      <c r="F56" s="12" t="s">
        <v>9</v>
      </c>
      <c r="G56" s="12" t="s">
        <v>9</v>
      </c>
      <c r="H56" s="100"/>
    </row>
    <row r="57" spans="1:8" ht="25.5" x14ac:dyDescent="0.2">
      <c r="A57" s="4">
        <v>1</v>
      </c>
      <c r="B57" s="5"/>
      <c r="C57" s="5" t="s">
        <v>869</v>
      </c>
      <c r="D57" s="5" t="s">
        <v>103</v>
      </c>
      <c r="E57" s="6">
        <v>716100</v>
      </c>
      <c r="F57" s="7">
        <v>778.40070000000003</v>
      </c>
      <c r="G57" s="8">
        <v>1.4243260000000001E-2</v>
      </c>
      <c r="H57" s="100"/>
    </row>
    <row r="58" spans="1:8" x14ac:dyDescent="0.2">
      <c r="A58" s="15" t="s">
        <v>9</v>
      </c>
      <c r="B58" s="15" t="s">
        <v>9</v>
      </c>
      <c r="C58" s="3" t="s">
        <v>94</v>
      </c>
      <c r="D58" s="15" t="s">
        <v>9</v>
      </c>
      <c r="E58" s="15" t="s">
        <v>9</v>
      </c>
      <c r="F58" s="9">
        <v>778.40070000000003</v>
      </c>
      <c r="G58" s="10">
        <v>1.4243260000000001E-2</v>
      </c>
      <c r="H58" s="100"/>
    </row>
    <row r="59" spans="1:8" x14ac:dyDescent="0.2">
      <c r="A59" s="15" t="s">
        <v>9</v>
      </c>
      <c r="B59" s="15" t="s">
        <v>9</v>
      </c>
      <c r="C59" s="11" t="s">
        <v>9</v>
      </c>
      <c r="D59" s="15" t="s">
        <v>9</v>
      </c>
      <c r="E59" s="15" t="s">
        <v>9</v>
      </c>
      <c r="F59" s="12" t="s">
        <v>9</v>
      </c>
      <c r="G59" s="12" t="s">
        <v>9</v>
      </c>
      <c r="H59" s="100"/>
    </row>
    <row r="60" spans="1:8" x14ac:dyDescent="0.2">
      <c r="A60" s="15" t="s">
        <v>9</v>
      </c>
      <c r="B60" s="15" t="s">
        <v>9</v>
      </c>
      <c r="C60" s="3" t="s">
        <v>104</v>
      </c>
      <c r="D60" s="15" t="s">
        <v>9</v>
      </c>
      <c r="E60" s="15" t="s">
        <v>9</v>
      </c>
      <c r="F60" s="9">
        <v>53902.276124188997</v>
      </c>
      <c r="G60" s="10">
        <v>0.98630967700000005</v>
      </c>
      <c r="H60" s="100"/>
    </row>
    <row r="61" spans="1:8" x14ac:dyDescent="0.2">
      <c r="A61" s="15" t="s">
        <v>9</v>
      </c>
      <c r="B61" s="15" t="s">
        <v>9</v>
      </c>
      <c r="C61" s="11" t="s">
        <v>9</v>
      </c>
      <c r="D61" s="15" t="s">
        <v>9</v>
      </c>
      <c r="E61" s="15" t="s">
        <v>9</v>
      </c>
      <c r="F61" s="12" t="s">
        <v>9</v>
      </c>
      <c r="G61" s="12" t="s">
        <v>9</v>
      </c>
      <c r="H61" s="100"/>
    </row>
    <row r="62" spans="1:8" x14ac:dyDescent="0.2">
      <c r="A62" s="15" t="s">
        <v>9</v>
      </c>
      <c r="B62" s="15" t="s">
        <v>9</v>
      </c>
      <c r="C62" s="3" t="s">
        <v>105</v>
      </c>
      <c r="D62" s="15" t="s">
        <v>9</v>
      </c>
      <c r="E62" s="15" t="s">
        <v>9</v>
      </c>
      <c r="F62" s="12" t="s">
        <v>9</v>
      </c>
      <c r="G62" s="12" t="s">
        <v>9</v>
      </c>
      <c r="H62" s="100"/>
    </row>
    <row r="63" spans="1:8" ht="25.5" x14ac:dyDescent="0.2">
      <c r="A63" s="15" t="s">
        <v>9</v>
      </c>
      <c r="B63" s="15" t="s">
        <v>9</v>
      </c>
      <c r="C63" s="3" t="s">
        <v>11</v>
      </c>
      <c r="D63" s="15" t="s">
        <v>9</v>
      </c>
      <c r="E63" s="15" t="s">
        <v>9</v>
      </c>
      <c r="F63" s="12" t="s">
        <v>9</v>
      </c>
      <c r="G63" s="12" t="s">
        <v>9</v>
      </c>
      <c r="H63" s="100"/>
    </row>
    <row r="64" spans="1:8" x14ac:dyDescent="0.2">
      <c r="A64" s="15" t="s">
        <v>9</v>
      </c>
      <c r="B64" s="15" t="s">
        <v>9</v>
      </c>
      <c r="C64" s="3" t="s">
        <v>94</v>
      </c>
      <c r="D64" s="15" t="s">
        <v>9</v>
      </c>
      <c r="E64" s="15" t="s">
        <v>9</v>
      </c>
      <c r="F64" s="13">
        <v>0</v>
      </c>
      <c r="G64" s="14">
        <v>0</v>
      </c>
      <c r="H64" s="100"/>
    </row>
    <row r="65" spans="1:8" x14ac:dyDescent="0.2">
      <c r="A65" s="15" t="s">
        <v>9</v>
      </c>
      <c r="B65" s="15" t="s">
        <v>9</v>
      </c>
      <c r="C65" s="11" t="s">
        <v>9</v>
      </c>
      <c r="D65" s="15" t="s">
        <v>9</v>
      </c>
      <c r="E65" s="15" t="s">
        <v>9</v>
      </c>
      <c r="F65" s="12" t="s">
        <v>9</v>
      </c>
      <c r="G65" s="12" t="s">
        <v>9</v>
      </c>
      <c r="H65" s="100"/>
    </row>
    <row r="66" spans="1:8" x14ac:dyDescent="0.2">
      <c r="A66" s="15" t="s">
        <v>9</v>
      </c>
      <c r="B66" s="15" t="s">
        <v>9</v>
      </c>
      <c r="C66" s="3" t="s">
        <v>106</v>
      </c>
      <c r="D66" s="15" t="s">
        <v>9</v>
      </c>
      <c r="E66" s="15" t="s">
        <v>9</v>
      </c>
      <c r="F66" s="15" t="s">
        <v>9</v>
      </c>
      <c r="G66" s="15" t="s">
        <v>9</v>
      </c>
      <c r="H66" s="100"/>
    </row>
    <row r="67" spans="1:8" x14ac:dyDescent="0.2">
      <c r="A67" s="15" t="s">
        <v>9</v>
      </c>
      <c r="B67" s="15" t="s">
        <v>9</v>
      </c>
      <c r="C67" s="3" t="s">
        <v>94</v>
      </c>
      <c r="D67" s="15" t="s">
        <v>9</v>
      </c>
      <c r="E67" s="15" t="s">
        <v>9</v>
      </c>
      <c r="F67" s="13">
        <v>0</v>
      </c>
      <c r="G67" s="14">
        <v>0</v>
      </c>
      <c r="H67" s="100"/>
    </row>
    <row r="68" spans="1:8" x14ac:dyDescent="0.2">
      <c r="A68" s="15" t="s">
        <v>9</v>
      </c>
      <c r="B68" s="15" t="s">
        <v>9</v>
      </c>
      <c r="C68" s="11" t="s">
        <v>9</v>
      </c>
      <c r="D68" s="15" t="s">
        <v>9</v>
      </c>
      <c r="E68" s="15" t="s">
        <v>9</v>
      </c>
      <c r="F68" s="12" t="s">
        <v>9</v>
      </c>
      <c r="G68" s="12" t="s">
        <v>9</v>
      </c>
      <c r="H68" s="100"/>
    </row>
    <row r="69" spans="1:8" x14ac:dyDescent="0.2">
      <c r="A69" s="15" t="s">
        <v>9</v>
      </c>
      <c r="B69" s="15" t="s">
        <v>9</v>
      </c>
      <c r="C69" s="3" t="s">
        <v>107</v>
      </c>
      <c r="D69" s="15" t="s">
        <v>9</v>
      </c>
      <c r="E69" s="15" t="s">
        <v>9</v>
      </c>
      <c r="F69" s="15" t="s">
        <v>9</v>
      </c>
      <c r="G69" s="15" t="s">
        <v>9</v>
      </c>
      <c r="H69" s="100"/>
    </row>
    <row r="70" spans="1:8" x14ac:dyDescent="0.2">
      <c r="A70" s="15" t="s">
        <v>9</v>
      </c>
      <c r="B70" s="15" t="s">
        <v>9</v>
      </c>
      <c r="C70" s="3" t="s">
        <v>94</v>
      </c>
      <c r="D70" s="15" t="s">
        <v>9</v>
      </c>
      <c r="E70" s="15" t="s">
        <v>9</v>
      </c>
      <c r="F70" s="13">
        <v>0</v>
      </c>
      <c r="G70" s="14">
        <v>0</v>
      </c>
      <c r="H70" s="100"/>
    </row>
    <row r="71" spans="1:8" x14ac:dyDescent="0.2">
      <c r="A71" s="15" t="s">
        <v>9</v>
      </c>
      <c r="B71" s="15" t="s">
        <v>9</v>
      </c>
      <c r="C71" s="11" t="s">
        <v>9</v>
      </c>
      <c r="D71" s="15" t="s">
        <v>9</v>
      </c>
      <c r="E71" s="15" t="s">
        <v>9</v>
      </c>
      <c r="F71" s="12" t="s">
        <v>9</v>
      </c>
      <c r="G71" s="12" t="s">
        <v>9</v>
      </c>
      <c r="H71" s="100"/>
    </row>
    <row r="72" spans="1:8" x14ac:dyDescent="0.2">
      <c r="A72" s="15" t="s">
        <v>9</v>
      </c>
      <c r="B72" s="15" t="s">
        <v>9</v>
      </c>
      <c r="C72" s="3" t="s">
        <v>108</v>
      </c>
      <c r="D72" s="15" t="s">
        <v>9</v>
      </c>
      <c r="E72" s="15" t="s">
        <v>9</v>
      </c>
      <c r="F72" s="12" t="s">
        <v>9</v>
      </c>
      <c r="G72" s="12" t="s">
        <v>9</v>
      </c>
      <c r="H72" s="100"/>
    </row>
    <row r="73" spans="1:8" x14ac:dyDescent="0.2">
      <c r="A73" s="15" t="s">
        <v>9</v>
      </c>
      <c r="B73" s="15" t="s">
        <v>9</v>
      </c>
      <c r="C73" s="3" t="s">
        <v>94</v>
      </c>
      <c r="D73" s="15" t="s">
        <v>9</v>
      </c>
      <c r="E73" s="15" t="s">
        <v>9</v>
      </c>
      <c r="F73" s="13">
        <v>0</v>
      </c>
      <c r="G73" s="14">
        <v>0</v>
      </c>
      <c r="H73" s="100"/>
    </row>
    <row r="74" spans="1:8" x14ac:dyDescent="0.2">
      <c r="A74" s="15" t="s">
        <v>9</v>
      </c>
      <c r="B74" s="15" t="s">
        <v>9</v>
      </c>
      <c r="C74" s="11" t="s">
        <v>9</v>
      </c>
      <c r="D74" s="15" t="s">
        <v>9</v>
      </c>
      <c r="E74" s="15" t="s">
        <v>9</v>
      </c>
      <c r="F74" s="12" t="s">
        <v>9</v>
      </c>
      <c r="G74" s="12" t="s">
        <v>9</v>
      </c>
      <c r="H74" s="100"/>
    </row>
    <row r="75" spans="1:8" x14ac:dyDescent="0.2">
      <c r="A75" s="15" t="s">
        <v>9</v>
      </c>
      <c r="B75" s="15" t="s">
        <v>9</v>
      </c>
      <c r="C75" s="3" t="s">
        <v>109</v>
      </c>
      <c r="D75" s="15" t="s">
        <v>9</v>
      </c>
      <c r="E75" s="15" t="s">
        <v>9</v>
      </c>
      <c r="F75" s="9">
        <v>0</v>
      </c>
      <c r="G75" s="10">
        <v>0</v>
      </c>
      <c r="H75" s="100"/>
    </row>
    <row r="76" spans="1:8" x14ac:dyDescent="0.2">
      <c r="A76" s="15" t="s">
        <v>9</v>
      </c>
      <c r="B76" s="15" t="s">
        <v>9</v>
      </c>
      <c r="C76" s="11" t="s">
        <v>9</v>
      </c>
      <c r="D76" s="15" t="s">
        <v>9</v>
      </c>
      <c r="E76" s="15" t="s">
        <v>9</v>
      </c>
      <c r="F76" s="12" t="s">
        <v>9</v>
      </c>
      <c r="G76" s="12" t="s">
        <v>9</v>
      </c>
      <c r="H76" s="100"/>
    </row>
    <row r="77" spans="1:8" x14ac:dyDescent="0.2">
      <c r="A77" s="15" t="s">
        <v>9</v>
      </c>
      <c r="B77" s="15" t="s">
        <v>9</v>
      </c>
      <c r="C77" s="3" t="s">
        <v>110</v>
      </c>
      <c r="D77" s="15" t="s">
        <v>9</v>
      </c>
      <c r="E77" s="15" t="s">
        <v>9</v>
      </c>
      <c r="F77" s="12" t="s">
        <v>9</v>
      </c>
      <c r="G77" s="12" t="s">
        <v>9</v>
      </c>
      <c r="H77" s="100"/>
    </row>
    <row r="78" spans="1:8" x14ac:dyDescent="0.2">
      <c r="A78" s="15" t="s">
        <v>9</v>
      </c>
      <c r="B78" s="15" t="s">
        <v>9</v>
      </c>
      <c r="C78" s="3" t="s">
        <v>111</v>
      </c>
      <c r="D78" s="15" t="s">
        <v>9</v>
      </c>
      <c r="E78" s="15" t="s">
        <v>9</v>
      </c>
      <c r="F78" s="12" t="s">
        <v>9</v>
      </c>
      <c r="G78" s="12" t="s">
        <v>9</v>
      </c>
      <c r="H78" s="100"/>
    </row>
    <row r="79" spans="1:8" x14ac:dyDescent="0.2">
      <c r="A79" s="15" t="s">
        <v>9</v>
      </c>
      <c r="B79" s="15" t="s">
        <v>9</v>
      </c>
      <c r="C79" s="3" t="s">
        <v>94</v>
      </c>
      <c r="D79" s="15" t="s">
        <v>9</v>
      </c>
      <c r="E79" s="15" t="s">
        <v>9</v>
      </c>
      <c r="F79" s="13">
        <v>0</v>
      </c>
      <c r="G79" s="14">
        <v>0</v>
      </c>
      <c r="H79" s="100"/>
    </row>
    <row r="80" spans="1:8" x14ac:dyDescent="0.2">
      <c r="A80" s="15" t="s">
        <v>9</v>
      </c>
      <c r="B80" s="15" t="s">
        <v>9</v>
      </c>
      <c r="C80" s="11" t="s">
        <v>9</v>
      </c>
      <c r="D80" s="15" t="s">
        <v>9</v>
      </c>
      <c r="E80" s="15" t="s">
        <v>9</v>
      </c>
      <c r="F80" s="12" t="s">
        <v>9</v>
      </c>
      <c r="G80" s="12" t="s">
        <v>9</v>
      </c>
      <c r="H80" s="100"/>
    </row>
    <row r="81" spans="1:8" x14ac:dyDescent="0.2">
      <c r="A81" s="15" t="s">
        <v>9</v>
      </c>
      <c r="B81" s="15" t="s">
        <v>9</v>
      </c>
      <c r="C81" s="3" t="s">
        <v>112</v>
      </c>
      <c r="D81" s="15" t="s">
        <v>9</v>
      </c>
      <c r="E81" s="15" t="s">
        <v>9</v>
      </c>
      <c r="F81" s="12" t="s">
        <v>9</v>
      </c>
      <c r="G81" s="12" t="s">
        <v>9</v>
      </c>
      <c r="H81" s="100"/>
    </row>
    <row r="82" spans="1:8" x14ac:dyDescent="0.2">
      <c r="A82" s="15" t="s">
        <v>9</v>
      </c>
      <c r="B82" s="15" t="s">
        <v>9</v>
      </c>
      <c r="C82" s="3" t="s">
        <v>94</v>
      </c>
      <c r="D82" s="15" t="s">
        <v>9</v>
      </c>
      <c r="E82" s="15" t="s">
        <v>9</v>
      </c>
      <c r="F82" s="13">
        <v>0</v>
      </c>
      <c r="G82" s="14">
        <v>0</v>
      </c>
      <c r="H82" s="100"/>
    </row>
    <row r="83" spans="1:8" x14ac:dyDescent="0.2">
      <c r="A83" s="15" t="s">
        <v>9</v>
      </c>
      <c r="B83" s="15" t="s">
        <v>9</v>
      </c>
      <c r="C83" s="11" t="s">
        <v>9</v>
      </c>
      <c r="D83" s="15" t="s">
        <v>9</v>
      </c>
      <c r="E83" s="15" t="s">
        <v>9</v>
      </c>
      <c r="F83" s="12" t="s">
        <v>9</v>
      </c>
      <c r="G83" s="12" t="s">
        <v>9</v>
      </c>
      <c r="H83" s="100"/>
    </row>
    <row r="84" spans="1:8" x14ac:dyDescent="0.2">
      <c r="A84" s="15" t="s">
        <v>9</v>
      </c>
      <c r="B84" s="15" t="s">
        <v>9</v>
      </c>
      <c r="C84" s="3" t="s">
        <v>113</v>
      </c>
      <c r="D84" s="15" t="s">
        <v>9</v>
      </c>
      <c r="E84" s="15" t="s">
        <v>9</v>
      </c>
      <c r="F84" s="12" t="s">
        <v>9</v>
      </c>
      <c r="G84" s="12" t="s">
        <v>9</v>
      </c>
      <c r="H84" s="100"/>
    </row>
    <row r="85" spans="1:8" x14ac:dyDescent="0.2">
      <c r="A85" s="15" t="s">
        <v>9</v>
      </c>
      <c r="B85" s="15" t="s">
        <v>9</v>
      </c>
      <c r="C85" s="3" t="s">
        <v>94</v>
      </c>
      <c r="D85" s="15" t="s">
        <v>9</v>
      </c>
      <c r="E85" s="15" t="s">
        <v>9</v>
      </c>
      <c r="F85" s="13">
        <v>0</v>
      </c>
      <c r="G85" s="14">
        <v>0</v>
      </c>
      <c r="H85" s="100"/>
    </row>
    <row r="86" spans="1:8" x14ac:dyDescent="0.2">
      <c r="A86" s="15" t="s">
        <v>9</v>
      </c>
      <c r="B86" s="15" t="s">
        <v>9</v>
      </c>
      <c r="C86" s="11" t="s">
        <v>9</v>
      </c>
      <c r="D86" s="15" t="s">
        <v>9</v>
      </c>
      <c r="E86" s="15" t="s">
        <v>9</v>
      </c>
      <c r="F86" s="12" t="s">
        <v>9</v>
      </c>
      <c r="G86" s="12" t="s">
        <v>9</v>
      </c>
      <c r="H86" s="100"/>
    </row>
    <row r="87" spans="1:8" x14ac:dyDescent="0.2">
      <c r="A87" s="15" t="s">
        <v>9</v>
      </c>
      <c r="B87" s="15" t="s">
        <v>9</v>
      </c>
      <c r="C87" s="3" t="s">
        <v>114</v>
      </c>
      <c r="D87" s="15" t="s">
        <v>9</v>
      </c>
      <c r="E87" s="15" t="s">
        <v>9</v>
      </c>
      <c r="F87" s="12" t="s">
        <v>9</v>
      </c>
      <c r="G87" s="12" t="s">
        <v>9</v>
      </c>
      <c r="H87" s="100"/>
    </row>
    <row r="88" spans="1:8" x14ac:dyDescent="0.2">
      <c r="A88" s="4">
        <v>1</v>
      </c>
      <c r="B88" s="5"/>
      <c r="C88" s="5" t="s">
        <v>115</v>
      </c>
      <c r="D88" s="5"/>
      <c r="E88" s="15" t="s">
        <v>9</v>
      </c>
      <c r="F88" s="7">
        <v>697.73792219999996</v>
      </c>
      <c r="G88" s="8">
        <v>1.2767284E-2</v>
      </c>
      <c r="H88" s="99">
        <v>3.2516689338443991</v>
      </c>
    </row>
    <row r="89" spans="1:8" x14ac:dyDescent="0.2">
      <c r="A89" s="4">
        <v>2</v>
      </c>
      <c r="B89" s="5"/>
      <c r="C89" s="5" t="s">
        <v>116</v>
      </c>
      <c r="D89" s="5"/>
      <c r="E89" s="15" t="s">
        <v>9</v>
      </c>
      <c r="F89" s="7">
        <v>95.596482199999997</v>
      </c>
      <c r="G89" s="8">
        <v>1.749235E-3</v>
      </c>
      <c r="H89" s="100">
        <v>3.350000000000001</v>
      </c>
    </row>
    <row r="90" spans="1:8" x14ac:dyDescent="0.2">
      <c r="A90" s="15" t="s">
        <v>9</v>
      </c>
      <c r="B90" s="15" t="s">
        <v>9</v>
      </c>
      <c r="C90" s="3" t="s">
        <v>94</v>
      </c>
      <c r="D90" s="15" t="s">
        <v>9</v>
      </c>
      <c r="E90" s="15" t="s">
        <v>9</v>
      </c>
      <c r="F90" s="9">
        <v>793.33440440000004</v>
      </c>
      <c r="G90" s="10">
        <v>1.4516519E-2</v>
      </c>
      <c r="H90" s="100"/>
    </row>
    <row r="91" spans="1:8" x14ac:dyDescent="0.2">
      <c r="A91" s="15" t="s">
        <v>9</v>
      </c>
      <c r="B91" s="15" t="s">
        <v>9</v>
      </c>
      <c r="C91" s="11" t="s">
        <v>9</v>
      </c>
      <c r="D91" s="15" t="s">
        <v>9</v>
      </c>
      <c r="E91" s="15" t="s">
        <v>9</v>
      </c>
      <c r="F91" s="12" t="s">
        <v>9</v>
      </c>
      <c r="G91" s="12" t="s">
        <v>9</v>
      </c>
      <c r="H91" s="100"/>
    </row>
    <row r="92" spans="1:8" x14ac:dyDescent="0.2">
      <c r="A92" s="15" t="s">
        <v>9</v>
      </c>
      <c r="B92" s="15" t="s">
        <v>9</v>
      </c>
      <c r="C92" s="3" t="s">
        <v>117</v>
      </c>
      <c r="D92" s="15" t="s">
        <v>9</v>
      </c>
      <c r="E92" s="15" t="s">
        <v>9</v>
      </c>
      <c r="F92" s="9">
        <v>793.33440440000004</v>
      </c>
      <c r="G92" s="10">
        <v>1.4516519E-2</v>
      </c>
      <c r="H92" s="100"/>
    </row>
    <row r="93" spans="1:8" x14ac:dyDescent="0.2">
      <c r="A93" s="15" t="s">
        <v>9</v>
      </c>
      <c r="B93" s="15" t="s">
        <v>9</v>
      </c>
      <c r="C93" s="12" t="s">
        <v>9</v>
      </c>
      <c r="D93" s="15" t="s">
        <v>9</v>
      </c>
      <c r="E93" s="15" t="s">
        <v>9</v>
      </c>
      <c r="F93" s="15" t="s">
        <v>9</v>
      </c>
      <c r="G93" s="15" t="s">
        <v>9</v>
      </c>
      <c r="H93" s="100"/>
    </row>
    <row r="94" spans="1:8" x14ac:dyDescent="0.2">
      <c r="A94" s="15" t="s">
        <v>9</v>
      </c>
      <c r="B94" s="15" t="s">
        <v>9</v>
      </c>
      <c r="C94" s="3" t="s">
        <v>118</v>
      </c>
      <c r="D94" s="15" t="s">
        <v>9</v>
      </c>
      <c r="E94" s="15" t="s">
        <v>9</v>
      </c>
      <c r="F94" s="15" t="s">
        <v>9</v>
      </c>
      <c r="G94" s="15" t="s">
        <v>9</v>
      </c>
      <c r="H94" s="100"/>
    </row>
    <row r="95" spans="1:8" x14ac:dyDescent="0.2">
      <c r="A95" s="15" t="s">
        <v>9</v>
      </c>
      <c r="B95" s="15" t="s">
        <v>9</v>
      </c>
      <c r="C95" s="3" t="s">
        <v>119</v>
      </c>
      <c r="D95" s="15" t="s">
        <v>9</v>
      </c>
      <c r="E95" s="15" t="s">
        <v>9</v>
      </c>
      <c r="F95" s="15" t="s">
        <v>9</v>
      </c>
      <c r="G95" s="15" t="s">
        <v>9</v>
      </c>
      <c r="H95" s="100"/>
    </row>
    <row r="96" spans="1:8" x14ac:dyDescent="0.2">
      <c r="A96" s="15" t="s">
        <v>9</v>
      </c>
      <c r="B96" s="15" t="s">
        <v>9</v>
      </c>
      <c r="C96" s="3" t="s">
        <v>94</v>
      </c>
      <c r="D96" s="15" t="s">
        <v>9</v>
      </c>
      <c r="E96" s="15" t="s">
        <v>9</v>
      </c>
      <c r="F96" s="13">
        <v>0</v>
      </c>
      <c r="G96" s="14">
        <v>0</v>
      </c>
      <c r="H96" s="100"/>
    </row>
    <row r="97" spans="1:8" x14ac:dyDescent="0.2">
      <c r="A97" s="15" t="s">
        <v>9</v>
      </c>
      <c r="B97" s="15" t="s">
        <v>9</v>
      </c>
      <c r="C97" s="11" t="s">
        <v>9</v>
      </c>
      <c r="D97" s="15" t="s">
        <v>9</v>
      </c>
      <c r="E97" s="15" t="s">
        <v>9</v>
      </c>
      <c r="F97" s="12" t="s">
        <v>9</v>
      </c>
      <c r="G97" s="12" t="s">
        <v>9</v>
      </c>
      <c r="H97" s="100"/>
    </row>
    <row r="98" spans="1:8" x14ac:dyDescent="0.2">
      <c r="A98" s="15" t="s">
        <v>9</v>
      </c>
      <c r="B98" s="15" t="s">
        <v>9</v>
      </c>
      <c r="C98" s="3" t="s">
        <v>120</v>
      </c>
      <c r="D98" s="15" t="s">
        <v>9</v>
      </c>
      <c r="E98" s="15" t="s">
        <v>9</v>
      </c>
      <c r="F98" s="15" t="s">
        <v>9</v>
      </c>
      <c r="G98" s="15" t="s">
        <v>9</v>
      </c>
      <c r="H98" s="100"/>
    </row>
    <row r="99" spans="1:8" x14ac:dyDescent="0.2">
      <c r="A99" s="15" t="s">
        <v>9</v>
      </c>
      <c r="B99" s="15" t="s">
        <v>9</v>
      </c>
      <c r="C99" s="3" t="s">
        <v>121</v>
      </c>
      <c r="D99" s="15" t="s">
        <v>9</v>
      </c>
      <c r="E99" s="15" t="s">
        <v>9</v>
      </c>
      <c r="F99" s="15" t="s">
        <v>9</v>
      </c>
      <c r="G99" s="15" t="s">
        <v>9</v>
      </c>
      <c r="H99" s="100"/>
    </row>
    <row r="100" spans="1:8" x14ac:dyDescent="0.2">
      <c r="A100" s="15" t="s">
        <v>9</v>
      </c>
      <c r="B100" s="15" t="s">
        <v>9</v>
      </c>
      <c r="C100" s="3" t="s">
        <v>94</v>
      </c>
      <c r="D100" s="15" t="s">
        <v>9</v>
      </c>
      <c r="E100" s="15" t="s">
        <v>9</v>
      </c>
      <c r="F100" s="13">
        <v>0</v>
      </c>
      <c r="G100" s="14">
        <v>0</v>
      </c>
      <c r="H100" s="100"/>
    </row>
    <row r="101" spans="1:8" x14ac:dyDescent="0.2">
      <c r="A101" s="15" t="s">
        <v>9</v>
      </c>
      <c r="B101" s="15" t="s">
        <v>9</v>
      </c>
      <c r="C101" s="11" t="s">
        <v>9</v>
      </c>
      <c r="D101" s="15" t="s">
        <v>9</v>
      </c>
      <c r="E101" s="15" t="s">
        <v>9</v>
      </c>
      <c r="F101" s="12" t="s">
        <v>9</v>
      </c>
      <c r="G101" s="12" t="s">
        <v>9</v>
      </c>
      <c r="H101" s="100"/>
    </row>
    <row r="102" spans="1:8" x14ac:dyDescent="0.2">
      <c r="A102" s="15" t="s">
        <v>9</v>
      </c>
      <c r="B102" s="15" t="s">
        <v>9</v>
      </c>
      <c r="C102" s="11" t="s">
        <v>9</v>
      </c>
      <c r="D102" s="15" t="s">
        <v>9</v>
      </c>
      <c r="E102" s="15" t="s">
        <v>9</v>
      </c>
      <c r="F102" s="12" t="s">
        <v>9</v>
      </c>
      <c r="G102" s="12" t="s">
        <v>9</v>
      </c>
      <c r="H102" s="100"/>
    </row>
    <row r="103" spans="1:8" ht="25.5" x14ac:dyDescent="0.2">
      <c r="A103" s="15" t="s">
        <v>9</v>
      </c>
      <c r="B103" s="15" t="s">
        <v>9</v>
      </c>
      <c r="C103" s="3" t="s">
        <v>122</v>
      </c>
      <c r="D103" s="15" t="s">
        <v>9</v>
      </c>
      <c r="E103" s="15" t="s">
        <v>9</v>
      </c>
      <c r="F103" s="12" t="s">
        <v>9</v>
      </c>
      <c r="G103" s="12" t="s">
        <v>9</v>
      </c>
      <c r="H103" s="100"/>
    </row>
    <row r="104" spans="1:8" x14ac:dyDescent="0.2">
      <c r="A104" s="15" t="s">
        <v>9</v>
      </c>
      <c r="B104" s="15" t="s">
        <v>9</v>
      </c>
      <c r="C104" s="3" t="s">
        <v>94</v>
      </c>
      <c r="D104" s="15" t="s">
        <v>9</v>
      </c>
      <c r="E104" s="15" t="s">
        <v>9</v>
      </c>
      <c r="F104" s="13">
        <v>0</v>
      </c>
      <c r="G104" s="14">
        <v>0</v>
      </c>
      <c r="H104" s="100"/>
    </row>
    <row r="105" spans="1:8" x14ac:dyDescent="0.2">
      <c r="A105" s="15" t="s">
        <v>9</v>
      </c>
      <c r="B105" s="15" t="s">
        <v>9</v>
      </c>
      <c r="C105" s="11" t="s">
        <v>9</v>
      </c>
      <c r="D105" s="15" t="s">
        <v>9</v>
      </c>
      <c r="E105" s="15" t="s">
        <v>9</v>
      </c>
      <c r="F105" s="12" t="s">
        <v>9</v>
      </c>
      <c r="G105" s="12" t="s">
        <v>9</v>
      </c>
      <c r="H105" s="100"/>
    </row>
    <row r="106" spans="1:8" x14ac:dyDescent="0.2">
      <c r="A106" s="15" t="s">
        <v>9</v>
      </c>
      <c r="B106" s="5" t="s">
        <v>9</v>
      </c>
      <c r="C106" s="5" t="s">
        <v>123</v>
      </c>
      <c r="D106" s="5" t="s">
        <v>9</v>
      </c>
      <c r="E106" s="15" t="s">
        <v>9</v>
      </c>
      <c r="F106" s="7">
        <v>729.36057740000001</v>
      </c>
      <c r="G106" s="8">
        <v>1.3345918999999999E-2</v>
      </c>
      <c r="H106" s="100"/>
    </row>
    <row r="107" spans="1:8" x14ac:dyDescent="0.2">
      <c r="A107" s="15" t="s">
        <v>9</v>
      </c>
      <c r="B107" s="5" t="s">
        <v>9</v>
      </c>
      <c r="C107" s="5" t="s">
        <v>124</v>
      </c>
      <c r="D107" s="5" t="s">
        <v>9</v>
      </c>
      <c r="E107" s="15" t="s">
        <v>9</v>
      </c>
      <c r="F107" s="7">
        <v>-774.51246122999999</v>
      </c>
      <c r="G107" s="8">
        <v>-1.4172113E-2</v>
      </c>
      <c r="H107" s="100"/>
    </row>
    <row r="108" spans="1:8" x14ac:dyDescent="0.2">
      <c r="A108" s="11" t="s">
        <v>9</v>
      </c>
      <c r="B108" s="11" t="s">
        <v>9</v>
      </c>
      <c r="C108" s="3" t="s">
        <v>125</v>
      </c>
      <c r="D108" s="16" t="s">
        <v>9</v>
      </c>
      <c r="E108" s="16" t="s">
        <v>9</v>
      </c>
      <c r="F108" s="9">
        <v>54650.458644758997</v>
      </c>
      <c r="G108" s="10">
        <v>1.0000000019999999</v>
      </c>
      <c r="H108" s="100"/>
    </row>
    <row r="109" spans="1:8" x14ac:dyDescent="0.2">
      <c r="A109" s="17" t="s">
        <v>9</v>
      </c>
      <c r="B109" s="17" t="s">
        <v>9</v>
      </c>
      <c r="C109" s="17" t="s">
        <v>9</v>
      </c>
      <c r="D109" s="18" t="s">
        <v>9</v>
      </c>
      <c r="E109" s="18" t="s">
        <v>9</v>
      </c>
      <c r="F109" s="18" t="s">
        <v>9</v>
      </c>
      <c r="G109" s="18" t="s">
        <v>9</v>
      </c>
      <c r="H109" s="142"/>
    </row>
    <row r="110" spans="1:8" x14ac:dyDescent="0.2">
      <c r="A110" s="19" t="s">
        <v>9</v>
      </c>
      <c r="B110" s="249" t="s">
        <v>9</v>
      </c>
      <c r="C110" s="249"/>
      <c r="D110" s="249"/>
      <c r="E110" s="249"/>
      <c r="F110" s="249"/>
      <c r="G110" s="20" t="s">
        <v>9</v>
      </c>
      <c r="H110" s="142"/>
    </row>
    <row r="111" spans="1:8" x14ac:dyDescent="0.2">
      <c r="A111" s="19" t="s">
        <v>9</v>
      </c>
      <c r="B111" s="249" t="s">
        <v>126</v>
      </c>
      <c r="C111" s="249"/>
      <c r="D111" s="249"/>
      <c r="E111" s="249"/>
      <c r="F111" s="249"/>
      <c r="G111" s="20" t="s">
        <v>9</v>
      </c>
      <c r="H111" s="142"/>
    </row>
    <row r="112" spans="1:8" x14ac:dyDescent="0.2">
      <c r="A112" s="19" t="s">
        <v>9</v>
      </c>
      <c r="B112" s="176" t="s">
        <v>9</v>
      </c>
      <c r="C112" s="176" t="s">
        <v>9</v>
      </c>
      <c r="D112" s="179" t="s">
        <v>9</v>
      </c>
      <c r="E112" s="179" t="s">
        <v>9</v>
      </c>
      <c r="F112" s="179" t="s">
        <v>9</v>
      </c>
      <c r="G112" s="20" t="s">
        <v>9</v>
      </c>
      <c r="H112" s="142"/>
    </row>
    <row r="113" spans="1:8" x14ac:dyDescent="0.2">
      <c r="A113" s="19" t="s">
        <v>9</v>
      </c>
      <c r="B113" s="247" t="s">
        <v>127</v>
      </c>
      <c r="C113" s="248"/>
      <c r="D113" s="182" t="s">
        <v>9</v>
      </c>
      <c r="E113" s="178" t="s">
        <v>9</v>
      </c>
      <c r="F113" s="179" t="s">
        <v>9</v>
      </c>
      <c r="G113" s="20" t="s">
        <v>9</v>
      </c>
      <c r="H113" s="142"/>
    </row>
    <row r="114" spans="1:8" ht="28.5" customHeight="1" x14ac:dyDescent="0.2">
      <c r="A114" s="19" t="s">
        <v>9</v>
      </c>
      <c r="B114" s="242" t="s">
        <v>128</v>
      </c>
      <c r="C114" s="243"/>
      <c r="D114" s="3" t="s">
        <v>129</v>
      </c>
      <c r="E114" s="21" t="s">
        <v>9</v>
      </c>
      <c r="F114" s="20" t="s">
        <v>9</v>
      </c>
      <c r="G114" s="20" t="s">
        <v>9</v>
      </c>
      <c r="H114" s="142"/>
    </row>
    <row r="115" spans="1:8" x14ac:dyDescent="0.2">
      <c r="A115" s="86" t="s">
        <v>9</v>
      </c>
      <c r="B115" s="240" t="s">
        <v>995</v>
      </c>
      <c r="C115" s="241"/>
      <c r="D115" s="188" t="s">
        <v>996</v>
      </c>
      <c r="E115" s="178" t="s">
        <v>9</v>
      </c>
      <c r="F115" s="189" t="s">
        <v>9</v>
      </c>
      <c r="G115" s="87" t="s">
        <v>9</v>
      </c>
      <c r="H115" s="142"/>
    </row>
    <row r="116" spans="1:8" x14ac:dyDescent="0.2">
      <c r="A116" s="19" t="s">
        <v>9</v>
      </c>
      <c r="B116" s="240" t="s">
        <v>131</v>
      </c>
      <c r="C116" s="241"/>
      <c r="D116" s="182" t="s">
        <v>9</v>
      </c>
      <c r="E116" s="178" t="s">
        <v>9</v>
      </c>
      <c r="F116" s="179" t="s">
        <v>9</v>
      </c>
      <c r="G116" s="20" t="s">
        <v>9</v>
      </c>
      <c r="H116" s="142"/>
    </row>
    <row r="117" spans="1:8" ht="25.5" x14ac:dyDescent="0.2">
      <c r="A117" s="25" t="s">
        <v>9</v>
      </c>
      <c r="B117" s="23" t="s">
        <v>9</v>
      </c>
      <c r="C117" s="23" t="s">
        <v>132</v>
      </c>
      <c r="D117" s="23" t="s">
        <v>133</v>
      </c>
      <c r="E117" s="22" t="s">
        <v>9</v>
      </c>
      <c r="F117" s="22" t="s">
        <v>9</v>
      </c>
      <c r="G117" s="25" t="s">
        <v>9</v>
      </c>
      <c r="H117" s="142"/>
    </row>
    <row r="118" spans="1:8" x14ac:dyDescent="0.2">
      <c r="A118" s="25" t="s">
        <v>9</v>
      </c>
      <c r="B118" s="23" t="s">
        <v>134</v>
      </c>
      <c r="C118" s="23" t="s">
        <v>135</v>
      </c>
      <c r="D118" s="23" t="s">
        <v>136</v>
      </c>
      <c r="E118" s="22" t="s">
        <v>9</v>
      </c>
      <c r="F118" s="22" t="s">
        <v>9</v>
      </c>
      <c r="G118" s="25" t="s">
        <v>9</v>
      </c>
      <c r="H118" s="142"/>
    </row>
    <row r="119" spans="1:8" x14ac:dyDescent="0.2">
      <c r="A119" s="25" t="s">
        <v>9</v>
      </c>
      <c r="B119" s="183" t="s">
        <v>137</v>
      </c>
      <c r="C119" s="184">
        <v>41.8583</v>
      </c>
      <c r="D119" s="184">
        <v>41.681399999999996</v>
      </c>
      <c r="E119" s="22" t="s">
        <v>9</v>
      </c>
      <c r="F119" s="185" t="s">
        <v>9</v>
      </c>
      <c r="G119" s="25" t="s">
        <v>9</v>
      </c>
      <c r="H119" s="142"/>
    </row>
    <row r="120" spans="1:8" x14ac:dyDescent="0.2">
      <c r="A120" s="25" t="s">
        <v>9</v>
      </c>
      <c r="B120" s="183" t="s">
        <v>921</v>
      </c>
      <c r="C120" s="184">
        <v>34.695799999999998</v>
      </c>
      <c r="D120" s="184">
        <v>34.549100000000003</v>
      </c>
      <c r="E120" s="22" t="s">
        <v>9</v>
      </c>
      <c r="F120" s="185" t="s">
        <v>9</v>
      </c>
      <c r="G120" s="25" t="s">
        <v>9</v>
      </c>
      <c r="H120" s="142"/>
    </row>
    <row r="121" spans="1:8" x14ac:dyDescent="0.2">
      <c r="A121" s="25" t="s">
        <v>9</v>
      </c>
      <c r="B121" s="183" t="s">
        <v>138</v>
      </c>
      <c r="C121" s="184">
        <v>40.105899999999998</v>
      </c>
      <c r="D121" s="184">
        <v>39.920200000000001</v>
      </c>
      <c r="E121" s="22" t="s">
        <v>9</v>
      </c>
      <c r="F121" s="185" t="s">
        <v>9</v>
      </c>
      <c r="G121" s="25" t="s">
        <v>9</v>
      </c>
      <c r="H121" s="142"/>
    </row>
    <row r="122" spans="1:8" x14ac:dyDescent="0.2">
      <c r="A122" s="25" t="s">
        <v>9</v>
      </c>
      <c r="B122" s="183" t="s">
        <v>922</v>
      </c>
      <c r="C122" s="184">
        <v>33.075600000000001</v>
      </c>
      <c r="D122" s="184">
        <v>32.922400000000003</v>
      </c>
      <c r="E122" s="22" t="s">
        <v>9</v>
      </c>
      <c r="F122" s="185" t="s">
        <v>9</v>
      </c>
      <c r="G122" s="25" t="s">
        <v>9</v>
      </c>
      <c r="H122" s="142"/>
    </row>
    <row r="123" spans="1:8" x14ac:dyDescent="0.2">
      <c r="A123" s="25" t="s">
        <v>9</v>
      </c>
      <c r="B123" s="22" t="s">
        <v>9</v>
      </c>
      <c r="C123" s="22" t="s">
        <v>9</v>
      </c>
      <c r="D123" s="22" t="s">
        <v>9</v>
      </c>
      <c r="E123" s="22" t="s">
        <v>9</v>
      </c>
      <c r="F123" s="22" t="s">
        <v>9</v>
      </c>
      <c r="G123" s="25" t="s">
        <v>9</v>
      </c>
      <c r="H123" s="142"/>
    </row>
    <row r="124" spans="1:8" x14ac:dyDescent="0.2">
      <c r="A124" s="25" t="s">
        <v>9</v>
      </c>
      <c r="B124" s="244" t="s">
        <v>1012</v>
      </c>
      <c r="C124" s="245"/>
      <c r="D124" s="177" t="s">
        <v>129</v>
      </c>
      <c r="E124" s="22" t="s">
        <v>9</v>
      </c>
      <c r="F124" s="22" t="s">
        <v>9</v>
      </c>
      <c r="G124" s="25" t="s">
        <v>9</v>
      </c>
      <c r="H124" s="142"/>
    </row>
    <row r="125" spans="1:8" x14ac:dyDescent="0.2">
      <c r="A125" s="25" t="s">
        <v>9</v>
      </c>
      <c r="B125" s="98"/>
      <c r="C125" s="98"/>
      <c r="D125" s="26" t="s">
        <v>9</v>
      </c>
      <c r="E125" s="22" t="s">
        <v>9</v>
      </c>
      <c r="F125" s="22" t="s">
        <v>9</v>
      </c>
      <c r="G125" s="25" t="s">
        <v>9</v>
      </c>
      <c r="H125" s="142"/>
    </row>
    <row r="126" spans="1:8" s="238" customFormat="1" ht="12.75" x14ac:dyDescent="0.2">
      <c r="B126" s="246" t="s">
        <v>923</v>
      </c>
      <c r="C126" s="246"/>
      <c r="D126" s="246"/>
      <c r="E126" s="246"/>
      <c r="F126" s="246"/>
    </row>
    <row r="127" spans="1:8" x14ac:dyDescent="0.2">
      <c r="A127" s="25" t="s">
        <v>9</v>
      </c>
      <c r="B127" s="185" t="s">
        <v>9</v>
      </c>
      <c r="C127" s="185" t="s">
        <v>9</v>
      </c>
      <c r="D127" s="22" t="s">
        <v>9</v>
      </c>
      <c r="E127" s="22" t="s">
        <v>9</v>
      </c>
      <c r="F127" s="22" t="s">
        <v>9</v>
      </c>
      <c r="G127" s="25" t="s">
        <v>9</v>
      </c>
      <c r="H127" s="142"/>
    </row>
    <row r="128" spans="1:8" x14ac:dyDescent="0.2">
      <c r="A128" s="25" t="s">
        <v>9</v>
      </c>
      <c r="B128" s="240" t="s">
        <v>139</v>
      </c>
      <c r="C128" s="241"/>
      <c r="D128" s="177" t="s">
        <v>990</v>
      </c>
      <c r="E128" s="22" t="s">
        <v>9</v>
      </c>
      <c r="F128" s="22" t="s">
        <v>9</v>
      </c>
      <c r="G128" s="25" t="s">
        <v>9</v>
      </c>
      <c r="H128" s="142"/>
    </row>
    <row r="129" spans="1:8" x14ac:dyDescent="0.2">
      <c r="A129" s="25" t="s">
        <v>9</v>
      </c>
      <c r="B129" s="240" t="s">
        <v>140</v>
      </c>
      <c r="C129" s="241"/>
      <c r="D129" s="177" t="s">
        <v>129</v>
      </c>
      <c r="E129" s="22" t="s">
        <v>9</v>
      </c>
      <c r="F129" s="22" t="s">
        <v>9</v>
      </c>
      <c r="G129" s="25" t="s">
        <v>9</v>
      </c>
      <c r="H129" s="142"/>
    </row>
    <row r="130" spans="1:8" x14ac:dyDescent="0.2">
      <c r="A130" s="25" t="s">
        <v>9</v>
      </c>
      <c r="B130" s="240" t="s">
        <v>141</v>
      </c>
      <c r="C130" s="241"/>
      <c r="D130" s="186">
        <v>0.33370404119412617</v>
      </c>
      <c r="E130" s="22" t="s">
        <v>9</v>
      </c>
      <c r="F130" s="185" t="s">
        <v>9</v>
      </c>
      <c r="G130" s="25" t="s">
        <v>9</v>
      </c>
      <c r="H130" s="142"/>
    </row>
    <row r="131" spans="1:8" x14ac:dyDescent="0.2">
      <c r="A131" s="25" t="s">
        <v>9</v>
      </c>
      <c r="B131" s="240" t="s">
        <v>142</v>
      </c>
      <c r="C131" s="241"/>
      <c r="D131" s="177" t="s">
        <v>129</v>
      </c>
      <c r="E131" s="22" t="s">
        <v>9</v>
      </c>
      <c r="F131" s="22" t="s">
        <v>9</v>
      </c>
      <c r="G131" s="25" t="s">
        <v>9</v>
      </c>
      <c r="H131" s="142"/>
    </row>
  </sheetData>
  <mergeCells count="15">
    <mergeCell ref="B113:C113"/>
    <mergeCell ref="B110:F110"/>
    <mergeCell ref="B111:F111"/>
    <mergeCell ref="A1:H1"/>
    <mergeCell ref="A2:H2"/>
    <mergeCell ref="A3:H3"/>
    <mergeCell ref="B130:C130"/>
    <mergeCell ref="B131:C131"/>
    <mergeCell ref="B114:C114"/>
    <mergeCell ref="B115:C115"/>
    <mergeCell ref="B116:C116"/>
    <mergeCell ref="B124:C124"/>
    <mergeCell ref="B128:C128"/>
    <mergeCell ref="B129:C129"/>
    <mergeCell ref="B126:F126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outlinePr summaryBelow="0" summaryRight="0"/>
  </sheetPr>
  <dimension ref="A1:H167"/>
  <sheetViews>
    <sheetView showGridLines="0" workbookViewId="0">
      <selection sqref="A1:H1"/>
    </sheetView>
  </sheetViews>
  <sheetFormatPr defaultRowHeight="15" x14ac:dyDescent="0.2"/>
  <cols>
    <col min="1" max="1" width="6.85546875" style="155" customWidth="1"/>
    <col min="2" max="2" width="20.5703125" style="155" customWidth="1"/>
    <col min="3" max="3" width="34.28515625" style="155" customWidth="1"/>
    <col min="4" max="4" width="17.85546875" style="155" customWidth="1"/>
    <col min="5" max="6" width="19.140625" style="155" customWidth="1"/>
    <col min="7" max="7" width="16.42578125" style="155" customWidth="1"/>
    <col min="8" max="16384" width="9.140625" style="155"/>
  </cols>
  <sheetData>
    <row r="1" spans="1:8" x14ac:dyDescent="0.2">
      <c r="A1" s="250" t="s">
        <v>0</v>
      </c>
      <c r="B1" s="250"/>
      <c r="C1" s="250"/>
      <c r="D1" s="250"/>
      <c r="E1" s="250"/>
      <c r="F1" s="250"/>
      <c r="G1" s="250"/>
      <c r="H1" s="250"/>
    </row>
    <row r="2" spans="1:8" x14ac:dyDescent="0.2">
      <c r="A2" s="251" t="s">
        <v>143</v>
      </c>
      <c r="B2" s="252"/>
      <c r="C2" s="252"/>
      <c r="D2" s="252"/>
      <c r="E2" s="252"/>
      <c r="F2" s="252"/>
      <c r="G2" s="252"/>
      <c r="H2" s="253"/>
    </row>
    <row r="3" spans="1:8" x14ac:dyDescent="0.2">
      <c r="A3" s="250" t="s">
        <v>1015</v>
      </c>
      <c r="B3" s="250"/>
      <c r="C3" s="250"/>
      <c r="D3" s="250"/>
      <c r="E3" s="250"/>
      <c r="F3" s="250"/>
      <c r="G3" s="250"/>
      <c r="H3" s="250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30" t="s">
        <v>909</v>
      </c>
    </row>
    <row r="5" spans="1:8" x14ac:dyDescent="0.2">
      <c r="A5" s="15" t="s">
        <v>9</v>
      </c>
      <c r="B5" s="15" t="s">
        <v>9</v>
      </c>
      <c r="C5" s="3" t="s">
        <v>10</v>
      </c>
      <c r="D5" s="15" t="s">
        <v>9</v>
      </c>
      <c r="E5" s="15" t="s">
        <v>9</v>
      </c>
      <c r="F5" s="15" t="s">
        <v>9</v>
      </c>
      <c r="G5" s="15" t="s">
        <v>9</v>
      </c>
      <c r="H5" s="100"/>
    </row>
    <row r="6" spans="1:8" ht="25.5" x14ac:dyDescent="0.2">
      <c r="A6" s="15" t="s">
        <v>9</v>
      </c>
      <c r="B6" s="15" t="s">
        <v>9</v>
      </c>
      <c r="C6" s="3" t="s">
        <v>11</v>
      </c>
      <c r="D6" s="15" t="s">
        <v>9</v>
      </c>
      <c r="E6" s="15" t="s">
        <v>9</v>
      </c>
      <c r="F6" s="15" t="s">
        <v>9</v>
      </c>
      <c r="G6" s="15" t="s">
        <v>9</v>
      </c>
      <c r="H6" s="100"/>
    </row>
    <row r="7" spans="1:8" x14ac:dyDescent="0.2">
      <c r="A7" s="4">
        <v>1</v>
      </c>
      <c r="B7" s="5" t="s">
        <v>144</v>
      </c>
      <c r="C7" s="5" t="s">
        <v>145</v>
      </c>
      <c r="D7" s="5" t="s">
        <v>146</v>
      </c>
      <c r="E7" s="6">
        <v>17709</v>
      </c>
      <c r="F7" s="7">
        <v>607.09993799999995</v>
      </c>
      <c r="G7" s="8">
        <v>3.9457870999999999E-2</v>
      </c>
      <c r="H7" s="100"/>
    </row>
    <row r="8" spans="1:8" x14ac:dyDescent="0.2">
      <c r="A8" s="4">
        <v>2</v>
      </c>
      <c r="B8" s="5" t="s">
        <v>26</v>
      </c>
      <c r="C8" s="5" t="s">
        <v>27</v>
      </c>
      <c r="D8" s="5" t="s">
        <v>28</v>
      </c>
      <c r="E8" s="6">
        <v>55265</v>
      </c>
      <c r="F8" s="7">
        <v>506.17213500000003</v>
      </c>
      <c r="G8" s="8">
        <v>3.2898166E-2</v>
      </c>
      <c r="H8" s="100"/>
    </row>
    <row r="9" spans="1:8" x14ac:dyDescent="0.2">
      <c r="A9" s="4">
        <v>3</v>
      </c>
      <c r="B9" s="5" t="s">
        <v>147</v>
      </c>
      <c r="C9" s="5" t="s">
        <v>148</v>
      </c>
      <c r="D9" s="5" t="s">
        <v>146</v>
      </c>
      <c r="E9" s="6">
        <v>37887</v>
      </c>
      <c r="F9" s="7">
        <v>471.12484499999999</v>
      </c>
      <c r="G9" s="8">
        <v>3.0620301999999999E-2</v>
      </c>
      <c r="H9" s="100"/>
    </row>
    <row r="10" spans="1:8" ht="25.5" x14ac:dyDescent="0.2">
      <c r="A10" s="4">
        <v>4</v>
      </c>
      <c r="B10" s="5" t="s">
        <v>34</v>
      </c>
      <c r="C10" s="5" t="s">
        <v>35</v>
      </c>
      <c r="D10" s="5" t="s">
        <v>1001</v>
      </c>
      <c r="E10" s="6">
        <v>13549</v>
      </c>
      <c r="F10" s="7">
        <v>380.23913599999997</v>
      </c>
      <c r="G10" s="8">
        <v>2.4713273000000001E-2</v>
      </c>
      <c r="H10" s="100"/>
    </row>
    <row r="11" spans="1:8" x14ac:dyDescent="0.2">
      <c r="A11" s="4">
        <v>5</v>
      </c>
      <c r="B11" s="5" t="s">
        <v>149</v>
      </c>
      <c r="C11" s="5" t="s">
        <v>150</v>
      </c>
      <c r="D11" s="5" t="s">
        <v>151</v>
      </c>
      <c r="E11" s="6">
        <v>6366</v>
      </c>
      <c r="F11" s="7">
        <v>351.59099700000002</v>
      </c>
      <c r="G11" s="8">
        <v>2.2851315000000001E-2</v>
      </c>
      <c r="H11" s="100"/>
    </row>
    <row r="12" spans="1:8" ht="25.5" x14ac:dyDescent="0.2">
      <c r="A12" s="4">
        <v>6</v>
      </c>
      <c r="B12" s="5" t="s">
        <v>152</v>
      </c>
      <c r="C12" s="5" t="s">
        <v>153</v>
      </c>
      <c r="D12" s="5" t="s">
        <v>1001</v>
      </c>
      <c r="E12" s="6">
        <v>209020</v>
      </c>
      <c r="F12" s="7">
        <v>341.12063999999998</v>
      </c>
      <c r="G12" s="8">
        <v>2.2170804999999998E-2</v>
      </c>
      <c r="H12" s="100"/>
    </row>
    <row r="13" spans="1:8" x14ac:dyDescent="0.2">
      <c r="A13" s="4">
        <v>7</v>
      </c>
      <c r="B13" s="5" t="s">
        <v>154</v>
      </c>
      <c r="C13" s="5" t="s">
        <v>155</v>
      </c>
      <c r="D13" s="5" t="s">
        <v>156</v>
      </c>
      <c r="E13" s="6">
        <v>409615</v>
      </c>
      <c r="F13" s="7">
        <v>331.78814999999997</v>
      </c>
      <c r="G13" s="8">
        <v>2.1564249000000001E-2</v>
      </c>
      <c r="H13" s="100"/>
    </row>
    <row r="14" spans="1:8" x14ac:dyDescent="0.2">
      <c r="A14" s="4">
        <v>8</v>
      </c>
      <c r="B14" s="5" t="s">
        <v>157</v>
      </c>
      <c r="C14" s="5" t="s">
        <v>158</v>
      </c>
      <c r="D14" s="5" t="s">
        <v>28</v>
      </c>
      <c r="E14" s="6">
        <v>62322</v>
      </c>
      <c r="F14" s="7">
        <v>324.63529799999998</v>
      </c>
      <c r="G14" s="8">
        <v>2.1099356E-2</v>
      </c>
      <c r="H14" s="100"/>
    </row>
    <row r="15" spans="1:8" x14ac:dyDescent="0.2">
      <c r="A15" s="4">
        <v>9</v>
      </c>
      <c r="B15" s="5" t="s">
        <v>64</v>
      </c>
      <c r="C15" s="5" t="s">
        <v>65</v>
      </c>
      <c r="D15" s="5" t="s">
        <v>1002</v>
      </c>
      <c r="E15" s="6">
        <v>278377</v>
      </c>
      <c r="F15" s="7">
        <v>321.6646235</v>
      </c>
      <c r="G15" s="8">
        <v>2.0906279999999999E-2</v>
      </c>
      <c r="H15" s="100"/>
    </row>
    <row r="16" spans="1:8" x14ac:dyDescent="0.2">
      <c r="A16" s="4">
        <v>10</v>
      </c>
      <c r="B16" s="5" t="s">
        <v>159</v>
      </c>
      <c r="C16" s="5" t="s">
        <v>160</v>
      </c>
      <c r="D16" s="5" t="s">
        <v>58</v>
      </c>
      <c r="E16" s="6">
        <v>87154</v>
      </c>
      <c r="F16" s="7">
        <v>305.03899999999999</v>
      </c>
      <c r="G16" s="8">
        <v>1.9825714000000001E-2</v>
      </c>
      <c r="H16" s="100"/>
    </row>
    <row r="17" spans="1:8" x14ac:dyDescent="0.2">
      <c r="A17" s="4">
        <v>11</v>
      </c>
      <c r="B17" s="5" t="s">
        <v>161</v>
      </c>
      <c r="C17" s="5" t="s">
        <v>162</v>
      </c>
      <c r="D17" s="5" t="s">
        <v>163</v>
      </c>
      <c r="E17" s="6">
        <v>24077</v>
      </c>
      <c r="F17" s="7">
        <v>297.27871900000002</v>
      </c>
      <c r="G17" s="8">
        <v>1.9321341999999998E-2</v>
      </c>
      <c r="H17" s="100"/>
    </row>
    <row r="18" spans="1:8" x14ac:dyDescent="0.2">
      <c r="A18" s="4">
        <v>12</v>
      </c>
      <c r="B18" s="5" t="s">
        <v>164</v>
      </c>
      <c r="C18" s="5" t="s">
        <v>947</v>
      </c>
      <c r="D18" s="5" t="s">
        <v>151</v>
      </c>
      <c r="E18" s="6">
        <v>40958</v>
      </c>
      <c r="F18" s="7">
        <v>296.72023100000001</v>
      </c>
      <c r="G18" s="8">
        <v>1.9285043000000002E-2</v>
      </c>
      <c r="H18" s="100"/>
    </row>
    <row r="19" spans="1:8" ht="25.5" x14ac:dyDescent="0.2">
      <c r="A19" s="4">
        <v>13</v>
      </c>
      <c r="B19" s="5" t="s">
        <v>166</v>
      </c>
      <c r="C19" s="5" t="s">
        <v>948</v>
      </c>
      <c r="D19" s="5" t="s">
        <v>1001</v>
      </c>
      <c r="E19" s="6">
        <v>125135</v>
      </c>
      <c r="F19" s="7">
        <v>296.69508500000001</v>
      </c>
      <c r="G19" s="8">
        <v>1.9283409000000001E-2</v>
      </c>
      <c r="H19" s="100"/>
    </row>
    <row r="20" spans="1:8" x14ac:dyDescent="0.2">
      <c r="A20" s="4">
        <v>14</v>
      </c>
      <c r="B20" s="5" t="s">
        <v>168</v>
      </c>
      <c r="C20" s="5" t="s">
        <v>169</v>
      </c>
      <c r="D20" s="5" t="s">
        <v>151</v>
      </c>
      <c r="E20" s="6">
        <v>143948</v>
      </c>
      <c r="F20" s="7">
        <v>283.93743000000001</v>
      </c>
      <c r="G20" s="8">
        <v>1.8454236999999998E-2</v>
      </c>
      <c r="H20" s="100"/>
    </row>
    <row r="21" spans="1:8" x14ac:dyDescent="0.2">
      <c r="A21" s="4">
        <v>15</v>
      </c>
      <c r="B21" s="5" t="s">
        <v>170</v>
      </c>
      <c r="C21" s="5" t="s">
        <v>171</v>
      </c>
      <c r="D21" s="5" t="s">
        <v>172</v>
      </c>
      <c r="E21" s="6">
        <v>27670</v>
      </c>
      <c r="F21" s="7">
        <v>283.64517000000001</v>
      </c>
      <c r="G21" s="8">
        <v>1.8435242000000001E-2</v>
      </c>
      <c r="H21" s="100"/>
    </row>
    <row r="22" spans="1:8" x14ac:dyDescent="0.2">
      <c r="A22" s="4">
        <v>16</v>
      </c>
      <c r="B22" s="5" t="s">
        <v>48</v>
      </c>
      <c r="C22" s="5" t="s">
        <v>49</v>
      </c>
      <c r="D22" s="5" t="s">
        <v>28</v>
      </c>
      <c r="E22" s="6">
        <v>19536</v>
      </c>
      <c r="F22" s="7">
        <v>274.31474400000002</v>
      </c>
      <c r="G22" s="8">
        <v>1.7828819999999999E-2</v>
      </c>
      <c r="H22" s="100"/>
    </row>
    <row r="23" spans="1:8" x14ac:dyDescent="0.2">
      <c r="A23" s="4">
        <v>17</v>
      </c>
      <c r="B23" s="5" t="s">
        <v>173</v>
      </c>
      <c r="C23" s="5" t="s">
        <v>949</v>
      </c>
      <c r="D23" s="5" t="s">
        <v>28</v>
      </c>
      <c r="E23" s="6">
        <v>61176</v>
      </c>
      <c r="F23" s="7">
        <v>273.21201600000001</v>
      </c>
      <c r="G23" s="8">
        <v>1.7757149999999999E-2</v>
      </c>
      <c r="H23" s="100"/>
    </row>
    <row r="24" spans="1:8" x14ac:dyDescent="0.2">
      <c r="A24" s="4">
        <v>18</v>
      </c>
      <c r="B24" s="5" t="s">
        <v>175</v>
      </c>
      <c r="C24" s="5" t="s">
        <v>176</v>
      </c>
      <c r="D24" s="5" t="s">
        <v>53</v>
      </c>
      <c r="E24" s="6">
        <v>73119</v>
      </c>
      <c r="F24" s="7">
        <v>269.55319350000002</v>
      </c>
      <c r="G24" s="8">
        <v>1.7519348000000001E-2</v>
      </c>
      <c r="H24" s="100"/>
    </row>
    <row r="25" spans="1:8" x14ac:dyDescent="0.2">
      <c r="A25" s="4">
        <v>19</v>
      </c>
      <c r="B25" s="5" t="s">
        <v>177</v>
      </c>
      <c r="C25" s="5" t="s">
        <v>178</v>
      </c>
      <c r="D25" s="5" t="s">
        <v>47</v>
      </c>
      <c r="E25" s="6">
        <v>24171</v>
      </c>
      <c r="F25" s="7">
        <v>255.173247</v>
      </c>
      <c r="G25" s="8">
        <v>1.6584736999999999E-2</v>
      </c>
      <c r="H25" s="100"/>
    </row>
    <row r="26" spans="1:8" x14ac:dyDescent="0.2">
      <c r="A26" s="4">
        <v>20</v>
      </c>
      <c r="B26" s="5" t="s">
        <v>179</v>
      </c>
      <c r="C26" s="5" t="s">
        <v>933</v>
      </c>
      <c r="D26" s="5" t="s">
        <v>47</v>
      </c>
      <c r="E26" s="6">
        <v>116346</v>
      </c>
      <c r="F26" s="7">
        <v>249.44582399999999</v>
      </c>
      <c r="G26" s="8">
        <v>1.6212489E-2</v>
      </c>
      <c r="H26" s="100"/>
    </row>
    <row r="27" spans="1:8" ht="25.5" x14ac:dyDescent="0.2">
      <c r="A27" s="4">
        <v>21</v>
      </c>
      <c r="B27" s="5" t="s">
        <v>180</v>
      </c>
      <c r="C27" s="5" t="s">
        <v>934</v>
      </c>
      <c r="D27" s="5" t="s">
        <v>146</v>
      </c>
      <c r="E27" s="6">
        <v>68572</v>
      </c>
      <c r="F27" s="7">
        <v>248.127782</v>
      </c>
      <c r="G27" s="8">
        <v>1.6126824000000001E-2</v>
      </c>
      <c r="H27" s="100"/>
    </row>
    <row r="28" spans="1:8" ht="25.5" x14ac:dyDescent="0.2">
      <c r="A28" s="4">
        <v>22</v>
      </c>
      <c r="B28" s="5" t="s">
        <v>182</v>
      </c>
      <c r="C28" s="5" t="s">
        <v>944</v>
      </c>
      <c r="D28" s="5" t="s">
        <v>58</v>
      </c>
      <c r="E28" s="6">
        <v>10523</v>
      </c>
      <c r="F28" s="7">
        <v>245.74888050000001</v>
      </c>
      <c r="G28" s="8">
        <v>1.5972210000000001E-2</v>
      </c>
      <c r="H28" s="100"/>
    </row>
    <row r="29" spans="1:8" ht="25.5" x14ac:dyDescent="0.2">
      <c r="A29" s="4">
        <v>23</v>
      </c>
      <c r="B29" s="5" t="s">
        <v>67</v>
      </c>
      <c r="C29" s="5" t="s">
        <v>929</v>
      </c>
      <c r="D29" s="5" t="s">
        <v>25</v>
      </c>
      <c r="E29" s="6">
        <v>45520</v>
      </c>
      <c r="F29" s="7">
        <v>245.30727999999999</v>
      </c>
      <c r="G29" s="8">
        <v>1.5943507999999999E-2</v>
      </c>
      <c r="H29" s="100"/>
    </row>
    <row r="30" spans="1:8" x14ac:dyDescent="0.2">
      <c r="A30" s="4">
        <v>24</v>
      </c>
      <c r="B30" s="5" t="s">
        <v>184</v>
      </c>
      <c r="C30" s="5" t="s">
        <v>185</v>
      </c>
      <c r="D30" s="5" t="s">
        <v>172</v>
      </c>
      <c r="E30" s="6">
        <v>137606</v>
      </c>
      <c r="F30" s="7">
        <v>244.38825600000001</v>
      </c>
      <c r="G30" s="8">
        <v>1.5883777000000002E-2</v>
      </c>
      <c r="H30" s="100"/>
    </row>
    <row r="31" spans="1:8" x14ac:dyDescent="0.2">
      <c r="A31" s="4">
        <v>25</v>
      </c>
      <c r="B31" s="5" t="s">
        <v>186</v>
      </c>
      <c r="C31" s="5" t="s">
        <v>187</v>
      </c>
      <c r="D31" s="5" t="s">
        <v>188</v>
      </c>
      <c r="E31" s="6">
        <v>32673</v>
      </c>
      <c r="F31" s="7">
        <v>237.7124115</v>
      </c>
      <c r="G31" s="8">
        <v>1.5449887000000001E-2</v>
      </c>
      <c r="H31" s="100"/>
    </row>
    <row r="32" spans="1:8" ht="25.5" x14ac:dyDescent="0.2">
      <c r="A32" s="4">
        <v>26</v>
      </c>
      <c r="B32" s="5" t="s">
        <v>23</v>
      </c>
      <c r="C32" s="5" t="s">
        <v>24</v>
      </c>
      <c r="D32" s="5" t="s">
        <v>25</v>
      </c>
      <c r="E32" s="6">
        <v>95679</v>
      </c>
      <c r="F32" s="7">
        <v>224.5107735</v>
      </c>
      <c r="G32" s="8">
        <v>1.459186E-2</v>
      </c>
      <c r="H32" s="100"/>
    </row>
    <row r="33" spans="1:8" x14ac:dyDescent="0.2">
      <c r="A33" s="4">
        <v>27</v>
      </c>
      <c r="B33" s="5" t="s">
        <v>189</v>
      </c>
      <c r="C33" s="5" t="s">
        <v>190</v>
      </c>
      <c r="D33" s="5" t="s">
        <v>151</v>
      </c>
      <c r="E33" s="6">
        <v>10880</v>
      </c>
      <c r="F33" s="7">
        <v>221.76704000000001</v>
      </c>
      <c r="G33" s="8">
        <v>1.4413532999999999E-2</v>
      </c>
      <c r="H33" s="100"/>
    </row>
    <row r="34" spans="1:8" x14ac:dyDescent="0.2">
      <c r="A34" s="4">
        <v>28</v>
      </c>
      <c r="B34" s="5" t="s">
        <v>191</v>
      </c>
      <c r="C34" s="5" t="s">
        <v>192</v>
      </c>
      <c r="D34" s="5" t="s">
        <v>193</v>
      </c>
      <c r="E34" s="6">
        <v>66638</v>
      </c>
      <c r="F34" s="7">
        <v>218.90583000000001</v>
      </c>
      <c r="G34" s="8">
        <v>1.4227572000000001E-2</v>
      </c>
      <c r="H34" s="100"/>
    </row>
    <row r="35" spans="1:8" ht="25.5" x14ac:dyDescent="0.2">
      <c r="A35" s="4">
        <v>29</v>
      </c>
      <c r="B35" s="5" t="s">
        <v>194</v>
      </c>
      <c r="C35" s="5" t="s">
        <v>195</v>
      </c>
      <c r="D35" s="5" t="s">
        <v>73</v>
      </c>
      <c r="E35" s="6">
        <v>59268</v>
      </c>
      <c r="F35" s="7">
        <v>217.66173000000001</v>
      </c>
      <c r="G35" s="8">
        <v>1.4146713E-2</v>
      </c>
      <c r="H35" s="100"/>
    </row>
    <row r="36" spans="1:8" x14ac:dyDescent="0.2">
      <c r="A36" s="4">
        <v>30</v>
      </c>
      <c r="B36" s="5" t="s">
        <v>196</v>
      </c>
      <c r="C36" s="5" t="s">
        <v>197</v>
      </c>
      <c r="D36" s="5" t="s">
        <v>151</v>
      </c>
      <c r="E36" s="6">
        <v>29067</v>
      </c>
      <c r="F36" s="7">
        <v>214.23832350000001</v>
      </c>
      <c r="G36" s="8">
        <v>1.3924212E-2</v>
      </c>
      <c r="H36" s="100"/>
    </row>
    <row r="37" spans="1:8" x14ac:dyDescent="0.2">
      <c r="A37" s="4">
        <v>31</v>
      </c>
      <c r="B37" s="5" t="s">
        <v>198</v>
      </c>
      <c r="C37" s="5" t="s">
        <v>199</v>
      </c>
      <c r="D37" s="5" t="s">
        <v>156</v>
      </c>
      <c r="E37" s="6">
        <v>369714</v>
      </c>
      <c r="F37" s="7">
        <v>195.94842</v>
      </c>
      <c r="G37" s="8">
        <v>1.2735477E-2</v>
      </c>
      <c r="H37" s="100"/>
    </row>
    <row r="38" spans="1:8" x14ac:dyDescent="0.2">
      <c r="A38" s="4">
        <v>32</v>
      </c>
      <c r="B38" s="5" t="s">
        <v>200</v>
      </c>
      <c r="C38" s="5" t="s">
        <v>201</v>
      </c>
      <c r="D38" s="5" t="s">
        <v>1003</v>
      </c>
      <c r="E38" s="6">
        <v>31000</v>
      </c>
      <c r="F38" s="7">
        <v>194.773</v>
      </c>
      <c r="G38" s="8">
        <v>1.2659082E-2</v>
      </c>
      <c r="H38" s="100"/>
    </row>
    <row r="39" spans="1:8" x14ac:dyDescent="0.2">
      <c r="A39" s="4">
        <v>33</v>
      </c>
      <c r="B39" s="5" t="s">
        <v>202</v>
      </c>
      <c r="C39" s="5" t="s">
        <v>203</v>
      </c>
      <c r="D39" s="5" t="s">
        <v>38</v>
      </c>
      <c r="E39" s="6">
        <v>234660</v>
      </c>
      <c r="F39" s="7">
        <v>193.71182999999999</v>
      </c>
      <c r="G39" s="8">
        <v>1.2590112000000001E-2</v>
      </c>
      <c r="H39" s="100"/>
    </row>
    <row r="40" spans="1:8" x14ac:dyDescent="0.2">
      <c r="A40" s="4">
        <v>34</v>
      </c>
      <c r="B40" s="5" t="s">
        <v>204</v>
      </c>
      <c r="C40" s="5" t="s">
        <v>205</v>
      </c>
      <c r="D40" s="5" t="s">
        <v>1004</v>
      </c>
      <c r="E40" s="6">
        <v>69389</v>
      </c>
      <c r="F40" s="7">
        <v>188.668691</v>
      </c>
      <c r="G40" s="8">
        <v>1.2262337999999999E-2</v>
      </c>
      <c r="H40" s="100"/>
    </row>
    <row r="41" spans="1:8" x14ac:dyDescent="0.2">
      <c r="A41" s="4">
        <v>35</v>
      </c>
      <c r="B41" s="5" t="s">
        <v>206</v>
      </c>
      <c r="C41" s="5" t="s">
        <v>207</v>
      </c>
      <c r="D41" s="5" t="s">
        <v>163</v>
      </c>
      <c r="E41" s="6">
        <v>49328</v>
      </c>
      <c r="F41" s="7">
        <v>188.50695200000001</v>
      </c>
      <c r="G41" s="8">
        <v>1.2251826E-2</v>
      </c>
      <c r="H41" s="100"/>
    </row>
    <row r="42" spans="1:8" x14ac:dyDescent="0.2">
      <c r="A42" s="4">
        <v>36</v>
      </c>
      <c r="B42" s="5" t="s">
        <v>208</v>
      </c>
      <c r="C42" s="5" t="s">
        <v>209</v>
      </c>
      <c r="D42" s="5" t="s">
        <v>163</v>
      </c>
      <c r="E42" s="6">
        <v>51255</v>
      </c>
      <c r="F42" s="7">
        <v>188.10585</v>
      </c>
      <c r="G42" s="8">
        <v>1.2225757E-2</v>
      </c>
      <c r="H42" s="100"/>
    </row>
    <row r="43" spans="1:8" x14ac:dyDescent="0.2">
      <c r="A43" s="4">
        <v>37</v>
      </c>
      <c r="B43" s="5" t="s">
        <v>36</v>
      </c>
      <c r="C43" s="5" t="s">
        <v>37</v>
      </c>
      <c r="D43" s="5" t="s">
        <v>38</v>
      </c>
      <c r="E43" s="6">
        <v>74785</v>
      </c>
      <c r="F43" s="7">
        <v>187.26164</v>
      </c>
      <c r="G43" s="8">
        <v>1.2170887999999999E-2</v>
      </c>
      <c r="H43" s="100"/>
    </row>
    <row r="44" spans="1:8" x14ac:dyDescent="0.2">
      <c r="A44" s="4">
        <v>38</v>
      </c>
      <c r="B44" s="5" t="s">
        <v>210</v>
      </c>
      <c r="C44" s="5" t="s">
        <v>211</v>
      </c>
      <c r="D44" s="5" t="s">
        <v>193</v>
      </c>
      <c r="E44" s="6">
        <v>40455</v>
      </c>
      <c r="F44" s="7">
        <v>183.16001249999999</v>
      </c>
      <c r="G44" s="8">
        <v>1.1904306999999999E-2</v>
      </c>
      <c r="H44" s="100"/>
    </row>
    <row r="45" spans="1:8" x14ac:dyDescent="0.2">
      <c r="A45" s="4">
        <v>39</v>
      </c>
      <c r="B45" s="5" t="s">
        <v>212</v>
      </c>
      <c r="C45" s="5" t="s">
        <v>213</v>
      </c>
      <c r="D45" s="5" t="s">
        <v>38</v>
      </c>
      <c r="E45" s="6">
        <v>25501</v>
      </c>
      <c r="F45" s="7">
        <v>182.81666899999999</v>
      </c>
      <c r="G45" s="8">
        <v>1.1881991999999999E-2</v>
      </c>
      <c r="H45" s="100"/>
    </row>
    <row r="46" spans="1:8" x14ac:dyDescent="0.2">
      <c r="A46" s="4">
        <v>40</v>
      </c>
      <c r="B46" s="5" t="s">
        <v>50</v>
      </c>
      <c r="C46" s="5" t="s">
        <v>51</v>
      </c>
      <c r="D46" s="5" t="s">
        <v>28</v>
      </c>
      <c r="E46" s="6">
        <v>20638</v>
      </c>
      <c r="F46" s="7">
        <v>182.532791</v>
      </c>
      <c r="G46" s="8">
        <v>1.1863541E-2</v>
      </c>
      <c r="H46" s="100"/>
    </row>
    <row r="47" spans="1:8" ht="25.5" x14ac:dyDescent="0.2">
      <c r="A47" s="4">
        <v>41</v>
      </c>
      <c r="B47" s="5" t="s">
        <v>214</v>
      </c>
      <c r="C47" s="5" t="s">
        <v>215</v>
      </c>
      <c r="D47" s="5" t="s">
        <v>25</v>
      </c>
      <c r="E47" s="6">
        <v>260091</v>
      </c>
      <c r="F47" s="7">
        <v>181.023336</v>
      </c>
      <c r="G47" s="8">
        <v>1.1765436000000001E-2</v>
      </c>
      <c r="H47" s="100"/>
    </row>
    <row r="48" spans="1:8" x14ac:dyDescent="0.2">
      <c r="A48" s="4">
        <v>42</v>
      </c>
      <c r="B48" s="5" t="s">
        <v>56</v>
      </c>
      <c r="C48" s="5" t="s">
        <v>57</v>
      </c>
      <c r="D48" s="5" t="s">
        <v>58</v>
      </c>
      <c r="E48" s="6">
        <v>5800</v>
      </c>
      <c r="F48" s="7">
        <v>179.7594</v>
      </c>
      <c r="G48" s="8">
        <v>1.1683288E-2</v>
      </c>
      <c r="H48" s="100"/>
    </row>
    <row r="49" spans="1:8" x14ac:dyDescent="0.2">
      <c r="A49" s="4">
        <v>43</v>
      </c>
      <c r="B49" s="5" t="s">
        <v>216</v>
      </c>
      <c r="C49" s="5" t="s">
        <v>217</v>
      </c>
      <c r="D49" s="5" t="s">
        <v>1005</v>
      </c>
      <c r="E49" s="6">
        <v>84532</v>
      </c>
      <c r="F49" s="7">
        <v>178.108924</v>
      </c>
      <c r="G49" s="8">
        <v>1.1576016999999999E-2</v>
      </c>
      <c r="H49" s="100"/>
    </row>
    <row r="50" spans="1:8" x14ac:dyDescent="0.2">
      <c r="A50" s="4">
        <v>44</v>
      </c>
      <c r="B50" s="5" t="s">
        <v>218</v>
      </c>
      <c r="C50" s="5" t="s">
        <v>219</v>
      </c>
      <c r="D50" s="5" t="s">
        <v>156</v>
      </c>
      <c r="E50" s="6">
        <v>29381</v>
      </c>
      <c r="F50" s="7">
        <v>170.8358245</v>
      </c>
      <c r="G50" s="8">
        <v>1.1103307999999999E-2</v>
      </c>
      <c r="H50" s="100"/>
    </row>
    <row r="51" spans="1:8" x14ac:dyDescent="0.2">
      <c r="A51" s="4">
        <v>45</v>
      </c>
      <c r="B51" s="5" t="s">
        <v>220</v>
      </c>
      <c r="C51" s="5" t="s">
        <v>221</v>
      </c>
      <c r="D51" s="5" t="s">
        <v>1002</v>
      </c>
      <c r="E51" s="6">
        <v>17937</v>
      </c>
      <c r="F51" s="7">
        <v>167.4508635</v>
      </c>
      <c r="G51" s="8">
        <v>1.0883306000000001E-2</v>
      </c>
      <c r="H51" s="100"/>
    </row>
    <row r="52" spans="1:8" x14ac:dyDescent="0.2">
      <c r="A52" s="4">
        <v>46</v>
      </c>
      <c r="B52" s="5" t="s">
        <v>222</v>
      </c>
      <c r="C52" s="5" t="s">
        <v>950</v>
      </c>
      <c r="D52" s="5" t="s">
        <v>28</v>
      </c>
      <c r="E52" s="6">
        <v>152424</v>
      </c>
      <c r="F52" s="7">
        <v>164.08443600000001</v>
      </c>
      <c r="G52" s="8">
        <v>1.0664509000000001E-2</v>
      </c>
      <c r="H52" s="100"/>
    </row>
    <row r="53" spans="1:8" x14ac:dyDescent="0.2">
      <c r="A53" s="4">
        <v>47</v>
      </c>
      <c r="B53" s="5" t="s">
        <v>224</v>
      </c>
      <c r="C53" s="5" t="s">
        <v>225</v>
      </c>
      <c r="D53" s="5" t="s">
        <v>58</v>
      </c>
      <c r="E53" s="6">
        <v>26372</v>
      </c>
      <c r="F53" s="7">
        <v>163.414098</v>
      </c>
      <c r="G53" s="8">
        <v>1.0620941E-2</v>
      </c>
      <c r="H53" s="100"/>
    </row>
    <row r="54" spans="1:8" x14ac:dyDescent="0.2">
      <c r="A54" s="4">
        <v>48</v>
      </c>
      <c r="B54" s="5" t="s">
        <v>226</v>
      </c>
      <c r="C54" s="5" t="s">
        <v>227</v>
      </c>
      <c r="D54" s="5" t="s">
        <v>228</v>
      </c>
      <c r="E54" s="6">
        <v>103185</v>
      </c>
      <c r="F54" s="7">
        <v>161.53611749999999</v>
      </c>
      <c r="G54" s="8">
        <v>1.0498883000000001E-2</v>
      </c>
      <c r="H54" s="100"/>
    </row>
    <row r="55" spans="1:8" x14ac:dyDescent="0.2">
      <c r="A55" s="4">
        <v>49</v>
      </c>
      <c r="B55" s="5" t="s">
        <v>229</v>
      </c>
      <c r="C55" s="5" t="s">
        <v>230</v>
      </c>
      <c r="D55" s="5" t="s">
        <v>193</v>
      </c>
      <c r="E55" s="6">
        <v>11356</v>
      </c>
      <c r="F55" s="7">
        <v>158.45594600000001</v>
      </c>
      <c r="G55" s="8">
        <v>1.0298689999999999E-2</v>
      </c>
      <c r="H55" s="100"/>
    </row>
    <row r="56" spans="1:8" x14ac:dyDescent="0.2">
      <c r="A56" s="4">
        <v>50</v>
      </c>
      <c r="B56" s="5" t="s">
        <v>231</v>
      </c>
      <c r="C56" s="5" t="s">
        <v>935</v>
      </c>
      <c r="D56" s="5" t="s">
        <v>156</v>
      </c>
      <c r="E56" s="6">
        <v>31375</v>
      </c>
      <c r="F56" s="7">
        <v>156.15337500000001</v>
      </c>
      <c r="G56" s="8">
        <v>1.0149037E-2</v>
      </c>
      <c r="H56" s="100"/>
    </row>
    <row r="57" spans="1:8" ht="25.5" x14ac:dyDescent="0.2">
      <c r="A57" s="4">
        <v>51</v>
      </c>
      <c r="B57" s="5" t="s">
        <v>233</v>
      </c>
      <c r="C57" s="5" t="s">
        <v>234</v>
      </c>
      <c r="D57" s="5" t="s">
        <v>1001</v>
      </c>
      <c r="E57" s="6">
        <v>51529</v>
      </c>
      <c r="F57" s="7">
        <v>145.569425</v>
      </c>
      <c r="G57" s="8">
        <v>9.461143E-3</v>
      </c>
      <c r="H57" s="100"/>
    </row>
    <row r="58" spans="1:8" x14ac:dyDescent="0.2">
      <c r="A58" s="4">
        <v>52</v>
      </c>
      <c r="B58" s="5" t="s">
        <v>235</v>
      </c>
      <c r="C58" s="5" t="s">
        <v>236</v>
      </c>
      <c r="D58" s="5" t="s">
        <v>1005</v>
      </c>
      <c r="E58" s="6">
        <v>33060</v>
      </c>
      <c r="F58" s="7">
        <v>144.52179000000001</v>
      </c>
      <c r="G58" s="8">
        <v>9.3930530000000002E-3</v>
      </c>
      <c r="H58" s="100"/>
    </row>
    <row r="59" spans="1:8" x14ac:dyDescent="0.2">
      <c r="A59" s="4">
        <v>53</v>
      </c>
      <c r="B59" s="5" t="s">
        <v>237</v>
      </c>
      <c r="C59" s="5" t="s">
        <v>951</v>
      </c>
      <c r="D59" s="5" t="s">
        <v>1006</v>
      </c>
      <c r="E59" s="6">
        <v>38759</v>
      </c>
      <c r="F59" s="7">
        <v>143.52457699999999</v>
      </c>
      <c r="G59" s="8">
        <v>9.3282399999999998E-3</v>
      </c>
      <c r="H59" s="100"/>
    </row>
    <row r="60" spans="1:8" x14ac:dyDescent="0.2">
      <c r="A60" s="4">
        <v>54</v>
      </c>
      <c r="B60" s="5" t="s">
        <v>239</v>
      </c>
      <c r="C60" s="5" t="s">
        <v>240</v>
      </c>
      <c r="D60" s="5" t="s">
        <v>58</v>
      </c>
      <c r="E60" s="6">
        <v>30856</v>
      </c>
      <c r="F60" s="7">
        <v>141.05820399999999</v>
      </c>
      <c r="G60" s="8">
        <v>9.1679410000000006E-3</v>
      </c>
      <c r="H60" s="100"/>
    </row>
    <row r="61" spans="1:8" x14ac:dyDescent="0.2">
      <c r="A61" s="4">
        <v>55</v>
      </c>
      <c r="B61" s="5" t="s">
        <v>241</v>
      </c>
      <c r="C61" s="5" t="s">
        <v>242</v>
      </c>
      <c r="D61" s="5" t="s">
        <v>163</v>
      </c>
      <c r="E61" s="6">
        <v>23266</v>
      </c>
      <c r="F61" s="7">
        <v>138.57229599999999</v>
      </c>
      <c r="G61" s="8">
        <v>9.0063720000000003E-3</v>
      </c>
      <c r="H61" s="100"/>
    </row>
    <row r="62" spans="1:8" ht="25.5" x14ac:dyDescent="0.2">
      <c r="A62" s="4">
        <v>56</v>
      </c>
      <c r="B62" s="5" t="s">
        <v>243</v>
      </c>
      <c r="C62" s="5" t="s">
        <v>244</v>
      </c>
      <c r="D62" s="5" t="s">
        <v>1007</v>
      </c>
      <c r="E62" s="6">
        <v>185657</v>
      </c>
      <c r="F62" s="7">
        <v>138.500122</v>
      </c>
      <c r="G62" s="8">
        <v>9.0016809999999992E-3</v>
      </c>
      <c r="H62" s="100"/>
    </row>
    <row r="63" spans="1:8" x14ac:dyDescent="0.2">
      <c r="A63" s="4">
        <v>57</v>
      </c>
      <c r="B63" s="5" t="s">
        <v>245</v>
      </c>
      <c r="C63" s="5" t="s">
        <v>246</v>
      </c>
      <c r="D63" s="5" t="s">
        <v>22</v>
      </c>
      <c r="E63" s="6">
        <v>139624</v>
      </c>
      <c r="F63" s="7">
        <v>126.56915600000001</v>
      </c>
      <c r="G63" s="8">
        <v>8.2262389999999998E-3</v>
      </c>
      <c r="H63" s="100"/>
    </row>
    <row r="64" spans="1:8" x14ac:dyDescent="0.2">
      <c r="A64" s="4">
        <v>58</v>
      </c>
      <c r="B64" s="5" t="s">
        <v>247</v>
      </c>
      <c r="C64" s="5" t="s">
        <v>248</v>
      </c>
      <c r="D64" s="5" t="s">
        <v>1005</v>
      </c>
      <c r="E64" s="6">
        <v>62718</v>
      </c>
      <c r="F64" s="7">
        <v>117.53353199999999</v>
      </c>
      <c r="G64" s="8">
        <v>7.6389780000000003E-3</v>
      </c>
      <c r="H64" s="100"/>
    </row>
    <row r="65" spans="1:8" x14ac:dyDescent="0.2">
      <c r="A65" s="4">
        <v>59</v>
      </c>
      <c r="B65" s="5" t="s">
        <v>249</v>
      </c>
      <c r="C65" s="5" t="s">
        <v>952</v>
      </c>
      <c r="D65" s="5" t="s">
        <v>251</v>
      </c>
      <c r="E65" s="6">
        <v>55475</v>
      </c>
      <c r="F65" s="7">
        <v>117.5237875</v>
      </c>
      <c r="G65" s="8">
        <v>7.638344E-3</v>
      </c>
      <c r="H65" s="100"/>
    </row>
    <row r="66" spans="1:8" x14ac:dyDescent="0.2">
      <c r="A66" s="4">
        <v>60</v>
      </c>
      <c r="B66" s="5" t="s">
        <v>252</v>
      </c>
      <c r="C66" s="5" t="s">
        <v>253</v>
      </c>
      <c r="D66" s="5" t="s">
        <v>53</v>
      </c>
      <c r="E66" s="6">
        <v>143614</v>
      </c>
      <c r="F66" s="7">
        <v>116.686375</v>
      </c>
      <c r="G66" s="8">
        <v>7.5839180000000003E-3</v>
      </c>
      <c r="H66" s="100"/>
    </row>
    <row r="67" spans="1:8" x14ac:dyDescent="0.2">
      <c r="A67" s="4">
        <v>61</v>
      </c>
      <c r="B67" s="5" t="s">
        <v>254</v>
      </c>
      <c r="C67" s="5" t="s">
        <v>255</v>
      </c>
      <c r="D67" s="5" t="s">
        <v>58</v>
      </c>
      <c r="E67" s="6">
        <v>76732</v>
      </c>
      <c r="F67" s="7">
        <v>106.542382</v>
      </c>
      <c r="G67" s="8">
        <v>6.9246189999999999E-3</v>
      </c>
      <c r="H67" s="100"/>
    </row>
    <row r="68" spans="1:8" x14ac:dyDescent="0.2">
      <c r="A68" s="4">
        <v>62</v>
      </c>
      <c r="B68" s="5" t="s">
        <v>256</v>
      </c>
      <c r="C68" s="5" t="s">
        <v>257</v>
      </c>
      <c r="D68" s="5" t="s">
        <v>1005</v>
      </c>
      <c r="E68" s="6">
        <v>96898</v>
      </c>
      <c r="F68" s="7">
        <v>105.085881</v>
      </c>
      <c r="G68" s="8">
        <v>6.8299550000000004E-3</v>
      </c>
      <c r="H68" s="100"/>
    </row>
    <row r="69" spans="1:8" x14ac:dyDescent="0.2">
      <c r="A69" s="4">
        <v>63</v>
      </c>
      <c r="B69" s="5" t="s">
        <v>258</v>
      </c>
      <c r="C69" s="5" t="s">
        <v>259</v>
      </c>
      <c r="D69" s="5" t="s">
        <v>1006</v>
      </c>
      <c r="E69" s="6">
        <v>7069</v>
      </c>
      <c r="F69" s="7">
        <v>104.35611249999999</v>
      </c>
      <c r="G69" s="8">
        <v>6.7825239999999998E-3</v>
      </c>
      <c r="H69" s="100"/>
    </row>
    <row r="70" spans="1:8" x14ac:dyDescent="0.2">
      <c r="A70" s="4">
        <v>64</v>
      </c>
      <c r="B70" s="5" t="s">
        <v>260</v>
      </c>
      <c r="C70" s="5" t="s">
        <v>261</v>
      </c>
      <c r="D70" s="5" t="s">
        <v>58</v>
      </c>
      <c r="E70" s="6">
        <v>65000</v>
      </c>
      <c r="F70" s="7">
        <v>101.2375</v>
      </c>
      <c r="G70" s="8">
        <v>6.5798330000000002E-3</v>
      </c>
      <c r="H70" s="100"/>
    </row>
    <row r="71" spans="1:8" x14ac:dyDescent="0.2">
      <c r="A71" s="4">
        <v>65</v>
      </c>
      <c r="B71" s="5" t="s">
        <v>262</v>
      </c>
      <c r="C71" s="5" t="s">
        <v>263</v>
      </c>
      <c r="D71" s="5" t="s">
        <v>146</v>
      </c>
      <c r="E71" s="6">
        <v>6312</v>
      </c>
      <c r="F71" s="7">
        <v>97.668732000000006</v>
      </c>
      <c r="G71" s="8">
        <v>6.3478839999999998E-3</v>
      </c>
      <c r="H71" s="100"/>
    </row>
    <row r="72" spans="1:8" x14ac:dyDescent="0.2">
      <c r="A72" s="4">
        <v>66</v>
      </c>
      <c r="B72" s="5" t="s">
        <v>59</v>
      </c>
      <c r="C72" s="5" t="s">
        <v>60</v>
      </c>
      <c r="D72" s="5" t="s">
        <v>38</v>
      </c>
      <c r="E72" s="6">
        <v>45310</v>
      </c>
      <c r="F72" s="7">
        <v>85.930414999999996</v>
      </c>
      <c r="G72" s="8">
        <v>5.5849640000000004E-3</v>
      </c>
      <c r="H72" s="100"/>
    </row>
    <row r="73" spans="1:8" x14ac:dyDescent="0.2">
      <c r="A73" s="4">
        <v>67</v>
      </c>
      <c r="B73" s="5" t="s">
        <v>264</v>
      </c>
      <c r="C73" s="5" t="s">
        <v>265</v>
      </c>
      <c r="D73" s="5" t="s">
        <v>193</v>
      </c>
      <c r="E73" s="6">
        <v>8123</v>
      </c>
      <c r="F73" s="7">
        <v>80.068410999999998</v>
      </c>
      <c r="G73" s="8">
        <v>5.2039690000000001E-3</v>
      </c>
      <c r="H73" s="100"/>
    </row>
    <row r="74" spans="1:8" ht="25.5" x14ac:dyDescent="0.2">
      <c r="A74" s="4">
        <v>68</v>
      </c>
      <c r="B74" s="5" t="s">
        <v>266</v>
      </c>
      <c r="C74" s="5" t="s">
        <v>267</v>
      </c>
      <c r="D74" s="5" t="s">
        <v>25</v>
      </c>
      <c r="E74" s="6">
        <v>73000</v>
      </c>
      <c r="F74" s="7">
        <v>73.547499999999999</v>
      </c>
      <c r="G74" s="8">
        <v>4.7801479999999997E-3</v>
      </c>
      <c r="H74" s="100"/>
    </row>
    <row r="75" spans="1:8" x14ac:dyDescent="0.2">
      <c r="A75" s="4">
        <v>69</v>
      </c>
      <c r="B75" s="5" t="s">
        <v>268</v>
      </c>
      <c r="C75" s="5" t="s">
        <v>269</v>
      </c>
      <c r="D75" s="5" t="s">
        <v>1005</v>
      </c>
      <c r="E75" s="6">
        <v>154369</v>
      </c>
      <c r="F75" s="7">
        <v>54.646625999999998</v>
      </c>
      <c r="G75" s="8">
        <v>3.5517040000000001E-3</v>
      </c>
      <c r="H75" s="100"/>
    </row>
    <row r="76" spans="1:8" x14ac:dyDescent="0.2">
      <c r="A76" s="4">
        <v>70</v>
      </c>
      <c r="B76" s="5" t="s">
        <v>270</v>
      </c>
      <c r="C76" s="5" t="s">
        <v>271</v>
      </c>
      <c r="D76" s="5" t="s">
        <v>272</v>
      </c>
      <c r="E76" s="6">
        <v>36502</v>
      </c>
      <c r="F76" s="7">
        <v>47.580356999999999</v>
      </c>
      <c r="G76" s="8">
        <v>3.0924390000000002E-3</v>
      </c>
      <c r="H76" s="100"/>
    </row>
    <row r="77" spans="1:8" ht="25.5" x14ac:dyDescent="0.2">
      <c r="A77" s="4">
        <v>71</v>
      </c>
      <c r="B77" s="5" t="s">
        <v>273</v>
      </c>
      <c r="C77" s="5" t="s">
        <v>274</v>
      </c>
      <c r="D77" s="5" t="s">
        <v>1008</v>
      </c>
      <c r="E77" s="6">
        <v>36623</v>
      </c>
      <c r="F77" s="7">
        <v>32.631093</v>
      </c>
      <c r="G77" s="8">
        <v>2.1208260000000001E-3</v>
      </c>
      <c r="H77" s="100"/>
    </row>
    <row r="78" spans="1:8" x14ac:dyDescent="0.2">
      <c r="A78" s="4">
        <v>72</v>
      </c>
      <c r="B78" s="5" t="s">
        <v>275</v>
      </c>
      <c r="C78" s="5" t="s">
        <v>276</v>
      </c>
      <c r="D78" s="5" t="s">
        <v>228</v>
      </c>
      <c r="E78" s="6">
        <v>39321</v>
      </c>
      <c r="F78" s="7">
        <v>10.852596</v>
      </c>
      <c r="G78" s="8">
        <v>7.0535400000000005E-4</v>
      </c>
      <c r="H78" s="100"/>
    </row>
    <row r="79" spans="1:8" x14ac:dyDescent="0.2">
      <c r="A79" s="15" t="s">
        <v>9</v>
      </c>
      <c r="B79" s="15" t="s">
        <v>9</v>
      </c>
      <c r="C79" s="3" t="s">
        <v>94</v>
      </c>
      <c r="D79" s="15" t="s">
        <v>9</v>
      </c>
      <c r="E79" s="15" t="s">
        <v>9</v>
      </c>
      <c r="F79" s="9">
        <v>14835.333774999999</v>
      </c>
      <c r="G79" s="10">
        <v>0.96420810700000004</v>
      </c>
      <c r="H79" s="100"/>
    </row>
    <row r="80" spans="1:8" x14ac:dyDescent="0.2">
      <c r="A80" s="15" t="s">
        <v>9</v>
      </c>
      <c r="B80" s="15" t="s">
        <v>9</v>
      </c>
      <c r="C80" s="11" t="s">
        <v>9</v>
      </c>
      <c r="D80" s="15" t="s">
        <v>9</v>
      </c>
      <c r="E80" s="15" t="s">
        <v>9</v>
      </c>
      <c r="F80" s="12" t="s">
        <v>9</v>
      </c>
      <c r="G80" s="12" t="s">
        <v>9</v>
      </c>
      <c r="H80" s="100"/>
    </row>
    <row r="81" spans="1:8" x14ac:dyDescent="0.2">
      <c r="A81" s="15" t="s">
        <v>9</v>
      </c>
      <c r="B81" s="15" t="s">
        <v>9</v>
      </c>
      <c r="C81" s="3" t="s">
        <v>95</v>
      </c>
      <c r="D81" s="15" t="s">
        <v>9</v>
      </c>
      <c r="E81" s="15" t="s">
        <v>9</v>
      </c>
      <c r="F81" s="15" t="s">
        <v>9</v>
      </c>
      <c r="G81" s="15" t="s">
        <v>9</v>
      </c>
      <c r="H81" s="100"/>
    </row>
    <row r="82" spans="1:8" x14ac:dyDescent="0.2">
      <c r="A82" s="15" t="s">
        <v>9</v>
      </c>
      <c r="B82" s="15" t="s">
        <v>9</v>
      </c>
      <c r="C82" s="3" t="s">
        <v>94</v>
      </c>
      <c r="D82" s="15" t="s">
        <v>9</v>
      </c>
      <c r="E82" s="15" t="s">
        <v>9</v>
      </c>
      <c r="F82" s="13">
        <v>0</v>
      </c>
      <c r="G82" s="14">
        <v>0</v>
      </c>
      <c r="H82" s="100"/>
    </row>
    <row r="83" spans="1:8" x14ac:dyDescent="0.2">
      <c r="A83" s="15" t="s">
        <v>9</v>
      </c>
      <c r="B83" s="15" t="s">
        <v>9</v>
      </c>
      <c r="C83" s="11" t="s">
        <v>9</v>
      </c>
      <c r="D83" s="15" t="s">
        <v>9</v>
      </c>
      <c r="E83" s="15" t="s">
        <v>9</v>
      </c>
      <c r="F83" s="12" t="s">
        <v>9</v>
      </c>
      <c r="G83" s="12" t="s">
        <v>9</v>
      </c>
      <c r="H83" s="100"/>
    </row>
    <row r="84" spans="1:8" x14ac:dyDescent="0.2">
      <c r="A84" s="15" t="s">
        <v>9</v>
      </c>
      <c r="B84" s="15" t="s">
        <v>9</v>
      </c>
      <c r="C84" s="3" t="s">
        <v>96</v>
      </c>
      <c r="D84" s="15" t="s">
        <v>9</v>
      </c>
      <c r="E84" s="15" t="s">
        <v>9</v>
      </c>
      <c r="F84" s="15" t="s">
        <v>9</v>
      </c>
      <c r="G84" s="15" t="s">
        <v>9</v>
      </c>
      <c r="H84" s="100"/>
    </row>
    <row r="85" spans="1:8" x14ac:dyDescent="0.2">
      <c r="A85" s="15" t="s">
        <v>9</v>
      </c>
      <c r="B85" s="15" t="s">
        <v>9</v>
      </c>
      <c r="C85" s="3" t="s">
        <v>94</v>
      </c>
      <c r="D85" s="15" t="s">
        <v>9</v>
      </c>
      <c r="E85" s="15" t="s">
        <v>9</v>
      </c>
      <c r="F85" s="13">
        <v>0</v>
      </c>
      <c r="G85" s="14">
        <v>0</v>
      </c>
      <c r="H85" s="100"/>
    </row>
    <row r="86" spans="1:8" x14ac:dyDescent="0.2">
      <c r="A86" s="15" t="s">
        <v>9</v>
      </c>
      <c r="B86" s="15" t="s">
        <v>9</v>
      </c>
      <c r="C86" s="11" t="s">
        <v>9</v>
      </c>
      <c r="D86" s="15" t="s">
        <v>9</v>
      </c>
      <c r="E86" s="15" t="s">
        <v>9</v>
      </c>
      <c r="F86" s="12" t="s">
        <v>9</v>
      </c>
      <c r="G86" s="12" t="s">
        <v>9</v>
      </c>
      <c r="H86" s="100"/>
    </row>
    <row r="87" spans="1:8" x14ac:dyDescent="0.2">
      <c r="A87" s="15" t="s">
        <v>9</v>
      </c>
      <c r="B87" s="15" t="s">
        <v>9</v>
      </c>
      <c r="C87" s="3" t="s">
        <v>100</v>
      </c>
      <c r="D87" s="15" t="s">
        <v>9</v>
      </c>
      <c r="E87" s="15" t="s">
        <v>9</v>
      </c>
      <c r="F87" s="15" t="s">
        <v>9</v>
      </c>
      <c r="G87" s="15" t="s">
        <v>9</v>
      </c>
      <c r="H87" s="100"/>
    </row>
    <row r="88" spans="1:8" x14ac:dyDescent="0.2">
      <c r="A88" s="15" t="s">
        <v>9</v>
      </c>
      <c r="B88" s="15" t="s">
        <v>9</v>
      </c>
      <c r="C88" s="3" t="s">
        <v>94</v>
      </c>
      <c r="D88" s="15" t="s">
        <v>9</v>
      </c>
      <c r="E88" s="15" t="s">
        <v>9</v>
      </c>
      <c r="F88" s="13">
        <v>0</v>
      </c>
      <c r="G88" s="14">
        <v>0</v>
      </c>
      <c r="H88" s="100"/>
    </row>
    <row r="89" spans="1:8" x14ac:dyDescent="0.2">
      <c r="A89" s="15" t="s">
        <v>9</v>
      </c>
      <c r="B89" s="15" t="s">
        <v>9</v>
      </c>
      <c r="C89" s="11" t="s">
        <v>9</v>
      </c>
      <c r="D89" s="15" t="s">
        <v>9</v>
      </c>
      <c r="E89" s="15" t="s">
        <v>9</v>
      </c>
      <c r="F89" s="12" t="s">
        <v>9</v>
      </c>
      <c r="G89" s="12" t="s">
        <v>9</v>
      </c>
      <c r="H89" s="100"/>
    </row>
    <row r="90" spans="1:8" x14ac:dyDescent="0.2">
      <c r="A90" s="15" t="s">
        <v>9</v>
      </c>
      <c r="B90" s="15" t="s">
        <v>9</v>
      </c>
      <c r="C90" s="3" t="s">
        <v>101</v>
      </c>
      <c r="D90" s="15" t="s">
        <v>9</v>
      </c>
      <c r="E90" s="15" t="s">
        <v>9</v>
      </c>
      <c r="F90" s="12" t="s">
        <v>9</v>
      </c>
      <c r="G90" s="12" t="s">
        <v>9</v>
      </c>
      <c r="H90" s="100"/>
    </row>
    <row r="91" spans="1:8" x14ac:dyDescent="0.2">
      <c r="A91" s="15" t="s">
        <v>9</v>
      </c>
      <c r="B91" s="15" t="s">
        <v>9</v>
      </c>
      <c r="C91" s="3" t="s">
        <v>94</v>
      </c>
      <c r="D91" s="15" t="s">
        <v>9</v>
      </c>
      <c r="E91" s="15" t="s">
        <v>9</v>
      </c>
      <c r="F91" s="13">
        <v>0</v>
      </c>
      <c r="G91" s="14">
        <v>0</v>
      </c>
      <c r="H91" s="100"/>
    </row>
    <row r="92" spans="1:8" x14ac:dyDescent="0.2">
      <c r="A92" s="15" t="s">
        <v>9</v>
      </c>
      <c r="B92" s="15" t="s">
        <v>9</v>
      </c>
      <c r="C92" s="11" t="s">
        <v>9</v>
      </c>
      <c r="D92" s="15" t="s">
        <v>9</v>
      </c>
      <c r="E92" s="15" t="s">
        <v>9</v>
      </c>
      <c r="F92" s="12" t="s">
        <v>9</v>
      </c>
      <c r="G92" s="12" t="s">
        <v>9</v>
      </c>
      <c r="H92" s="100"/>
    </row>
    <row r="93" spans="1:8" x14ac:dyDescent="0.2">
      <c r="A93" s="15" t="s">
        <v>9</v>
      </c>
      <c r="B93" s="15" t="s">
        <v>9</v>
      </c>
      <c r="C93" s="3" t="s">
        <v>102</v>
      </c>
      <c r="D93" s="15" t="s">
        <v>9</v>
      </c>
      <c r="E93" s="15" t="s">
        <v>9</v>
      </c>
      <c r="F93" s="12" t="s">
        <v>9</v>
      </c>
      <c r="G93" s="12" t="s">
        <v>9</v>
      </c>
      <c r="H93" s="100"/>
    </row>
    <row r="94" spans="1:8" x14ac:dyDescent="0.2">
      <c r="A94" s="15" t="s">
        <v>9</v>
      </c>
      <c r="B94" s="15" t="s">
        <v>9</v>
      </c>
      <c r="C94" s="3" t="s">
        <v>94</v>
      </c>
      <c r="D94" s="15" t="s">
        <v>9</v>
      </c>
      <c r="E94" s="15" t="s">
        <v>9</v>
      </c>
      <c r="F94" s="13">
        <v>0</v>
      </c>
      <c r="G94" s="14">
        <v>0</v>
      </c>
      <c r="H94" s="100"/>
    </row>
    <row r="95" spans="1:8" x14ac:dyDescent="0.2">
      <c r="A95" s="15" t="s">
        <v>9</v>
      </c>
      <c r="B95" s="15" t="s">
        <v>9</v>
      </c>
      <c r="C95" s="11" t="s">
        <v>9</v>
      </c>
      <c r="D95" s="15" t="s">
        <v>9</v>
      </c>
      <c r="E95" s="15" t="s">
        <v>9</v>
      </c>
      <c r="F95" s="12" t="s">
        <v>9</v>
      </c>
      <c r="G95" s="12" t="s">
        <v>9</v>
      </c>
      <c r="H95" s="100"/>
    </row>
    <row r="96" spans="1:8" x14ac:dyDescent="0.2">
      <c r="A96" s="15" t="s">
        <v>9</v>
      </c>
      <c r="B96" s="15" t="s">
        <v>9</v>
      </c>
      <c r="C96" s="3" t="s">
        <v>104</v>
      </c>
      <c r="D96" s="15" t="s">
        <v>9</v>
      </c>
      <c r="E96" s="15" t="s">
        <v>9</v>
      </c>
      <c r="F96" s="9">
        <v>14835.333774999999</v>
      </c>
      <c r="G96" s="10">
        <v>0.96420810700000004</v>
      </c>
      <c r="H96" s="100"/>
    </row>
    <row r="97" spans="1:8" x14ac:dyDescent="0.2">
      <c r="A97" s="15" t="s">
        <v>9</v>
      </c>
      <c r="B97" s="15" t="s">
        <v>9</v>
      </c>
      <c r="C97" s="11" t="s">
        <v>9</v>
      </c>
      <c r="D97" s="15" t="s">
        <v>9</v>
      </c>
      <c r="E97" s="15" t="s">
        <v>9</v>
      </c>
      <c r="F97" s="12" t="s">
        <v>9</v>
      </c>
      <c r="G97" s="12" t="s">
        <v>9</v>
      </c>
      <c r="H97" s="100"/>
    </row>
    <row r="98" spans="1:8" x14ac:dyDescent="0.2">
      <c r="A98" s="15" t="s">
        <v>9</v>
      </c>
      <c r="B98" s="15" t="s">
        <v>9</v>
      </c>
      <c r="C98" s="3" t="s">
        <v>105</v>
      </c>
      <c r="D98" s="15" t="s">
        <v>9</v>
      </c>
      <c r="E98" s="15" t="s">
        <v>9</v>
      </c>
      <c r="F98" s="12" t="s">
        <v>9</v>
      </c>
      <c r="G98" s="12" t="s">
        <v>9</v>
      </c>
      <c r="H98" s="100"/>
    </row>
    <row r="99" spans="1:8" ht="25.5" x14ac:dyDescent="0.2">
      <c r="A99" s="15" t="s">
        <v>9</v>
      </c>
      <c r="B99" s="15" t="s">
        <v>9</v>
      </c>
      <c r="C99" s="3" t="s">
        <v>11</v>
      </c>
      <c r="D99" s="15" t="s">
        <v>9</v>
      </c>
      <c r="E99" s="15" t="s">
        <v>9</v>
      </c>
      <c r="F99" s="12" t="s">
        <v>9</v>
      </c>
      <c r="G99" s="12" t="s">
        <v>9</v>
      </c>
      <c r="H99" s="100"/>
    </row>
    <row r="100" spans="1:8" x14ac:dyDescent="0.2">
      <c r="A100" s="15" t="s">
        <v>9</v>
      </c>
      <c r="B100" s="15" t="s">
        <v>9</v>
      </c>
      <c r="C100" s="3" t="s">
        <v>94</v>
      </c>
      <c r="D100" s="15" t="s">
        <v>9</v>
      </c>
      <c r="E100" s="15" t="s">
        <v>9</v>
      </c>
      <c r="F100" s="13">
        <v>0</v>
      </c>
      <c r="G100" s="14">
        <v>0</v>
      </c>
      <c r="H100" s="100"/>
    </row>
    <row r="101" spans="1:8" x14ac:dyDescent="0.2">
      <c r="A101" s="15" t="s">
        <v>9</v>
      </c>
      <c r="B101" s="15" t="s">
        <v>9</v>
      </c>
      <c r="C101" s="11" t="s">
        <v>9</v>
      </c>
      <c r="D101" s="15" t="s">
        <v>9</v>
      </c>
      <c r="E101" s="15" t="s">
        <v>9</v>
      </c>
      <c r="F101" s="12" t="s">
        <v>9</v>
      </c>
      <c r="G101" s="12" t="s">
        <v>9</v>
      </c>
      <c r="H101" s="100"/>
    </row>
    <row r="102" spans="1:8" x14ac:dyDescent="0.2">
      <c r="A102" s="15" t="s">
        <v>9</v>
      </c>
      <c r="B102" s="15" t="s">
        <v>9</v>
      </c>
      <c r="C102" s="3" t="s">
        <v>106</v>
      </c>
      <c r="D102" s="15" t="s">
        <v>9</v>
      </c>
      <c r="E102" s="15" t="s">
        <v>9</v>
      </c>
      <c r="F102" s="15" t="s">
        <v>9</v>
      </c>
      <c r="G102" s="15" t="s">
        <v>9</v>
      </c>
      <c r="H102" s="100"/>
    </row>
    <row r="103" spans="1:8" x14ac:dyDescent="0.2">
      <c r="A103" s="15" t="s">
        <v>9</v>
      </c>
      <c r="B103" s="15" t="s">
        <v>9</v>
      </c>
      <c r="C103" s="3" t="s">
        <v>94</v>
      </c>
      <c r="D103" s="15" t="s">
        <v>9</v>
      </c>
      <c r="E103" s="15" t="s">
        <v>9</v>
      </c>
      <c r="F103" s="13">
        <v>0</v>
      </c>
      <c r="G103" s="14">
        <v>0</v>
      </c>
      <c r="H103" s="100"/>
    </row>
    <row r="104" spans="1:8" x14ac:dyDescent="0.2">
      <c r="A104" s="15" t="s">
        <v>9</v>
      </c>
      <c r="B104" s="15" t="s">
        <v>9</v>
      </c>
      <c r="C104" s="11" t="s">
        <v>9</v>
      </c>
      <c r="D104" s="15" t="s">
        <v>9</v>
      </c>
      <c r="E104" s="15" t="s">
        <v>9</v>
      </c>
      <c r="F104" s="12" t="s">
        <v>9</v>
      </c>
      <c r="G104" s="12" t="s">
        <v>9</v>
      </c>
      <c r="H104" s="100"/>
    </row>
    <row r="105" spans="1:8" x14ac:dyDescent="0.2">
      <c r="A105" s="15" t="s">
        <v>9</v>
      </c>
      <c r="B105" s="15" t="s">
        <v>9</v>
      </c>
      <c r="C105" s="3" t="s">
        <v>107</v>
      </c>
      <c r="D105" s="15" t="s">
        <v>9</v>
      </c>
      <c r="E105" s="15" t="s">
        <v>9</v>
      </c>
      <c r="F105" s="15" t="s">
        <v>9</v>
      </c>
      <c r="G105" s="15" t="s">
        <v>9</v>
      </c>
      <c r="H105" s="100"/>
    </row>
    <row r="106" spans="1:8" x14ac:dyDescent="0.2">
      <c r="A106" s="15" t="s">
        <v>9</v>
      </c>
      <c r="B106" s="15" t="s">
        <v>9</v>
      </c>
      <c r="C106" s="3" t="s">
        <v>94</v>
      </c>
      <c r="D106" s="15" t="s">
        <v>9</v>
      </c>
      <c r="E106" s="15" t="s">
        <v>9</v>
      </c>
      <c r="F106" s="13">
        <v>0</v>
      </c>
      <c r="G106" s="14">
        <v>0</v>
      </c>
      <c r="H106" s="100"/>
    </row>
    <row r="107" spans="1:8" x14ac:dyDescent="0.2">
      <c r="A107" s="15" t="s">
        <v>9</v>
      </c>
      <c r="B107" s="15" t="s">
        <v>9</v>
      </c>
      <c r="C107" s="11" t="s">
        <v>9</v>
      </c>
      <c r="D107" s="15" t="s">
        <v>9</v>
      </c>
      <c r="E107" s="15" t="s">
        <v>9</v>
      </c>
      <c r="F107" s="12" t="s">
        <v>9</v>
      </c>
      <c r="G107" s="12" t="s">
        <v>9</v>
      </c>
      <c r="H107" s="100"/>
    </row>
    <row r="108" spans="1:8" x14ac:dyDescent="0.2">
      <c r="A108" s="15" t="s">
        <v>9</v>
      </c>
      <c r="B108" s="15" t="s">
        <v>9</v>
      </c>
      <c r="C108" s="3" t="s">
        <v>108</v>
      </c>
      <c r="D108" s="15" t="s">
        <v>9</v>
      </c>
      <c r="E108" s="15" t="s">
        <v>9</v>
      </c>
      <c r="F108" s="12" t="s">
        <v>9</v>
      </c>
      <c r="G108" s="12" t="s">
        <v>9</v>
      </c>
      <c r="H108" s="100"/>
    </row>
    <row r="109" spans="1:8" x14ac:dyDescent="0.2">
      <c r="A109" s="15" t="s">
        <v>9</v>
      </c>
      <c r="B109" s="15" t="s">
        <v>9</v>
      </c>
      <c r="C109" s="3" t="s">
        <v>94</v>
      </c>
      <c r="D109" s="15" t="s">
        <v>9</v>
      </c>
      <c r="E109" s="15" t="s">
        <v>9</v>
      </c>
      <c r="F109" s="13">
        <v>0</v>
      </c>
      <c r="G109" s="14">
        <v>0</v>
      </c>
      <c r="H109" s="100"/>
    </row>
    <row r="110" spans="1:8" x14ac:dyDescent="0.2">
      <c r="A110" s="15" t="s">
        <v>9</v>
      </c>
      <c r="B110" s="15" t="s">
        <v>9</v>
      </c>
      <c r="C110" s="11" t="s">
        <v>9</v>
      </c>
      <c r="D110" s="15" t="s">
        <v>9</v>
      </c>
      <c r="E110" s="15" t="s">
        <v>9</v>
      </c>
      <c r="F110" s="12" t="s">
        <v>9</v>
      </c>
      <c r="G110" s="12" t="s">
        <v>9</v>
      </c>
      <c r="H110" s="100"/>
    </row>
    <row r="111" spans="1:8" x14ac:dyDescent="0.2">
      <c r="A111" s="15" t="s">
        <v>9</v>
      </c>
      <c r="B111" s="15" t="s">
        <v>9</v>
      </c>
      <c r="C111" s="3" t="s">
        <v>109</v>
      </c>
      <c r="D111" s="15" t="s">
        <v>9</v>
      </c>
      <c r="E111" s="15" t="s">
        <v>9</v>
      </c>
      <c r="F111" s="9">
        <v>0</v>
      </c>
      <c r="G111" s="10">
        <v>0</v>
      </c>
      <c r="H111" s="100"/>
    </row>
    <row r="112" spans="1:8" x14ac:dyDescent="0.2">
      <c r="A112" s="15" t="s">
        <v>9</v>
      </c>
      <c r="B112" s="15" t="s">
        <v>9</v>
      </c>
      <c r="C112" s="11" t="s">
        <v>9</v>
      </c>
      <c r="D112" s="15" t="s">
        <v>9</v>
      </c>
      <c r="E112" s="15" t="s">
        <v>9</v>
      </c>
      <c r="F112" s="12" t="s">
        <v>9</v>
      </c>
      <c r="G112" s="12" t="s">
        <v>9</v>
      </c>
      <c r="H112" s="100"/>
    </row>
    <row r="113" spans="1:8" x14ac:dyDescent="0.2">
      <c r="A113" s="15" t="s">
        <v>9</v>
      </c>
      <c r="B113" s="15" t="s">
        <v>9</v>
      </c>
      <c r="C113" s="3" t="s">
        <v>110</v>
      </c>
      <c r="D113" s="15" t="s">
        <v>9</v>
      </c>
      <c r="E113" s="15" t="s">
        <v>9</v>
      </c>
      <c r="F113" s="12" t="s">
        <v>9</v>
      </c>
      <c r="G113" s="12" t="s">
        <v>9</v>
      </c>
      <c r="H113" s="100"/>
    </row>
    <row r="114" spans="1:8" x14ac:dyDescent="0.2">
      <c r="A114" s="15" t="s">
        <v>9</v>
      </c>
      <c r="B114" s="15" t="s">
        <v>9</v>
      </c>
      <c r="C114" s="3" t="s">
        <v>111</v>
      </c>
      <c r="D114" s="15" t="s">
        <v>9</v>
      </c>
      <c r="E114" s="15" t="s">
        <v>9</v>
      </c>
      <c r="F114" s="12" t="s">
        <v>9</v>
      </c>
      <c r="G114" s="12" t="s">
        <v>9</v>
      </c>
      <c r="H114" s="100"/>
    </row>
    <row r="115" spans="1:8" x14ac:dyDescent="0.2">
      <c r="A115" s="15" t="s">
        <v>9</v>
      </c>
      <c r="B115" s="15" t="s">
        <v>9</v>
      </c>
      <c r="C115" s="3" t="s">
        <v>94</v>
      </c>
      <c r="D115" s="15" t="s">
        <v>9</v>
      </c>
      <c r="E115" s="15" t="s">
        <v>9</v>
      </c>
      <c r="F115" s="13">
        <v>0</v>
      </c>
      <c r="G115" s="14">
        <v>0</v>
      </c>
      <c r="H115" s="100"/>
    </row>
    <row r="116" spans="1:8" x14ac:dyDescent="0.2">
      <c r="A116" s="15" t="s">
        <v>9</v>
      </c>
      <c r="B116" s="15" t="s">
        <v>9</v>
      </c>
      <c r="C116" s="11" t="s">
        <v>9</v>
      </c>
      <c r="D116" s="15" t="s">
        <v>9</v>
      </c>
      <c r="E116" s="15" t="s">
        <v>9</v>
      </c>
      <c r="F116" s="12" t="s">
        <v>9</v>
      </c>
      <c r="G116" s="12" t="s">
        <v>9</v>
      </c>
      <c r="H116" s="100"/>
    </row>
    <row r="117" spans="1:8" x14ac:dyDescent="0.2">
      <c r="A117" s="15" t="s">
        <v>9</v>
      </c>
      <c r="B117" s="15" t="s">
        <v>9</v>
      </c>
      <c r="C117" s="3" t="s">
        <v>112</v>
      </c>
      <c r="D117" s="15" t="s">
        <v>9</v>
      </c>
      <c r="E117" s="15" t="s">
        <v>9</v>
      </c>
      <c r="F117" s="12" t="s">
        <v>9</v>
      </c>
      <c r="G117" s="12" t="s">
        <v>9</v>
      </c>
      <c r="H117" s="100"/>
    </row>
    <row r="118" spans="1:8" x14ac:dyDescent="0.2">
      <c r="A118" s="15" t="s">
        <v>9</v>
      </c>
      <c r="B118" s="15" t="s">
        <v>9</v>
      </c>
      <c r="C118" s="3" t="s">
        <v>94</v>
      </c>
      <c r="D118" s="15" t="s">
        <v>9</v>
      </c>
      <c r="E118" s="15" t="s">
        <v>9</v>
      </c>
      <c r="F118" s="13">
        <v>0</v>
      </c>
      <c r="G118" s="14">
        <v>0</v>
      </c>
      <c r="H118" s="100"/>
    </row>
    <row r="119" spans="1:8" x14ac:dyDescent="0.2">
      <c r="A119" s="15" t="s">
        <v>9</v>
      </c>
      <c r="B119" s="15" t="s">
        <v>9</v>
      </c>
      <c r="C119" s="11" t="s">
        <v>9</v>
      </c>
      <c r="D119" s="15" t="s">
        <v>9</v>
      </c>
      <c r="E119" s="15" t="s">
        <v>9</v>
      </c>
      <c r="F119" s="12" t="s">
        <v>9</v>
      </c>
      <c r="G119" s="12" t="s">
        <v>9</v>
      </c>
      <c r="H119" s="100"/>
    </row>
    <row r="120" spans="1:8" x14ac:dyDescent="0.2">
      <c r="A120" s="15" t="s">
        <v>9</v>
      </c>
      <c r="B120" s="15" t="s">
        <v>9</v>
      </c>
      <c r="C120" s="3" t="s">
        <v>113</v>
      </c>
      <c r="D120" s="15" t="s">
        <v>9</v>
      </c>
      <c r="E120" s="15" t="s">
        <v>9</v>
      </c>
      <c r="F120" s="12" t="s">
        <v>9</v>
      </c>
      <c r="G120" s="12" t="s">
        <v>9</v>
      </c>
      <c r="H120" s="100"/>
    </row>
    <row r="121" spans="1:8" x14ac:dyDescent="0.2">
      <c r="A121" s="15" t="s">
        <v>9</v>
      </c>
      <c r="B121" s="15" t="s">
        <v>9</v>
      </c>
      <c r="C121" s="3" t="s">
        <v>94</v>
      </c>
      <c r="D121" s="15" t="s">
        <v>9</v>
      </c>
      <c r="E121" s="15" t="s">
        <v>9</v>
      </c>
      <c r="F121" s="13">
        <v>0</v>
      </c>
      <c r="G121" s="14">
        <v>0</v>
      </c>
      <c r="H121" s="100"/>
    </row>
    <row r="122" spans="1:8" x14ac:dyDescent="0.2">
      <c r="A122" s="15" t="s">
        <v>9</v>
      </c>
      <c r="B122" s="15" t="s">
        <v>9</v>
      </c>
      <c r="C122" s="11" t="s">
        <v>9</v>
      </c>
      <c r="D122" s="15" t="s">
        <v>9</v>
      </c>
      <c r="E122" s="15" t="s">
        <v>9</v>
      </c>
      <c r="F122" s="12" t="s">
        <v>9</v>
      </c>
      <c r="G122" s="12" t="s">
        <v>9</v>
      </c>
      <c r="H122" s="100"/>
    </row>
    <row r="123" spans="1:8" x14ac:dyDescent="0.2">
      <c r="A123" s="15" t="s">
        <v>9</v>
      </c>
      <c r="B123" s="15" t="s">
        <v>9</v>
      </c>
      <c r="C123" s="3" t="s">
        <v>114</v>
      </c>
      <c r="D123" s="15" t="s">
        <v>9</v>
      </c>
      <c r="E123" s="15" t="s">
        <v>9</v>
      </c>
      <c r="F123" s="12" t="s">
        <v>9</v>
      </c>
      <c r="G123" s="12" t="s">
        <v>9</v>
      </c>
      <c r="H123" s="100"/>
    </row>
    <row r="124" spans="1:8" x14ac:dyDescent="0.2">
      <c r="A124" s="4">
        <v>1</v>
      </c>
      <c r="B124" s="5"/>
      <c r="C124" s="5" t="s">
        <v>115</v>
      </c>
      <c r="D124" s="5"/>
      <c r="E124" s="15" t="s">
        <v>9</v>
      </c>
      <c r="F124" s="7">
        <v>473.66830720000002</v>
      </c>
      <c r="G124" s="8">
        <v>3.0785612E-2</v>
      </c>
      <c r="H124" s="99">
        <v>3.2516689338443991</v>
      </c>
    </row>
    <row r="125" spans="1:8" x14ac:dyDescent="0.2">
      <c r="A125" s="4">
        <v>2</v>
      </c>
      <c r="B125" s="5"/>
      <c r="C125" s="5" t="s">
        <v>116</v>
      </c>
      <c r="D125" s="5"/>
      <c r="E125" s="15" t="s">
        <v>9</v>
      </c>
      <c r="F125" s="7">
        <v>64.896916899999994</v>
      </c>
      <c r="G125" s="8">
        <v>4.2179119999999999E-3</v>
      </c>
      <c r="H125" s="100">
        <v>3.350000000000001</v>
      </c>
    </row>
    <row r="126" spans="1:8" x14ac:dyDescent="0.2">
      <c r="A126" s="15" t="s">
        <v>9</v>
      </c>
      <c r="B126" s="15" t="s">
        <v>9</v>
      </c>
      <c r="C126" s="3" t="s">
        <v>94</v>
      </c>
      <c r="D126" s="15" t="s">
        <v>9</v>
      </c>
      <c r="E126" s="15" t="s">
        <v>9</v>
      </c>
      <c r="F126" s="9">
        <v>538.56522410000002</v>
      </c>
      <c r="G126" s="10">
        <v>3.5003524000000001E-2</v>
      </c>
      <c r="H126" s="100"/>
    </row>
    <row r="127" spans="1:8" x14ac:dyDescent="0.2">
      <c r="A127" s="15" t="s">
        <v>9</v>
      </c>
      <c r="B127" s="15" t="s">
        <v>9</v>
      </c>
      <c r="C127" s="11" t="s">
        <v>9</v>
      </c>
      <c r="D127" s="15" t="s">
        <v>9</v>
      </c>
      <c r="E127" s="15" t="s">
        <v>9</v>
      </c>
      <c r="F127" s="12" t="s">
        <v>9</v>
      </c>
      <c r="G127" s="12" t="s">
        <v>9</v>
      </c>
      <c r="H127" s="100"/>
    </row>
    <row r="128" spans="1:8" x14ac:dyDescent="0.2">
      <c r="A128" s="15" t="s">
        <v>9</v>
      </c>
      <c r="B128" s="15" t="s">
        <v>9</v>
      </c>
      <c r="C128" s="3" t="s">
        <v>117</v>
      </c>
      <c r="D128" s="15" t="s">
        <v>9</v>
      </c>
      <c r="E128" s="15" t="s">
        <v>9</v>
      </c>
      <c r="F128" s="9">
        <v>538.56522410000002</v>
      </c>
      <c r="G128" s="10">
        <v>3.5003524000000001E-2</v>
      </c>
      <c r="H128" s="100"/>
    </row>
    <row r="129" spans="1:8" x14ac:dyDescent="0.2">
      <c r="A129" s="15" t="s">
        <v>9</v>
      </c>
      <c r="B129" s="15" t="s">
        <v>9</v>
      </c>
      <c r="C129" s="12" t="s">
        <v>9</v>
      </c>
      <c r="D129" s="15" t="s">
        <v>9</v>
      </c>
      <c r="E129" s="15" t="s">
        <v>9</v>
      </c>
      <c r="F129" s="15" t="s">
        <v>9</v>
      </c>
      <c r="G129" s="15" t="s">
        <v>9</v>
      </c>
      <c r="H129" s="100"/>
    </row>
    <row r="130" spans="1:8" x14ac:dyDescent="0.2">
      <c r="A130" s="15" t="s">
        <v>9</v>
      </c>
      <c r="B130" s="15" t="s">
        <v>9</v>
      </c>
      <c r="C130" s="3" t="s">
        <v>118</v>
      </c>
      <c r="D130" s="15" t="s">
        <v>9</v>
      </c>
      <c r="E130" s="15" t="s">
        <v>9</v>
      </c>
      <c r="F130" s="15" t="s">
        <v>9</v>
      </c>
      <c r="G130" s="15" t="s">
        <v>9</v>
      </c>
      <c r="H130" s="100"/>
    </row>
    <row r="131" spans="1:8" x14ac:dyDescent="0.2">
      <c r="A131" s="15" t="s">
        <v>9</v>
      </c>
      <c r="B131" s="15" t="s">
        <v>9</v>
      </c>
      <c r="C131" s="3" t="s">
        <v>119</v>
      </c>
      <c r="D131" s="15" t="s">
        <v>9</v>
      </c>
      <c r="E131" s="15" t="s">
        <v>9</v>
      </c>
      <c r="F131" s="15" t="s">
        <v>9</v>
      </c>
      <c r="G131" s="15" t="s">
        <v>9</v>
      </c>
      <c r="H131" s="100"/>
    </row>
    <row r="132" spans="1:8" x14ac:dyDescent="0.2">
      <c r="A132" s="15" t="s">
        <v>9</v>
      </c>
      <c r="B132" s="15" t="s">
        <v>9</v>
      </c>
      <c r="C132" s="3" t="s">
        <v>94</v>
      </c>
      <c r="D132" s="15" t="s">
        <v>9</v>
      </c>
      <c r="E132" s="15" t="s">
        <v>9</v>
      </c>
      <c r="F132" s="13">
        <v>0</v>
      </c>
      <c r="G132" s="14">
        <v>0</v>
      </c>
      <c r="H132" s="100"/>
    </row>
    <row r="133" spans="1:8" x14ac:dyDescent="0.2">
      <c r="A133" s="15" t="s">
        <v>9</v>
      </c>
      <c r="B133" s="15" t="s">
        <v>9</v>
      </c>
      <c r="C133" s="11" t="s">
        <v>9</v>
      </c>
      <c r="D133" s="15" t="s">
        <v>9</v>
      </c>
      <c r="E133" s="15" t="s">
        <v>9</v>
      </c>
      <c r="F133" s="12" t="s">
        <v>9</v>
      </c>
      <c r="G133" s="12" t="s">
        <v>9</v>
      </c>
      <c r="H133" s="100"/>
    </row>
    <row r="134" spans="1:8" x14ac:dyDescent="0.2">
      <c r="A134" s="15" t="s">
        <v>9</v>
      </c>
      <c r="B134" s="15" t="s">
        <v>9</v>
      </c>
      <c r="C134" s="3" t="s">
        <v>120</v>
      </c>
      <c r="D134" s="15" t="s">
        <v>9</v>
      </c>
      <c r="E134" s="15" t="s">
        <v>9</v>
      </c>
      <c r="F134" s="15" t="s">
        <v>9</v>
      </c>
      <c r="G134" s="15" t="s">
        <v>9</v>
      </c>
      <c r="H134" s="100"/>
    </row>
    <row r="135" spans="1:8" x14ac:dyDescent="0.2">
      <c r="A135" s="15" t="s">
        <v>9</v>
      </c>
      <c r="B135" s="15" t="s">
        <v>9</v>
      </c>
      <c r="C135" s="3" t="s">
        <v>121</v>
      </c>
      <c r="D135" s="15" t="s">
        <v>9</v>
      </c>
      <c r="E135" s="15" t="s">
        <v>9</v>
      </c>
      <c r="F135" s="15" t="s">
        <v>9</v>
      </c>
      <c r="G135" s="15" t="s">
        <v>9</v>
      </c>
      <c r="H135" s="100"/>
    </row>
    <row r="136" spans="1:8" x14ac:dyDescent="0.2">
      <c r="A136" s="15" t="s">
        <v>9</v>
      </c>
      <c r="B136" s="15" t="s">
        <v>9</v>
      </c>
      <c r="C136" s="3" t="s">
        <v>94</v>
      </c>
      <c r="D136" s="15" t="s">
        <v>9</v>
      </c>
      <c r="E136" s="15" t="s">
        <v>9</v>
      </c>
      <c r="F136" s="13">
        <v>0</v>
      </c>
      <c r="G136" s="14">
        <v>0</v>
      </c>
      <c r="H136" s="100"/>
    </row>
    <row r="137" spans="1:8" x14ac:dyDescent="0.2">
      <c r="A137" s="15" t="s">
        <v>9</v>
      </c>
      <c r="B137" s="15" t="s">
        <v>9</v>
      </c>
      <c r="C137" s="11" t="s">
        <v>9</v>
      </c>
      <c r="D137" s="15" t="s">
        <v>9</v>
      </c>
      <c r="E137" s="15" t="s">
        <v>9</v>
      </c>
      <c r="F137" s="12" t="s">
        <v>9</v>
      </c>
      <c r="G137" s="12" t="s">
        <v>9</v>
      </c>
      <c r="H137" s="100"/>
    </row>
    <row r="138" spans="1:8" x14ac:dyDescent="0.2">
      <c r="A138" s="15" t="s">
        <v>9</v>
      </c>
      <c r="B138" s="15" t="s">
        <v>9</v>
      </c>
      <c r="C138" s="11" t="s">
        <v>9</v>
      </c>
      <c r="D138" s="15" t="s">
        <v>9</v>
      </c>
      <c r="E138" s="15" t="s">
        <v>9</v>
      </c>
      <c r="F138" s="12" t="s">
        <v>9</v>
      </c>
      <c r="G138" s="12" t="s">
        <v>9</v>
      </c>
      <c r="H138" s="100"/>
    </row>
    <row r="139" spans="1:8" ht="25.5" x14ac:dyDescent="0.2">
      <c r="A139" s="15" t="s">
        <v>9</v>
      </c>
      <c r="B139" s="15" t="s">
        <v>9</v>
      </c>
      <c r="C139" s="3" t="s">
        <v>122</v>
      </c>
      <c r="D139" s="15" t="s">
        <v>9</v>
      </c>
      <c r="E139" s="15" t="s">
        <v>9</v>
      </c>
      <c r="F139" s="12" t="s">
        <v>9</v>
      </c>
      <c r="G139" s="12" t="s">
        <v>9</v>
      </c>
      <c r="H139" s="100"/>
    </row>
    <row r="140" spans="1:8" x14ac:dyDescent="0.2">
      <c r="A140" s="15" t="s">
        <v>9</v>
      </c>
      <c r="B140" s="15" t="s">
        <v>9</v>
      </c>
      <c r="C140" s="3" t="s">
        <v>94</v>
      </c>
      <c r="D140" s="15" t="s">
        <v>9</v>
      </c>
      <c r="E140" s="15" t="s">
        <v>9</v>
      </c>
      <c r="F140" s="13">
        <v>0</v>
      </c>
      <c r="G140" s="14">
        <v>0</v>
      </c>
      <c r="H140" s="100"/>
    </row>
    <row r="141" spans="1:8" x14ac:dyDescent="0.2">
      <c r="A141" s="15" t="s">
        <v>9</v>
      </c>
      <c r="B141" s="15" t="s">
        <v>9</v>
      </c>
      <c r="C141" s="11" t="s">
        <v>9</v>
      </c>
      <c r="D141" s="15" t="s">
        <v>9</v>
      </c>
      <c r="E141" s="15" t="s">
        <v>9</v>
      </c>
      <c r="F141" s="12" t="s">
        <v>9</v>
      </c>
      <c r="G141" s="12" t="s">
        <v>9</v>
      </c>
      <c r="H141" s="100"/>
    </row>
    <row r="142" spans="1:8" x14ac:dyDescent="0.2">
      <c r="A142" s="15" t="s">
        <v>9</v>
      </c>
      <c r="B142" s="5" t="s">
        <v>9</v>
      </c>
      <c r="C142" s="5" t="s">
        <v>9</v>
      </c>
      <c r="D142" s="3" t="s">
        <v>9</v>
      </c>
      <c r="E142" s="15" t="s">
        <v>9</v>
      </c>
      <c r="F142" s="5" t="s">
        <v>9</v>
      </c>
      <c r="G142" s="15" t="s">
        <v>9</v>
      </c>
      <c r="H142" s="100"/>
    </row>
    <row r="143" spans="1:8" x14ac:dyDescent="0.2">
      <c r="A143" s="15" t="s">
        <v>9</v>
      </c>
      <c r="B143" s="5" t="s">
        <v>9</v>
      </c>
      <c r="C143" s="5" t="s">
        <v>124</v>
      </c>
      <c r="D143" s="5" t="s">
        <v>9</v>
      </c>
      <c r="E143" s="15" t="s">
        <v>9</v>
      </c>
      <c r="F143" s="7">
        <v>12.129854229999999</v>
      </c>
      <c r="G143" s="8">
        <v>7.8836800000000001E-4</v>
      </c>
      <c r="H143" s="100"/>
    </row>
    <row r="144" spans="1:8" x14ac:dyDescent="0.2">
      <c r="A144" s="11" t="s">
        <v>9</v>
      </c>
      <c r="B144" s="11" t="s">
        <v>9</v>
      </c>
      <c r="C144" s="3" t="s">
        <v>125</v>
      </c>
      <c r="D144" s="16" t="s">
        <v>9</v>
      </c>
      <c r="E144" s="16" t="s">
        <v>9</v>
      </c>
      <c r="F144" s="9">
        <v>15386.028853330001</v>
      </c>
      <c r="G144" s="10">
        <v>0.99999999900000003</v>
      </c>
      <c r="H144" s="100"/>
    </row>
    <row r="145" spans="1:8" x14ac:dyDescent="0.2">
      <c r="A145" s="17" t="s">
        <v>9</v>
      </c>
      <c r="B145" s="17" t="s">
        <v>9</v>
      </c>
      <c r="C145" s="17" t="s">
        <v>9</v>
      </c>
      <c r="D145" s="18" t="s">
        <v>9</v>
      </c>
      <c r="E145" s="18" t="s">
        <v>9</v>
      </c>
      <c r="F145" s="18" t="s">
        <v>9</v>
      </c>
      <c r="G145" s="18" t="s">
        <v>9</v>
      </c>
      <c r="H145" s="142"/>
    </row>
    <row r="146" spans="1:8" x14ac:dyDescent="0.2">
      <c r="A146" s="19" t="s">
        <v>9</v>
      </c>
      <c r="B146" s="254" t="s">
        <v>9</v>
      </c>
      <c r="C146" s="254"/>
      <c r="D146" s="254"/>
      <c r="E146" s="254"/>
      <c r="F146" s="254"/>
      <c r="G146" s="20" t="s">
        <v>9</v>
      </c>
      <c r="H146" s="142"/>
    </row>
    <row r="147" spans="1:8" x14ac:dyDescent="0.2">
      <c r="A147" s="19" t="s">
        <v>9</v>
      </c>
      <c r="B147" s="254" t="s">
        <v>9</v>
      </c>
      <c r="C147" s="254"/>
      <c r="D147" s="254"/>
      <c r="E147" s="254"/>
      <c r="F147" s="254"/>
      <c r="G147" s="20" t="s">
        <v>9</v>
      </c>
      <c r="H147" s="142"/>
    </row>
    <row r="148" spans="1:8" x14ac:dyDescent="0.2">
      <c r="A148" s="19" t="s">
        <v>9</v>
      </c>
      <c r="B148" s="19" t="s">
        <v>9</v>
      </c>
      <c r="C148" s="19" t="s">
        <v>9</v>
      </c>
      <c r="D148" s="20" t="s">
        <v>9</v>
      </c>
      <c r="E148" s="20" t="s">
        <v>9</v>
      </c>
      <c r="F148" s="20" t="s">
        <v>9</v>
      </c>
      <c r="G148" s="20" t="s">
        <v>9</v>
      </c>
      <c r="H148" s="142"/>
    </row>
    <row r="149" spans="1:8" x14ac:dyDescent="0.2">
      <c r="A149" s="19" t="s">
        <v>9</v>
      </c>
      <c r="B149" s="247" t="s">
        <v>127</v>
      </c>
      <c r="C149" s="248"/>
      <c r="D149" s="182" t="s">
        <v>9</v>
      </c>
      <c r="E149" s="21" t="s">
        <v>9</v>
      </c>
      <c r="F149" s="20" t="s">
        <v>9</v>
      </c>
      <c r="G149" s="20" t="s">
        <v>9</v>
      </c>
      <c r="H149" s="142"/>
    </row>
    <row r="150" spans="1:8" ht="28.5" customHeight="1" x14ac:dyDescent="0.2">
      <c r="A150" s="19" t="s">
        <v>9</v>
      </c>
      <c r="B150" s="242" t="s">
        <v>128</v>
      </c>
      <c r="C150" s="243"/>
      <c r="D150" s="3" t="s">
        <v>129</v>
      </c>
      <c r="E150" s="21" t="s">
        <v>9</v>
      </c>
      <c r="F150" s="20" t="s">
        <v>9</v>
      </c>
      <c r="G150" s="20" t="s">
        <v>9</v>
      </c>
      <c r="H150" s="142"/>
    </row>
    <row r="151" spans="1:8" x14ac:dyDescent="0.2">
      <c r="A151" s="19" t="s">
        <v>9</v>
      </c>
      <c r="B151" s="240" t="s">
        <v>130</v>
      </c>
      <c r="C151" s="241"/>
      <c r="D151" s="177" t="s">
        <v>129</v>
      </c>
      <c r="E151" s="21" t="s">
        <v>9</v>
      </c>
      <c r="F151" s="20" t="s">
        <v>9</v>
      </c>
      <c r="G151" s="20" t="s">
        <v>9</v>
      </c>
      <c r="H151" s="142"/>
    </row>
    <row r="152" spans="1:8" x14ac:dyDescent="0.2">
      <c r="A152" s="19" t="s">
        <v>9</v>
      </c>
      <c r="B152" s="240" t="s">
        <v>131</v>
      </c>
      <c r="C152" s="241"/>
      <c r="D152" s="182" t="s">
        <v>9</v>
      </c>
      <c r="E152" s="21" t="s">
        <v>9</v>
      </c>
      <c r="F152" s="20" t="s">
        <v>9</v>
      </c>
      <c r="G152" s="20" t="s">
        <v>9</v>
      </c>
      <c r="H152" s="142"/>
    </row>
    <row r="153" spans="1:8" ht="25.5" x14ac:dyDescent="0.2">
      <c r="A153" s="25" t="s">
        <v>9</v>
      </c>
      <c r="B153" s="23" t="s">
        <v>9</v>
      </c>
      <c r="C153" s="23" t="s">
        <v>132</v>
      </c>
      <c r="D153" s="23" t="s">
        <v>133</v>
      </c>
      <c r="E153" s="25" t="s">
        <v>9</v>
      </c>
      <c r="F153" s="25" t="s">
        <v>9</v>
      </c>
      <c r="G153" s="25" t="s">
        <v>9</v>
      </c>
      <c r="H153" s="142"/>
    </row>
    <row r="154" spans="1:8" x14ac:dyDescent="0.2">
      <c r="A154" s="25" t="s">
        <v>9</v>
      </c>
      <c r="B154" s="23" t="s">
        <v>134</v>
      </c>
      <c r="C154" s="23" t="s">
        <v>135</v>
      </c>
      <c r="D154" s="23" t="s">
        <v>136</v>
      </c>
      <c r="E154" s="25" t="s">
        <v>9</v>
      </c>
      <c r="F154" s="25" t="s">
        <v>9</v>
      </c>
      <c r="G154" s="25" t="s">
        <v>9</v>
      </c>
      <c r="H154" s="142"/>
    </row>
    <row r="155" spans="1:8" x14ac:dyDescent="0.2">
      <c r="A155" s="25" t="s">
        <v>9</v>
      </c>
      <c r="B155" s="183" t="s">
        <v>137</v>
      </c>
      <c r="C155" s="184">
        <v>11.454599999999999</v>
      </c>
      <c r="D155" s="184">
        <v>11.873200000000001</v>
      </c>
      <c r="E155" s="25" t="s">
        <v>9</v>
      </c>
      <c r="F155" s="73" t="s">
        <v>9</v>
      </c>
      <c r="G155" s="25" t="s">
        <v>9</v>
      </c>
      <c r="H155" s="142"/>
    </row>
    <row r="156" spans="1:8" x14ac:dyDescent="0.2">
      <c r="A156" s="25" t="s">
        <v>9</v>
      </c>
      <c r="B156" s="183" t="s">
        <v>921</v>
      </c>
      <c r="C156" s="184">
        <v>11.454599999999999</v>
      </c>
      <c r="D156" s="184">
        <v>11.873200000000001</v>
      </c>
      <c r="E156" s="25" t="s">
        <v>9</v>
      </c>
      <c r="F156" s="73" t="s">
        <v>9</v>
      </c>
      <c r="G156" s="25" t="s">
        <v>9</v>
      </c>
      <c r="H156" s="142"/>
    </row>
    <row r="157" spans="1:8" x14ac:dyDescent="0.2">
      <c r="A157" s="25" t="s">
        <v>9</v>
      </c>
      <c r="B157" s="183" t="s">
        <v>138</v>
      </c>
      <c r="C157" s="184">
        <v>11.178699999999999</v>
      </c>
      <c r="D157" s="184">
        <v>11.581300000000001</v>
      </c>
      <c r="E157" s="25" t="s">
        <v>9</v>
      </c>
      <c r="F157" s="73" t="s">
        <v>9</v>
      </c>
      <c r="G157" s="25" t="s">
        <v>9</v>
      </c>
      <c r="H157" s="142"/>
    </row>
    <row r="158" spans="1:8" x14ac:dyDescent="0.2">
      <c r="A158" s="25" t="s">
        <v>9</v>
      </c>
      <c r="B158" s="183" t="s">
        <v>922</v>
      </c>
      <c r="C158" s="184">
        <v>11.178699999999999</v>
      </c>
      <c r="D158" s="184">
        <v>11.581300000000001</v>
      </c>
      <c r="E158" s="25" t="s">
        <v>9</v>
      </c>
      <c r="F158" s="73" t="s">
        <v>9</v>
      </c>
      <c r="G158" s="25" t="s">
        <v>9</v>
      </c>
      <c r="H158" s="142"/>
    </row>
    <row r="159" spans="1:8" x14ac:dyDescent="0.2">
      <c r="A159" s="25" t="s">
        <v>9</v>
      </c>
      <c r="B159" s="22" t="s">
        <v>9</v>
      </c>
      <c r="C159" s="22" t="s">
        <v>9</v>
      </c>
      <c r="D159" s="22" t="s">
        <v>9</v>
      </c>
      <c r="E159" s="25" t="s">
        <v>9</v>
      </c>
      <c r="F159" s="25" t="s">
        <v>9</v>
      </c>
      <c r="G159" s="25" t="s">
        <v>9</v>
      </c>
      <c r="H159" s="142"/>
    </row>
    <row r="160" spans="1:8" x14ac:dyDescent="0.2">
      <c r="A160" s="25" t="s">
        <v>9</v>
      </c>
      <c r="B160" s="244" t="s">
        <v>1012</v>
      </c>
      <c r="C160" s="245"/>
      <c r="D160" s="177" t="s">
        <v>129</v>
      </c>
      <c r="E160" s="25" t="s">
        <v>9</v>
      </c>
      <c r="F160" s="25" t="s">
        <v>9</v>
      </c>
      <c r="G160" s="25" t="s">
        <v>9</v>
      </c>
      <c r="H160" s="142"/>
    </row>
    <row r="161" spans="1:8" x14ac:dyDescent="0.2">
      <c r="A161" s="25" t="s">
        <v>9</v>
      </c>
      <c r="B161" s="98"/>
      <c r="C161" s="98"/>
      <c r="D161" s="26" t="s">
        <v>9</v>
      </c>
      <c r="E161" s="25" t="s">
        <v>9</v>
      </c>
      <c r="F161" s="25" t="s">
        <v>9</v>
      </c>
      <c r="G161" s="25" t="s">
        <v>9</v>
      </c>
      <c r="H161" s="142"/>
    </row>
    <row r="162" spans="1:8" s="238" customFormat="1" ht="12.75" x14ac:dyDescent="0.2">
      <c r="B162" s="246" t="s">
        <v>923</v>
      </c>
      <c r="C162" s="246"/>
      <c r="D162" s="246"/>
      <c r="E162" s="246"/>
      <c r="F162" s="246"/>
    </row>
    <row r="163" spans="1:8" x14ac:dyDescent="0.2">
      <c r="A163" s="25" t="s">
        <v>9</v>
      </c>
      <c r="B163" s="185" t="s">
        <v>9</v>
      </c>
      <c r="C163" s="185" t="s">
        <v>9</v>
      </c>
      <c r="D163" s="22" t="s">
        <v>9</v>
      </c>
      <c r="E163" s="25" t="s">
        <v>9</v>
      </c>
      <c r="F163" s="25" t="s">
        <v>9</v>
      </c>
      <c r="G163" s="25" t="s">
        <v>9</v>
      </c>
      <c r="H163" s="142"/>
    </row>
    <row r="164" spans="1:8" x14ac:dyDescent="0.2">
      <c r="A164" s="25" t="s">
        <v>9</v>
      </c>
      <c r="B164" s="240" t="s">
        <v>139</v>
      </c>
      <c r="C164" s="241"/>
      <c r="D164" s="177" t="s">
        <v>129</v>
      </c>
      <c r="E164" s="25" t="s">
        <v>9</v>
      </c>
      <c r="F164" s="25" t="s">
        <v>9</v>
      </c>
      <c r="G164" s="25" t="s">
        <v>9</v>
      </c>
      <c r="H164" s="142"/>
    </row>
    <row r="165" spans="1:8" x14ac:dyDescent="0.2">
      <c r="A165" s="25" t="s">
        <v>9</v>
      </c>
      <c r="B165" s="240" t="s">
        <v>140</v>
      </c>
      <c r="C165" s="241"/>
      <c r="D165" s="177" t="s">
        <v>129</v>
      </c>
      <c r="E165" s="25" t="s">
        <v>9</v>
      </c>
      <c r="F165" s="25" t="s">
        <v>9</v>
      </c>
      <c r="G165" s="25" t="s">
        <v>9</v>
      </c>
      <c r="H165" s="142"/>
    </row>
    <row r="166" spans="1:8" x14ac:dyDescent="0.2">
      <c r="A166" s="25" t="s">
        <v>9</v>
      </c>
      <c r="B166" s="240" t="s">
        <v>141</v>
      </c>
      <c r="C166" s="241"/>
      <c r="D166" s="186">
        <v>0.49130905776094558</v>
      </c>
      <c r="E166" s="25" t="s">
        <v>9</v>
      </c>
      <c r="F166" s="73" t="s">
        <v>9</v>
      </c>
      <c r="G166" s="25" t="s">
        <v>9</v>
      </c>
      <c r="H166" s="142"/>
    </row>
    <row r="167" spans="1:8" x14ac:dyDescent="0.2">
      <c r="A167" s="25" t="s">
        <v>9</v>
      </c>
      <c r="B167" s="240" t="s">
        <v>142</v>
      </c>
      <c r="C167" s="241"/>
      <c r="D167" s="177" t="s">
        <v>129</v>
      </c>
      <c r="E167" s="25" t="s">
        <v>9</v>
      </c>
      <c r="F167" s="25" t="s">
        <v>9</v>
      </c>
      <c r="G167" s="25" t="s">
        <v>9</v>
      </c>
      <c r="H167" s="142"/>
    </row>
  </sheetData>
  <mergeCells count="15">
    <mergeCell ref="B149:C149"/>
    <mergeCell ref="B146:F146"/>
    <mergeCell ref="B147:F147"/>
    <mergeCell ref="A1:H1"/>
    <mergeCell ref="A2:H2"/>
    <mergeCell ref="A3:H3"/>
    <mergeCell ref="B166:C166"/>
    <mergeCell ref="B167:C167"/>
    <mergeCell ref="B150:C150"/>
    <mergeCell ref="B151:C151"/>
    <mergeCell ref="B152:C152"/>
    <mergeCell ref="B160:C160"/>
    <mergeCell ref="B164:C164"/>
    <mergeCell ref="B165:C165"/>
    <mergeCell ref="B162:F162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outlinePr summaryBelow="0" summaryRight="0"/>
  </sheetPr>
  <dimension ref="A1:H166"/>
  <sheetViews>
    <sheetView showGridLines="0" workbookViewId="0">
      <selection sqref="A1:H1"/>
    </sheetView>
  </sheetViews>
  <sheetFormatPr defaultRowHeight="15" x14ac:dyDescent="0.2"/>
  <cols>
    <col min="1" max="1" width="6.85546875" style="155" customWidth="1"/>
    <col min="2" max="2" width="20.5703125" style="155" customWidth="1"/>
    <col min="3" max="3" width="34.28515625" style="155" customWidth="1"/>
    <col min="4" max="4" width="17.85546875" style="155" customWidth="1"/>
    <col min="5" max="6" width="19.140625" style="155" customWidth="1"/>
    <col min="7" max="7" width="16.42578125" style="155" customWidth="1"/>
    <col min="8" max="16384" width="9.140625" style="155"/>
  </cols>
  <sheetData>
    <row r="1" spans="1:8" x14ac:dyDescent="0.2">
      <c r="A1" s="250" t="s">
        <v>0</v>
      </c>
      <c r="B1" s="250"/>
      <c r="C1" s="250"/>
      <c r="D1" s="250"/>
      <c r="E1" s="250"/>
      <c r="F1" s="250"/>
      <c r="G1" s="250"/>
      <c r="H1" s="250"/>
    </row>
    <row r="2" spans="1:8" x14ac:dyDescent="0.2">
      <c r="A2" s="251" t="s">
        <v>277</v>
      </c>
      <c r="B2" s="252"/>
      <c r="C2" s="252"/>
      <c r="D2" s="252"/>
      <c r="E2" s="252"/>
      <c r="F2" s="252"/>
      <c r="G2" s="252"/>
      <c r="H2" s="253"/>
    </row>
    <row r="3" spans="1:8" x14ac:dyDescent="0.2">
      <c r="A3" s="250" t="s">
        <v>1015</v>
      </c>
      <c r="B3" s="250"/>
      <c r="C3" s="250"/>
      <c r="D3" s="250"/>
      <c r="E3" s="250"/>
      <c r="F3" s="250"/>
      <c r="G3" s="250"/>
      <c r="H3" s="250"/>
    </row>
    <row r="4" spans="1:8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60" t="s">
        <v>6</v>
      </c>
      <c r="F4" s="160" t="s">
        <v>7</v>
      </c>
      <c r="G4" s="160" t="s">
        <v>8</v>
      </c>
      <c r="H4" s="161" t="s">
        <v>909</v>
      </c>
    </row>
    <row r="5" spans="1:8" x14ac:dyDescent="0.2">
      <c r="A5" s="15" t="s">
        <v>9</v>
      </c>
      <c r="B5" s="15" t="s">
        <v>9</v>
      </c>
      <c r="C5" s="3" t="s">
        <v>10</v>
      </c>
      <c r="D5" s="15" t="s">
        <v>9</v>
      </c>
      <c r="E5" s="15" t="s">
        <v>9</v>
      </c>
      <c r="F5" s="15" t="s">
        <v>9</v>
      </c>
      <c r="G5" s="15" t="s">
        <v>9</v>
      </c>
      <c r="H5" s="100"/>
    </row>
    <row r="6" spans="1:8" ht="25.5" x14ac:dyDescent="0.2">
      <c r="A6" s="15" t="s">
        <v>9</v>
      </c>
      <c r="B6" s="15" t="s">
        <v>9</v>
      </c>
      <c r="C6" s="3" t="s">
        <v>11</v>
      </c>
      <c r="D6" s="15" t="s">
        <v>9</v>
      </c>
      <c r="E6" s="15" t="s">
        <v>9</v>
      </c>
      <c r="F6" s="15" t="s">
        <v>9</v>
      </c>
      <c r="G6" s="15" t="s">
        <v>9</v>
      </c>
      <c r="H6" s="100"/>
    </row>
    <row r="7" spans="1:8" x14ac:dyDescent="0.2">
      <c r="A7" s="4">
        <v>1</v>
      </c>
      <c r="B7" s="5" t="s">
        <v>144</v>
      </c>
      <c r="C7" s="5" t="s">
        <v>145</v>
      </c>
      <c r="D7" s="5" t="s">
        <v>146</v>
      </c>
      <c r="E7" s="6">
        <v>17009</v>
      </c>
      <c r="F7" s="7">
        <v>583.10253799999998</v>
      </c>
      <c r="G7" s="8">
        <v>3.9533273000000001E-2</v>
      </c>
      <c r="H7" s="100"/>
    </row>
    <row r="8" spans="1:8" x14ac:dyDescent="0.2">
      <c r="A8" s="4">
        <v>2</v>
      </c>
      <c r="B8" s="5" t="s">
        <v>147</v>
      </c>
      <c r="C8" s="5" t="s">
        <v>148</v>
      </c>
      <c r="D8" s="5" t="s">
        <v>146</v>
      </c>
      <c r="E8" s="6">
        <v>42588</v>
      </c>
      <c r="F8" s="7">
        <v>529.58177999999998</v>
      </c>
      <c r="G8" s="8">
        <v>3.5904665000000002E-2</v>
      </c>
      <c r="H8" s="100"/>
    </row>
    <row r="9" spans="1:8" x14ac:dyDescent="0.2">
      <c r="A9" s="4">
        <v>3</v>
      </c>
      <c r="B9" s="5" t="s">
        <v>26</v>
      </c>
      <c r="C9" s="5" t="s">
        <v>27</v>
      </c>
      <c r="D9" s="5" t="s">
        <v>28</v>
      </c>
      <c r="E9" s="6">
        <v>53073</v>
      </c>
      <c r="F9" s="7">
        <v>486.09560699999997</v>
      </c>
      <c r="G9" s="8">
        <v>3.2956382999999999E-2</v>
      </c>
      <c r="H9" s="100"/>
    </row>
    <row r="10" spans="1:8" ht="25.5" x14ac:dyDescent="0.2">
      <c r="A10" s="4">
        <v>4</v>
      </c>
      <c r="B10" s="5" t="s">
        <v>34</v>
      </c>
      <c r="C10" s="5" t="s">
        <v>35</v>
      </c>
      <c r="D10" s="5" t="s">
        <v>1001</v>
      </c>
      <c r="E10" s="6">
        <v>13083</v>
      </c>
      <c r="F10" s="7">
        <v>367.16131200000001</v>
      </c>
      <c r="G10" s="8">
        <v>2.4892858E-2</v>
      </c>
      <c r="H10" s="100"/>
    </row>
    <row r="11" spans="1:8" x14ac:dyDescent="0.2">
      <c r="A11" s="4">
        <v>5</v>
      </c>
      <c r="B11" s="5" t="s">
        <v>149</v>
      </c>
      <c r="C11" s="5" t="s">
        <v>150</v>
      </c>
      <c r="D11" s="5" t="s">
        <v>151</v>
      </c>
      <c r="E11" s="6">
        <v>6240</v>
      </c>
      <c r="F11" s="7">
        <v>344.63207999999997</v>
      </c>
      <c r="G11" s="8">
        <v>2.3365416999999999E-2</v>
      </c>
      <c r="H11" s="100"/>
    </row>
    <row r="12" spans="1:8" x14ac:dyDescent="0.2">
      <c r="A12" s="4">
        <v>6</v>
      </c>
      <c r="B12" s="5" t="s">
        <v>154</v>
      </c>
      <c r="C12" s="5" t="s">
        <v>155</v>
      </c>
      <c r="D12" s="5" t="s">
        <v>156</v>
      </c>
      <c r="E12" s="6">
        <v>393933</v>
      </c>
      <c r="F12" s="7">
        <v>319.08573000000001</v>
      </c>
      <c r="G12" s="8">
        <v>2.1633421999999999E-2</v>
      </c>
      <c r="H12" s="100"/>
    </row>
    <row r="13" spans="1:8" x14ac:dyDescent="0.2">
      <c r="A13" s="4">
        <v>7</v>
      </c>
      <c r="B13" s="5" t="s">
        <v>157</v>
      </c>
      <c r="C13" s="5" t="s">
        <v>158</v>
      </c>
      <c r="D13" s="5" t="s">
        <v>28</v>
      </c>
      <c r="E13" s="6">
        <v>61203</v>
      </c>
      <c r="F13" s="7">
        <v>318.80642699999999</v>
      </c>
      <c r="G13" s="8">
        <v>2.1614485999999999E-2</v>
      </c>
      <c r="H13" s="100"/>
    </row>
    <row r="14" spans="1:8" x14ac:dyDescent="0.2">
      <c r="A14" s="4">
        <v>8</v>
      </c>
      <c r="B14" s="5" t="s">
        <v>64</v>
      </c>
      <c r="C14" s="5" t="s">
        <v>65</v>
      </c>
      <c r="D14" s="5" t="s">
        <v>1002</v>
      </c>
      <c r="E14" s="6">
        <v>273864</v>
      </c>
      <c r="F14" s="7">
        <v>316.44985200000002</v>
      </c>
      <c r="G14" s="8">
        <v>2.1454714E-2</v>
      </c>
      <c r="H14" s="100"/>
    </row>
    <row r="15" spans="1:8" ht="25.5" x14ac:dyDescent="0.2">
      <c r="A15" s="4">
        <v>9</v>
      </c>
      <c r="B15" s="5" t="s">
        <v>152</v>
      </c>
      <c r="C15" s="5" t="s">
        <v>153</v>
      </c>
      <c r="D15" s="5" t="s">
        <v>1001</v>
      </c>
      <c r="E15" s="6">
        <v>189159</v>
      </c>
      <c r="F15" s="7">
        <v>308.70748800000001</v>
      </c>
      <c r="G15" s="8">
        <v>2.0929796000000001E-2</v>
      </c>
      <c r="H15" s="100"/>
    </row>
    <row r="16" spans="1:8" x14ac:dyDescent="0.2">
      <c r="A16" s="4">
        <v>10</v>
      </c>
      <c r="B16" s="5" t="s">
        <v>159</v>
      </c>
      <c r="C16" s="5" t="s">
        <v>160</v>
      </c>
      <c r="D16" s="5" t="s">
        <v>58</v>
      </c>
      <c r="E16" s="6">
        <v>84039</v>
      </c>
      <c r="F16" s="7">
        <v>294.13650000000001</v>
      </c>
      <c r="G16" s="8">
        <v>1.994191E-2</v>
      </c>
      <c r="H16" s="100"/>
    </row>
    <row r="17" spans="1:8" ht="25.5" x14ac:dyDescent="0.2">
      <c r="A17" s="4">
        <v>11</v>
      </c>
      <c r="B17" s="5" t="s">
        <v>166</v>
      </c>
      <c r="C17" s="5" t="s">
        <v>167</v>
      </c>
      <c r="D17" s="5" t="s">
        <v>1001</v>
      </c>
      <c r="E17" s="6">
        <v>120862</v>
      </c>
      <c r="F17" s="7">
        <v>286.56380200000001</v>
      </c>
      <c r="G17" s="8">
        <v>1.9428495E-2</v>
      </c>
      <c r="H17" s="100"/>
    </row>
    <row r="18" spans="1:8" x14ac:dyDescent="0.2">
      <c r="A18" s="4">
        <v>12</v>
      </c>
      <c r="B18" s="5" t="s">
        <v>164</v>
      </c>
      <c r="C18" s="5" t="s">
        <v>165</v>
      </c>
      <c r="D18" s="5" t="s">
        <v>151</v>
      </c>
      <c r="E18" s="6">
        <v>39489</v>
      </c>
      <c r="F18" s="7">
        <v>286.07806049999999</v>
      </c>
      <c r="G18" s="8">
        <v>1.9395563000000001E-2</v>
      </c>
      <c r="H18" s="100"/>
    </row>
    <row r="19" spans="1:8" x14ac:dyDescent="0.2">
      <c r="A19" s="4">
        <v>13</v>
      </c>
      <c r="B19" s="5" t="s">
        <v>161</v>
      </c>
      <c r="C19" s="5" t="s">
        <v>162</v>
      </c>
      <c r="D19" s="5" t="s">
        <v>163</v>
      </c>
      <c r="E19" s="6">
        <v>23138</v>
      </c>
      <c r="F19" s="7">
        <v>285.68488600000001</v>
      </c>
      <c r="G19" s="8">
        <v>1.9368907000000001E-2</v>
      </c>
      <c r="H19" s="100"/>
    </row>
    <row r="20" spans="1:8" x14ac:dyDescent="0.2">
      <c r="A20" s="4">
        <v>14</v>
      </c>
      <c r="B20" s="5" t="s">
        <v>168</v>
      </c>
      <c r="C20" s="5" t="s">
        <v>169</v>
      </c>
      <c r="D20" s="5" t="s">
        <v>151</v>
      </c>
      <c r="E20" s="6">
        <v>138923</v>
      </c>
      <c r="F20" s="7">
        <v>274.02561750000001</v>
      </c>
      <c r="G20" s="8">
        <v>1.857843E-2</v>
      </c>
      <c r="H20" s="100"/>
    </row>
    <row r="21" spans="1:8" x14ac:dyDescent="0.2">
      <c r="A21" s="4">
        <v>15</v>
      </c>
      <c r="B21" s="5" t="s">
        <v>170</v>
      </c>
      <c r="C21" s="5" t="s">
        <v>171</v>
      </c>
      <c r="D21" s="5" t="s">
        <v>172</v>
      </c>
      <c r="E21" s="6">
        <v>26636</v>
      </c>
      <c r="F21" s="7">
        <v>273.045636</v>
      </c>
      <c r="G21" s="8">
        <v>1.8511989E-2</v>
      </c>
      <c r="H21" s="100"/>
    </row>
    <row r="22" spans="1:8" x14ac:dyDescent="0.2">
      <c r="A22" s="4">
        <v>16</v>
      </c>
      <c r="B22" s="5" t="s">
        <v>173</v>
      </c>
      <c r="C22" s="5" t="s">
        <v>174</v>
      </c>
      <c r="D22" s="5" t="s">
        <v>28</v>
      </c>
      <c r="E22" s="6">
        <v>60820</v>
      </c>
      <c r="F22" s="7">
        <v>271.62212</v>
      </c>
      <c r="G22" s="8">
        <v>1.8415477E-2</v>
      </c>
      <c r="H22" s="100"/>
    </row>
    <row r="23" spans="1:8" x14ac:dyDescent="0.2">
      <c r="A23" s="4">
        <v>17</v>
      </c>
      <c r="B23" s="5" t="s">
        <v>48</v>
      </c>
      <c r="C23" s="5" t="s">
        <v>49</v>
      </c>
      <c r="D23" s="5" t="s">
        <v>28</v>
      </c>
      <c r="E23" s="6">
        <v>18866</v>
      </c>
      <c r="F23" s="7">
        <v>264.90693900000002</v>
      </c>
      <c r="G23" s="8">
        <v>1.7960199999999999E-2</v>
      </c>
      <c r="H23" s="100"/>
    </row>
    <row r="24" spans="1:8" x14ac:dyDescent="0.2">
      <c r="A24" s="4">
        <v>18</v>
      </c>
      <c r="B24" s="5" t="s">
        <v>175</v>
      </c>
      <c r="C24" s="5" t="s">
        <v>176</v>
      </c>
      <c r="D24" s="5" t="s">
        <v>53</v>
      </c>
      <c r="E24" s="6">
        <v>70480</v>
      </c>
      <c r="F24" s="7">
        <v>259.82452000000001</v>
      </c>
      <c r="G24" s="8">
        <v>1.7615622000000001E-2</v>
      </c>
      <c r="H24" s="100"/>
    </row>
    <row r="25" spans="1:8" ht="25.5" x14ac:dyDescent="0.2">
      <c r="A25" s="4">
        <v>19</v>
      </c>
      <c r="B25" s="5" t="s">
        <v>67</v>
      </c>
      <c r="C25" s="5" t="s">
        <v>68</v>
      </c>
      <c r="D25" s="5" t="s">
        <v>25</v>
      </c>
      <c r="E25" s="6">
        <v>44780</v>
      </c>
      <c r="F25" s="7">
        <v>241.31942000000001</v>
      </c>
      <c r="G25" s="8">
        <v>1.6361009999999999E-2</v>
      </c>
      <c r="H25" s="100"/>
    </row>
    <row r="26" spans="1:8" ht="25.5" x14ac:dyDescent="0.2">
      <c r="A26" s="4">
        <v>20</v>
      </c>
      <c r="B26" s="5" t="s">
        <v>180</v>
      </c>
      <c r="C26" s="5" t="s">
        <v>181</v>
      </c>
      <c r="D26" s="5" t="s">
        <v>146</v>
      </c>
      <c r="E26" s="6">
        <v>65789</v>
      </c>
      <c r="F26" s="7">
        <v>238.05749650000001</v>
      </c>
      <c r="G26" s="8">
        <v>1.6139858E-2</v>
      </c>
      <c r="H26" s="100"/>
    </row>
    <row r="27" spans="1:8" ht="25.5" x14ac:dyDescent="0.2">
      <c r="A27" s="4">
        <v>21</v>
      </c>
      <c r="B27" s="5" t="s">
        <v>182</v>
      </c>
      <c r="C27" s="5" t="s">
        <v>183</v>
      </c>
      <c r="D27" s="5" t="s">
        <v>58</v>
      </c>
      <c r="E27" s="6">
        <v>10136</v>
      </c>
      <c r="F27" s="7">
        <v>236.71107599999999</v>
      </c>
      <c r="G27" s="8">
        <v>1.6048573E-2</v>
      </c>
      <c r="H27" s="100"/>
    </row>
    <row r="28" spans="1:8" x14ac:dyDescent="0.2">
      <c r="A28" s="4">
        <v>22</v>
      </c>
      <c r="B28" s="5" t="s">
        <v>184</v>
      </c>
      <c r="C28" s="5" t="s">
        <v>185</v>
      </c>
      <c r="D28" s="5" t="s">
        <v>172</v>
      </c>
      <c r="E28" s="6">
        <v>132103</v>
      </c>
      <c r="F28" s="7">
        <v>234.61492799999999</v>
      </c>
      <c r="G28" s="8">
        <v>1.5906457999999998E-2</v>
      </c>
      <c r="H28" s="100"/>
    </row>
    <row r="29" spans="1:8" x14ac:dyDescent="0.2">
      <c r="A29" s="4">
        <v>23</v>
      </c>
      <c r="B29" s="5" t="s">
        <v>186</v>
      </c>
      <c r="C29" s="5" t="s">
        <v>187</v>
      </c>
      <c r="D29" s="5" t="s">
        <v>188</v>
      </c>
      <c r="E29" s="6">
        <v>31547</v>
      </c>
      <c r="F29" s="7">
        <v>229.52019849999999</v>
      </c>
      <c r="G29" s="8">
        <v>1.5561045000000001E-2</v>
      </c>
      <c r="H29" s="100"/>
    </row>
    <row r="30" spans="1:8" ht="25.5" x14ac:dyDescent="0.2">
      <c r="A30" s="4">
        <v>24</v>
      </c>
      <c r="B30" s="5" t="s">
        <v>23</v>
      </c>
      <c r="C30" s="5" t="s">
        <v>24</v>
      </c>
      <c r="D30" s="5" t="s">
        <v>25</v>
      </c>
      <c r="E30" s="6">
        <v>91933</v>
      </c>
      <c r="F30" s="7">
        <v>215.72078450000001</v>
      </c>
      <c r="G30" s="8">
        <v>1.462547E-2</v>
      </c>
      <c r="H30" s="100"/>
    </row>
    <row r="31" spans="1:8" x14ac:dyDescent="0.2">
      <c r="A31" s="4">
        <v>25</v>
      </c>
      <c r="B31" s="5" t="s">
        <v>189</v>
      </c>
      <c r="C31" s="5" t="s">
        <v>190</v>
      </c>
      <c r="D31" s="5" t="s">
        <v>151</v>
      </c>
      <c r="E31" s="6">
        <v>10499</v>
      </c>
      <c r="F31" s="7">
        <v>214.00111699999999</v>
      </c>
      <c r="G31" s="8">
        <v>1.450888E-2</v>
      </c>
      <c r="H31" s="100"/>
    </row>
    <row r="32" spans="1:8" x14ac:dyDescent="0.2">
      <c r="A32" s="4">
        <v>26</v>
      </c>
      <c r="B32" s="5" t="s">
        <v>191</v>
      </c>
      <c r="C32" s="5" t="s">
        <v>192</v>
      </c>
      <c r="D32" s="5" t="s">
        <v>193</v>
      </c>
      <c r="E32" s="6">
        <v>64323</v>
      </c>
      <c r="F32" s="7">
        <v>211.30105499999999</v>
      </c>
      <c r="G32" s="8">
        <v>1.4325821000000001E-2</v>
      </c>
      <c r="H32" s="100"/>
    </row>
    <row r="33" spans="1:8" ht="25.5" x14ac:dyDescent="0.2">
      <c r="A33" s="4">
        <v>27</v>
      </c>
      <c r="B33" s="5" t="s">
        <v>194</v>
      </c>
      <c r="C33" s="5" t="s">
        <v>195</v>
      </c>
      <c r="D33" s="5" t="s">
        <v>73</v>
      </c>
      <c r="E33" s="6">
        <v>57162</v>
      </c>
      <c r="F33" s="7">
        <v>209.92744500000001</v>
      </c>
      <c r="G33" s="8">
        <v>1.4232692E-2</v>
      </c>
      <c r="H33" s="100"/>
    </row>
    <row r="34" spans="1:8" x14ac:dyDescent="0.2">
      <c r="A34" s="4">
        <v>28</v>
      </c>
      <c r="B34" s="5" t="s">
        <v>196</v>
      </c>
      <c r="C34" s="5" t="s">
        <v>197</v>
      </c>
      <c r="D34" s="5" t="s">
        <v>151</v>
      </c>
      <c r="E34" s="6">
        <v>27880</v>
      </c>
      <c r="F34" s="7">
        <v>205.48954000000001</v>
      </c>
      <c r="G34" s="8">
        <v>1.3931811000000001E-2</v>
      </c>
      <c r="H34" s="100"/>
    </row>
    <row r="35" spans="1:8" x14ac:dyDescent="0.2">
      <c r="A35" s="4">
        <v>29</v>
      </c>
      <c r="B35" s="5" t="s">
        <v>177</v>
      </c>
      <c r="C35" s="5" t="s">
        <v>178</v>
      </c>
      <c r="D35" s="5" t="s">
        <v>47</v>
      </c>
      <c r="E35" s="6">
        <v>19243</v>
      </c>
      <c r="F35" s="7">
        <v>203.14835099999999</v>
      </c>
      <c r="G35" s="8">
        <v>1.3773082000000001E-2</v>
      </c>
      <c r="H35" s="100"/>
    </row>
    <row r="36" spans="1:8" x14ac:dyDescent="0.2">
      <c r="A36" s="4">
        <v>30</v>
      </c>
      <c r="B36" s="5" t="s">
        <v>226</v>
      </c>
      <c r="C36" s="5" t="s">
        <v>227</v>
      </c>
      <c r="D36" s="5" t="s">
        <v>228</v>
      </c>
      <c r="E36" s="6">
        <v>125377</v>
      </c>
      <c r="F36" s="7">
        <v>196.2776935</v>
      </c>
      <c r="G36" s="8">
        <v>1.3307263999999999E-2</v>
      </c>
      <c r="H36" s="100"/>
    </row>
    <row r="37" spans="1:8" x14ac:dyDescent="0.2">
      <c r="A37" s="4">
        <v>31</v>
      </c>
      <c r="B37" s="5" t="s">
        <v>202</v>
      </c>
      <c r="C37" s="5" t="s">
        <v>203</v>
      </c>
      <c r="D37" s="5" t="s">
        <v>38</v>
      </c>
      <c r="E37" s="6">
        <v>234585</v>
      </c>
      <c r="F37" s="7">
        <v>193.64991749999999</v>
      </c>
      <c r="G37" s="8">
        <v>1.3129106E-2</v>
      </c>
      <c r="H37" s="100"/>
    </row>
    <row r="38" spans="1:8" x14ac:dyDescent="0.2">
      <c r="A38" s="4">
        <v>32</v>
      </c>
      <c r="B38" s="5" t="s">
        <v>198</v>
      </c>
      <c r="C38" s="5" t="s">
        <v>199</v>
      </c>
      <c r="D38" s="5" t="s">
        <v>156</v>
      </c>
      <c r="E38" s="6">
        <v>355896</v>
      </c>
      <c r="F38" s="7">
        <v>188.62487999999999</v>
      </c>
      <c r="G38" s="8">
        <v>1.2788417999999999E-2</v>
      </c>
      <c r="H38" s="100"/>
    </row>
    <row r="39" spans="1:8" x14ac:dyDescent="0.2">
      <c r="A39" s="4">
        <v>33</v>
      </c>
      <c r="B39" s="5" t="s">
        <v>200</v>
      </c>
      <c r="C39" s="5" t="s">
        <v>201</v>
      </c>
      <c r="D39" s="5" t="s">
        <v>1003</v>
      </c>
      <c r="E39" s="6">
        <v>30000</v>
      </c>
      <c r="F39" s="7">
        <v>188.49</v>
      </c>
      <c r="G39" s="8">
        <v>1.2779273000000001E-2</v>
      </c>
      <c r="H39" s="100"/>
    </row>
    <row r="40" spans="1:8" x14ac:dyDescent="0.2">
      <c r="A40" s="4">
        <v>34</v>
      </c>
      <c r="B40" s="5" t="s">
        <v>220</v>
      </c>
      <c r="C40" s="5" t="s">
        <v>221</v>
      </c>
      <c r="D40" s="5" t="s">
        <v>1002</v>
      </c>
      <c r="E40" s="6">
        <v>20147</v>
      </c>
      <c r="F40" s="7">
        <v>188.08231850000001</v>
      </c>
      <c r="G40" s="8">
        <v>1.2751633E-2</v>
      </c>
      <c r="H40" s="100"/>
    </row>
    <row r="41" spans="1:8" x14ac:dyDescent="0.2">
      <c r="A41" s="4">
        <v>35</v>
      </c>
      <c r="B41" s="5" t="s">
        <v>206</v>
      </c>
      <c r="C41" s="5" t="s">
        <v>207</v>
      </c>
      <c r="D41" s="5" t="s">
        <v>163</v>
      </c>
      <c r="E41" s="6">
        <v>48550</v>
      </c>
      <c r="F41" s="7">
        <v>185.53382500000001</v>
      </c>
      <c r="G41" s="8">
        <v>1.2578850000000001E-2</v>
      </c>
      <c r="H41" s="100"/>
    </row>
    <row r="42" spans="1:8" x14ac:dyDescent="0.2">
      <c r="A42" s="4">
        <v>36</v>
      </c>
      <c r="B42" s="5" t="s">
        <v>212</v>
      </c>
      <c r="C42" s="5" t="s">
        <v>213</v>
      </c>
      <c r="D42" s="5" t="s">
        <v>38</v>
      </c>
      <c r="E42" s="6">
        <v>25533</v>
      </c>
      <c r="F42" s="7">
        <v>183.046077</v>
      </c>
      <c r="G42" s="8">
        <v>1.2410185000000001E-2</v>
      </c>
      <c r="H42" s="100"/>
    </row>
    <row r="43" spans="1:8" x14ac:dyDescent="0.2">
      <c r="A43" s="4">
        <v>37</v>
      </c>
      <c r="B43" s="5" t="s">
        <v>208</v>
      </c>
      <c r="C43" s="5" t="s">
        <v>209</v>
      </c>
      <c r="D43" s="5" t="s">
        <v>163</v>
      </c>
      <c r="E43" s="6">
        <v>49282</v>
      </c>
      <c r="F43" s="7">
        <v>180.86493999999999</v>
      </c>
      <c r="G43" s="8">
        <v>1.2262308E-2</v>
      </c>
      <c r="H43" s="100"/>
    </row>
    <row r="44" spans="1:8" x14ac:dyDescent="0.2">
      <c r="A44" s="4">
        <v>38</v>
      </c>
      <c r="B44" s="5" t="s">
        <v>50</v>
      </c>
      <c r="C44" s="5" t="s">
        <v>51</v>
      </c>
      <c r="D44" s="5" t="s">
        <v>28</v>
      </c>
      <c r="E44" s="6">
        <v>20170</v>
      </c>
      <c r="F44" s="7">
        <v>178.393565</v>
      </c>
      <c r="G44" s="8">
        <v>1.2094753999999999E-2</v>
      </c>
      <c r="H44" s="100"/>
    </row>
    <row r="45" spans="1:8" x14ac:dyDescent="0.2">
      <c r="A45" s="4">
        <v>39</v>
      </c>
      <c r="B45" s="5" t="s">
        <v>210</v>
      </c>
      <c r="C45" s="5" t="s">
        <v>211</v>
      </c>
      <c r="D45" s="5" t="s">
        <v>193</v>
      </c>
      <c r="E45" s="6">
        <v>38836</v>
      </c>
      <c r="F45" s="7">
        <v>175.82999000000001</v>
      </c>
      <c r="G45" s="8">
        <v>1.1920948000000001E-2</v>
      </c>
      <c r="H45" s="100"/>
    </row>
    <row r="46" spans="1:8" ht="25.5" x14ac:dyDescent="0.2">
      <c r="A46" s="4">
        <v>40</v>
      </c>
      <c r="B46" s="5" t="s">
        <v>214</v>
      </c>
      <c r="C46" s="5" t="s">
        <v>215</v>
      </c>
      <c r="D46" s="5" t="s">
        <v>25</v>
      </c>
      <c r="E46" s="6">
        <v>249487</v>
      </c>
      <c r="F46" s="7">
        <v>173.64295200000001</v>
      </c>
      <c r="G46" s="8">
        <v>1.1772671E-2</v>
      </c>
      <c r="H46" s="100"/>
    </row>
    <row r="47" spans="1:8" x14ac:dyDescent="0.2">
      <c r="A47" s="4">
        <v>41</v>
      </c>
      <c r="B47" s="5" t="s">
        <v>56</v>
      </c>
      <c r="C47" s="5" t="s">
        <v>57</v>
      </c>
      <c r="D47" s="5" t="s">
        <v>58</v>
      </c>
      <c r="E47" s="6">
        <v>5600</v>
      </c>
      <c r="F47" s="7">
        <v>173.5608</v>
      </c>
      <c r="G47" s="8">
        <v>1.1767101E-2</v>
      </c>
      <c r="H47" s="100"/>
    </row>
    <row r="48" spans="1:8" x14ac:dyDescent="0.2">
      <c r="A48" s="4">
        <v>42</v>
      </c>
      <c r="B48" s="5" t="s">
        <v>204</v>
      </c>
      <c r="C48" s="5" t="s">
        <v>205</v>
      </c>
      <c r="D48" s="5" t="s">
        <v>1004</v>
      </c>
      <c r="E48" s="6">
        <v>63515</v>
      </c>
      <c r="F48" s="7">
        <v>172.69728499999999</v>
      </c>
      <c r="G48" s="8">
        <v>1.1708556E-2</v>
      </c>
      <c r="H48" s="100"/>
    </row>
    <row r="49" spans="1:8" x14ac:dyDescent="0.2">
      <c r="A49" s="4">
        <v>43</v>
      </c>
      <c r="B49" s="5" t="s">
        <v>36</v>
      </c>
      <c r="C49" s="5" t="s">
        <v>37</v>
      </c>
      <c r="D49" s="5" t="s">
        <v>38</v>
      </c>
      <c r="E49" s="6">
        <v>68767</v>
      </c>
      <c r="F49" s="7">
        <v>172.19256799999999</v>
      </c>
      <c r="G49" s="8">
        <v>1.1674337E-2</v>
      </c>
      <c r="H49" s="100"/>
    </row>
    <row r="50" spans="1:8" x14ac:dyDescent="0.2">
      <c r="A50" s="4">
        <v>44</v>
      </c>
      <c r="B50" s="5" t="s">
        <v>218</v>
      </c>
      <c r="C50" s="5" t="s">
        <v>219</v>
      </c>
      <c r="D50" s="5" t="s">
        <v>156</v>
      </c>
      <c r="E50" s="6">
        <v>28201</v>
      </c>
      <c r="F50" s="7">
        <v>163.9747145</v>
      </c>
      <c r="G50" s="8">
        <v>1.1117182E-2</v>
      </c>
      <c r="H50" s="100"/>
    </row>
    <row r="51" spans="1:8" x14ac:dyDescent="0.2">
      <c r="A51" s="4">
        <v>45</v>
      </c>
      <c r="B51" s="5" t="s">
        <v>222</v>
      </c>
      <c r="C51" s="5" t="s">
        <v>223</v>
      </c>
      <c r="D51" s="5" t="s">
        <v>28</v>
      </c>
      <c r="E51" s="6">
        <v>146457</v>
      </c>
      <c r="F51" s="7">
        <v>157.66096049999999</v>
      </c>
      <c r="G51" s="8">
        <v>1.0689120999999999E-2</v>
      </c>
      <c r="H51" s="100"/>
    </row>
    <row r="52" spans="1:8" x14ac:dyDescent="0.2">
      <c r="A52" s="4">
        <v>46</v>
      </c>
      <c r="B52" s="5" t="s">
        <v>229</v>
      </c>
      <c r="C52" s="5" t="s">
        <v>230</v>
      </c>
      <c r="D52" s="5" t="s">
        <v>193</v>
      </c>
      <c r="E52" s="6">
        <v>10907</v>
      </c>
      <c r="F52" s="7">
        <v>152.19082449999999</v>
      </c>
      <c r="G52" s="8">
        <v>1.0318256E-2</v>
      </c>
      <c r="H52" s="100"/>
    </row>
    <row r="53" spans="1:8" x14ac:dyDescent="0.2">
      <c r="A53" s="4">
        <v>47</v>
      </c>
      <c r="B53" s="5" t="s">
        <v>231</v>
      </c>
      <c r="C53" s="5" t="s">
        <v>232</v>
      </c>
      <c r="D53" s="5" t="s">
        <v>156</v>
      </c>
      <c r="E53" s="6">
        <v>30170</v>
      </c>
      <c r="F53" s="7">
        <v>150.15609000000001</v>
      </c>
      <c r="G53" s="8">
        <v>1.0180305000000001E-2</v>
      </c>
      <c r="H53" s="100"/>
    </row>
    <row r="54" spans="1:8" x14ac:dyDescent="0.2">
      <c r="A54" s="4">
        <v>48</v>
      </c>
      <c r="B54" s="5" t="s">
        <v>216</v>
      </c>
      <c r="C54" s="5" t="s">
        <v>217</v>
      </c>
      <c r="D54" s="5" t="s">
        <v>1005</v>
      </c>
      <c r="E54" s="6">
        <v>67975</v>
      </c>
      <c r="F54" s="7">
        <v>143.22332499999999</v>
      </c>
      <c r="G54" s="8">
        <v>9.7102760000000003E-3</v>
      </c>
      <c r="H54" s="100"/>
    </row>
    <row r="55" spans="1:8" x14ac:dyDescent="0.2">
      <c r="A55" s="4">
        <v>49</v>
      </c>
      <c r="B55" s="5" t="s">
        <v>235</v>
      </c>
      <c r="C55" s="5" t="s">
        <v>236</v>
      </c>
      <c r="D55" s="5" t="s">
        <v>1005</v>
      </c>
      <c r="E55" s="6">
        <v>31743</v>
      </c>
      <c r="F55" s="7">
        <v>138.76452449999999</v>
      </c>
      <c r="G55" s="8">
        <v>9.4079779999999991E-3</v>
      </c>
      <c r="H55" s="100"/>
    </row>
    <row r="56" spans="1:8" x14ac:dyDescent="0.2">
      <c r="A56" s="4">
        <v>50</v>
      </c>
      <c r="B56" s="5" t="s">
        <v>237</v>
      </c>
      <c r="C56" s="5" t="s">
        <v>238</v>
      </c>
      <c r="D56" s="5" t="s">
        <v>1006</v>
      </c>
      <c r="E56" s="6">
        <v>37436</v>
      </c>
      <c r="F56" s="7">
        <v>138.625508</v>
      </c>
      <c r="G56" s="8">
        <v>9.3985530000000005E-3</v>
      </c>
      <c r="H56" s="100"/>
    </row>
    <row r="57" spans="1:8" ht="25.5" x14ac:dyDescent="0.2">
      <c r="A57" s="4">
        <v>51</v>
      </c>
      <c r="B57" s="5" t="s">
        <v>243</v>
      </c>
      <c r="C57" s="5" t="s">
        <v>244</v>
      </c>
      <c r="D57" s="5" t="s">
        <v>1007</v>
      </c>
      <c r="E57" s="6">
        <v>183660</v>
      </c>
      <c r="F57" s="7">
        <v>137.01035999999999</v>
      </c>
      <c r="G57" s="8">
        <v>9.2890490000000006E-3</v>
      </c>
      <c r="H57" s="100"/>
    </row>
    <row r="58" spans="1:8" x14ac:dyDescent="0.2">
      <c r="A58" s="4">
        <v>52</v>
      </c>
      <c r="B58" s="5" t="s">
        <v>239</v>
      </c>
      <c r="C58" s="5" t="s">
        <v>240</v>
      </c>
      <c r="D58" s="5" t="s">
        <v>58</v>
      </c>
      <c r="E58" s="6">
        <v>29640</v>
      </c>
      <c r="F58" s="7">
        <v>135.49925999999999</v>
      </c>
      <c r="G58" s="8">
        <v>9.1865990000000002E-3</v>
      </c>
      <c r="H58" s="100"/>
    </row>
    <row r="59" spans="1:8" x14ac:dyDescent="0.2">
      <c r="A59" s="4">
        <v>53</v>
      </c>
      <c r="B59" s="5" t="s">
        <v>241</v>
      </c>
      <c r="C59" s="5" t="s">
        <v>242</v>
      </c>
      <c r="D59" s="5" t="s">
        <v>163</v>
      </c>
      <c r="E59" s="6">
        <v>22382</v>
      </c>
      <c r="F59" s="7">
        <v>133.30719199999999</v>
      </c>
      <c r="G59" s="8">
        <v>9.0379810000000005E-3</v>
      </c>
      <c r="H59" s="100"/>
    </row>
    <row r="60" spans="1:8" ht="25.5" x14ac:dyDescent="0.2">
      <c r="A60" s="4">
        <v>54</v>
      </c>
      <c r="B60" s="5" t="s">
        <v>233</v>
      </c>
      <c r="C60" s="5" t="s">
        <v>234</v>
      </c>
      <c r="D60" s="5" t="s">
        <v>1001</v>
      </c>
      <c r="E60" s="6">
        <v>44323</v>
      </c>
      <c r="F60" s="7">
        <v>125.212475</v>
      </c>
      <c r="G60" s="8">
        <v>8.4891740000000004E-3</v>
      </c>
      <c r="H60" s="100"/>
    </row>
    <row r="61" spans="1:8" x14ac:dyDescent="0.2">
      <c r="A61" s="4">
        <v>55</v>
      </c>
      <c r="B61" s="5" t="s">
        <v>245</v>
      </c>
      <c r="C61" s="5" t="s">
        <v>246</v>
      </c>
      <c r="D61" s="5" t="s">
        <v>22</v>
      </c>
      <c r="E61" s="6">
        <v>135178</v>
      </c>
      <c r="F61" s="7">
        <v>122.53885699999999</v>
      </c>
      <c r="G61" s="8">
        <v>8.3079079999999993E-3</v>
      </c>
      <c r="H61" s="100"/>
    </row>
    <row r="62" spans="1:8" x14ac:dyDescent="0.2">
      <c r="A62" s="4">
        <v>56</v>
      </c>
      <c r="B62" s="5" t="s">
        <v>252</v>
      </c>
      <c r="C62" s="5" t="s">
        <v>253</v>
      </c>
      <c r="D62" s="5" t="s">
        <v>53</v>
      </c>
      <c r="E62" s="6">
        <v>142112</v>
      </c>
      <c r="F62" s="7">
        <v>115.46599999999999</v>
      </c>
      <c r="G62" s="8">
        <v>7.8283810000000006E-3</v>
      </c>
      <c r="H62" s="100"/>
    </row>
    <row r="63" spans="1:8" x14ac:dyDescent="0.2">
      <c r="A63" s="4">
        <v>57</v>
      </c>
      <c r="B63" s="5" t="s">
        <v>278</v>
      </c>
      <c r="C63" s="5" t="s">
        <v>279</v>
      </c>
      <c r="D63" s="5" t="s">
        <v>28</v>
      </c>
      <c r="E63" s="6">
        <v>10841</v>
      </c>
      <c r="F63" s="7">
        <v>114.73030300000001</v>
      </c>
      <c r="G63" s="8">
        <v>7.7785019999999996E-3</v>
      </c>
      <c r="H63" s="100"/>
    </row>
    <row r="64" spans="1:8" x14ac:dyDescent="0.2">
      <c r="A64" s="4">
        <v>58</v>
      </c>
      <c r="B64" s="5" t="s">
        <v>247</v>
      </c>
      <c r="C64" s="5" t="s">
        <v>248</v>
      </c>
      <c r="D64" s="5" t="s">
        <v>1005</v>
      </c>
      <c r="E64" s="6">
        <v>60294</v>
      </c>
      <c r="F64" s="7">
        <v>112.990956</v>
      </c>
      <c r="G64" s="8">
        <v>7.6605780000000004E-3</v>
      </c>
      <c r="H64" s="100"/>
    </row>
    <row r="65" spans="1:8" x14ac:dyDescent="0.2">
      <c r="A65" s="4">
        <v>59</v>
      </c>
      <c r="B65" s="5" t="s">
        <v>249</v>
      </c>
      <c r="C65" s="5" t="s">
        <v>250</v>
      </c>
      <c r="D65" s="5" t="s">
        <v>251</v>
      </c>
      <c r="E65" s="6">
        <v>53316</v>
      </c>
      <c r="F65" s="7">
        <v>112.949946</v>
      </c>
      <c r="G65" s="8">
        <v>7.657797E-3</v>
      </c>
      <c r="H65" s="100"/>
    </row>
    <row r="66" spans="1:8" x14ac:dyDescent="0.2">
      <c r="A66" s="4">
        <v>60</v>
      </c>
      <c r="B66" s="5" t="s">
        <v>254</v>
      </c>
      <c r="C66" s="5" t="s">
        <v>255</v>
      </c>
      <c r="D66" s="5" t="s">
        <v>58</v>
      </c>
      <c r="E66" s="6">
        <v>73734</v>
      </c>
      <c r="F66" s="7">
        <v>102.379659</v>
      </c>
      <c r="G66" s="8">
        <v>6.9411509999999996E-3</v>
      </c>
      <c r="H66" s="100"/>
    </row>
    <row r="67" spans="1:8" x14ac:dyDescent="0.2">
      <c r="A67" s="4">
        <v>61</v>
      </c>
      <c r="B67" s="5" t="s">
        <v>260</v>
      </c>
      <c r="C67" s="5" t="s">
        <v>261</v>
      </c>
      <c r="D67" s="5" t="s">
        <v>58</v>
      </c>
      <c r="E67" s="6">
        <v>65000</v>
      </c>
      <c r="F67" s="7">
        <v>101.2375</v>
      </c>
      <c r="G67" s="8">
        <v>6.8637150000000003E-3</v>
      </c>
      <c r="H67" s="100"/>
    </row>
    <row r="68" spans="1:8" x14ac:dyDescent="0.2">
      <c r="A68" s="4">
        <v>62</v>
      </c>
      <c r="B68" s="5" t="s">
        <v>256</v>
      </c>
      <c r="C68" s="5" t="s">
        <v>257</v>
      </c>
      <c r="D68" s="5" t="s">
        <v>1005</v>
      </c>
      <c r="E68" s="6">
        <v>92831</v>
      </c>
      <c r="F68" s="7">
        <v>100.6752195</v>
      </c>
      <c r="G68" s="8">
        <v>6.8255939999999999E-3</v>
      </c>
      <c r="H68" s="100"/>
    </row>
    <row r="69" spans="1:8" x14ac:dyDescent="0.2">
      <c r="A69" s="4">
        <v>63</v>
      </c>
      <c r="B69" s="5" t="s">
        <v>258</v>
      </c>
      <c r="C69" s="5" t="s">
        <v>259</v>
      </c>
      <c r="D69" s="5" t="s">
        <v>1006</v>
      </c>
      <c r="E69" s="6">
        <v>6788</v>
      </c>
      <c r="F69" s="7">
        <v>100.20784999999999</v>
      </c>
      <c r="G69" s="8">
        <v>6.7939070000000001E-3</v>
      </c>
      <c r="H69" s="100"/>
    </row>
    <row r="70" spans="1:8" x14ac:dyDescent="0.2">
      <c r="A70" s="4">
        <v>64</v>
      </c>
      <c r="B70" s="5" t="s">
        <v>262</v>
      </c>
      <c r="C70" s="5" t="s">
        <v>263</v>
      </c>
      <c r="D70" s="5" t="s">
        <v>146</v>
      </c>
      <c r="E70" s="6">
        <v>6090</v>
      </c>
      <c r="F70" s="7">
        <v>94.233615</v>
      </c>
      <c r="G70" s="8">
        <v>6.3888649999999996E-3</v>
      </c>
      <c r="H70" s="100"/>
    </row>
    <row r="71" spans="1:8" ht="25.5" x14ac:dyDescent="0.2">
      <c r="A71" s="4">
        <v>65</v>
      </c>
      <c r="B71" s="5" t="s">
        <v>266</v>
      </c>
      <c r="C71" s="5" t="s">
        <v>267</v>
      </c>
      <c r="D71" s="5" t="s">
        <v>25</v>
      </c>
      <c r="E71" s="6">
        <v>88000</v>
      </c>
      <c r="F71" s="7">
        <v>88.66</v>
      </c>
      <c r="G71" s="8">
        <v>6.0109839999999996E-3</v>
      </c>
      <c r="H71" s="100"/>
    </row>
    <row r="72" spans="1:8" x14ac:dyDescent="0.2">
      <c r="A72" s="4">
        <v>66</v>
      </c>
      <c r="B72" s="5" t="s">
        <v>59</v>
      </c>
      <c r="C72" s="5" t="s">
        <v>60</v>
      </c>
      <c r="D72" s="5" t="s">
        <v>38</v>
      </c>
      <c r="E72" s="6">
        <v>44443</v>
      </c>
      <c r="F72" s="7">
        <v>84.286149499999993</v>
      </c>
      <c r="G72" s="8">
        <v>5.7144450000000003E-3</v>
      </c>
      <c r="H72" s="100"/>
    </row>
    <row r="73" spans="1:8" x14ac:dyDescent="0.2">
      <c r="A73" s="4">
        <v>67</v>
      </c>
      <c r="B73" s="5" t="s">
        <v>264</v>
      </c>
      <c r="C73" s="5" t="s">
        <v>265</v>
      </c>
      <c r="D73" s="5" t="s">
        <v>193</v>
      </c>
      <c r="E73" s="6">
        <v>7870</v>
      </c>
      <c r="F73" s="7">
        <v>77.574590000000001</v>
      </c>
      <c r="G73" s="8">
        <v>5.2594139999999996E-3</v>
      </c>
      <c r="H73" s="100"/>
    </row>
    <row r="74" spans="1:8" x14ac:dyDescent="0.2">
      <c r="A74" s="4">
        <v>68</v>
      </c>
      <c r="B74" s="5" t="s">
        <v>268</v>
      </c>
      <c r="C74" s="5" t="s">
        <v>269</v>
      </c>
      <c r="D74" s="5" t="s">
        <v>1005</v>
      </c>
      <c r="E74" s="6">
        <v>148365</v>
      </c>
      <c r="F74" s="7">
        <v>52.521210000000004</v>
      </c>
      <c r="G74" s="8">
        <v>3.5608409999999999E-3</v>
      </c>
      <c r="H74" s="100"/>
    </row>
    <row r="75" spans="1:8" x14ac:dyDescent="0.2">
      <c r="A75" s="4">
        <v>69</v>
      </c>
      <c r="B75" s="5" t="s">
        <v>270</v>
      </c>
      <c r="C75" s="5" t="s">
        <v>271</v>
      </c>
      <c r="D75" s="5" t="s">
        <v>272</v>
      </c>
      <c r="E75" s="6">
        <v>36010</v>
      </c>
      <c r="F75" s="7">
        <v>46.939034999999997</v>
      </c>
      <c r="G75" s="8">
        <v>3.1823799999999998E-3</v>
      </c>
      <c r="H75" s="100"/>
    </row>
    <row r="76" spans="1:8" ht="25.5" x14ac:dyDescent="0.2">
      <c r="A76" s="4">
        <v>70</v>
      </c>
      <c r="B76" s="5" t="s">
        <v>273</v>
      </c>
      <c r="C76" s="5" t="s">
        <v>274</v>
      </c>
      <c r="D76" s="5" t="s">
        <v>1008</v>
      </c>
      <c r="E76" s="6">
        <v>29495</v>
      </c>
      <c r="F76" s="7">
        <v>26.280045000000001</v>
      </c>
      <c r="G76" s="8">
        <v>1.7817379999999999E-3</v>
      </c>
      <c r="H76" s="100"/>
    </row>
    <row r="77" spans="1:8" x14ac:dyDescent="0.2">
      <c r="A77" s="4">
        <v>71</v>
      </c>
      <c r="B77" s="5" t="s">
        <v>275</v>
      </c>
      <c r="C77" s="5" t="s">
        <v>276</v>
      </c>
      <c r="D77" s="5" t="s">
        <v>228</v>
      </c>
      <c r="E77" s="6">
        <v>28617</v>
      </c>
      <c r="F77" s="7">
        <v>7.8982919999999996</v>
      </c>
      <c r="G77" s="8">
        <v>5.3549000000000001E-4</v>
      </c>
      <c r="H77" s="100"/>
    </row>
    <row r="78" spans="1:8" x14ac:dyDescent="0.2">
      <c r="A78" s="15" t="s">
        <v>9</v>
      </c>
      <c r="B78" s="15" t="s">
        <v>9</v>
      </c>
      <c r="C78" s="3" t="s">
        <v>94</v>
      </c>
      <c r="D78" s="15" t="s">
        <v>9</v>
      </c>
      <c r="E78" s="15" t="s">
        <v>9</v>
      </c>
      <c r="F78" s="9">
        <v>14097.403579</v>
      </c>
      <c r="G78" s="10">
        <v>0.955777875</v>
      </c>
      <c r="H78" s="100"/>
    </row>
    <row r="79" spans="1:8" x14ac:dyDescent="0.2">
      <c r="A79" s="15" t="s">
        <v>9</v>
      </c>
      <c r="B79" s="15" t="s">
        <v>9</v>
      </c>
      <c r="C79" s="11" t="s">
        <v>9</v>
      </c>
      <c r="D79" s="15" t="s">
        <v>9</v>
      </c>
      <c r="E79" s="15" t="s">
        <v>9</v>
      </c>
      <c r="F79" s="12" t="s">
        <v>9</v>
      </c>
      <c r="G79" s="12" t="s">
        <v>9</v>
      </c>
      <c r="H79" s="100"/>
    </row>
    <row r="80" spans="1:8" x14ac:dyDescent="0.2">
      <c r="A80" s="15" t="s">
        <v>9</v>
      </c>
      <c r="B80" s="15" t="s">
        <v>9</v>
      </c>
      <c r="C80" s="3" t="s">
        <v>95</v>
      </c>
      <c r="D80" s="15" t="s">
        <v>9</v>
      </c>
      <c r="E80" s="15" t="s">
        <v>9</v>
      </c>
      <c r="F80" s="15" t="s">
        <v>9</v>
      </c>
      <c r="G80" s="15" t="s">
        <v>9</v>
      </c>
      <c r="H80" s="100"/>
    </row>
    <row r="81" spans="1:8" x14ac:dyDescent="0.2">
      <c r="A81" s="15" t="s">
        <v>9</v>
      </c>
      <c r="B81" s="15" t="s">
        <v>9</v>
      </c>
      <c r="C81" s="3" t="s">
        <v>94</v>
      </c>
      <c r="D81" s="15" t="s">
        <v>9</v>
      </c>
      <c r="E81" s="15" t="s">
        <v>9</v>
      </c>
      <c r="F81" s="13">
        <v>0</v>
      </c>
      <c r="G81" s="14">
        <v>0</v>
      </c>
      <c r="H81" s="100"/>
    </row>
    <row r="82" spans="1:8" x14ac:dyDescent="0.2">
      <c r="A82" s="15" t="s">
        <v>9</v>
      </c>
      <c r="B82" s="15" t="s">
        <v>9</v>
      </c>
      <c r="C82" s="11" t="s">
        <v>9</v>
      </c>
      <c r="D82" s="15" t="s">
        <v>9</v>
      </c>
      <c r="E82" s="15" t="s">
        <v>9</v>
      </c>
      <c r="F82" s="12" t="s">
        <v>9</v>
      </c>
      <c r="G82" s="12" t="s">
        <v>9</v>
      </c>
      <c r="H82" s="100"/>
    </row>
    <row r="83" spans="1:8" x14ac:dyDescent="0.2">
      <c r="A83" s="15" t="s">
        <v>9</v>
      </c>
      <c r="B83" s="15" t="s">
        <v>9</v>
      </c>
      <c r="C83" s="3" t="s">
        <v>96</v>
      </c>
      <c r="D83" s="15" t="s">
        <v>9</v>
      </c>
      <c r="E83" s="15" t="s">
        <v>9</v>
      </c>
      <c r="F83" s="15" t="s">
        <v>9</v>
      </c>
      <c r="G83" s="15" t="s">
        <v>9</v>
      </c>
      <c r="H83" s="100"/>
    </row>
    <row r="84" spans="1:8" x14ac:dyDescent="0.2">
      <c r="A84" s="15" t="s">
        <v>9</v>
      </c>
      <c r="B84" s="15" t="s">
        <v>9</v>
      </c>
      <c r="C84" s="3" t="s">
        <v>94</v>
      </c>
      <c r="D84" s="15" t="s">
        <v>9</v>
      </c>
      <c r="E84" s="15" t="s">
        <v>9</v>
      </c>
      <c r="F84" s="13">
        <v>0</v>
      </c>
      <c r="G84" s="14">
        <v>0</v>
      </c>
      <c r="H84" s="100"/>
    </row>
    <row r="85" spans="1:8" x14ac:dyDescent="0.2">
      <c r="A85" s="15" t="s">
        <v>9</v>
      </c>
      <c r="B85" s="15" t="s">
        <v>9</v>
      </c>
      <c r="C85" s="11" t="s">
        <v>9</v>
      </c>
      <c r="D85" s="15" t="s">
        <v>9</v>
      </c>
      <c r="E85" s="15" t="s">
        <v>9</v>
      </c>
      <c r="F85" s="12" t="s">
        <v>9</v>
      </c>
      <c r="G85" s="12" t="s">
        <v>9</v>
      </c>
      <c r="H85" s="100"/>
    </row>
    <row r="86" spans="1:8" x14ac:dyDescent="0.2">
      <c r="A86" s="15" t="s">
        <v>9</v>
      </c>
      <c r="B86" s="15" t="s">
        <v>9</v>
      </c>
      <c r="C86" s="3" t="s">
        <v>100</v>
      </c>
      <c r="D86" s="15" t="s">
        <v>9</v>
      </c>
      <c r="E86" s="15" t="s">
        <v>9</v>
      </c>
      <c r="F86" s="15" t="s">
        <v>9</v>
      </c>
      <c r="G86" s="15" t="s">
        <v>9</v>
      </c>
      <c r="H86" s="100"/>
    </row>
    <row r="87" spans="1:8" x14ac:dyDescent="0.2">
      <c r="A87" s="15" t="s">
        <v>9</v>
      </c>
      <c r="B87" s="15" t="s">
        <v>9</v>
      </c>
      <c r="C87" s="3" t="s">
        <v>94</v>
      </c>
      <c r="D87" s="15" t="s">
        <v>9</v>
      </c>
      <c r="E87" s="15" t="s">
        <v>9</v>
      </c>
      <c r="F87" s="13">
        <v>0</v>
      </c>
      <c r="G87" s="14">
        <v>0</v>
      </c>
      <c r="H87" s="100"/>
    </row>
    <row r="88" spans="1:8" x14ac:dyDescent="0.2">
      <c r="A88" s="15" t="s">
        <v>9</v>
      </c>
      <c r="B88" s="15" t="s">
        <v>9</v>
      </c>
      <c r="C88" s="11" t="s">
        <v>9</v>
      </c>
      <c r="D88" s="15" t="s">
        <v>9</v>
      </c>
      <c r="E88" s="15" t="s">
        <v>9</v>
      </c>
      <c r="F88" s="12" t="s">
        <v>9</v>
      </c>
      <c r="G88" s="12" t="s">
        <v>9</v>
      </c>
      <c r="H88" s="100"/>
    </row>
    <row r="89" spans="1:8" x14ac:dyDescent="0.2">
      <c r="A89" s="15" t="s">
        <v>9</v>
      </c>
      <c r="B89" s="15" t="s">
        <v>9</v>
      </c>
      <c r="C89" s="3" t="s">
        <v>101</v>
      </c>
      <c r="D89" s="15" t="s">
        <v>9</v>
      </c>
      <c r="E89" s="15" t="s">
        <v>9</v>
      </c>
      <c r="F89" s="12" t="s">
        <v>9</v>
      </c>
      <c r="G89" s="12" t="s">
        <v>9</v>
      </c>
      <c r="H89" s="100"/>
    </row>
    <row r="90" spans="1:8" x14ac:dyDescent="0.2">
      <c r="A90" s="15" t="s">
        <v>9</v>
      </c>
      <c r="B90" s="15" t="s">
        <v>9</v>
      </c>
      <c r="C90" s="3" t="s">
        <v>94</v>
      </c>
      <c r="D90" s="15" t="s">
        <v>9</v>
      </c>
      <c r="E90" s="15" t="s">
        <v>9</v>
      </c>
      <c r="F90" s="13">
        <v>0</v>
      </c>
      <c r="G90" s="14">
        <v>0</v>
      </c>
      <c r="H90" s="100"/>
    </row>
    <row r="91" spans="1:8" x14ac:dyDescent="0.2">
      <c r="A91" s="15" t="s">
        <v>9</v>
      </c>
      <c r="B91" s="15" t="s">
        <v>9</v>
      </c>
      <c r="C91" s="11" t="s">
        <v>9</v>
      </c>
      <c r="D91" s="15" t="s">
        <v>9</v>
      </c>
      <c r="E91" s="15" t="s">
        <v>9</v>
      </c>
      <c r="F91" s="12" t="s">
        <v>9</v>
      </c>
      <c r="G91" s="12" t="s">
        <v>9</v>
      </c>
      <c r="H91" s="100"/>
    </row>
    <row r="92" spans="1:8" x14ac:dyDescent="0.2">
      <c r="A92" s="15" t="s">
        <v>9</v>
      </c>
      <c r="B92" s="15" t="s">
        <v>9</v>
      </c>
      <c r="C92" s="3" t="s">
        <v>102</v>
      </c>
      <c r="D92" s="15" t="s">
        <v>9</v>
      </c>
      <c r="E92" s="15" t="s">
        <v>9</v>
      </c>
      <c r="F92" s="12" t="s">
        <v>9</v>
      </c>
      <c r="G92" s="12" t="s">
        <v>9</v>
      </c>
      <c r="H92" s="100"/>
    </row>
    <row r="93" spans="1:8" x14ac:dyDescent="0.2">
      <c r="A93" s="15" t="s">
        <v>9</v>
      </c>
      <c r="B93" s="15" t="s">
        <v>9</v>
      </c>
      <c r="C93" s="3" t="s">
        <v>94</v>
      </c>
      <c r="D93" s="15" t="s">
        <v>9</v>
      </c>
      <c r="E93" s="15" t="s">
        <v>9</v>
      </c>
      <c r="F93" s="13">
        <v>0</v>
      </c>
      <c r="G93" s="14">
        <v>0</v>
      </c>
      <c r="H93" s="100"/>
    </row>
    <row r="94" spans="1:8" x14ac:dyDescent="0.2">
      <c r="A94" s="15" t="s">
        <v>9</v>
      </c>
      <c r="B94" s="15" t="s">
        <v>9</v>
      </c>
      <c r="C94" s="11" t="s">
        <v>9</v>
      </c>
      <c r="D94" s="15" t="s">
        <v>9</v>
      </c>
      <c r="E94" s="15" t="s">
        <v>9</v>
      </c>
      <c r="F94" s="12" t="s">
        <v>9</v>
      </c>
      <c r="G94" s="12" t="s">
        <v>9</v>
      </c>
      <c r="H94" s="100"/>
    </row>
    <row r="95" spans="1:8" x14ac:dyDescent="0.2">
      <c r="A95" s="15" t="s">
        <v>9</v>
      </c>
      <c r="B95" s="15" t="s">
        <v>9</v>
      </c>
      <c r="C95" s="3" t="s">
        <v>104</v>
      </c>
      <c r="D95" s="15" t="s">
        <v>9</v>
      </c>
      <c r="E95" s="15" t="s">
        <v>9</v>
      </c>
      <c r="F95" s="9">
        <v>14097.403579</v>
      </c>
      <c r="G95" s="10">
        <v>0.955777875</v>
      </c>
      <c r="H95" s="100"/>
    </row>
    <row r="96" spans="1:8" x14ac:dyDescent="0.2">
      <c r="A96" s="15" t="s">
        <v>9</v>
      </c>
      <c r="B96" s="15" t="s">
        <v>9</v>
      </c>
      <c r="C96" s="11" t="s">
        <v>9</v>
      </c>
      <c r="D96" s="15" t="s">
        <v>9</v>
      </c>
      <c r="E96" s="15" t="s">
        <v>9</v>
      </c>
      <c r="F96" s="12" t="s">
        <v>9</v>
      </c>
      <c r="G96" s="12" t="s">
        <v>9</v>
      </c>
      <c r="H96" s="100"/>
    </row>
    <row r="97" spans="1:8" x14ac:dyDescent="0.2">
      <c r="A97" s="15" t="s">
        <v>9</v>
      </c>
      <c r="B97" s="15" t="s">
        <v>9</v>
      </c>
      <c r="C97" s="3" t="s">
        <v>105</v>
      </c>
      <c r="D97" s="15" t="s">
        <v>9</v>
      </c>
      <c r="E97" s="15" t="s">
        <v>9</v>
      </c>
      <c r="F97" s="12" t="s">
        <v>9</v>
      </c>
      <c r="G97" s="12" t="s">
        <v>9</v>
      </c>
      <c r="H97" s="100"/>
    </row>
    <row r="98" spans="1:8" ht="25.5" x14ac:dyDescent="0.2">
      <c r="A98" s="15" t="s">
        <v>9</v>
      </c>
      <c r="B98" s="15" t="s">
        <v>9</v>
      </c>
      <c r="C98" s="3" t="s">
        <v>11</v>
      </c>
      <c r="D98" s="15" t="s">
        <v>9</v>
      </c>
      <c r="E98" s="15" t="s">
        <v>9</v>
      </c>
      <c r="F98" s="12" t="s">
        <v>9</v>
      </c>
      <c r="G98" s="12" t="s">
        <v>9</v>
      </c>
      <c r="H98" s="100"/>
    </row>
    <row r="99" spans="1:8" x14ac:dyDescent="0.2">
      <c r="A99" s="15" t="s">
        <v>9</v>
      </c>
      <c r="B99" s="15" t="s">
        <v>9</v>
      </c>
      <c r="C99" s="3" t="s">
        <v>94</v>
      </c>
      <c r="D99" s="15" t="s">
        <v>9</v>
      </c>
      <c r="E99" s="15" t="s">
        <v>9</v>
      </c>
      <c r="F99" s="13">
        <v>0</v>
      </c>
      <c r="G99" s="14">
        <v>0</v>
      </c>
      <c r="H99" s="100"/>
    </row>
    <row r="100" spans="1:8" x14ac:dyDescent="0.2">
      <c r="A100" s="15" t="s">
        <v>9</v>
      </c>
      <c r="B100" s="15" t="s">
        <v>9</v>
      </c>
      <c r="C100" s="11" t="s">
        <v>9</v>
      </c>
      <c r="D100" s="15" t="s">
        <v>9</v>
      </c>
      <c r="E100" s="15" t="s">
        <v>9</v>
      </c>
      <c r="F100" s="12" t="s">
        <v>9</v>
      </c>
      <c r="G100" s="12" t="s">
        <v>9</v>
      </c>
      <c r="H100" s="100"/>
    </row>
    <row r="101" spans="1:8" x14ac:dyDescent="0.2">
      <c r="A101" s="15" t="s">
        <v>9</v>
      </c>
      <c r="B101" s="15" t="s">
        <v>9</v>
      </c>
      <c r="C101" s="3" t="s">
        <v>106</v>
      </c>
      <c r="D101" s="15" t="s">
        <v>9</v>
      </c>
      <c r="E101" s="15" t="s">
        <v>9</v>
      </c>
      <c r="F101" s="15" t="s">
        <v>9</v>
      </c>
      <c r="G101" s="15" t="s">
        <v>9</v>
      </c>
      <c r="H101" s="100"/>
    </row>
    <row r="102" spans="1:8" x14ac:dyDescent="0.2">
      <c r="A102" s="15" t="s">
        <v>9</v>
      </c>
      <c r="B102" s="15" t="s">
        <v>9</v>
      </c>
      <c r="C102" s="3" t="s">
        <v>94</v>
      </c>
      <c r="D102" s="15" t="s">
        <v>9</v>
      </c>
      <c r="E102" s="15" t="s">
        <v>9</v>
      </c>
      <c r="F102" s="13">
        <v>0</v>
      </c>
      <c r="G102" s="14">
        <v>0</v>
      </c>
      <c r="H102" s="100"/>
    </row>
    <row r="103" spans="1:8" x14ac:dyDescent="0.2">
      <c r="A103" s="15" t="s">
        <v>9</v>
      </c>
      <c r="B103" s="15" t="s">
        <v>9</v>
      </c>
      <c r="C103" s="11" t="s">
        <v>9</v>
      </c>
      <c r="D103" s="15" t="s">
        <v>9</v>
      </c>
      <c r="E103" s="15" t="s">
        <v>9</v>
      </c>
      <c r="F103" s="12" t="s">
        <v>9</v>
      </c>
      <c r="G103" s="12" t="s">
        <v>9</v>
      </c>
      <c r="H103" s="100"/>
    </row>
    <row r="104" spans="1:8" x14ac:dyDescent="0.2">
      <c r="A104" s="15" t="s">
        <v>9</v>
      </c>
      <c r="B104" s="15" t="s">
        <v>9</v>
      </c>
      <c r="C104" s="3" t="s">
        <v>107</v>
      </c>
      <c r="D104" s="15" t="s">
        <v>9</v>
      </c>
      <c r="E104" s="15" t="s">
        <v>9</v>
      </c>
      <c r="F104" s="15" t="s">
        <v>9</v>
      </c>
      <c r="G104" s="15" t="s">
        <v>9</v>
      </c>
      <c r="H104" s="100"/>
    </row>
    <row r="105" spans="1:8" x14ac:dyDescent="0.2">
      <c r="A105" s="15" t="s">
        <v>9</v>
      </c>
      <c r="B105" s="15" t="s">
        <v>9</v>
      </c>
      <c r="C105" s="3" t="s">
        <v>94</v>
      </c>
      <c r="D105" s="15" t="s">
        <v>9</v>
      </c>
      <c r="E105" s="15" t="s">
        <v>9</v>
      </c>
      <c r="F105" s="13">
        <v>0</v>
      </c>
      <c r="G105" s="14">
        <v>0</v>
      </c>
      <c r="H105" s="100"/>
    </row>
    <row r="106" spans="1:8" x14ac:dyDescent="0.2">
      <c r="A106" s="15" t="s">
        <v>9</v>
      </c>
      <c r="B106" s="15" t="s">
        <v>9</v>
      </c>
      <c r="C106" s="11" t="s">
        <v>9</v>
      </c>
      <c r="D106" s="15" t="s">
        <v>9</v>
      </c>
      <c r="E106" s="15" t="s">
        <v>9</v>
      </c>
      <c r="F106" s="12" t="s">
        <v>9</v>
      </c>
      <c r="G106" s="12" t="s">
        <v>9</v>
      </c>
      <c r="H106" s="100"/>
    </row>
    <row r="107" spans="1:8" x14ac:dyDescent="0.2">
      <c r="A107" s="15" t="s">
        <v>9</v>
      </c>
      <c r="B107" s="15" t="s">
        <v>9</v>
      </c>
      <c r="C107" s="3" t="s">
        <v>108</v>
      </c>
      <c r="D107" s="15" t="s">
        <v>9</v>
      </c>
      <c r="E107" s="15" t="s">
        <v>9</v>
      </c>
      <c r="F107" s="12" t="s">
        <v>9</v>
      </c>
      <c r="G107" s="12" t="s">
        <v>9</v>
      </c>
      <c r="H107" s="100"/>
    </row>
    <row r="108" spans="1:8" x14ac:dyDescent="0.2">
      <c r="A108" s="15" t="s">
        <v>9</v>
      </c>
      <c r="B108" s="15" t="s">
        <v>9</v>
      </c>
      <c r="C108" s="3" t="s">
        <v>94</v>
      </c>
      <c r="D108" s="15" t="s">
        <v>9</v>
      </c>
      <c r="E108" s="15" t="s">
        <v>9</v>
      </c>
      <c r="F108" s="13">
        <v>0</v>
      </c>
      <c r="G108" s="14">
        <v>0</v>
      </c>
      <c r="H108" s="100"/>
    </row>
    <row r="109" spans="1:8" x14ac:dyDescent="0.2">
      <c r="A109" s="15" t="s">
        <v>9</v>
      </c>
      <c r="B109" s="15" t="s">
        <v>9</v>
      </c>
      <c r="C109" s="11" t="s">
        <v>9</v>
      </c>
      <c r="D109" s="15" t="s">
        <v>9</v>
      </c>
      <c r="E109" s="15" t="s">
        <v>9</v>
      </c>
      <c r="F109" s="12" t="s">
        <v>9</v>
      </c>
      <c r="G109" s="12" t="s">
        <v>9</v>
      </c>
      <c r="H109" s="100"/>
    </row>
    <row r="110" spans="1:8" x14ac:dyDescent="0.2">
      <c r="A110" s="15" t="s">
        <v>9</v>
      </c>
      <c r="B110" s="15" t="s">
        <v>9</v>
      </c>
      <c r="C110" s="3" t="s">
        <v>109</v>
      </c>
      <c r="D110" s="15" t="s">
        <v>9</v>
      </c>
      <c r="E110" s="15" t="s">
        <v>9</v>
      </c>
      <c r="F110" s="9">
        <v>0</v>
      </c>
      <c r="G110" s="10">
        <v>0</v>
      </c>
      <c r="H110" s="100"/>
    </row>
    <row r="111" spans="1:8" x14ac:dyDescent="0.2">
      <c r="A111" s="15" t="s">
        <v>9</v>
      </c>
      <c r="B111" s="15" t="s">
        <v>9</v>
      </c>
      <c r="C111" s="11" t="s">
        <v>9</v>
      </c>
      <c r="D111" s="15" t="s">
        <v>9</v>
      </c>
      <c r="E111" s="15" t="s">
        <v>9</v>
      </c>
      <c r="F111" s="12" t="s">
        <v>9</v>
      </c>
      <c r="G111" s="12" t="s">
        <v>9</v>
      </c>
      <c r="H111" s="100"/>
    </row>
    <row r="112" spans="1:8" x14ac:dyDescent="0.2">
      <c r="A112" s="15" t="s">
        <v>9</v>
      </c>
      <c r="B112" s="15" t="s">
        <v>9</v>
      </c>
      <c r="C112" s="3" t="s">
        <v>110</v>
      </c>
      <c r="D112" s="15" t="s">
        <v>9</v>
      </c>
      <c r="E112" s="15" t="s">
        <v>9</v>
      </c>
      <c r="F112" s="12" t="s">
        <v>9</v>
      </c>
      <c r="G112" s="12" t="s">
        <v>9</v>
      </c>
      <c r="H112" s="100"/>
    </row>
    <row r="113" spans="1:8" x14ac:dyDescent="0.2">
      <c r="A113" s="15" t="s">
        <v>9</v>
      </c>
      <c r="B113" s="15" t="s">
        <v>9</v>
      </c>
      <c r="C113" s="3" t="s">
        <v>111</v>
      </c>
      <c r="D113" s="15" t="s">
        <v>9</v>
      </c>
      <c r="E113" s="15" t="s">
        <v>9</v>
      </c>
      <c r="F113" s="12" t="s">
        <v>9</v>
      </c>
      <c r="G113" s="12" t="s">
        <v>9</v>
      </c>
      <c r="H113" s="100"/>
    </row>
    <row r="114" spans="1:8" x14ac:dyDescent="0.2">
      <c r="A114" s="15" t="s">
        <v>9</v>
      </c>
      <c r="B114" s="15" t="s">
        <v>9</v>
      </c>
      <c r="C114" s="3" t="s">
        <v>94</v>
      </c>
      <c r="D114" s="15" t="s">
        <v>9</v>
      </c>
      <c r="E114" s="15" t="s">
        <v>9</v>
      </c>
      <c r="F114" s="13">
        <v>0</v>
      </c>
      <c r="G114" s="14">
        <v>0</v>
      </c>
      <c r="H114" s="100"/>
    </row>
    <row r="115" spans="1:8" x14ac:dyDescent="0.2">
      <c r="A115" s="15" t="s">
        <v>9</v>
      </c>
      <c r="B115" s="15" t="s">
        <v>9</v>
      </c>
      <c r="C115" s="11" t="s">
        <v>9</v>
      </c>
      <c r="D115" s="15" t="s">
        <v>9</v>
      </c>
      <c r="E115" s="15" t="s">
        <v>9</v>
      </c>
      <c r="F115" s="12" t="s">
        <v>9</v>
      </c>
      <c r="G115" s="12" t="s">
        <v>9</v>
      </c>
      <c r="H115" s="100"/>
    </row>
    <row r="116" spans="1:8" x14ac:dyDescent="0.2">
      <c r="A116" s="15" t="s">
        <v>9</v>
      </c>
      <c r="B116" s="15" t="s">
        <v>9</v>
      </c>
      <c r="C116" s="3" t="s">
        <v>112</v>
      </c>
      <c r="D116" s="15" t="s">
        <v>9</v>
      </c>
      <c r="E116" s="15" t="s">
        <v>9</v>
      </c>
      <c r="F116" s="12" t="s">
        <v>9</v>
      </c>
      <c r="G116" s="12" t="s">
        <v>9</v>
      </c>
      <c r="H116" s="100"/>
    </row>
    <row r="117" spans="1:8" x14ac:dyDescent="0.2">
      <c r="A117" s="15" t="s">
        <v>9</v>
      </c>
      <c r="B117" s="15" t="s">
        <v>9</v>
      </c>
      <c r="C117" s="3" t="s">
        <v>94</v>
      </c>
      <c r="D117" s="15" t="s">
        <v>9</v>
      </c>
      <c r="E117" s="15" t="s">
        <v>9</v>
      </c>
      <c r="F117" s="13">
        <v>0</v>
      </c>
      <c r="G117" s="14">
        <v>0</v>
      </c>
      <c r="H117" s="100"/>
    </row>
    <row r="118" spans="1:8" x14ac:dyDescent="0.2">
      <c r="A118" s="15" t="s">
        <v>9</v>
      </c>
      <c r="B118" s="15" t="s">
        <v>9</v>
      </c>
      <c r="C118" s="11" t="s">
        <v>9</v>
      </c>
      <c r="D118" s="15" t="s">
        <v>9</v>
      </c>
      <c r="E118" s="15" t="s">
        <v>9</v>
      </c>
      <c r="F118" s="12" t="s">
        <v>9</v>
      </c>
      <c r="G118" s="12" t="s">
        <v>9</v>
      </c>
      <c r="H118" s="100"/>
    </row>
    <row r="119" spans="1:8" x14ac:dyDescent="0.2">
      <c r="A119" s="15" t="s">
        <v>9</v>
      </c>
      <c r="B119" s="15" t="s">
        <v>9</v>
      </c>
      <c r="C119" s="3" t="s">
        <v>113</v>
      </c>
      <c r="D119" s="15" t="s">
        <v>9</v>
      </c>
      <c r="E119" s="15" t="s">
        <v>9</v>
      </c>
      <c r="F119" s="12" t="s">
        <v>9</v>
      </c>
      <c r="G119" s="12" t="s">
        <v>9</v>
      </c>
      <c r="H119" s="100"/>
    </row>
    <row r="120" spans="1:8" x14ac:dyDescent="0.2">
      <c r="A120" s="15" t="s">
        <v>9</v>
      </c>
      <c r="B120" s="15" t="s">
        <v>9</v>
      </c>
      <c r="C120" s="3" t="s">
        <v>94</v>
      </c>
      <c r="D120" s="15" t="s">
        <v>9</v>
      </c>
      <c r="E120" s="15" t="s">
        <v>9</v>
      </c>
      <c r="F120" s="13">
        <v>0</v>
      </c>
      <c r="G120" s="14">
        <v>0</v>
      </c>
      <c r="H120" s="100"/>
    </row>
    <row r="121" spans="1:8" x14ac:dyDescent="0.2">
      <c r="A121" s="15" t="s">
        <v>9</v>
      </c>
      <c r="B121" s="15" t="s">
        <v>9</v>
      </c>
      <c r="C121" s="11" t="s">
        <v>9</v>
      </c>
      <c r="D121" s="15" t="s">
        <v>9</v>
      </c>
      <c r="E121" s="15" t="s">
        <v>9</v>
      </c>
      <c r="F121" s="12" t="s">
        <v>9</v>
      </c>
      <c r="G121" s="12" t="s">
        <v>9</v>
      </c>
      <c r="H121" s="100"/>
    </row>
    <row r="122" spans="1:8" x14ac:dyDescent="0.2">
      <c r="A122" s="15" t="s">
        <v>9</v>
      </c>
      <c r="B122" s="15" t="s">
        <v>9</v>
      </c>
      <c r="C122" s="3" t="s">
        <v>114</v>
      </c>
      <c r="D122" s="15" t="s">
        <v>9</v>
      </c>
      <c r="E122" s="15" t="s">
        <v>9</v>
      </c>
      <c r="F122" s="12" t="s">
        <v>9</v>
      </c>
      <c r="G122" s="12" t="s">
        <v>9</v>
      </c>
      <c r="H122" s="100"/>
    </row>
    <row r="123" spans="1:8" x14ac:dyDescent="0.2">
      <c r="A123" s="4">
        <v>1</v>
      </c>
      <c r="B123" s="5"/>
      <c r="C123" s="5" t="s">
        <v>115</v>
      </c>
      <c r="D123" s="5"/>
      <c r="E123" s="15" t="s">
        <v>9</v>
      </c>
      <c r="F123" s="7">
        <v>561.2333046</v>
      </c>
      <c r="G123" s="8">
        <v>3.8050579000000001E-2</v>
      </c>
      <c r="H123" s="99">
        <v>3.2516689338443991</v>
      </c>
    </row>
    <row r="124" spans="1:8" x14ac:dyDescent="0.2">
      <c r="A124" s="4">
        <v>2</v>
      </c>
      <c r="B124" s="5"/>
      <c r="C124" s="5" t="s">
        <v>116</v>
      </c>
      <c r="D124" s="5"/>
      <c r="E124" s="15" t="s">
        <v>9</v>
      </c>
      <c r="F124" s="7">
        <v>76.894109400000005</v>
      </c>
      <c r="G124" s="8">
        <v>5.213278E-3</v>
      </c>
      <c r="H124" s="100">
        <v>3.350000000000001</v>
      </c>
    </row>
    <row r="125" spans="1:8" x14ac:dyDescent="0.2">
      <c r="A125" s="15" t="s">
        <v>9</v>
      </c>
      <c r="B125" s="15" t="s">
        <v>9</v>
      </c>
      <c r="C125" s="3" t="s">
        <v>94</v>
      </c>
      <c r="D125" s="15" t="s">
        <v>9</v>
      </c>
      <c r="E125" s="15" t="s">
        <v>9</v>
      </c>
      <c r="F125" s="9">
        <v>638.12741400000004</v>
      </c>
      <c r="G125" s="10">
        <v>4.3263857000000003E-2</v>
      </c>
      <c r="H125" s="100"/>
    </row>
    <row r="126" spans="1:8" x14ac:dyDescent="0.2">
      <c r="A126" s="15" t="s">
        <v>9</v>
      </c>
      <c r="B126" s="15" t="s">
        <v>9</v>
      </c>
      <c r="C126" s="11" t="s">
        <v>9</v>
      </c>
      <c r="D126" s="15" t="s">
        <v>9</v>
      </c>
      <c r="E126" s="15" t="s">
        <v>9</v>
      </c>
      <c r="F126" s="12" t="s">
        <v>9</v>
      </c>
      <c r="G126" s="12" t="s">
        <v>9</v>
      </c>
      <c r="H126" s="100"/>
    </row>
    <row r="127" spans="1:8" x14ac:dyDescent="0.2">
      <c r="A127" s="15" t="s">
        <v>9</v>
      </c>
      <c r="B127" s="15" t="s">
        <v>9</v>
      </c>
      <c r="C127" s="3" t="s">
        <v>117</v>
      </c>
      <c r="D127" s="15" t="s">
        <v>9</v>
      </c>
      <c r="E127" s="15" t="s">
        <v>9</v>
      </c>
      <c r="F127" s="9">
        <v>638.12741400000004</v>
      </c>
      <c r="G127" s="10">
        <v>4.3263857000000003E-2</v>
      </c>
      <c r="H127" s="100"/>
    </row>
    <row r="128" spans="1:8" x14ac:dyDescent="0.2">
      <c r="A128" s="15" t="s">
        <v>9</v>
      </c>
      <c r="B128" s="15" t="s">
        <v>9</v>
      </c>
      <c r="C128" s="12" t="s">
        <v>9</v>
      </c>
      <c r="D128" s="15" t="s">
        <v>9</v>
      </c>
      <c r="E128" s="15" t="s">
        <v>9</v>
      </c>
      <c r="F128" s="15" t="s">
        <v>9</v>
      </c>
      <c r="G128" s="15" t="s">
        <v>9</v>
      </c>
      <c r="H128" s="100"/>
    </row>
    <row r="129" spans="1:8" x14ac:dyDescent="0.2">
      <c r="A129" s="15" t="s">
        <v>9</v>
      </c>
      <c r="B129" s="15" t="s">
        <v>9</v>
      </c>
      <c r="C129" s="3" t="s">
        <v>118</v>
      </c>
      <c r="D129" s="15" t="s">
        <v>9</v>
      </c>
      <c r="E129" s="15" t="s">
        <v>9</v>
      </c>
      <c r="F129" s="15" t="s">
        <v>9</v>
      </c>
      <c r="G129" s="15" t="s">
        <v>9</v>
      </c>
      <c r="H129" s="100"/>
    </row>
    <row r="130" spans="1:8" x14ac:dyDescent="0.2">
      <c r="A130" s="15" t="s">
        <v>9</v>
      </c>
      <c r="B130" s="15" t="s">
        <v>9</v>
      </c>
      <c r="C130" s="3" t="s">
        <v>119</v>
      </c>
      <c r="D130" s="15" t="s">
        <v>9</v>
      </c>
      <c r="E130" s="15" t="s">
        <v>9</v>
      </c>
      <c r="F130" s="15" t="s">
        <v>9</v>
      </c>
      <c r="G130" s="15" t="s">
        <v>9</v>
      </c>
      <c r="H130" s="100"/>
    </row>
    <row r="131" spans="1:8" x14ac:dyDescent="0.2">
      <c r="A131" s="15" t="s">
        <v>9</v>
      </c>
      <c r="B131" s="15" t="s">
        <v>9</v>
      </c>
      <c r="C131" s="3" t="s">
        <v>94</v>
      </c>
      <c r="D131" s="15" t="s">
        <v>9</v>
      </c>
      <c r="E131" s="15" t="s">
        <v>9</v>
      </c>
      <c r="F131" s="13">
        <v>0</v>
      </c>
      <c r="G131" s="14">
        <v>0</v>
      </c>
      <c r="H131" s="100"/>
    </row>
    <row r="132" spans="1:8" x14ac:dyDescent="0.2">
      <c r="A132" s="15" t="s">
        <v>9</v>
      </c>
      <c r="B132" s="15" t="s">
        <v>9</v>
      </c>
      <c r="C132" s="11" t="s">
        <v>9</v>
      </c>
      <c r="D132" s="15" t="s">
        <v>9</v>
      </c>
      <c r="E132" s="15" t="s">
        <v>9</v>
      </c>
      <c r="F132" s="12" t="s">
        <v>9</v>
      </c>
      <c r="G132" s="12" t="s">
        <v>9</v>
      </c>
      <c r="H132" s="100"/>
    </row>
    <row r="133" spans="1:8" x14ac:dyDescent="0.2">
      <c r="A133" s="15" t="s">
        <v>9</v>
      </c>
      <c r="B133" s="15" t="s">
        <v>9</v>
      </c>
      <c r="C133" s="3" t="s">
        <v>120</v>
      </c>
      <c r="D133" s="15" t="s">
        <v>9</v>
      </c>
      <c r="E133" s="15" t="s">
        <v>9</v>
      </c>
      <c r="F133" s="15" t="s">
        <v>9</v>
      </c>
      <c r="G133" s="15" t="s">
        <v>9</v>
      </c>
      <c r="H133" s="100"/>
    </row>
    <row r="134" spans="1:8" x14ac:dyDescent="0.2">
      <c r="A134" s="15" t="s">
        <v>9</v>
      </c>
      <c r="B134" s="15" t="s">
        <v>9</v>
      </c>
      <c r="C134" s="3" t="s">
        <v>121</v>
      </c>
      <c r="D134" s="15" t="s">
        <v>9</v>
      </c>
      <c r="E134" s="15" t="s">
        <v>9</v>
      </c>
      <c r="F134" s="15" t="s">
        <v>9</v>
      </c>
      <c r="G134" s="15" t="s">
        <v>9</v>
      </c>
      <c r="H134" s="100"/>
    </row>
    <row r="135" spans="1:8" x14ac:dyDescent="0.2">
      <c r="A135" s="15" t="s">
        <v>9</v>
      </c>
      <c r="B135" s="15" t="s">
        <v>9</v>
      </c>
      <c r="C135" s="3" t="s">
        <v>94</v>
      </c>
      <c r="D135" s="15" t="s">
        <v>9</v>
      </c>
      <c r="E135" s="15" t="s">
        <v>9</v>
      </c>
      <c r="F135" s="13">
        <v>0</v>
      </c>
      <c r="G135" s="14">
        <v>0</v>
      </c>
      <c r="H135" s="100"/>
    </row>
    <row r="136" spans="1:8" x14ac:dyDescent="0.2">
      <c r="A136" s="15" t="s">
        <v>9</v>
      </c>
      <c r="B136" s="15" t="s">
        <v>9</v>
      </c>
      <c r="C136" s="11" t="s">
        <v>9</v>
      </c>
      <c r="D136" s="15" t="s">
        <v>9</v>
      </c>
      <c r="E136" s="15" t="s">
        <v>9</v>
      </c>
      <c r="F136" s="12" t="s">
        <v>9</v>
      </c>
      <c r="G136" s="12" t="s">
        <v>9</v>
      </c>
      <c r="H136" s="100"/>
    </row>
    <row r="137" spans="1:8" x14ac:dyDescent="0.2">
      <c r="A137" s="15" t="s">
        <v>9</v>
      </c>
      <c r="B137" s="15" t="s">
        <v>9</v>
      </c>
      <c r="C137" s="11" t="s">
        <v>9</v>
      </c>
      <c r="D137" s="15" t="s">
        <v>9</v>
      </c>
      <c r="E137" s="15" t="s">
        <v>9</v>
      </c>
      <c r="F137" s="12" t="s">
        <v>9</v>
      </c>
      <c r="G137" s="12" t="s">
        <v>9</v>
      </c>
      <c r="H137" s="100"/>
    </row>
    <row r="138" spans="1:8" ht="25.5" x14ac:dyDescent="0.2">
      <c r="A138" s="15" t="s">
        <v>9</v>
      </c>
      <c r="B138" s="15" t="s">
        <v>9</v>
      </c>
      <c r="C138" s="3" t="s">
        <v>122</v>
      </c>
      <c r="D138" s="15" t="s">
        <v>9</v>
      </c>
      <c r="E138" s="15" t="s">
        <v>9</v>
      </c>
      <c r="F138" s="12" t="s">
        <v>9</v>
      </c>
      <c r="G138" s="12" t="s">
        <v>9</v>
      </c>
      <c r="H138" s="100"/>
    </row>
    <row r="139" spans="1:8" x14ac:dyDescent="0.2">
      <c r="A139" s="15" t="s">
        <v>9</v>
      </c>
      <c r="B139" s="15" t="s">
        <v>9</v>
      </c>
      <c r="C139" s="3" t="s">
        <v>94</v>
      </c>
      <c r="D139" s="15" t="s">
        <v>9</v>
      </c>
      <c r="E139" s="15" t="s">
        <v>9</v>
      </c>
      <c r="F139" s="13">
        <v>0</v>
      </c>
      <c r="G139" s="14">
        <v>0</v>
      </c>
      <c r="H139" s="100"/>
    </row>
    <row r="140" spans="1:8" x14ac:dyDescent="0.2">
      <c r="A140" s="15" t="s">
        <v>9</v>
      </c>
      <c r="B140" s="15" t="s">
        <v>9</v>
      </c>
      <c r="C140" s="11" t="s">
        <v>9</v>
      </c>
      <c r="D140" s="15" t="s">
        <v>9</v>
      </c>
      <c r="E140" s="15" t="s">
        <v>9</v>
      </c>
      <c r="F140" s="12" t="s">
        <v>9</v>
      </c>
      <c r="G140" s="12" t="s">
        <v>9</v>
      </c>
      <c r="H140" s="100"/>
    </row>
    <row r="141" spans="1:8" x14ac:dyDescent="0.2">
      <c r="A141" s="15" t="s">
        <v>9</v>
      </c>
      <c r="B141" s="5" t="s">
        <v>9</v>
      </c>
      <c r="C141" s="5" t="s">
        <v>9</v>
      </c>
      <c r="D141" s="3" t="s">
        <v>9</v>
      </c>
      <c r="E141" s="15" t="s">
        <v>9</v>
      </c>
      <c r="F141" s="5" t="s">
        <v>9</v>
      </c>
      <c r="G141" s="15" t="s">
        <v>9</v>
      </c>
      <c r="H141" s="100"/>
    </row>
    <row r="142" spans="1:8" x14ac:dyDescent="0.2">
      <c r="A142" s="15" t="s">
        <v>9</v>
      </c>
      <c r="B142" s="5" t="s">
        <v>9</v>
      </c>
      <c r="C142" s="5" t="s">
        <v>124</v>
      </c>
      <c r="D142" s="5" t="s">
        <v>9</v>
      </c>
      <c r="E142" s="15" t="s">
        <v>9</v>
      </c>
      <c r="F142" s="7">
        <v>14.134117679999999</v>
      </c>
      <c r="G142" s="8">
        <v>9.5826699999999995E-4</v>
      </c>
      <c r="H142" s="100"/>
    </row>
    <row r="143" spans="1:8" x14ac:dyDescent="0.2">
      <c r="A143" s="11" t="s">
        <v>9</v>
      </c>
      <c r="B143" s="11" t="s">
        <v>9</v>
      </c>
      <c r="C143" s="3" t="s">
        <v>125</v>
      </c>
      <c r="D143" s="16" t="s">
        <v>9</v>
      </c>
      <c r="E143" s="16" t="s">
        <v>9</v>
      </c>
      <c r="F143" s="9">
        <v>14749.66511068</v>
      </c>
      <c r="G143" s="10">
        <v>0.99999999900000003</v>
      </c>
      <c r="H143" s="100"/>
    </row>
    <row r="144" spans="1:8" x14ac:dyDescent="0.2">
      <c r="A144" s="17" t="s">
        <v>9</v>
      </c>
      <c r="B144" s="17" t="s">
        <v>9</v>
      </c>
      <c r="C144" s="17" t="s">
        <v>9</v>
      </c>
      <c r="D144" s="18" t="s">
        <v>9</v>
      </c>
      <c r="E144" s="18" t="s">
        <v>9</v>
      </c>
      <c r="F144" s="18" t="s">
        <v>9</v>
      </c>
      <c r="G144" s="18" t="s">
        <v>9</v>
      </c>
      <c r="H144" s="142"/>
    </row>
    <row r="145" spans="1:8" x14ac:dyDescent="0.2">
      <c r="A145" s="19" t="s">
        <v>9</v>
      </c>
      <c r="B145" s="254" t="s">
        <v>9</v>
      </c>
      <c r="C145" s="254"/>
      <c r="D145" s="254"/>
      <c r="E145" s="254"/>
      <c r="F145" s="254"/>
      <c r="G145" s="20" t="s">
        <v>9</v>
      </c>
      <c r="H145" s="142"/>
    </row>
    <row r="146" spans="1:8" x14ac:dyDescent="0.2">
      <c r="A146" s="19" t="s">
        <v>9</v>
      </c>
      <c r="B146" s="254" t="s">
        <v>9</v>
      </c>
      <c r="C146" s="254"/>
      <c r="D146" s="254"/>
      <c r="E146" s="254"/>
      <c r="F146" s="254"/>
      <c r="G146" s="20" t="s">
        <v>9</v>
      </c>
      <c r="H146" s="142"/>
    </row>
    <row r="147" spans="1:8" x14ac:dyDescent="0.2">
      <c r="A147" s="19" t="s">
        <v>9</v>
      </c>
      <c r="B147" s="19" t="s">
        <v>9</v>
      </c>
      <c r="C147" s="19" t="s">
        <v>9</v>
      </c>
      <c r="D147" s="20" t="s">
        <v>9</v>
      </c>
      <c r="E147" s="20" t="s">
        <v>9</v>
      </c>
      <c r="F147" s="20" t="s">
        <v>9</v>
      </c>
      <c r="G147" s="20" t="s">
        <v>9</v>
      </c>
      <c r="H147" s="142"/>
    </row>
    <row r="148" spans="1:8" x14ac:dyDescent="0.2">
      <c r="A148" s="19" t="s">
        <v>9</v>
      </c>
      <c r="B148" s="247" t="s">
        <v>127</v>
      </c>
      <c r="C148" s="248"/>
      <c r="D148" s="182" t="s">
        <v>9</v>
      </c>
      <c r="E148" s="21" t="s">
        <v>9</v>
      </c>
      <c r="F148" s="20" t="s">
        <v>9</v>
      </c>
      <c r="G148" s="20" t="s">
        <v>9</v>
      </c>
      <c r="H148" s="142"/>
    </row>
    <row r="149" spans="1:8" ht="28.5" customHeight="1" x14ac:dyDescent="0.2">
      <c r="A149" s="19" t="s">
        <v>9</v>
      </c>
      <c r="B149" s="242" t="s">
        <v>128</v>
      </c>
      <c r="C149" s="243"/>
      <c r="D149" s="3" t="s">
        <v>129</v>
      </c>
      <c r="E149" s="21" t="s">
        <v>9</v>
      </c>
      <c r="F149" s="20" t="s">
        <v>9</v>
      </c>
      <c r="G149" s="20" t="s">
        <v>9</v>
      </c>
      <c r="H149" s="142"/>
    </row>
    <row r="150" spans="1:8" x14ac:dyDescent="0.2">
      <c r="A150" s="19" t="s">
        <v>9</v>
      </c>
      <c r="B150" s="240" t="s">
        <v>130</v>
      </c>
      <c r="C150" s="241"/>
      <c r="D150" s="177" t="s">
        <v>129</v>
      </c>
      <c r="E150" s="21" t="s">
        <v>9</v>
      </c>
      <c r="F150" s="20" t="s">
        <v>9</v>
      </c>
      <c r="G150" s="20" t="s">
        <v>9</v>
      </c>
      <c r="H150" s="142"/>
    </row>
    <row r="151" spans="1:8" x14ac:dyDescent="0.2">
      <c r="A151" s="19" t="s">
        <v>9</v>
      </c>
      <c r="B151" s="240" t="s">
        <v>131</v>
      </c>
      <c r="C151" s="241"/>
      <c r="D151" s="182" t="s">
        <v>9</v>
      </c>
      <c r="E151" s="21" t="s">
        <v>9</v>
      </c>
      <c r="F151" s="20" t="s">
        <v>9</v>
      </c>
      <c r="G151" s="20" t="s">
        <v>9</v>
      </c>
      <c r="H151" s="142"/>
    </row>
    <row r="152" spans="1:8" ht="25.5" x14ac:dyDescent="0.2">
      <c r="A152" s="25" t="s">
        <v>9</v>
      </c>
      <c r="B152" s="23" t="s">
        <v>9</v>
      </c>
      <c r="C152" s="23" t="s">
        <v>132</v>
      </c>
      <c r="D152" s="23" t="s">
        <v>133</v>
      </c>
      <c r="E152" s="25" t="s">
        <v>9</v>
      </c>
      <c r="F152" s="25" t="s">
        <v>9</v>
      </c>
      <c r="G152" s="25" t="s">
        <v>9</v>
      </c>
      <c r="H152" s="142"/>
    </row>
    <row r="153" spans="1:8" x14ac:dyDescent="0.2">
      <c r="A153" s="25" t="s">
        <v>9</v>
      </c>
      <c r="B153" s="23" t="s">
        <v>134</v>
      </c>
      <c r="C153" s="23" t="s">
        <v>135</v>
      </c>
      <c r="D153" s="23" t="s">
        <v>136</v>
      </c>
      <c r="E153" s="25" t="s">
        <v>9</v>
      </c>
      <c r="F153" s="25" t="s">
        <v>9</v>
      </c>
      <c r="G153" s="25" t="s">
        <v>9</v>
      </c>
      <c r="H153" s="142"/>
    </row>
    <row r="154" spans="1:8" x14ac:dyDescent="0.2">
      <c r="A154" s="25" t="s">
        <v>9</v>
      </c>
      <c r="B154" s="183" t="s">
        <v>137</v>
      </c>
      <c r="C154" s="184">
        <v>11.0465</v>
      </c>
      <c r="D154" s="184">
        <v>11.420500000000001</v>
      </c>
      <c r="E154" s="25" t="s">
        <v>9</v>
      </c>
      <c r="F154" s="73" t="s">
        <v>9</v>
      </c>
      <c r="G154" s="25" t="s">
        <v>9</v>
      </c>
      <c r="H154" s="142"/>
    </row>
    <row r="155" spans="1:8" x14ac:dyDescent="0.2">
      <c r="A155" s="25" t="s">
        <v>9</v>
      </c>
      <c r="B155" s="183" t="s">
        <v>921</v>
      </c>
      <c r="C155" s="184">
        <v>11.0464</v>
      </c>
      <c r="D155" s="184">
        <v>11.420400000000001</v>
      </c>
      <c r="E155" s="25" t="s">
        <v>9</v>
      </c>
      <c r="F155" s="73" t="s">
        <v>9</v>
      </c>
      <c r="G155" s="25" t="s">
        <v>9</v>
      </c>
      <c r="H155" s="142"/>
    </row>
    <row r="156" spans="1:8" x14ac:dyDescent="0.2">
      <c r="A156" s="25" t="s">
        <v>9</v>
      </c>
      <c r="B156" s="183" t="s">
        <v>138</v>
      </c>
      <c r="C156" s="184">
        <v>10.6988</v>
      </c>
      <c r="D156" s="184">
        <v>11.055099999999999</v>
      </c>
      <c r="E156" s="25" t="s">
        <v>9</v>
      </c>
      <c r="F156" s="73" t="s">
        <v>9</v>
      </c>
      <c r="G156" s="25" t="s">
        <v>9</v>
      </c>
      <c r="H156" s="142"/>
    </row>
    <row r="157" spans="1:8" x14ac:dyDescent="0.2">
      <c r="A157" s="25" t="s">
        <v>9</v>
      </c>
      <c r="B157" s="183" t="s">
        <v>922</v>
      </c>
      <c r="C157" s="184">
        <v>10.6988</v>
      </c>
      <c r="D157" s="184">
        <v>11.055099999999999</v>
      </c>
      <c r="E157" s="25" t="s">
        <v>9</v>
      </c>
      <c r="F157" s="73" t="s">
        <v>9</v>
      </c>
      <c r="G157" s="25" t="s">
        <v>9</v>
      </c>
      <c r="H157" s="142"/>
    </row>
    <row r="158" spans="1:8" x14ac:dyDescent="0.2">
      <c r="A158" s="25" t="s">
        <v>9</v>
      </c>
      <c r="B158" s="22" t="s">
        <v>9</v>
      </c>
      <c r="C158" s="22" t="s">
        <v>9</v>
      </c>
      <c r="D158" s="22" t="s">
        <v>9</v>
      </c>
      <c r="E158" s="25" t="s">
        <v>9</v>
      </c>
      <c r="F158" s="25" t="s">
        <v>9</v>
      </c>
      <c r="G158" s="25" t="s">
        <v>9</v>
      </c>
      <c r="H158" s="142"/>
    </row>
    <row r="159" spans="1:8" x14ac:dyDescent="0.2">
      <c r="A159" s="25" t="s">
        <v>9</v>
      </c>
      <c r="B159" s="244" t="s">
        <v>1012</v>
      </c>
      <c r="C159" s="245"/>
      <c r="D159" s="177" t="s">
        <v>129</v>
      </c>
      <c r="E159" s="25" t="s">
        <v>9</v>
      </c>
      <c r="F159" s="25" t="s">
        <v>9</v>
      </c>
      <c r="G159" s="25" t="s">
        <v>9</v>
      </c>
      <c r="H159" s="142"/>
    </row>
    <row r="160" spans="1:8" x14ac:dyDescent="0.2">
      <c r="A160" s="25" t="s">
        <v>9</v>
      </c>
      <c r="B160" s="98"/>
      <c r="C160" s="98"/>
      <c r="D160" s="26" t="s">
        <v>9</v>
      </c>
      <c r="E160" s="25" t="s">
        <v>9</v>
      </c>
      <c r="F160" s="25" t="s">
        <v>9</v>
      </c>
      <c r="G160" s="25" t="s">
        <v>9</v>
      </c>
      <c r="H160" s="142"/>
    </row>
    <row r="161" spans="1:8" s="238" customFormat="1" ht="12.75" x14ac:dyDescent="0.2">
      <c r="B161" s="246" t="s">
        <v>923</v>
      </c>
      <c r="C161" s="246"/>
      <c r="D161" s="246"/>
      <c r="E161" s="246"/>
      <c r="F161" s="246"/>
    </row>
    <row r="162" spans="1:8" x14ac:dyDescent="0.2">
      <c r="A162" s="25" t="s">
        <v>9</v>
      </c>
      <c r="B162" s="185" t="s">
        <v>9</v>
      </c>
      <c r="C162" s="185" t="s">
        <v>9</v>
      </c>
      <c r="D162" s="22" t="s">
        <v>9</v>
      </c>
      <c r="E162" s="25" t="s">
        <v>9</v>
      </c>
      <c r="F162" s="25" t="s">
        <v>9</v>
      </c>
      <c r="G162" s="25" t="s">
        <v>9</v>
      </c>
      <c r="H162" s="142"/>
    </row>
    <row r="163" spans="1:8" x14ac:dyDescent="0.2">
      <c r="A163" s="25" t="s">
        <v>9</v>
      </c>
      <c r="B163" s="240" t="s">
        <v>139</v>
      </c>
      <c r="C163" s="241"/>
      <c r="D163" s="177" t="s">
        <v>129</v>
      </c>
      <c r="E163" s="25" t="s">
        <v>9</v>
      </c>
      <c r="F163" s="25" t="s">
        <v>9</v>
      </c>
      <c r="G163" s="25" t="s">
        <v>9</v>
      </c>
      <c r="H163" s="142"/>
    </row>
    <row r="164" spans="1:8" x14ac:dyDescent="0.2">
      <c r="A164" s="25" t="s">
        <v>9</v>
      </c>
      <c r="B164" s="240" t="s">
        <v>140</v>
      </c>
      <c r="C164" s="241"/>
      <c r="D164" s="177" t="s">
        <v>129</v>
      </c>
      <c r="E164" s="25" t="s">
        <v>9</v>
      </c>
      <c r="F164" s="25" t="s">
        <v>9</v>
      </c>
      <c r="G164" s="25" t="s">
        <v>9</v>
      </c>
      <c r="H164" s="142"/>
    </row>
    <row r="165" spans="1:8" x14ac:dyDescent="0.2">
      <c r="A165" s="25" t="s">
        <v>9</v>
      </c>
      <c r="B165" s="240" t="s">
        <v>141</v>
      </c>
      <c r="C165" s="241"/>
      <c r="D165" s="186">
        <v>0.46432108952477286</v>
      </c>
      <c r="E165" s="25" t="s">
        <v>9</v>
      </c>
      <c r="F165" s="73" t="s">
        <v>9</v>
      </c>
      <c r="G165" s="25" t="s">
        <v>9</v>
      </c>
      <c r="H165" s="142"/>
    </row>
    <row r="166" spans="1:8" x14ac:dyDescent="0.2">
      <c r="A166" s="25" t="s">
        <v>9</v>
      </c>
      <c r="B166" s="240" t="s">
        <v>142</v>
      </c>
      <c r="C166" s="241"/>
      <c r="D166" s="177" t="s">
        <v>129</v>
      </c>
      <c r="E166" s="25" t="s">
        <v>9</v>
      </c>
      <c r="F166" s="25" t="s">
        <v>9</v>
      </c>
      <c r="G166" s="25" t="s">
        <v>9</v>
      </c>
      <c r="H166" s="142"/>
    </row>
  </sheetData>
  <mergeCells count="15">
    <mergeCell ref="B148:C148"/>
    <mergeCell ref="B145:F145"/>
    <mergeCell ref="B146:F146"/>
    <mergeCell ref="A1:H1"/>
    <mergeCell ref="A2:H2"/>
    <mergeCell ref="A3:H3"/>
    <mergeCell ref="B165:C165"/>
    <mergeCell ref="B166:C166"/>
    <mergeCell ref="B149:C149"/>
    <mergeCell ref="B150:C150"/>
    <mergeCell ref="B151:C151"/>
    <mergeCell ref="B159:C159"/>
    <mergeCell ref="B163:C163"/>
    <mergeCell ref="B164:C164"/>
    <mergeCell ref="B161:F161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outlinePr summaryBelow="0" summaryRight="0"/>
  </sheetPr>
  <dimension ref="A1:H164"/>
  <sheetViews>
    <sheetView showGridLines="0" workbookViewId="0">
      <selection sqref="A1:H1"/>
    </sheetView>
  </sheetViews>
  <sheetFormatPr defaultRowHeight="15" x14ac:dyDescent="0.2"/>
  <cols>
    <col min="1" max="1" width="6.85546875" style="155" customWidth="1"/>
    <col min="2" max="2" width="20.5703125" style="155" customWidth="1"/>
    <col min="3" max="3" width="34.28515625" style="155" customWidth="1"/>
    <col min="4" max="4" width="17.85546875" style="155" customWidth="1"/>
    <col min="5" max="6" width="19.140625" style="155" customWidth="1"/>
    <col min="7" max="7" width="16.42578125" style="155" customWidth="1"/>
    <col min="8" max="16384" width="9.140625" style="155"/>
  </cols>
  <sheetData>
    <row r="1" spans="1:8" x14ac:dyDescent="0.2">
      <c r="A1" s="250" t="s">
        <v>0</v>
      </c>
      <c r="B1" s="250"/>
      <c r="C1" s="250"/>
      <c r="D1" s="250"/>
      <c r="E1" s="250"/>
      <c r="F1" s="250"/>
      <c r="G1" s="250"/>
      <c r="H1" s="250"/>
    </row>
    <row r="2" spans="1:8" x14ac:dyDescent="0.2">
      <c r="A2" s="251" t="s">
        <v>280</v>
      </c>
      <c r="B2" s="252"/>
      <c r="C2" s="252"/>
      <c r="D2" s="252"/>
      <c r="E2" s="252"/>
      <c r="F2" s="252"/>
      <c r="G2" s="252"/>
      <c r="H2" s="253"/>
    </row>
    <row r="3" spans="1:8" x14ac:dyDescent="0.2">
      <c r="A3" s="250" t="s">
        <v>1015</v>
      </c>
      <c r="B3" s="250"/>
      <c r="C3" s="250"/>
      <c r="D3" s="250"/>
      <c r="E3" s="250"/>
      <c r="F3" s="250"/>
      <c r="G3" s="250"/>
      <c r="H3" s="250"/>
    </row>
    <row r="4" spans="1:8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60" t="s">
        <v>6</v>
      </c>
      <c r="F4" s="160" t="s">
        <v>7</v>
      </c>
      <c r="G4" s="160" t="s">
        <v>8</v>
      </c>
      <c r="H4" s="161" t="s">
        <v>909</v>
      </c>
    </row>
    <row r="5" spans="1:8" x14ac:dyDescent="0.2">
      <c r="A5" s="15" t="s">
        <v>9</v>
      </c>
      <c r="B5" s="15" t="s">
        <v>9</v>
      </c>
      <c r="C5" s="3" t="s">
        <v>10</v>
      </c>
      <c r="D5" s="15" t="s">
        <v>9</v>
      </c>
      <c r="E5" s="15" t="s">
        <v>9</v>
      </c>
      <c r="F5" s="15" t="s">
        <v>9</v>
      </c>
      <c r="G5" s="15" t="s">
        <v>9</v>
      </c>
      <c r="H5" s="100"/>
    </row>
    <row r="6" spans="1:8" ht="25.5" x14ac:dyDescent="0.2">
      <c r="A6" s="15" t="s">
        <v>9</v>
      </c>
      <c r="B6" s="15" t="s">
        <v>9</v>
      </c>
      <c r="C6" s="3" t="s">
        <v>11</v>
      </c>
      <c r="D6" s="15" t="s">
        <v>9</v>
      </c>
      <c r="E6" s="15" t="s">
        <v>9</v>
      </c>
      <c r="F6" s="15" t="s">
        <v>9</v>
      </c>
      <c r="G6" s="15" t="s">
        <v>9</v>
      </c>
      <c r="H6" s="100"/>
    </row>
    <row r="7" spans="1:8" x14ac:dyDescent="0.2">
      <c r="A7" s="4">
        <v>1</v>
      </c>
      <c r="B7" s="5" t="s">
        <v>144</v>
      </c>
      <c r="C7" s="5" t="s">
        <v>145</v>
      </c>
      <c r="D7" s="5" t="s">
        <v>146</v>
      </c>
      <c r="E7" s="6">
        <v>11272</v>
      </c>
      <c r="F7" s="7">
        <v>386.42670399999997</v>
      </c>
      <c r="G7" s="8">
        <v>3.9426029000000001E-2</v>
      </c>
      <c r="H7" s="100"/>
    </row>
    <row r="8" spans="1:8" x14ac:dyDescent="0.2">
      <c r="A8" s="4">
        <v>2</v>
      </c>
      <c r="B8" s="5" t="s">
        <v>147</v>
      </c>
      <c r="C8" s="5" t="s">
        <v>148</v>
      </c>
      <c r="D8" s="5" t="s">
        <v>146</v>
      </c>
      <c r="E8" s="6">
        <v>30824</v>
      </c>
      <c r="F8" s="7">
        <v>383.29644000000002</v>
      </c>
      <c r="G8" s="8">
        <v>3.9106657000000003E-2</v>
      </c>
      <c r="H8" s="100"/>
    </row>
    <row r="9" spans="1:8" x14ac:dyDescent="0.2">
      <c r="A9" s="4">
        <v>3</v>
      </c>
      <c r="B9" s="5" t="s">
        <v>26</v>
      </c>
      <c r="C9" s="5" t="s">
        <v>27</v>
      </c>
      <c r="D9" s="5" t="s">
        <v>28</v>
      </c>
      <c r="E9" s="6">
        <v>34931</v>
      </c>
      <c r="F9" s="7">
        <v>319.93302899999998</v>
      </c>
      <c r="G9" s="8">
        <v>3.2641866999999998E-2</v>
      </c>
      <c r="H9" s="100"/>
    </row>
    <row r="10" spans="1:8" x14ac:dyDescent="0.2">
      <c r="A10" s="4">
        <v>4</v>
      </c>
      <c r="B10" s="5" t="s">
        <v>164</v>
      </c>
      <c r="C10" s="5" t="s">
        <v>947</v>
      </c>
      <c r="D10" s="5" t="s">
        <v>151</v>
      </c>
      <c r="E10" s="6">
        <v>39150</v>
      </c>
      <c r="F10" s="7">
        <v>283.62217500000003</v>
      </c>
      <c r="G10" s="8">
        <v>2.8937173E-2</v>
      </c>
      <c r="H10" s="100"/>
    </row>
    <row r="11" spans="1:8" ht="25.5" x14ac:dyDescent="0.2">
      <c r="A11" s="4">
        <v>5</v>
      </c>
      <c r="B11" s="5" t="s">
        <v>34</v>
      </c>
      <c r="C11" s="5" t="s">
        <v>35</v>
      </c>
      <c r="D11" s="5" t="s">
        <v>1001</v>
      </c>
      <c r="E11" s="6">
        <v>8500</v>
      </c>
      <c r="F11" s="7">
        <v>238.54400000000001</v>
      </c>
      <c r="G11" s="8">
        <v>2.4337972999999999E-2</v>
      </c>
      <c r="H11" s="100"/>
    </row>
    <row r="12" spans="1:8" x14ac:dyDescent="0.2">
      <c r="A12" s="4">
        <v>6</v>
      </c>
      <c r="B12" s="5" t="s">
        <v>179</v>
      </c>
      <c r="C12" s="5" t="s">
        <v>933</v>
      </c>
      <c r="D12" s="5" t="s">
        <v>47</v>
      </c>
      <c r="E12" s="6">
        <v>110842</v>
      </c>
      <c r="F12" s="7">
        <v>237.64524800000001</v>
      </c>
      <c r="G12" s="8">
        <v>2.4246276000000001E-2</v>
      </c>
      <c r="H12" s="100"/>
    </row>
    <row r="13" spans="1:8" ht="25.5" x14ac:dyDescent="0.2">
      <c r="A13" s="4">
        <v>7</v>
      </c>
      <c r="B13" s="5" t="s">
        <v>152</v>
      </c>
      <c r="C13" s="5" t="s">
        <v>153</v>
      </c>
      <c r="D13" s="5" t="s">
        <v>1001</v>
      </c>
      <c r="E13" s="6">
        <v>138968</v>
      </c>
      <c r="F13" s="7">
        <v>226.79577599999999</v>
      </c>
      <c r="G13" s="8">
        <v>2.3139335E-2</v>
      </c>
      <c r="H13" s="100"/>
    </row>
    <row r="14" spans="1:8" x14ac:dyDescent="0.2">
      <c r="A14" s="4">
        <v>8</v>
      </c>
      <c r="B14" s="5" t="s">
        <v>149</v>
      </c>
      <c r="C14" s="5" t="s">
        <v>150</v>
      </c>
      <c r="D14" s="5" t="s">
        <v>151</v>
      </c>
      <c r="E14" s="6">
        <v>3989</v>
      </c>
      <c r="F14" s="7">
        <v>220.3104755</v>
      </c>
      <c r="G14" s="8">
        <v>2.2477658000000001E-2</v>
      </c>
      <c r="H14" s="100"/>
    </row>
    <row r="15" spans="1:8" x14ac:dyDescent="0.2">
      <c r="A15" s="4">
        <v>9</v>
      </c>
      <c r="B15" s="5" t="s">
        <v>154</v>
      </c>
      <c r="C15" s="5" t="s">
        <v>155</v>
      </c>
      <c r="D15" s="5" t="s">
        <v>156</v>
      </c>
      <c r="E15" s="6">
        <v>259065</v>
      </c>
      <c r="F15" s="7">
        <v>209.84264999999999</v>
      </c>
      <c r="G15" s="8">
        <v>2.1409655E-2</v>
      </c>
      <c r="H15" s="100"/>
    </row>
    <row r="16" spans="1:8" x14ac:dyDescent="0.2">
      <c r="A16" s="4">
        <v>10</v>
      </c>
      <c r="B16" s="5" t="s">
        <v>157</v>
      </c>
      <c r="C16" s="5" t="s">
        <v>158</v>
      </c>
      <c r="D16" s="5" t="s">
        <v>28</v>
      </c>
      <c r="E16" s="6">
        <v>38777</v>
      </c>
      <c r="F16" s="7">
        <v>201.98939300000001</v>
      </c>
      <c r="G16" s="8">
        <v>2.0608409000000001E-2</v>
      </c>
      <c r="H16" s="100"/>
    </row>
    <row r="17" spans="1:8" x14ac:dyDescent="0.2">
      <c r="A17" s="4">
        <v>11</v>
      </c>
      <c r="B17" s="5" t="s">
        <v>159</v>
      </c>
      <c r="C17" s="5" t="s">
        <v>160</v>
      </c>
      <c r="D17" s="5" t="s">
        <v>58</v>
      </c>
      <c r="E17" s="6">
        <v>54740</v>
      </c>
      <c r="F17" s="7">
        <v>191.59</v>
      </c>
      <c r="G17" s="8">
        <v>1.9547388999999998E-2</v>
      </c>
      <c r="H17" s="100"/>
    </row>
    <row r="18" spans="1:8" x14ac:dyDescent="0.2">
      <c r="A18" s="4">
        <v>12</v>
      </c>
      <c r="B18" s="5" t="s">
        <v>175</v>
      </c>
      <c r="C18" s="5" t="s">
        <v>176</v>
      </c>
      <c r="D18" s="5" t="s">
        <v>53</v>
      </c>
      <c r="E18" s="6">
        <v>51485</v>
      </c>
      <c r="F18" s="7">
        <v>189.7994525</v>
      </c>
      <c r="G18" s="8">
        <v>1.9364704E-2</v>
      </c>
      <c r="H18" s="100"/>
    </row>
    <row r="19" spans="1:8" ht="25.5" x14ac:dyDescent="0.2">
      <c r="A19" s="4">
        <v>13</v>
      </c>
      <c r="B19" s="5" t="s">
        <v>166</v>
      </c>
      <c r="C19" s="5" t="s">
        <v>948</v>
      </c>
      <c r="D19" s="5" t="s">
        <v>1001</v>
      </c>
      <c r="E19" s="6">
        <v>78693</v>
      </c>
      <c r="F19" s="7">
        <v>186.58110300000001</v>
      </c>
      <c r="G19" s="8">
        <v>1.9036345E-2</v>
      </c>
      <c r="H19" s="100"/>
    </row>
    <row r="20" spans="1:8" x14ac:dyDescent="0.2">
      <c r="A20" s="4">
        <v>14</v>
      </c>
      <c r="B20" s="5" t="s">
        <v>161</v>
      </c>
      <c r="C20" s="5" t="s">
        <v>162</v>
      </c>
      <c r="D20" s="5" t="s">
        <v>163</v>
      </c>
      <c r="E20" s="6">
        <v>14694</v>
      </c>
      <c r="F20" s="7">
        <v>181.426818</v>
      </c>
      <c r="G20" s="8">
        <v>1.8510467999999999E-2</v>
      </c>
      <c r="H20" s="100"/>
    </row>
    <row r="21" spans="1:8" x14ac:dyDescent="0.2">
      <c r="A21" s="4">
        <v>15</v>
      </c>
      <c r="B21" s="5" t="s">
        <v>170</v>
      </c>
      <c r="C21" s="5" t="s">
        <v>171</v>
      </c>
      <c r="D21" s="5" t="s">
        <v>172</v>
      </c>
      <c r="E21" s="6">
        <v>17425</v>
      </c>
      <c r="F21" s="7">
        <v>178.62367499999999</v>
      </c>
      <c r="G21" s="8">
        <v>1.8224470999999999E-2</v>
      </c>
      <c r="H21" s="100"/>
    </row>
    <row r="22" spans="1:8" x14ac:dyDescent="0.2">
      <c r="A22" s="4">
        <v>16</v>
      </c>
      <c r="B22" s="5" t="s">
        <v>168</v>
      </c>
      <c r="C22" s="5" t="s">
        <v>169</v>
      </c>
      <c r="D22" s="5" t="s">
        <v>151</v>
      </c>
      <c r="E22" s="6">
        <v>90551</v>
      </c>
      <c r="F22" s="7">
        <v>178.61184750000001</v>
      </c>
      <c r="G22" s="8">
        <v>1.8223263999999999E-2</v>
      </c>
      <c r="H22" s="100"/>
    </row>
    <row r="23" spans="1:8" x14ac:dyDescent="0.2">
      <c r="A23" s="4">
        <v>17</v>
      </c>
      <c r="B23" s="5" t="s">
        <v>173</v>
      </c>
      <c r="C23" s="5" t="s">
        <v>949</v>
      </c>
      <c r="D23" s="5" t="s">
        <v>28</v>
      </c>
      <c r="E23" s="6">
        <v>39478</v>
      </c>
      <c r="F23" s="7">
        <v>176.30874800000001</v>
      </c>
      <c r="G23" s="8">
        <v>1.7988285999999999E-2</v>
      </c>
      <c r="H23" s="100"/>
    </row>
    <row r="24" spans="1:8" x14ac:dyDescent="0.2">
      <c r="A24" s="4">
        <v>18</v>
      </c>
      <c r="B24" s="5" t="s">
        <v>278</v>
      </c>
      <c r="C24" s="5" t="s">
        <v>279</v>
      </c>
      <c r="D24" s="5" t="s">
        <v>28</v>
      </c>
      <c r="E24" s="6">
        <v>16459</v>
      </c>
      <c r="F24" s="7">
        <v>174.185597</v>
      </c>
      <c r="G24" s="8">
        <v>1.7771665999999998E-2</v>
      </c>
      <c r="H24" s="100"/>
    </row>
    <row r="25" spans="1:8" x14ac:dyDescent="0.2">
      <c r="A25" s="4">
        <v>19</v>
      </c>
      <c r="B25" s="5" t="s">
        <v>48</v>
      </c>
      <c r="C25" s="5" t="s">
        <v>49</v>
      </c>
      <c r="D25" s="5" t="s">
        <v>28</v>
      </c>
      <c r="E25" s="6">
        <v>12279</v>
      </c>
      <c r="F25" s="7">
        <v>172.41557850000001</v>
      </c>
      <c r="G25" s="8">
        <v>1.7591076000000001E-2</v>
      </c>
      <c r="H25" s="100"/>
    </row>
    <row r="26" spans="1:8" ht="25.5" x14ac:dyDescent="0.2">
      <c r="A26" s="4">
        <v>20</v>
      </c>
      <c r="B26" s="5" t="s">
        <v>67</v>
      </c>
      <c r="C26" s="5" t="s">
        <v>929</v>
      </c>
      <c r="D26" s="5" t="s">
        <v>25</v>
      </c>
      <c r="E26" s="6">
        <v>29570</v>
      </c>
      <c r="F26" s="7">
        <v>159.35273000000001</v>
      </c>
      <c r="G26" s="8">
        <v>1.6258311000000001E-2</v>
      </c>
      <c r="H26" s="100"/>
    </row>
    <row r="27" spans="1:8" ht="25.5" x14ac:dyDescent="0.2">
      <c r="A27" s="4">
        <v>21</v>
      </c>
      <c r="B27" s="5" t="s">
        <v>180</v>
      </c>
      <c r="C27" s="5" t="s">
        <v>934</v>
      </c>
      <c r="D27" s="5" t="s">
        <v>146</v>
      </c>
      <c r="E27" s="6">
        <v>43325</v>
      </c>
      <c r="F27" s="7">
        <v>156.7715125</v>
      </c>
      <c r="G27" s="8">
        <v>1.5994956000000001E-2</v>
      </c>
      <c r="H27" s="100"/>
    </row>
    <row r="28" spans="1:8" x14ac:dyDescent="0.2">
      <c r="A28" s="4">
        <v>22</v>
      </c>
      <c r="B28" s="5" t="s">
        <v>184</v>
      </c>
      <c r="C28" s="5" t="s">
        <v>185</v>
      </c>
      <c r="D28" s="5" t="s">
        <v>172</v>
      </c>
      <c r="E28" s="6">
        <v>86836</v>
      </c>
      <c r="F28" s="7">
        <v>154.22073599999999</v>
      </c>
      <c r="G28" s="8">
        <v>1.5734708E-2</v>
      </c>
      <c r="H28" s="100"/>
    </row>
    <row r="29" spans="1:8" ht="25.5" x14ac:dyDescent="0.2">
      <c r="A29" s="4">
        <v>23</v>
      </c>
      <c r="B29" s="5" t="s">
        <v>182</v>
      </c>
      <c r="C29" s="5" t="s">
        <v>944</v>
      </c>
      <c r="D29" s="5" t="s">
        <v>58</v>
      </c>
      <c r="E29" s="6">
        <v>6492</v>
      </c>
      <c r="F29" s="7">
        <v>151.61092199999999</v>
      </c>
      <c r="G29" s="8">
        <v>1.5468436E-2</v>
      </c>
      <c r="H29" s="100"/>
    </row>
    <row r="30" spans="1:8" ht="25.5" x14ac:dyDescent="0.2">
      <c r="A30" s="4">
        <v>24</v>
      </c>
      <c r="B30" s="5" t="s">
        <v>23</v>
      </c>
      <c r="C30" s="5" t="s">
        <v>24</v>
      </c>
      <c r="D30" s="5" t="s">
        <v>25</v>
      </c>
      <c r="E30" s="6">
        <v>60900</v>
      </c>
      <c r="F30" s="7">
        <v>142.90185</v>
      </c>
      <c r="G30" s="8">
        <v>1.4579874E-2</v>
      </c>
      <c r="H30" s="100"/>
    </row>
    <row r="31" spans="1:8" x14ac:dyDescent="0.2">
      <c r="A31" s="4">
        <v>25</v>
      </c>
      <c r="B31" s="5" t="s">
        <v>189</v>
      </c>
      <c r="C31" s="5" t="s">
        <v>190</v>
      </c>
      <c r="D31" s="5" t="s">
        <v>151</v>
      </c>
      <c r="E31" s="6">
        <v>6844</v>
      </c>
      <c r="F31" s="7">
        <v>139.50125199999999</v>
      </c>
      <c r="G31" s="8">
        <v>1.423292E-2</v>
      </c>
      <c r="H31" s="100"/>
    </row>
    <row r="32" spans="1:8" x14ac:dyDescent="0.2">
      <c r="A32" s="4">
        <v>26</v>
      </c>
      <c r="B32" s="5" t="s">
        <v>191</v>
      </c>
      <c r="C32" s="5" t="s">
        <v>192</v>
      </c>
      <c r="D32" s="5" t="s">
        <v>193</v>
      </c>
      <c r="E32" s="6">
        <v>41878</v>
      </c>
      <c r="F32" s="7">
        <v>137.56923</v>
      </c>
      <c r="G32" s="8">
        <v>1.4035801000000001E-2</v>
      </c>
      <c r="H32" s="100"/>
    </row>
    <row r="33" spans="1:8" ht="25.5" x14ac:dyDescent="0.2">
      <c r="A33" s="4">
        <v>27</v>
      </c>
      <c r="B33" s="5" t="s">
        <v>194</v>
      </c>
      <c r="C33" s="5" t="s">
        <v>195</v>
      </c>
      <c r="D33" s="5" t="s">
        <v>73</v>
      </c>
      <c r="E33" s="6">
        <v>37245</v>
      </c>
      <c r="F33" s="7">
        <v>136.7822625</v>
      </c>
      <c r="G33" s="8">
        <v>1.3955509E-2</v>
      </c>
      <c r="H33" s="100"/>
    </row>
    <row r="34" spans="1:8" x14ac:dyDescent="0.2">
      <c r="A34" s="4">
        <v>28</v>
      </c>
      <c r="B34" s="5" t="s">
        <v>196</v>
      </c>
      <c r="C34" s="5" t="s">
        <v>197</v>
      </c>
      <c r="D34" s="5" t="s">
        <v>151</v>
      </c>
      <c r="E34" s="6">
        <v>18324</v>
      </c>
      <c r="F34" s="7">
        <v>135.057042</v>
      </c>
      <c r="G34" s="8">
        <v>1.377949E-2</v>
      </c>
      <c r="H34" s="100"/>
    </row>
    <row r="35" spans="1:8" x14ac:dyDescent="0.2">
      <c r="A35" s="4">
        <v>29</v>
      </c>
      <c r="B35" s="5" t="s">
        <v>177</v>
      </c>
      <c r="C35" s="5" t="s">
        <v>178</v>
      </c>
      <c r="D35" s="5" t="s">
        <v>47</v>
      </c>
      <c r="E35" s="6">
        <v>12599</v>
      </c>
      <c r="F35" s="7">
        <v>133.007643</v>
      </c>
      <c r="G35" s="8">
        <v>1.3570396E-2</v>
      </c>
      <c r="H35" s="100"/>
    </row>
    <row r="36" spans="1:8" x14ac:dyDescent="0.2">
      <c r="A36" s="4">
        <v>30</v>
      </c>
      <c r="B36" s="5" t="s">
        <v>202</v>
      </c>
      <c r="C36" s="5" t="s">
        <v>203</v>
      </c>
      <c r="D36" s="5" t="s">
        <v>38</v>
      </c>
      <c r="E36" s="6">
        <v>155009</v>
      </c>
      <c r="F36" s="7">
        <v>127.9599295</v>
      </c>
      <c r="G36" s="8">
        <v>1.3055392000000001E-2</v>
      </c>
      <c r="H36" s="100"/>
    </row>
    <row r="37" spans="1:8" x14ac:dyDescent="0.2">
      <c r="A37" s="4">
        <v>31</v>
      </c>
      <c r="B37" s="5" t="s">
        <v>200</v>
      </c>
      <c r="C37" s="5" t="s">
        <v>201</v>
      </c>
      <c r="D37" s="5" t="s">
        <v>1003</v>
      </c>
      <c r="E37" s="6">
        <v>20000</v>
      </c>
      <c r="F37" s="7">
        <v>125.66</v>
      </c>
      <c r="G37" s="8">
        <v>1.2820735999999999E-2</v>
      </c>
      <c r="H37" s="100"/>
    </row>
    <row r="38" spans="1:8" x14ac:dyDescent="0.2">
      <c r="A38" s="4">
        <v>32</v>
      </c>
      <c r="B38" s="5" t="s">
        <v>220</v>
      </c>
      <c r="C38" s="5" t="s">
        <v>221</v>
      </c>
      <c r="D38" s="5" t="s">
        <v>1002</v>
      </c>
      <c r="E38" s="6">
        <v>13303</v>
      </c>
      <c r="F38" s="7">
        <v>124.1901565</v>
      </c>
      <c r="G38" s="8">
        <v>1.2670772E-2</v>
      </c>
      <c r="H38" s="100"/>
    </row>
    <row r="39" spans="1:8" x14ac:dyDescent="0.2">
      <c r="A39" s="4">
        <v>33</v>
      </c>
      <c r="B39" s="5" t="s">
        <v>198</v>
      </c>
      <c r="C39" s="5" t="s">
        <v>199</v>
      </c>
      <c r="D39" s="5" t="s">
        <v>156</v>
      </c>
      <c r="E39" s="6">
        <v>233311</v>
      </c>
      <c r="F39" s="7">
        <v>123.65483</v>
      </c>
      <c r="G39" s="8">
        <v>1.2616153999999999E-2</v>
      </c>
      <c r="H39" s="100"/>
    </row>
    <row r="40" spans="1:8" x14ac:dyDescent="0.2">
      <c r="A40" s="4">
        <v>34</v>
      </c>
      <c r="B40" s="5" t="s">
        <v>206</v>
      </c>
      <c r="C40" s="5" t="s">
        <v>207</v>
      </c>
      <c r="D40" s="5" t="s">
        <v>163</v>
      </c>
      <c r="E40" s="6">
        <v>31377</v>
      </c>
      <c r="F40" s="7">
        <v>119.9072055</v>
      </c>
      <c r="G40" s="8">
        <v>1.2233795E-2</v>
      </c>
      <c r="H40" s="100"/>
    </row>
    <row r="41" spans="1:8" x14ac:dyDescent="0.2">
      <c r="A41" s="4">
        <v>35</v>
      </c>
      <c r="B41" s="5" t="s">
        <v>212</v>
      </c>
      <c r="C41" s="5" t="s">
        <v>213</v>
      </c>
      <c r="D41" s="5" t="s">
        <v>38</v>
      </c>
      <c r="E41" s="6">
        <v>16637</v>
      </c>
      <c r="F41" s="7">
        <v>119.270653</v>
      </c>
      <c r="G41" s="8">
        <v>1.2168849000000001E-2</v>
      </c>
      <c r="H41" s="100"/>
    </row>
    <row r="42" spans="1:8" x14ac:dyDescent="0.2">
      <c r="A42" s="4">
        <v>36</v>
      </c>
      <c r="B42" s="5" t="s">
        <v>204</v>
      </c>
      <c r="C42" s="5" t="s">
        <v>205</v>
      </c>
      <c r="D42" s="5" t="s">
        <v>1004</v>
      </c>
      <c r="E42" s="6">
        <v>43676</v>
      </c>
      <c r="F42" s="7">
        <v>118.755044</v>
      </c>
      <c r="G42" s="8">
        <v>1.2116243E-2</v>
      </c>
      <c r="H42" s="100"/>
    </row>
    <row r="43" spans="1:8" x14ac:dyDescent="0.2">
      <c r="A43" s="4">
        <v>37</v>
      </c>
      <c r="B43" s="5" t="s">
        <v>208</v>
      </c>
      <c r="C43" s="5" t="s">
        <v>209</v>
      </c>
      <c r="D43" s="5" t="s">
        <v>163</v>
      </c>
      <c r="E43" s="6">
        <v>32351</v>
      </c>
      <c r="F43" s="7">
        <v>118.72817000000001</v>
      </c>
      <c r="G43" s="8">
        <v>1.2113501E-2</v>
      </c>
      <c r="H43" s="100"/>
    </row>
    <row r="44" spans="1:8" x14ac:dyDescent="0.2">
      <c r="A44" s="4">
        <v>38</v>
      </c>
      <c r="B44" s="5" t="s">
        <v>36</v>
      </c>
      <c r="C44" s="5" t="s">
        <v>37</v>
      </c>
      <c r="D44" s="5" t="s">
        <v>38</v>
      </c>
      <c r="E44" s="6">
        <v>46942</v>
      </c>
      <c r="F44" s="7">
        <v>117.542768</v>
      </c>
      <c r="G44" s="8">
        <v>1.1992558E-2</v>
      </c>
      <c r="H44" s="100"/>
    </row>
    <row r="45" spans="1:8" x14ac:dyDescent="0.2">
      <c r="A45" s="4">
        <v>39</v>
      </c>
      <c r="B45" s="5" t="s">
        <v>50</v>
      </c>
      <c r="C45" s="5" t="s">
        <v>51</v>
      </c>
      <c r="D45" s="5" t="s">
        <v>28</v>
      </c>
      <c r="E45" s="6">
        <v>13239</v>
      </c>
      <c r="F45" s="7">
        <v>117.0923355</v>
      </c>
      <c r="G45" s="8">
        <v>1.1946602000000001E-2</v>
      </c>
      <c r="H45" s="100"/>
    </row>
    <row r="46" spans="1:8" x14ac:dyDescent="0.2">
      <c r="A46" s="4">
        <v>40</v>
      </c>
      <c r="B46" s="5" t="s">
        <v>210</v>
      </c>
      <c r="C46" s="5" t="s">
        <v>211</v>
      </c>
      <c r="D46" s="5" t="s">
        <v>193</v>
      </c>
      <c r="E46" s="6">
        <v>25404</v>
      </c>
      <c r="F46" s="7">
        <v>115.01661</v>
      </c>
      <c r="G46" s="8">
        <v>1.1734820999999999E-2</v>
      </c>
      <c r="H46" s="100"/>
    </row>
    <row r="47" spans="1:8" ht="25.5" x14ac:dyDescent="0.2">
      <c r="A47" s="4">
        <v>41</v>
      </c>
      <c r="B47" s="5" t="s">
        <v>214</v>
      </c>
      <c r="C47" s="5" t="s">
        <v>215</v>
      </c>
      <c r="D47" s="5" t="s">
        <v>25</v>
      </c>
      <c r="E47" s="6">
        <v>164348</v>
      </c>
      <c r="F47" s="7">
        <v>114.386208</v>
      </c>
      <c r="G47" s="8">
        <v>1.1670503E-2</v>
      </c>
      <c r="H47" s="100"/>
    </row>
    <row r="48" spans="1:8" x14ac:dyDescent="0.2">
      <c r="A48" s="4">
        <v>42</v>
      </c>
      <c r="B48" s="5" t="s">
        <v>56</v>
      </c>
      <c r="C48" s="5" t="s">
        <v>57</v>
      </c>
      <c r="D48" s="5" t="s">
        <v>58</v>
      </c>
      <c r="E48" s="6">
        <v>3600</v>
      </c>
      <c r="F48" s="7">
        <v>111.5748</v>
      </c>
      <c r="G48" s="8">
        <v>1.1383663E-2</v>
      </c>
      <c r="H48" s="100"/>
    </row>
    <row r="49" spans="1:8" x14ac:dyDescent="0.2">
      <c r="A49" s="4">
        <v>43</v>
      </c>
      <c r="B49" s="5" t="s">
        <v>218</v>
      </c>
      <c r="C49" s="5" t="s">
        <v>219</v>
      </c>
      <c r="D49" s="5" t="s">
        <v>156</v>
      </c>
      <c r="E49" s="6">
        <v>18558</v>
      </c>
      <c r="F49" s="7">
        <v>107.905491</v>
      </c>
      <c r="G49" s="8">
        <v>1.1009293999999999E-2</v>
      </c>
      <c r="H49" s="100"/>
    </row>
    <row r="50" spans="1:8" x14ac:dyDescent="0.2">
      <c r="A50" s="4">
        <v>44</v>
      </c>
      <c r="B50" s="5" t="s">
        <v>64</v>
      </c>
      <c r="C50" s="5" t="s">
        <v>65</v>
      </c>
      <c r="D50" s="5" t="s">
        <v>1002</v>
      </c>
      <c r="E50" s="6">
        <v>92000</v>
      </c>
      <c r="F50" s="7">
        <v>106.306</v>
      </c>
      <c r="G50" s="8">
        <v>1.0846102E-2</v>
      </c>
      <c r="H50" s="100"/>
    </row>
    <row r="51" spans="1:8" x14ac:dyDescent="0.2">
      <c r="A51" s="4">
        <v>45</v>
      </c>
      <c r="B51" s="5" t="s">
        <v>226</v>
      </c>
      <c r="C51" s="5" t="s">
        <v>227</v>
      </c>
      <c r="D51" s="5" t="s">
        <v>228</v>
      </c>
      <c r="E51" s="6">
        <v>67193</v>
      </c>
      <c r="F51" s="7">
        <v>105.1906415</v>
      </c>
      <c r="G51" s="8">
        <v>1.0732304999999999E-2</v>
      </c>
      <c r="H51" s="100"/>
    </row>
    <row r="52" spans="1:8" x14ac:dyDescent="0.2">
      <c r="A52" s="4">
        <v>46</v>
      </c>
      <c r="B52" s="5" t="s">
        <v>222</v>
      </c>
      <c r="C52" s="5" t="s">
        <v>950</v>
      </c>
      <c r="D52" s="5" t="s">
        <v>28</v>
      </c>
      <c r="E52" s="6">
        <v>97019</v>
      </c>
      <c r="F52" s="7">
        <v>104.44095350000001</v>
      </c>
      <c r="G52" s="8">
        <v>1.0655817E-2</v>
      </c>
      <c r="H52" s="100"/>
    </row>
    <row r="53" spans="1:8" x14ac:dyDescent="0.2">
      <c r="A53" s="4">
        <v>47</v>
      </c>
      <c r="B53" s="5" t="s">
        <v>216</v>
      </c>
      <c r="C53" s="5" t="s">
        <v>217</v>
      </c>
      <c r="D53" s="5" t="s">
        <v>1005</v>
      </c>
      <c r="E53" s="6">
        <v>47472</v>
      </c>
      <c r="F53" s="7">
        <v>100.023504</v>
      </c>
      <c r="G53" s="8">
        <v>1.0205117E-2</v>
      </c>
      <c r="H53" s="100"/>
    </row>
    <row r="54" spans="1:8" x14ac:dyDescent="0.2">
      <c r="A54" s="4">
        <v>48</v>
      </c>
      <c r="B54" s="5" t="s">
        <v>229</v>
      </c>
      <c r="C54" s="5" t="s">
        <v>230</v>
      </c>
      <c r="D54" s="5" t="s">
        <v>193</v>
      </c>
      <c r="E54" s="6">
        <v>7157</v>
      </c>
      <c r="F54" s="7">
        <v>99.865199500000003</v>
      </c>
      <c r="G54" s="8">
        <v>1.0188964999999999E-2</v>
      </c>
      <c r="H54" s="100"/>
    </row>
    <row r="55" spans="1:8" x14ac:dyDescent="0.2">
      <c r="A55" s="4">
        <v>49</v>
      </c>
      <c r="B55" s="5" t="s">
        <v>231</v>
      </c>
      <c r="C55" s="5" t="s">
        <v>935</v>
      </c>
      <c r="D55" s="5" t="s">
        <v>156</v>
      </c>
      <c r="E55" s="6">
        <v>19827</v>
      </c>
      <c r="F55" s="7">
        <v>98.678978999999998</v>
      </c>
      <c r="G55" s="8">
        <v>1.0067939E-2</v>
      </c>
      <c r="H55" s="100"/>
    </row>
    <row r="56" spans="1:8" x14ac:dyDescent="0.2">
      <c r="A56" s="4">
        <v>50</v>
      </c>
      <c r="B56" s="5" t="s">
        <v>235</v>
      </c>
      <c r="C56" s="5" t="s">
        <v>236</v>
      </c>
      <c r="D56" s="5" t="s">
        <v>1005</v>
      </c>
      <c r="E56" s="6">
        <v>20824</v>
      </c>
      <c r="F56" s="7">
        <v>91.032116000000002</v>
      </c>
      <c r="G56" s="8">
        <v>9.2877510000000003E-3</v>
      </c>
      <c r="H56" s="100"/>
    </row>
    <row r="57" spans="1:8" x14ac:dyDescent="0.2">
      <c r="A57" s="4">
        <v>51</v>
      </c>
      <c r="B57" s="5" t="s">
        <v>237</v>
      </c>
      <c r="C57" s="5" t="s">
        <v>951</v>
      </c>
      <c r="D57" s="5" t="s">
        <v>1006</v>
      </c>
      <c r="E57" s="6">
        <v>24353</v>
      </c>
      <c r="F57" s="7">
        <v>90.179158999999999</v>
      </c>
      <c r="G57" s="8">
        <v>9.2007259999999993E-3</v>
      </c>
      <c r="H57" s="100"/>
    </row>
    <row r="58" spans="1:8" x14ac:dyDescent="0.2">
      <c r="A58" s="4">
        <v>52</v>
      </c>
      <c r="B58" s="5" t="s">
        <v>239</v>
      </c>
      <c r="C58" s="5" t="s">
        <v>240</v>
      </c>
      <c r="D58" s="5" t="s">
        <v>58</v>
      </c>
      <c r="E58" s="6">
        <v>19380</v>
      </c>
      <c r="F58" s="7">
        <v>88.595669999999998</v>
      </c>
      <c r="G58" s="8">
        <v>9.0391670000000007E-3</v>
      </c>
      <c r="H58" s="100"/>
    </row>
    <row r="59" spans="1:8" ht="25.5" x14ac:dyDescent="0.2">
      <c r="A59" s="4">
        <v>53</v>
      </c>
      <c r="B59" s="5" t="s">
        <v>243</v>
      </c>
      <c r="C59" s="5" t="s">
        <v>244</v>
      </c>
      <c r="D59" s="5" t="s">
        <v>1007</v>
      </c>
      <c r="E59" s="6">
        <v>118261</v>
      </c>
      <c r="F59" s="7">
        <v>88.222706000000002</v>
      </c>
      <c r="G59" s="8">
        <v>9.0011139999999993E-3</v>
      </c>
      <c r="H59" s="100"/>
    </row>
    <row r="60" spans="1:8" x14ac:dyDescent="0.2">
      <c r="A60" s="4">
        <v>54</v>
      </c>
      <c r="B60" s="5" t="s">
        <v>241</v>
      </c>
      <c r="C60" s="5" t="s">
        <v>242</v>
      </c>
      <c r="D60" s="5" t="s">
        <v>163</v>
      </c>
      <c r="E60" s="6">
        <v>14660</v>
      </c>
      <c r="F60" s="7">
        <v>87.314959999999999</v>
      </c>
      <c r="G60" s="8">
        <v>8.9084999999999998E-3</v>
      </c>
      <c r="H60" s="100"/>
    </row>
    <row r="61" spans="1:8" ht="25.5" x14ac:dyDescent="0.2">
      <c r="A61" s="4">
        <v>55</v>
      </c>
      <c r="B61" s="5" t="s">
        <v>233</v>
      </c>
      <c r="C61" s="5" t="s">
        <v>234</v>
      </c>
      <c r="D61" s="5" t="s">
        <v>1001</v>
      </c>
      <c r="E61" s="6">
        <v>28730</v>
      </c>
      <c r="F61" s="7">
        <v>81.16225</v>
      </c>
      <c r="G61" s="8">
        <v>8.2807560000000002E-3</v>
      </c>
      <c r="H61" s="100"/>
    </row>
    <row r="62" spans="1:8" x14ac:dyDescent="0.2">
      <c r="A62" s="4">
        <v>56</v>
      </c>
      <c r="B62" s="5" t="s">
        <v>245</v>
      </c>
      <c r="C62" s="5" t="s">
        <v>246</v>
      </c>
      <c r="D62" s="5" t="s">
        <v>22</v>
      </c>
      <c r="E62" s="6">
        <v>86786</v>
      </c>
      <c r="F62" s="7">
        <v>78.671509</v>
      </c>
      <c r="G62" s="8">
        <v>8.026633E-3</v>
      </c>
      <c r="H62" s="100"/>
    </row>
    <row r="63" spans="1:8" x14ac:dyDescent="0.2">
      <c r="A63" s="4">
        <v>57</v>
      </c>
      <c r="B63" s="5" t="s">
        <v>247</v>
      </c>
      <c r="C63" s="5" t="s">
        <v>248</v>
      </c>
      <c r="D63" s="5" t="s">
        <v>1005</v>
      </c>
      <c r="E63" s="6">
        <v>39883</v>
      </c>
      <c r="F63" s="7">
        <v>74.740741999999997</v>
      </c>
      <c r="G63" s="8">
        <v>7.625588E-3</v>
      </c>
      <c r="H63" s="100"/>
    </row>
    <row r="64" spans="1:8" x14ac:dyDescent="0.2">
      <c r="A64" s="4">
        <v>58</v>
      </c>
      <c r="B64" s="5" t="s">
        <v>249</v>
      </c>
      <c r="C64" s="5" t="s">
        <v>952</v>
      </c>
      <c r="D64" s="5" t="s">
        <v>251</v>
      </c>
      <c r="E64" s="6">
        <v>34963</v>
      </c>
      <c r="F64" s="7">
        <v>74.069115499999995</v>
      </c>
      <c r="G64" s="8">
        <v>7.5570630000000001E-3</v>
      </c>
      <c r="H64" s="100"/>
    </row>
    <row r="65" spans="1:8" x14ac:dyDescent="0.2">
      <c r="A65" s="4">
        <v>59</v>
      </c>
      <c r="B65" s="5" t="s">
        <v>252</v>
      </c>
      <c r="C65" s="5" t="s">
        <v>253</v>
      </c>
      <c r="D65" s="5" t="s">
        <v>53</v>
      </c>
      <c r="E65" s="6">
        <v>90749</v>
      </c>
      <c r="F65" s="7">
        <v>73.733562500000005</v>
      </c>
      <c r="G65" s="8">
        <v>7.5228279999999996E-3</v>
      </c>
      <c r="H65" s="100"/>
    </row>
    <row r="66" spans="1:8" x14ac:dyDescent="0.2">
      <c r="A66" s="4">
        <v>60</v>
      </c>
      <c r="B66" s="5" t="s">
        <v>254</v>
      </c>
      <c r="C66" s="5" t="s">
        <v>255</v>
      </c>
      <c r="D66" s="5" t="s">
        <v>58</v>
      </c>
      <c r="E66" s="6">
        <v>48497</v>
      </c>
      <c r="F66" s="7">
        <v>67.338084499999994</v>
      </c>
      <c r="G66" s="8">
        <v>6.8703150000000001E-3</v>
      </c>
      <c r="H66" s="100"/>
    </row>
    <row r="67" spans="1:8" x14ac:dyDescent="0.2">
      <c r="A67" s="4">
        <v>61</v>
      </c>
      <c r="B67" s="5" t="s">
        <v>258</v>
      </c>
      <c r="C67" s="5" t="s">
        <v>259</v>
      </c>
      <c r="D67" s="5" t="s">
        <v>1006</v>
      </c>
      <c r="E67" s="6">
        <v>4500</v>
      </c>
      <c r="F67" s="7">
        <v>66.431250000000006</v>
      </c>
      <c r="G67" s="8">
        <v>6.7777940000000002E-3</v>
      </c>
      <c r="H67" s="100"/>
    </row>
    <row r="68" spans="1:8" x14ac:dyDescent="0.2">
      <c r="A68" s="4">
        <v>62</v>
      </c>
      <c r="B68" s="5" t="s">
        <v>260</v>
      </c>
      <c r="C68" s="5" t="s">
        <v>261</v>
      </c>
      <c r="D68" s="5" t="s">
        <v>58</v>
      </c>
      <c r="E68" s="6">
        <v>40000</v>
      </c>
      <c r="F68" s="7">
        <v>62.3</v>
      </c>
      <c r="G68" s="8">
        <v>6.3562940000000002E-3</v>
      </c>
      <c r="H68" s="100"/>
    </row>
    <row r="69" spans="1:8" x14ac:dyDescent="0.2">
      <c r="A69" s="4">
        <v>63</v>
      </c>
      <c r="B69" s="5" t="s">
        <v>262</v>
      </c>
      <c r="C69" s="5" t="s">
        <v>263</v>
      </c>
      <c r="D69" s="5" t="s">
        <v>146</v>
      </c>
      <c r="E69" s="6">
        <v>3966</v>
      </c>
      <c r="F69" s="7">
        <v>61.367901000000003</v>
      </c>
      <c r="G69" s="8">
        <v>6.2611940000000003E-3</v>
      </c>
      <c r="H69" s="100"/>
    </row>
    <row r="70" spans="1:8" x14ac:dyDescent="0.2">
      <c r="A70" s="4">
        <v>64</v>
      </c>
      <c r="B70" s="5" t="s">
        <v>256</v>
      </c>
      <c r="C70" s="5" t="s">
        <v>257</v>
      </c>
      <c r="D70" s="5" t="s">
        <v>1005</v>
      </c>
      <c r="E70" s="6">
        <v>50412</v>
      </c>
      <c r="F70" s="7">
        <v>54.671813999999998</v>
      </c>
      <c r="G70" s="8">
        <v>5.5780109999999999E-3</v>
      </c>
      <c r="H70" s="100"/>
    </row>
    <row r="71" spans="1:8" x14ac:dyDescent="0.2">
      <c r="A71" s="4">
        <v>65</v>
      </c>
      <c r="B71" s="5" t="s">
        <v>59</v>
      </c>
      <c r="C71" s="5" t="s">
        <v>60</v>
      </c>
      <c r="D71" s="5" t="s">
        <v>38</v>
      </c>
      <c r="E71" s="6">
        <v>27635</v>
      </c>
      <c r="F71" s="7">
        <v>52.409777499999997</v>
      </c>
      <c r="G71" s="8">
        <v>5.3472220000000004E-3</v>
      </c>
      <c r="H71" s="100"/>
    </row>
    <row r="72" spans="1:8" x14ac:dyDescent="0.2">
      <c r="A72" s="4">
        <v>66</v>
      </c>
      <c r="B72" s="5" t="s">
        <v>264</v>
      </c>
      <c r="C72" s="5" t="s">
        <v>265</v>
      </c>
      <c r="D72" s="5" t="s">
        <v>193</v>
      </c>
      <c r="E72" s="6">
        <v>5109</v>
      </c>
      <c r="F72" s="7">
        <v>50.359413000000004</v>
      </c>
      <c r="G72" s="8">
        <v>5.1380289999999997E-3</v>
      </c>
      <c r="H72" s="100"/>
    </row>
    <row r="73" spans="1:8" x14ac:dyDescent="0.2">
      <c r="A73" s="4">
        <v>67</v>
      </c>
      <c r="B73" s="5" t="s">
        <v>268</v>
      </c>
      <c r="C73" s="5" t="s">
        <v>269</v>
      </c>
      <c r="D73" s="5" t="s">
        <v>1005</v>
      </c>
      <c r="E73" s="6">
        <v>97039</v>
      </c>
      <c r="F73" s="7">
        <v>34.351806000000003</v>
      </c>
      <c r="G73" s="8">
        <v>3.5048179999999998E-3</v>
      </c>
      <c r="H73" s="100"/>
    </row>
    <row r="74" spans="1:8" x14ac:dyDescent="0.2">
      <c r="A74" s="4">
        <v>68</v>
      </c>
      <c r="B74" s="5" t="s">
        <v>270</v>
      </c>
      <c r="C74" s="5" t="s">
        <v>271</v>
      </c>
      <c r="D74" s="5" t="s">
        <v>272</v>
      </c>
      <c r="E74" s="6">
        <v>23098</v>
      </c>
      <c r="F74" s="7">
        <v>30.108243000000002</v>
      </c>
      <c r="G74" s="8">
        <v>3.0718590000000001E-3</v>
      </c>
      <c r="H74" s="100"/>
    </row>
    <row r="75" spans="1:8" x14ac:dyDescent="0.2">
      <c r="A75" s="4">
        <v>69</v>
      </c>
      <c r="B75" s="5" t="s">
        <v>275</v>
      </c>
      <c r="C75" s="5" t="s">
        <v>276</v>
      </c>
      <c r="D75" s="5" t="s">
        <v>228</v>
      </c>
      <c r="E75" s="6">
        <v>17598</v>
      </c>
      <c r="F75" s="7">
        <v>4.8570479999999998</v>
      </c>
      <c r="G75" s="8">
        <v>4.95551E-4</v>
      </c>
      <c r="H75" s="100"/>
    </row>
    <row r="76" spans="1:8" x14ac:dyDescent="0.2">
      <c r="A76" s="15" t="s">
        <v>9</v>
      </c>
      <c r="B76" s="15" t="s">
        <v>9</v>
      </c>
      <c r="C76" s="3" t="s">
        <v>94</v>
      </c>
      <c r="D76" s="15" t="s">
        <v>9</v>
      </c>
      <c r="E76" s="15" t="s">
        <v>9</v>
      </c>
      <c r="F76" s="9">
        <v>9372.7904954999995</v>
      </c>
      <c r="G76" s="10">
        <v>0.95627944300000001</v>
      </c>
      <c r="H76" s="100"/>
    </row>
    <row r="77" spans="1:8" x14ac:dyDescent="0.2">
      <c r="A77" s="15" t="s">
        <v>9</v>
      </c>
      <c r="B77" s="15" t="s">
        <v>9</v>
      </c>
      <c r="C77" s="11" t="s">
        <v>9</v>
      </c>
      <c r="D77" s="15" t="s">
        <v>9</v>
      </c>
      <c r="E77" s="15" t="s">
        <v>9</v>
      </c>
      <c r="F77" s="12" t="s">
        <v>9</v>
      </c>
      <c r="G77" s="12" t="s">
        <v>9</v>
      </c>
      <c r="H77" s="100"/>
    </row>
    <row r="78" spans="1:8" x14ac:dyDescent="0.2">
      <c r="A78" s="15" t="s">
        <v>9</v>
      </c>
      <c r="B78" s="15" t="s">
        <v>9</v>
      </c>
      <c r="C78" s="3" t="s">
        <v>95</v>
      </c>
      <c r="D78" s="15" t="s">
        <v>9</v>
      </c>
      <c r="E78" s="15" t="s">
        <v>9</v>
      </c>
      <c r="F78" s="15" t="s">
        <v>9</v>
      </c>
      <c r="G78" s="15" t="s">
        <v>9</v>
      </c>
      <c r="H78" s="100"/>
    </row>
    <row r="79" spans="1:8" x14ac:dyDescent="0.2">
      <c r="A79" s="15" t="s">
        <v>9</v>
      </c>
      <c r="B79" s="15" t="s">
        <v>9</v>
      </c>
      <c r="C79" s="3" t="s">
        <v>94</v>
      </c>
      <c r="D79" s="15" t="s">
        <v>9</v>
      </c>
      <c r="E79" s="15" t="s">
        <v>9</v>
      </c>
      <c r="F79" s="13">
        <v>0</v>
      </c>
      <c r="G79" s="14">
        <v>0</v>
      </c>
      <c r="H79" s="100"/>
    </row>
    <row r="80" spans="1:8" x14ac:dyDescent="0.2">
      <c r="A80" s="15" t="s">
        <v>9</v>
      </c>
      <c r="B80" s="15" t="s">
        <v>9</v>
      </c>
      <c r="C80" s="11" t="s">
        <v>9</v>
      </c>
      <c r="D80" s="15" t="s">
        <v>9</v>
      </c>
      <c r="E80" s="15" t="s">
        <v>9</v>
      </c>
      <c r="F80" s="12" t="s">
        <v>9</v>
      </c>
      <c r="G80" s="12" t="s">
        <v>9</v>
      </c>
      <c r="H80" s="100"/>
    </row>
    <row r="81" spans="1:8" x14ac:dyDescent="0.2">
      <c r="A81" s="15" t="s">
        <v>9</v>
      </c>
      <c r="B81" s="15" t="s">
        <v>9</v>
      </c>
      <c r="C81" s="3" t="s">
        <v>96</v>
      </c>
      <c r="D81" s="15" t="s">
        <v>9</v>
      </c>
      <c r="E81" s="15" t="s">
        <v>9</v>
      </c>
      <c r="F81" s="15" t="s">
        <v>9</v>
      </c>
      <c r="G81" s="15" t="s">
        <v>9</v>
      </c>
      <c r="H81" s="100"/>
    </row>
    <row r="82" spans="1:8" x14ac:dyDescent="0.2">
      <c r="A82" s="15" t="s">
        <v>9</v>
      </c>
      <c r="B82" s="15" t="s">
        <v>9</v>
      </c>
      <c r="C82" s="3" t="s">
        <v>94</v>
      </c>
      <c r="D82" s="15" t="s">
        <v>9</v>
      </c>
      <c r="E82" s="15" t="s">
        <v>9</v>
      </c>
      <c r="F82" s="13">
        <v>0</v>
      </c>
      <c r="G82" s="14">
        <v>0</v>
      </c>
      <c r="H82" s="100"/>
    </row>
    <row r="83" spans="1:8" x14ac:dyDescent="0.2">
      <c r="A83" s="15" t="s">
        <v>9</v>
      </c>
      <c r="B83" s="15" t="s">
        <v>9</v>
      </c>
      <c r="C83" s="11" t="s">
        <v>9</v>
      </c>
      <c r="D83" s="15" t="s">
        <v>9</v>
      </c>
      <c r="E83" s="15" t="s">
        <v>9</v>
      </c>
      <c r="F83" s="12" t="s">
        <v>9</v>
      </c>
      <c r="G83" s="12" t="s">
        <v>9</v>
      </c>
      <c r="H83" s="100"/>
    </row>
    <row r="84" spans="1:8" x14ac:dyDescent="0.2">
      <c r="A84" s="15" t="s">
        <v>9</v>
      </c>
      <c r="B84" s="15" t="s">
        <v>9</v>
      </c>
      <c r="C84" s="3" t="s">
        <v>100</v>
      </c>
      <c r="D84" s="15" t="s">
        <v>9</v>
      </c>
      <c r="E84" s="15" t="s">
        <v>9</v>
      </c>
      <c r="F84" s="15" t="s">
        <v>9</v>
      </c>
      <c r="G84" s="15" t="s">
        <v>9</v>
      </c>
      <c r="H84" s="100"/>
    </row>
    <row r="85" spans="1:8" x14ac:dyDescent="0.2">
      <c r="A85" s="15" t="s">
        <v>9</v>
      </c>
      <c r="B85" s="15" t="s">
        <v>9</v>
      </c>
      <c r="C85" s="3" t="s">
        <v>94</v>
      </c>
      <c r="D85" s="15" t="s">
        <v>9</v>
      </c>
      <c r="E85" s="15" t="s">
        <v>9</v>
      </c>
      <c r="F85" s="13">
        <v>0</v>
      </c>
      <c r="G85" s="14">
        <v>0</v>
      </c>
      <c r="H85" s="100"/>
    </row>
    <row r="86" spans="1:8" x14ac:dyDescent="0.2">
      <c r="A86" s="15" t="s">
        <v>9</v>
      </c>
      <c r="B86" s="15" t="s">
        <v>9</v>
      </c>
      <c r="C86" s="11" t="s">
        <v>9</v>
      </c>
      <c r="D86" s="15" t="s">
        <v>9</v>
      </c>
      <c r="E86" s="15" t="s">
        <v>9</v>
      </c>
      <c r="F86" s="12" t="s">
        <v>9</v>
      </c>
      <c r="G86" s="12" t="s">
        <v>9</v>
      </c>
      <c r="H86" s="100"/>
    </row>
    <row r="87" spans="1:8" x14ac:dyDescent="0.2">
      <c r="A87" s="15" t="s">
        <v>9</v>
      </c>
      <c r="B87" s="15" t="s">
        <v>9</v>
      </c>
      <c r="C87" s="3" t="s">
        <v>101</v>
      </c>
      <c r="D87" s="15" t="s">
        <v>9</v>
      </c>
      <c r="E87" s="15" t="s">
        <v>9</v>
      </c>
      <c r="F87" s="12" t="s">
        <v>9</v>
      </c>
      <c r="G87" s="12" t="s">
        <v>9</v>
      </c>
      <c r="H87" s="100"/>
    </row>
    <row r="88" spans="1:8" x14ac:dyDescent="0.2">
      <c r="A88" s="15" t="s">
        <v>9</v>
      </c>
      <c r="B88" s="15" t="s">
        <v>9</v>
      </c>
      <c r="C88" s="3" t="s">
        <v>94</v>
      </c>
      <c r="D88" s="15" t="s">
        <v>9</v>
      </c>
      <c r="E88" s="15" t="s">
        <v>9</v>
      </c>
      <c r="F88" s="13">
        <v>0</v>
      </c>
      <c r="G88" s="14">
        <v>0</v>
      </c>
      <c r="H88" s="100"/>
    </row>
    <row r="89" spans="1:8" x14ac:dyDescent="0.2">
      <c r="A89" s="15" t="s">
        <v>9</v>
      </c>
      <c r="B89" s="15" t="s">
        <v>9</v>
      </c>
      <c r="C89" s="11" t="s">
        <v>9</v>
      </c>
      <c r="D89" s="15" t="s">
        <v>9</v>
      </c>
      <c r="E89" s="15" t="s">
        <v>9</v>
      </c>
      <c r="F89" s="12" t="s">
        <v>9</v>
      </c>
      <c r="G89" s="12" t="s">
        <v>9</v>
      </c>
      <c r="H89" s="100"/>
    </row>
    <row r="90" spans="1:8" x14ac:dyDescent="0.2">
      <c r="A90" s="15" t="s">
        <v>9</v>
      </c>
      <c r="B90" s="15" t="s">
        <v>9</v>
      </c>
      <c r="C90" s="3" t="s">
        <v>102</v>
      </c>
      <c r="D90" s="15" t="s">
        <v>9</v>
      </c>
      <c r="E90" s="15" t="s">
        <v>9</v>
      </c>
      <c r="F90" s="12" t="s">
        <v>9</v>
      </c>
      <c r="G90" s="12" t="s">
        <v>9</v>
      </c>
      <c r="H90" s="100"/>
    </row>
    <row r="91" spans="1:8" x14ac:dyDescent="0.2">
      <c r="A91" s="15" t="s">
        <v>9</v>
      </c>
      <c r="B91" s="15" t="s">
        <v>9</v>
      </c>
      <c r="C91" s="3" t="s">
        <v>94</v>
      </c>
      <c r="D91" s="15" t="s">
        <v>9</v>
      </c>
      <c r="E91" s="15" t="s">
        <v>9</v>
      </c>
      <c r="F91" s="13">
        <v>0</v>
      </c>
      <c r="G91" s="14">
        <v>0</v>
      </c>
      <c r="H91" s="100"/>
    </row>
    <row r="92" spans="1:8" x14ac:dyDescent="0.2">
      <c r="A92" s="15" t="s">
        <v>9</v>
      </c>
      <c r="B92" s="15" t="s">
        <v>9</v>
      </c>
      <c r="C92" s="11" t="s">
        <v>9</v>
      </c>
      <c r="D92" s="15" t="s">
        <v>9</v>
      </c>
      <c r="E92" s="15" t="s">
        <v>9</v>
      </c>
      <c r="F92" s="12" t="s">
        <v>9</v>
      </c>
      <c r="G92" s="12" t="s">
        <v>9</v>
      </c>
      <c r="H92" s="100"/>
    </row>
    <row r="93" spans="1:8" x14ac:dyDescent="0.2">
      <c r="A93" s="15" t="s">
        <v>9</v>
      </c>
      <c r="B93" s="15" t="s">
        <v>9</v>
      </c>
      <c r="C93" s="3" t="s">
        <v>104</v>
      </c>
      <c r="D93" s="15" t="s">
        <v>9</v>
      </c>
      <c r="E93" s="15" t="s">
        <v>9</v>
      </c>
      <c r="F93" s="9">
        <v>9372.7904954999995</v>
      </c>
      <c r="G93" s="10">
        <v>0.95627944300000001</v>
      </c>
      <c r="H93" s="100"/>
    </row>
    <row r="94" spans="1:8" x14ac:dyDescent="0.2">
      <c r="A94" s="15" t="s">
        <v>9</v>
      </c>
      <c r="B94" s="15" t="s">
        <v>9</v>
      </c>
      <c r="C94" s="11" t="s">
        <v>9</v>
      </c>
      <c r="D94" s="15" t="s">
        <v>9</v>
      </c>
      <c r="E94" s="15" t="s">
        <v>9</v>
      </c>
      <c r="F94" s="12" t="s">
        <v>9</v>
      </c>
      <c r="G94" s="12" t="s">
        <v>9</v>
      </c>
      <c r="H94" s="100"/>
    </row>
    <row r="95" spans="1:8" x14ac:dyDescent="0.2">
      <c r="A95" s="15" t="s">
        <v>9</v>
      </c>
      <c r="B95" s="15" t="s">
        <v>9</v>
      </c>
      <c r="C95" s="3" t="s">
        <v>105</v>
      </c>
      <c r="D95" s="15" t="s">
        <v>9</v>
      </c>
      <c r="E95" s="15" t="s">
        <v>9</v>
      </c>
      <c r="F95" s="12" t="s">
        <v>9</v>
      </c>
      <c r="G95" s="12" t="s">
        <v>9</v>
      </c>
      <c r="H95" s="100"/>
    </row>
    <row r="96" spans="1:8" ht="25.5" x14ac:dyDescent="0.2">
      <c r="A96" s="15" t="s">
        <v>9</v>
      </c>
      <c r="B96" s="15" t="s">
        <v>9</v>
      </c>
      <c r="C96" s="3" t="s">
        <v>11</v>
      </c>
      <c r="D96" s="15" t="s">
        <v>9</v>
      </c>
      <c r="E96" s="15" t="s">
        <v>9</v>
      </c>
      <c r="F96" s="12" t="s">
        <v>9</v>
      </c>
      <c r="G96" s="12" t="s">
        <v>9</v>
      </c>
      <c r="H96" s="100"/>
    </row>
    <row r="97" spans="1:8" x14ac:dyDescent="0.2">
      <c r="A97" s="15" t="s">
        <v>9</v>
      </c>
      <c r="B97" s="15" t="s">
        <v>9</v>
      </c>
      <c r="C97" s="3" t="s">
        <v>94</v>
      </c>
      <c r="D97" s="15" t="s">
        <v>9</v>
      </c>
      <c r="E97" s="15" t="s">
        <v>9</v>
      </c>
      <c r="F97" s="13">
        <v>0</v>
      </c>
      <c r="G97" s="14">
        <v>0</v>
      </c>
      <c r="H97" s="100"/>
    </row>
    <row r="98" spans="1:8" x14ac:dyDescent="0.2">
      <c r="A98" s="15" t="s">
        <v>9</v>
      </c>
      <c r="B98" s="15" t="s">
        <v>9</v>
      </c>
      <c r="C98" s="11" t="s">
        <v>9</v>
      </c>
      <c r="D98" s="15" t="s">
        <v>9</v>
      </c>
      <c r="E98" s="15" t="s">
        <v>9</v>
      </c>
      <c r="F98" s="12" t="s">
        <v>9</v>
      </c>
      <c r="G98" s="12" t="s">
        <v>9</v>
      </c>
      <c r="H98" s="100"/>
    </row>
    <row r="99" spans="1:8" x14ac:dyDescent="0.2">
      <c r="A99" s="15" t="s">
        <v>9</v>
      </c>
      <c r="B99" s="15" t="s">
        <v>9</v>
      </c>
      <c r="C99" s="3" t="s">
        <v>106</v>
      </c>
      <c r="D99" s="15" t="s">
        <v>9</v>
      </c>
      <c r="E99" s="15" t="s">
        <v>9</v>
      </c>
      <c r="F99" s="15" t="s">
        <v>9</v>
      </c>
      <c r="G99" s="15" t="s">
        <v>9</v>
      </c>
      <c r="H99" s="100"/>
    </row>
    <row r="100" spans="1:8" x14ac:dyDescent="0.2">
      <c r="A100" s="15" t="s">
        <v>9</v>
      </c>
      <c r="B100" s="15" t="s">
        <v>9</v>
      </c>
      <c r="C100" s="3" t="s">
        <v>94</v>
      </c>
      <c r="D100" s="15" t="s">
        <v>9</v>
      </c>
      <c r="E100" s="15" t="s">
        <v>9</v>
      </c>
      <c r="F100" s="13">
        <v>0</v>
      </c>
      <c r="G100" s="14">
        <v>0</v>
      </c>
      <c r="H100" s="100"/>
    </row>
    <row r="101" spans="1:8" x14ac:dyDescent="0.2">
      <c r="A101" s="15" t="s">
        <v>9</v>
      </c>
      <c r="B101" s="15" t="s">
        <v>9</v>
      </c>
      <c r="C101" s="11" t="s">
        <v>9</v>
      </c>
      <c r="D101" s="15" t="s">
        <v>9</v>
      </c>
      <c r="E101" s="15" t="s">
        <v>9</v>
      </c>
      <c r="F101" s="12" t="s">
        <v>9</v>
      </c>
      <c r="G101" s="12" t="s">
        <v>9</v>
      </c>
      <c r="H101" s="100"/>
    </row>
    <row r="102" spans="1:8" x14ac:dyDescent="0.2">
      <c r="A102" s="15" t="s">
        <v>9</v>
      </c>
      <c r="B102" s="15" t="s">
        <v>9</v>
      </c>
      <c r="C102" s="3" t="s">
        <v>107</v>
      </c>
      <c r="D102" s="15" t="s">
        <v>9</v>
      </c>
      <c r="E102" s="15" t="s">
        <v>9</v>
      </c>
      <c r="F102" s="15" t="s">
        <v>9</v>
      </c>
      <c r="G102" s="15" t="s">
        <v>9</v>
      </c>
      <c r="H102" s="100"/>
    </row>
    <row r="103" spans="1:8" x14ac:dyDescent="0.2">
      <c r="A103" s="15" t="s">
        <v>9</v>
      </c>
      <c r="B103" s="15" t="s">
        <v>9</v>
      </c>
      <c r="C103" s="3" t="s">
        <v>94</v>
      </c>
      <c r="D103" s="15" t="s">
        <v>9</v>
      </c>
      <c r="E103" s="15" t="s">
        <v>9</v>
      </c>
      <c r="F103" s="13">
        <v>0</v>
      </c>
      <c r="G103" s="14">
        <v>0</v>
      </c>
      <c r="H103" s="100"/>
    </row>
    <row r="104" spans="1:8" x14ac:dyDescent="0.2">
      <c r="A104" s="15" t="s">
        <v>9</v>
      </c>
      <c r="B104" s="15" t="s">
        <v>9</v>
      </c>
      <c r="C104" s="11" t="s">
        <v>9</v>
      </c>
      <c r="D104" s="15" t="s">
        <v>9</v>
      </c>
      <c r="E104" s="15" t="s">
        <v>9</v>
      </c>
      <c r="F104" s="12" t="s">
        <v>9</v>
      </c>
      <c r="G104" s="12" t="s">
        <v>9</v>
      </c>
      <c r="H104" s="100"/>
    </row>
    <row r="105" spans="1:8" x14ac:dyDescent="0.2">
      <c r="A105" s="15" t="s">
        <v>9</v>
      </c>
      <c r="B105" s="15" t="s">
        <v>9</v>
      </c>
      <c r="C105" s="3" t="s">
        <v>108</v>
      </c>
      <c r="D105" s="15" t="s">
        <v>9</v>
      </c>
      <c r="E105" s="15" t="s">
        <v>9</v>
      </c>
      <c r="F105" s="12" t="s">
        <v>9</v>
      </c>
      <c r="G105" s="12" t="s">
        <v>9</v>
      </c>
      <c r="H105" s="100"/>
    </row>
    <row r="106" spans="1:8" x14ac:dyDescent="0.2">
      <c r="A106" s="15" t="s">
        <v>9</v>
      </c>
      <c r="B106" s="15" t="s">
        <v>9</v>
      </c>
      <c r="C106" s="3" t="s">
        <v>94</v>
      </c>
      <c r="D106" s="15" t="s">
        <v>9</v>
      </c>
      <c r="E106" s="15" t="s">
        <v>9</v>
      </c>
      <c r="F106" s="13">
        <v>0</v>
      </c>
      <c r="G106" s="14">
        <v>0</v>
      </c>
      <c r="H106" s="100"/>
    </row>
    <row r="107" spans="1:8" x14ac:dyDescent="0.2">
      <c r="A107" s="15" t="s">
        <v>9</v>
      </c>
      <c r="B107" s="15" t="s">
        <v>9</v>
      </c>
      <c r="C107" s="11" t="s">
        <v>9</v>
      </c>
      <c r="D107" s="15" t="s">
        <v>9</v>
      </c>
      <c r="E107" s="15" t="s">
        <v>9</v>
      </c>
      <c r="F107" s="12" t="s">
        <v>9</v>
      </c>
      <c r="G107" s="12" t="s">
        <v>9</v>
      </c>
      <c r="H107" s="100"/>
    </row>
    <row r="108" spans="1:8" x14ac:dyDescent="0.2">
      <c r="A108" s="15" t="s">
        <v>9</v>
      </c>
      <c r="B108" s="15" t="s">
        <v>9</v>
      </c>
      <c r="C108" s="3" t="s">
        <v>109</v>
      </c>
      <c r="D108" s="15" t="s">
        <v>9</v>
      </c>
      <c r="E108" s="15" t="s">
        <v>9</v>
      </c>
      <c r="F108" s="9">
        <v>0</v>
      </c>
      <c r="G108" s="10">
        <v>0</v>
      </c>
      <c r="H108" s="100"/>
    </row>
    <row r="109" spans="1:8" x14ac:dyDescent="0.2">
      <c r="A109" s="15" t="s">
        <v>9</v>
      </c>
      <c r="B109" s="15" t="s">
        <v>9</v>
      </c>
      <c r="C109" s="11" t="s">
        <v>9</v>
      </c>
      <c r="D109" s="15" t="s">
        <v>9</v>
      </c>
      <c r="E109" s="15" t="s">
        <v>9</v>
      </c>
      <c r="F109" s="12" t="s">
        <v>9</v>
      </c>
      <c r="G109" s="12" t="s">
        <v>9</v>
      </c>
      <c r="H109" s="100"/>
    </row>
    <row r="110" spans="1:8" x14ac:dyDescent="0.2">
      <c r="A110" s="15" t="s">
        <v>9</v>
      </c>
      <c r="B110" s="15" t="s">
        <v>9</v>
      </c>
      <c r="C110" s="3" t="s">
        <v>110</v>
      </c>
      <c r="D110" s="15" t="s">
        <v>9</v>
      </c>
      <c r="E110" s="15" t="s">
        <v>9</v>
      </c>
      <c r="F110" s="12" t="s">
        <v>9</v>
      </c>
      <c r="G110" s="12" t="s">
        <v>9</v>
      </c>
      <c r="H110" s="100"/>
    </row>
    <row r="111" spans="1:8" x14ac:dyDescent="0.2">
      <c r="A111" s="15" t="s">
        <v>9</v>
      </c>
      <c r="B111" s="15" t="s">
        <v>9</v>
      </c>
      <c r="C111" s="3" t="s">
        <v>111</v>
      </c>
      <c r="D111" s="15" t="s">
        <v>9</v>
      </c>
      <c r="E111" s="15" t="s">
        <v>9</v>
      </c>
      <c r="F111" s="12" t="s">
        <v>9</v>
      </c>
      <c r="G111" s="12" t="s">
        <v>9</v>
      </c>
      <c r="H111" s="100"/>
    </row>
    <row r="112" spans="1:8" x14ac:dyDescent="0.2">
      <c r="A112" s="15" t="s">
        <v>9</v>
      </c>
      <c r="B112" s="15" t="s">
        <v>9</v>
      </c>
      <c r="C112" s="3" t="s">
        <v>94</v>
      </c>
      <c r="D112" s="15" t="s">
        <v>9</v>
      </c>
      <c r="E112" s="15" t="s">
        <v>9</v>
      </c>
      <c r="F112" s="13">
        <v>0</v>
      </c>
      <c r="G112" s="14">
        <v>0</v>
      </c>
      <c r="H112" s="100"/>
    </row>
    <row r="113" spans="1:8" x14ac:dyDescent="0.2">
      <c r="A113" s="15" t="s">
        <v>9</v>
      </c>
      <c r="B113" s="15" t="s">
        <v>9</v>
      </c>
      <c r="C113" s="11" t="s">
        <v>9</v>
      </c>
      <c r="D113" s="15" t="s">
        <v>9</v>
      </c>
      <c r="E113" s="15" t="s">
        <v>9</v>
      </c>
      <c r="F113" s="12" t="s">
        <v>9</v>
      </c>
      <c r="G113" s="12" t="s">
        <v>9</v>
      </c>
      <c r="H113" s="100"/>
    </row>
    <row r="114" spans="1:8" x14ac:dyDescent="0.2">
      <c r="A114" s="15" t="s">
        <v>9</v>
      </c>
      <c r="B114" s="15" t="s">
        <v>9</v>
      </c>
      <c r="C114" s="3" t="s">
        <v>112</v>
      </c>
      <c r="D114" s="15" t="s">
        <v>9</v>
      </c>
      <c r="E114" s="15" t="s">
        <v>9</v>
      </c>
      <c r="F114" s="12" t="s">
        <v>9</v>
      </c>
      <c r="G114" s="12" t="s">
        <v>9</v>
      </c>
      <c r="H114" s="100"/>
    </row>
    <row r="115" spans="1:8" x14ac:dyDescent="0.2">
      <c r="A115" s="15" t="s">
        <v>9</v>
      </c>
      <c r="B115" s="15" t="s">
        <v>9</v>
      </c>
      <c r="C115" s="3" t="s">
        <v>94</v>
      </c>
      <c r="D115" s="15" t="s">
        <v>9</v>
      </c>
      <c r="E115" s="15" t="s">
        <v>9</v>
      </c>
      <c r="F115" s="13">
        <v>0</v>
      </c>
      <c r="G115" s="14">
        <v>0</v>
      </c>
      <c r="H115" s="100"/>
    </row>
    <row r="116" spans="1:8" x14ac:dyDescent="0.2">
      <c r="A116" s="15" t="s">
        <v>9</v>
      </c>
      <c r="B116" s="15" t="s">
        <v>9</v>
      </c>
      <c r="C116" s="11" t="s">
        <v>9</v>
      </c>
      <c r="D116" s="15" t="s">
        <v>9</v>
      </c>
      <c r="E116" s="15" t="s">
        <v>9</v>
      </c>
      <c r="F116" s="12" t="s">
        <v>9</v>
      </c>
      <c r="G116" s="12" t="s">
        <v>9</v>
      </c>
      <c r="H116" s="100"/>
    </row>
    <row r="117" spans="1:8" x14ac:dyDescent="0.2">
      <c r="A117" s="15" t="s">
        <v>9</v>
      </c>
      <c r="B117" s="15" t="s">
        <v>9</v>
      </c>
      <c r="C117" s="3" t="s">
        <v>113</v>
      </c>
      <c r="D117" s="15" t="s">
        <v>9</v>
      </c>
      <c r="E117" s="15" t="s">
        <v>9</v>
      </c>
      <c r="F117" s="12" t="s">
        <v>9</v>
      </c>
      <c r="G117" s="12" t="s">
        <v>9</v>
      </c>
      <c r="H117" s="100"/>
    </row>
    <row r="118" spans="1:8" x14ac:dyDescent="0.2">
      <c r="A118" s="15" t="s">
        <v>9</v>
      </c>
      <c r="B118" s="15" t="s">
        <v>9</v>
      </c>
      <c r="C118" s="3" t="s">
        <v>94</v>
      </c>
      <c r="D118" s="15" t="s">
        <v>9</v>
      </c>
      <c r="E118" s="15" t="s">
        <v>9</v>
      </c>
      <c r="F118" s="13">
        <v>0</v>
      </c>
      <c r="G118" s="14">
        <v>0</v>
      </c>
      <c r="H118" s="100"/>
    </row>
    <row r="119" spans="1:8" x14ac:dyDescent="0.2">
      <c r="A119" s="15" t="s">
        <v>9</v>
      </c>
      <c r="B119" s="15" t="s">
        <v>9</v>
      </c>
      <c r="C119" s="11" t="s">
        <v>9</v>
      </c>
      <c r="D119" s="15" t="s">
        <v>9</v>
      </c>
      <c r="E119" s="15" t="s">
        <v>9</v>
      </c>
      <c r="F119" s="12" t="s">
        <v>9</v>
      </c>
      <c r="G119" s="12" t="s">
        <v>9</v>
      </c>
      <c r="H119" s="100"/>
    </row>
    <row r="120" spans="1:8" x14ac:dyDescent="0.2">
      <c r="A120" s="15" t="s">
        <v>9</v>
      </c>
      <c r="B120" s="15" t="s">
        <v>9</v>
      </c>
      <c r="C120" s="3" t="s">
        <v>114</v>
      </c>
      <c r="D120" s="15" t="s">
        <v>9</v>
      </c>
      <c r="E120" s="15" t="s">
        <v>9</v>
      </c>
      <c r="F120" s="12" t="s">
        <v>9</v>
      </c>
      <c r="G120" s="12" t="s">
        <v>9</v>
      </c>
      <c r="H120" s="100"/>
    </row>
    <row r="121" spans="1:8" x14ac:dyDescent="0.2">
      <c r="A121" s="4">
        <v>1</v>
      </c>
      <c r="B121" s="5"/>
      <c r="C121" s="5" t="s">
        <v>115</v>
      </c>
      <c r="D121" s="5"/>
      <c r="E121" s="15" t="s">
        <v>9</v>
      </c>
      <c r="F121" s="7">
        <v>368.30056769999999</v>
      </c>
      <c r="G121" s="8">
        <v>3.7576670999999999E-2</v>
      </c>
      <c r="H121" s="99">
        <v>3.2516689338443991</v>
      </c>
    </row>
    <row r="122" spans="1:8" x14ac:dyDescent="0.2">
      <c r="A122" s="4">
        <v>2</v>
      </c>
      <c r="B122" s="5"/>
      <c r="C122" s="5" t="s">
        <v>116</v>
      </c>
      <c r="D122" s="5"/>
      <c r="E122" s="15" t="s">
        <v>9</v>
      </c>
      <c r="F122" s="7">
        <v>50.460540799999997</v>
      </c>
      <c r="G122" s="8">
        <v>5.1483470000000002E-3</v>
      </c>
      <c r="H122" s="100">
        <v>3.350000000000001</v>
      </c>
    </row>
    <row r="123" spans="1:8" x14ac:dyDescent="0.2">
      <c r="A123" s="15" t="s">
        <v>9</v>
      </c>
      <c r="B123" s="15" t="s">
        <v>9</v>
      </c>
      <c r="C123" s="3" t="s">
        <v>94</v>
      </c>
      <c r="D123" s="15" t="s">
        <v>9</v>
      </c>
      <c r="E123" s="15" t="s">
        <v>9</v>
      </c>
      <c r="F123" s="9">
        <v>418.76110849999998</v>
      </c>
      <c r="G123" s="10">
        <v>4.2725017999999997E-2</v>
      </c>
      <c r="H123" s="100"/>
    </row>
    <row r="124" spans="1:8" x14ac:dyDescent="0.2">
      <c r="A124" s="15" t="s">
        <v>9</v>
      </c>
      <c r="B124" s="15" t="s">
        <v>9</v>
      </c>
      <c r="C124" s="11" t="s">
        <v>9</v>
      </c>
      <c r="D124" s="15" t="s">
        <v>9</v>
      </c>
      <c r="E124" s="15" t="s">
        <v>9</v>
      </c>
      <c r="F124" s="12" t="s">
        <v>9</v>
      </c>
      <c r="G124" s="12" t="s">
        <v>9</v>
      </c>
      <c r="H124" s="100"/>
    </row>
    <row r="125" spans="1:8" x14ac:dyDescent="0.2">
      <c r="A125" s="15" t="s">
        <v>9</v>
      </c>
      <c r="B125" s="15" t="s">
        <v>9</v>
      </c>
      <c r="C125" s="3" t="s">
        <v>117</v>
      </c>
      <c r="D125" s="15" t="s">
        <v>9</v>
      </c>
      <c r="E125" s="15" t="s">
        <v>9</v>
      </c>
      <c r="F125" s="9">
        <v>418.76110849999998</v>
      </c>
      <c r="G125" s="10">
        <v>4.2725017999999997E-2</v>
      </c>
      <c r="H125" s="100"/>
    </row>
    <row r="126" spans="1:8" x14ac:dyDescent="0.2">
      <c r="A126" s="15" t="s">
        <v>9</v>
      </c>
      <c r="B126" s="15" t="s">
        <v>9</v>
      </c>
      <c r="C126" s="12" t="s">
        <v>9</v>
      </c>
      <c r="D126" s="15" t="s">
        <v>9</v>
      </c>
      <c r="E126" s="15" t="s">
        <v>9</v>
      </c>
      <c r="F126" s="15" t="s">
        <v>9</v>
      </c>
      <c r="G126" s="15" t="s">
        <v>9</v>
      </c>
      <c r="H126" s="100"/>
    </row>
    <row r="127" spans="1:8" x14ac:dyDescent="0.2">
      <c r="A127" s="15" t="s">
        <v>9</v>
      </c>
      <c r="B127" s="15" t="s">
        <v>9</v>
      </c>
      <c r="C127" s="3" t="s">
        <v>118</v>
      </c>
      <c r="D127" s="15" t="s">
        <v>9</v>
      </c>
      <c r="E127" s="15" t="s">
        <v>9</v>
      </c>
      <c r="F127" s="15" t="s">
        <v>9</v>
      </c>
      <c r="G127" s="15" t="s">
        <v>9</v>
      </c>
      <c r="H127" s="100"/>
    </row>
    <row r="128" spans="1:8" x14ac:dyDescent="0.2">
      <c r="A128" s="15" t="s">
        <v>9</v>
      </c>
      <c r="B128" s="15" t="s">
        <v>9</v>
      </c>
      <c r="C128" s="3" t="s">
        <v>119</v>
      </c>
      <c r="D128" s="15" t="s">
        <v>9</v>
      </c>
      <c r="E128" s="15" t="s">
        <v>9</v>
      </c>
      <c r="F128" s="15" t="s">
        <v>9</v>
      </c>
      <c r="G128" s="15" t="s">
        <v>9</v>
      </c>
      <c r="H128" s="100"/>
    </row>
    <row r="129" spans="1:8" x14ac:dyDescent="0.2">
      <c r="A129" s="15" t="s">
        <v>9</v>
      </c>
      <c r="B129" s="15" t="s">
        <v>9</v>
      </c>
      <c r="C129" s="3" t="s">
        <v>94</v>
      </c>
      <c r="D129" s="15" t="s">
        <v>9</v>
      </c>
      <c r="E129" s="15" t="s">
        <v>9</v>
      </c>
      <c r="F129" s="13">
        <v>0</v>
      </c>
      <c r="G129" s="14">
        <v>0</v>
      </c>
      <c r="H129" s="100"/>
    </row>
    <row r="130" spans="1:8" x14ac:dyDescent="0.2">
      <c r="A130" s="15" t="s">
        <v>9</v>
      </c>
      <c r="B130" s="15" t="s">
        <v>9</v>
      </c>
      <c r="C130" s="11" t="s">
        <v>9</v>
      </c>
      <c r="D130" s="15" t="s">
        <v>9</v>
      </c>
      <c r="E130" s="15" t="s">
        <v>9</v>
      </c>
      <c r="F130" s="12" t="s">
        <v>9</v>
      </c>
      <c r="G130" s="12" t="s">
        <v>9</v>
      </c>
      <c r="H130" s="100"/>
    </row>
    <row r="131" spans="1:8" x14ac:dyDescent="0.2">
      <c r="A131" s="15" t="s">
        <v>9</v>
      </c>
      <c r="B131" s="15" t="s">
        <v>9</v>
      </c>
      <c r="C131" s="3" t="s">
        <v>120</v>
      </c>
      <c r="D131" s="15" t="s">
        <v>9</v>
      </c>
      <c r="E131" s="15" t="s">
        <v>9</v>
      </c>
      <c r="F131" s="15" t="s">
        <v>9</v>
      </c>
      <c r="G131" s="15" t="s">
        <v>9</v>
      </c>
      <c r="H131" s="100"/>
    </row>
    <row r="132" spans="1:8" x14ac:dyDescent="0.2">
      <c r="A132" s="15" t="s">
        <v>9</v>
      </c>
      <c r="B132" s="15" t="s">
        <v>9</v>
      </c>
      <c r="C132" s="3" t="s">
        <v>121</v>
      </c>
      <c r="D132" s="15" t="s">
        <v>9</v>
      </c>
      <c r="E132" s="15" t="s">
        <v>9</v>
      </c>
      <c r="F132" s="15" t="s">
        <v>9</v>
      </c>
      <c r="G132" s="15" t="s">
        <v>9</v>
      </c>
      <c r="H132" s="100"/>
    </row>
    <row r="133" spans="1:8" x14ac:dyDescent="0.2">
      <c r="A133" s="15" t="s">
        <v>9</v>
      </c>
      <c r="B133" s="15" t="s">
        <v>9</v>
      </c>
      <c r="C133" s="3" t="s">
        <v>94</v>
      </c>
      <c r="D133" s="15" t="s">
        <v>9</v>
      </c>
      <c r="E133" s="15" t="s">
        <v>9</v>
      </c>
      <c r="F133" s="13">
        <v>0</v>
      </c>
      <c r="G133" s="14">
        <v>0</v>
      </c>
      <c r="H133" s="100"/>
    </row>
    <row r="134" spans="1:8" x14ac:dyDescent="0.2">
      <c r="A134" s="15" t="s">
        <v>9</v>
      </c>
      <c r="B134" s="15" t="s">
        <v>9</v>
      </c>
      <c r="C134" s="11" t="s">
        <v>9</v>
      </c>
      <c r="D134" s="15" t="s">
        <v>9</v>
      </c>
      <c r="E134" s="15" t="s">
        <v>9</v>
      </c>
      <c r="F134" s="12" t="s">
        <v>9</v>
      </c>
      <c r="G134" s="12" t="s">
        <v>9</v>
      </c>
      <c r="H134" s="100"/>
    </row>
    <row r="135" spans="1:8" x14ac:dyDescent="0.2">
      <c r="A135" s="15" t="s">
        <v>9</v>
      </c>
      <c r="B135" s="15" t="s">
        <v>9</v>
      </c>
      <c r="C135" s="11" t="s">
        <v>9</v>
      </c>
      <c r="D135" s="15" t="s">
        <v>9</v>
      </c>
      <c r="E135" s="15" t="s">
        <v>9</v>
      </c>
      <c r="F135" s="12" t="s">
        <v>9</v>
      </c>
      <c r="G135" s="12" t="s">
        <v>9</v>
      </c>
      <c r="H135" s="100"/>
    </row>
    <row r="136" spans="1:8" ht="25.5" x14ac:dyDescent="0.2">
      <c r="A136" s="15" t="s">
        <v>9</v>
      </c>
      <c r="B136" s="15" t="s">
        <v>9</v>
      </c>
      <c r="C136" s="3" t="s">
        <v>122</v>
      </c>
      <c r="D136" s="15" t="s">
        <v>9</v>
      </c>
      <c r="E136" s="15" t="s">
        <v>9</v>
      </c>
      <c r="F136" s="12" t="s">
        <v>9</v>
      </c>
      <c r="G136" s="12" t="s">
        <v>9</v>
      </c>
      <c r="H136" s="100"/>
    </row>
    <row r="137" spans="1:8" x14ac:dyDescent="0.2">
      <c r="A137" s="15" t="s">
        <v>9</v>
      </c>
      <c r="B137" s="15" t="s">
        <v>9</v>
      </c>
      <c r="C137" s="3" t="s">
        <v>94</v>
      </c>
      <c r="D137" s="15" t="s">
        <v>9</v>
      </c>
      <c r="E137" s="15" t="s">
        <v>9</v>
      </c>
      <c r="F137" s="13">
        <v>0</v>
      </c>
      <c r="G137" s="14">
        <v>0</v>
      </c>
      <c r="H137" s="100"/>
    </row>
    <row r="138" spans="1:8" x14ac:dyDescent="0.2">
      <c r="A138" s="15" t="s">
        <v>9</v>
      </c>
      <c r="B138" s="15" t="s">
        <v>9</v>
      </c>
      <c r="C138" s="11" t="s">
        <v>9</v>
      </c>
      <c r="D138" s="15" t="s">
        <v>9</v>
      </c>
      <c r="E138" s="15" t="s">
        <v>9</v>
      </c>
      <c r="F138" s="12" t="s">
        <v>9</v>
      </c>
      <c r="G138" s="12" t="s">
        <v>9</v>
      </c>
      <c r="H138" s="100"/>
    </row>
    <row r="139" spans="1:8" x14ac:dyDescent="0.2">
      <c r="A139" s="15" t="s">
        <v>9</v>
      </c>
      <c r="B139" s="5" t="s">
        <v>9</v>
      </c>
      <c r="C139" s="5" t="s">
        <v>9</v>
      </c>
      <c r="D139" s="3" t="s">
        <v>9</v>
      </c>
      <c r="E139" s="15" t="s">
        <v>9</v>
      </c>
      <c r="F139" s="5" t="s">
        <v>9</v>
      </c>
      <c r="G139" s="15" t="s">
        <v>9</v>
      </c>
      <c r="H139" s="100"/>
    </row>
    <row r="140" spans="1:8" x14ac:dyDescent="0.2">
      <c r="A140" s="15" t="s">
        <v>9</v>
      </c>
      <c r="B140" s="5" t="s">
        <v>9</v>
      </c>
      <c r="C140" s="5" t="s">
        <v>124</v>
      </c>
      <c r="D140" s="5" t="s">
        <v>9</v>
      </c>
      <c r="E140" s="15" t="s">
        <v>9</v>
      </c>
      <c r="F140" s="7">
        <v>9.7575722099999993</v>
      </c>
      <c r="G140" s="8">
        <v>9.9553800000000002E-4</v>
      </c>
      <c r="H140" s="100"/>
    </row>
    <row r="141" spans="1:8" x14ac:dyDescent="0.2">
      <c r="A141" s="11" t="s">
        <v>9</v>
      </c>
      <c r="B141" s="11" t="s">
        <v>9</v>
      </c>
      <c r="C141" s="3" t="s">
        <v>125</v>
      </c>
      <c r="D141" s="16" t="s">
        <v>9</v>
      </c>
      <c r="E141" s="16" t="s">
        <v>9</v>
      </c>
      <c r="F141" s="9">
        <v>9801.3091762099994</v>
      </c>
      <c r="G141" s="10">
        <v>0.99999999900000003</v>
      </c>
      <c r="H141" s="100"/>
    </row>
    <row r="142" spans="1:8" x14ac:dyDescent="0.2">
      <c r="A142" s="17" t="s">
        <v>9</v>
      </c>
      <c r="B142" s="17" t="s">
        <v>9</v>
      </c>
      <c r="C142" s="17" t="s">
        <v>9</v>
      </c>
      <c r="D142" s="18" t="s">
        <v>9</v>
      </c>
      <c r="E142" s="18" t="s">
        <v>9</v>
      </c>
      <c r="F142" s="18" t="s">
        <v>9</v>
      </c>
      <c r="G142" s="18" t="s">
        <v>9</v>
      </c>
      <c r="H142" s="142"/>
    </row>
    <row r="143" spans="1:8" x14ac:dyDescent="0.2">
      <c r="A143" s="19" t="s">
        <v>9</v>
      </c>
      <c r="B143" s="254" t="s">
        <v>9</v>
      </c>
      <c r="C143" s="254"/>
      <c r="D143" s="254"/>
      <c r="E143" s="254"/>
      <c r="F143" s="254"/>
      <c r="G143" s="20" t="s">
        <v>9</v>
      </c>
      <c r="H143" s="142"/>
    </row>
    <row r="144" spans="1:8" x14ac:dyDescent="0.2">
      <c r="A144" s="19" t="s">
        <v>9</v>
      </c>
      <c r="B144" s="254" t="s">
        <v>9</v>
      </c>
      <c r="C144" s="254"/>
      <c r="D144" s="254"/>
      <c r="E144" s="254"/>
      <c r="F144" s="254"/>
      <c r="G144" s="20" t="s">
        <v>9</v>
      </c>
      <c r="H144" s="142"/>
    </row>
    <row r="145" spans="1:8" x14ac:dyDescent="0.2">
      <c r="A145" s="19" t="s">
        <v>9</v>
      </c>
      <c r="B145" s="19" t="s">
        <v>9</v>
      </c>
      <c r="C145" s="19" t="s">
        <v>9</v>
      </c>
      <c r="D145" s="20" t="s">
        <v>9</v>
      </c>
      <c r="E145" s="20" t="s">
        <v>9</v>
      </c>
      <c r="F145" s="20" t="s">
        <v>9</v>
      </c>
      <c r="G145" s="20" t="s">
        <v>9</v>
      </c>
      <c r="H145" s="142"/>
    </row>
    <row r="146" spans="1:8" x14ac:dyDescent="0.2">
      <c r="A146" s="19" t="s">
        <v>9</v>
      </c>
      <c r="B146" s="247" t="s">
        <v>127</v>
      </c>
      <c r="C146" s="248"/>
      <c r="D146" s="182" t="s">
        <v>9</v>
      </c>
      <c r="E146" s="21" t="s">
        <v>9</v>
      </c>
      <c r="F146" s="20" t="s">
        <v>9</v>
      </c>
      <c r="G146" s="20" t="s">
        <v>9</v>
      </c>
      <c r="H146" s="142"/>
    </row>
    <row r="147" spans="1:8" ht="28.5" customHeight="1" x14ac:dyDescent="0.2">
      <c r="A147" s="19" t="s">
        <v>9</v>
      </c>
      <c r="B147" s="242" t="s">
        <v>128</v>
      </c>
      <c r="C147" s="243"/>
      <c r="D147" s="3" t="s">
        <v>129</v>
      </c>
      <c r="E147" s="21" t="s">
        <v>9</v>
      </c>
      <c r="F147" s="20" t="s">
        <v>9</v>
      </c>
      <c r="G147" s="20" t="s">
        <v>9</v>
      </c>
      <c r="H147" s="142"/>
    </row>
    <row r="148" spans="1:8" x14ac:dyDescent="0.2">
      <c r="A148" s="19" t="s">
        <v>9</v>
      </c>
      <c r="B148" s="240" t="s">
        <v>130</v>
      </c>
      <c r="C148" s="241"/>
      <c r="D148" s="177" t="s">
        <v>129</v>
      </c>
      <c r="E148" s="21" t="s">
        <v>9</v>
      </c>
      <c r="F148" s="20" t="s">
        <v>9</v>
      </c>
      <c r="G148" s="20" t="s">
        <v>9</v>
      </c>
      <c r="H148" s="142"/>
    </row>
    <row r="149" spans="1:8" x14ac:dyDescent="0.2">
      <c r="A149" s="19" t="s">
        <v>9</v>
      </c>
      <c r="B149" s="240" t="s">
        <v>131</v>
      </c>
      <c r="C149" s="241"/>
      <c r="D149" s="182" t="s">
        <v>9</v>
      </c>
      <c r="E149" s="21" t="s">
        <v>9</v>
      </c>
      <c r="F149" s="20" t="s">
        <v>9</v>
      </c>
      <c r="G149" s="20" t="s">
        <v>9</v>
      </c>
      <c r="H149" s="142"/>
    </row>
    <row r="150" spans="1:8" ht="25.5" x14ac:dyDescent="0.2">
      <c r="A150" s="25" t="s">
        <v>9</v>
      </c>
      <c r="B150" s="23" t="s">
        <v>9</v>
      </c>
      <c r="C150" s="23" t="s">
        <v>132</v>
      </c>
      <c r="D150" s="23" t="s">
        <v>133</v>
      </c>
      <c r="E150" s="25" t="s">
        <v>9</v>
      </c>
      <c r="F150" s="25" t="s">
        <v>9</v>
      </c>
      <c r="G150" s="25" t="s">
        <v>9</v>
      </c>
      <c r="H150" s="142"/>
    </row>
    <row r="151" spans="1:8" x14ac:dyDescent="0.2">
      <c r="A151" s="25" t="s">
        <v>9</v>
      </c>
      <c r="B151" s="23" t="s">
        <v>134</v>
      </c>
      <c r="C151" s="23" t="s">
        <v>135</v>
      </c>
      <c r="D151" s="23" t="s">
        <v>136</v>
      </c>
      <c r="E151" s="25" t="s">
        <v>9</v>
      </c>
      <c r="F151" s="25" t="s">
        <v>9</v>
      </c>
      <c r="G151" s="25" t="s">
        <v>9</v>
      </c>
      <c r="H151" s="142"/>
    </row>
    <row r="152" spans="1:8" x14ac:dyDescent="0.2">
      <c r="A152" s="25" t="s">
        <v>9</v>
      </c>
      <c r="B152" s="183" t="s">
        <v>137</v>
      </c>
      <c r="C152" s="184">
        <v>10.542199999999999</v>
      </c>
      <c r="D152" s="184">
        <v>11.013999999999999</v>
      </c>
      <c r="E152" s="25" t="s">
        <v>9</v>
      </c>
      <c r="F152" s="73" t="s">
        <v>9</v>
      </c>
      <c r="G152" s="25" t="s">
        <v>9</v>
      </c>
      <c r="H152" s="142"/>
    </row>
    <row r="153" spans="1:8" x14ac:dyDescent="0.2">
      <c r="A153" s="25" t="s">
        <v>9</v>
      </c>
      <c r="B153" s="183" t="s">
        <v>921</v>
      </c>
      <c r="C153" s="184">
        <v>10.542199999999999</v>
      </c>
      <c r="D153" s="184">
        <v>11.013999999999999</v>
      </c>
      <c r="E153" s="25" t="s">
        <v>9</v>
      </c>
      <c r="F153" s="73" t="s">
        <v>9</v>
      </c>
      <c r="G153" s="25" t="s">
        <v>9</v>
      </c>
      <c r="H153" s="142"/>
    </row>
    <row r="154" spans="1:8" x14ac:dyDescent="0.2">
      <c r="A154" s="25" t="s">
        <v>9</v>
      </c>
      <c r="B154" s="183" t="s">
        <v>138</v>
      </c>
      <c r="C154" s="184">
        <v>10.323700000000001</v>
      </c>
      <c r="D154" s="184">
        <v>10.7806</v>
      </c>
      <c r="E154" s="25" t="s">
        <v>9</v>
      </c>
      <c r="F154" s="73" t="s">
        <v>9</v>
      </c>
      <c r="G154" s="25" t="s">
        <v>9</v>
      </c>
      <c r="H154" s="142"/>
    </row>
    <row r="155" spans="1:8" x14ac:dyDescent="0.2">
      <c r="A155" s="25" t="s">
        <v>9</v>
      </c>
      <c r="B155" s="183" t="s">
        <v>922</v>
      </c>
      <c r="C155" s="184">
        <v>10.323700000000001</v>
      </c>
      <c r="D155" s="184">
        <v>10.7806</v>
      </c>
      <c r="E155" s="25" t="s">
        <v>9</v>
      </c>
      <c r="F155" s="73" t="s">
        <v>9</v>
      </c>
      <c r="G155" s="25" t="s">
        <v>9</v>
      </c>
      <c r="H155" s="142"/>
    </row>
    <row r="156" spans="1:8" x14ac:dyDescent="0.2">
      <c r="A156" s="25" t="s">
        <v>9</v>
      </c>
      <c r="B156" s="22" t="s">
        <v>9</v>
      </c>
      <c r="C156" s="22" t="s">
        <v>9</v>
      </c>
      <c r="D156" s="22" t="s">
        <v>9</v>
      </c>
      <c r="E156" s="25" t="s">
        <v>9</v>
      </c>
      <c r="F156" s="25" t="s">
        <v>9</v>
      </c>
      <c r="G156" s="25" t="s">
        <v>9</v>
      </c>
      <c r="H156" s="142"/>
    </row>
    <row r="157" spans="1:8" x14ac:dyDescent="0.2">
      <c r="A157" s="25" t="s">
        <v>9</v>
      </c>
      <c r="B157" s="240" t="s">
        <v>1012</v>
      </c>
      <c r="C157" s="241"/>
      <c r="D157" s="177" t="s">
        <v>129</v>
      </c>
      <c r="E157" s="25" t="s">
        <v>9</v>
      </c>
      <c r="F157" s="25" t="s">
        <v>9</v>
      </c>
      <c r="G157" s="25" t="s">
        <v>9</v>
      </c>
      <c r="H157" s="142"/>
    </row>
    <row r="158" spans="1:8" x14ac:dyDescent="0.2">
      <c r="A158" s="25" t="s">
        <v>9</v>
      </c>
      <c r="B158" s="98"/>
      <c r="C158" s="98"/>
      <c r="D158" s="26" t="s">
        <v>9</v>
      </c>
      <c r="E158" s="25" t="s">
        <v>9</v>
      </c>
      <c r="F158" s="25" t="s">
        <v>9</v>
      </c>
      <c r="G158" s="25" t="s">
        <v>9</v>
      </c>
      <c r="H158" s="142"/>
    </row>
    <row r="159" spans="1:8" s="238" customFormat="1" ht="12.75" x14ac:dyDescent="0.2">
      <c r="B159" s="246" t="s">
        <v>923</v>
      </c>
      <c r="C159" s="246"/>
      <c r="D159" s="246"/>
      <c r="E159" s="246"/>
      <c r="F159" s="246"/>
    </row>
    <row r="160" spans="1:8" x14ac:dyDescent="0.2">
      <c r="A160" s="25" t="s">
        <v>9</v>
      </c>
      <c r="B160" s="185" t="s">
        <v>9</v>
      </c>
      <c r="C160" s="185" t="s">
        <v>9</v>
      </c>
      <c r="D160" s="22" t="s">
        <v>9</v>
      </c>
      <c r="E160" s="25" t="s">
        <v>9</v>
      </c>
      <c r="F160" s="25" t="s">
        <v>9</v>
      </c>
      <c r="G160" s="25" t="s">
        <v>9</v>
      </c>
      <c r="H160" s="142"/>
    </row>
    <row r="161" spans="1:8" x14ac:dyDescent="0.2">
      <c r="A161" s="25" t="s">
        <v>9</v>
      </c>
      <c r="B161" s="240" t="s">
        <v>139</v>
      </c>
      <c r="C161" s="241"/>
      <c r="D161" s="177" t="s">
        <v>129</v>
      </c>
      <c r="E161" s="25" t="s">
        <v>9</v>
      </c>
      <c r="F161" s="25" t="s">
        <v>9</v>
      </c>
      <c r="G161" s="25" t="s">
        <v>9</v>
      </c>
      <c r="H161" s="142"/>
    </row>
    <row r="162" spans="1:8" x14ac:dyDescent="0.2">
      <c r="A162" s="25" t="s">
        <v>9</v>
      </c>
      <c r="B162" s="240" t="s">
        <v>140</v>
      </c>
      <c r="C162" s="241"/>
      <c r="D162" s="177" t="s">
        <v>129</v>
      </c>
      <c r="E162" s="25" t="s">
        <v>9</v>
      </c>
      <c r="F162" s="25" t="s">
        <v>9</v>
      </c>
      <c r="G162" s="25" t="s">
        <v>9</v>
      </c>
      <c r="H162" s="142"/>
    </row>
    <row r="163" spans="1:8" x14ac:dyDescent="0.2">
      <c r="A163" s="25" t="s">
        <v>9</v>
      </c>
      <c r="B163" s="240" t="s">
        <v>141</v>
      </c>
      <c r="C163" s="241"/>
      <c r="D163" s="186">
        <v>0.49601844018684133</v>
      </c>
      <c r="E163" s="25" t="s">
        <v>9</v>
      </c>
      <c r="F163" s="73" t="s">
        <v>9</v>
      </c>
      <c r="G163" s="25" t="s">
        <v>9</v>
      </c>
      <c r="H163" s="142"/>
    </row>
    <row r="164" spans="1:8" x14ac:dyDescent="0.2">
      <c r="A164" s="25" t="s">
        <v>9</v>
      </c>
      <c r="B164" s="240" t="s">
        <v>142</v>
      </c>
      <c r="C164" s="241"/>
      <c r="D164" s="177" t="s">
        <v>129</v>
      </c>
      <c r="E164" s="25" t="s">
        <v>9</v>
      </c>
      <c r="F164" s="25" t="s">
        <v>9</v>
      </c>
      <c r="G164" s="25" t="s">
        <v>9</v>
      </c>
      <c r="H164" s="142"/>
    </row>
  </sheetData>
  <mergeCells count="15">
    <mergeCell ref="B146:C146"/>
    <mergeCell ref="B143:F143"/>
    <mergeCell ref="B144:F144"/>
    <mergeCell ref="A1:H1"/>
    <mergeCell ref="A2:H2"/>
    <mergeCell ref="A3:H3"/>
    <mergeCell ref="B163:C163"/>
    <mergeCell ref="B164:C164"/>
    <mergeCell ref="B147:C147"/>
    <mergeCell ref="B148:C148"/>
    <mergeCell ref="B149:C149"/>
    <mergeCell ref="B157:C157"/>
    <mergeCell ref="B161:C161"/>
    <mergeCell ref="B162:C162"/>
    <mergeCell ref="B159:F159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outlinePr summaryBelow="0" summaryRight="0"/>
  </sheetPr>
  <dimension ref="A1:H165"/>
  <sheetViews>
    <sheetView showGridLines="0" workbookViewId="0">
      <selection activeCell="J1" sqref="J1"/>
    </sheetView>
  </sheetViews>
  <sheetFormatPr defaultRowHeight="15" x14ac:dyDescent="0.2"/>
  <cols>
    <col min="1" max="1" width="6.85546875" style="155" customWidth="1"/>
    <col min="2" max="2" width="20.5703125" style="155" customWidth="1"/>
    <col min="3" max="3" width="34.28515625" style="155" customWidth="1"/>
    <col min="4" max="4" width="17.85546875" style="155" customWidth="1"/>
    <col min="5" max="6" width="19.140625" style="155" customWidth="1"/>
    <col min="7" max="7" width="16.42578125" style="155" customWidth="1"/>
    <col min="8" max="16384" width="9.140625" style="155"/>
  </cols>
  <sheetData>
    <row r="1" spans="1:8" x14ac:dyDescent="0.2">
      <c r="A1" s="250" t="s">
        <v>0</v>
      </c>
      <c r="B1" s="250"/>
      <c r="C1" s="250"/>
      <c r="D1" s="250"/>
      <c r="E1" s="250"/>
      <c r="F1" s="250"/>
      <c r="G1" s="250"/>
      <c r="H1" s="250"/>
    </row>
    <row r="2" spans="1:8" x14ac:dyDescent="0.2">
      <c r="A2" s="251" t="s">
        <v>281</v>
      </c>
      <c r="B2" s="252"/>
      <c r="C2" s="252"/>
      <c r="D2" s="252"/>
      <c r="E2" s="252"/>
      <c r="F2" s="252"/>
      <c r="G2" s="252"/>
      <c r="H2" s="253"/>
    </row>
    <row r="3" spans="1:8" x14ac:dyDescent="0.2">
      <c r="A3" s="250" t="s">
        <v>1015</v>
      </c>
      <c r="B3" s="250"/>
      <c r="C3" s="250"/>
      <c r="D3" s="250"/>
      <c r="E3" s="250"/>
      <c r="F3" s="250"/>
      <c r="G3" s="250"/>
      <c r="H3" s="250"/>
    </row>
    <row r="4" spans="1:8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60" t="s">
        <v>6</v>
      </c>
      <c r="F4" s="160" t="s">
        <v>7</v>
      </c>
      <c r="G4" s="160" t="s">
        <v>8</v>
      </c>
      <c r="H4" s="161" t="s">
        <v>909</v>
      </c>
    </row>
    <row r="5" spans="1:8" x14ac:dyDescent="0.2">
      <c r="A5" s="15" t="s">
        <v>9</v>
      </c>
      <c r="B5" s="15" t="s">
        <v>9</v>
      </c>
      <c r="C5" s="3" t="s">
        <v>10</v>
      </c>
      <c r="D5" s="15" t="s">
        <v>9</v>
      </c>
      <c r="E5" s="15" t="s">
        <v>9</v>
      </c>
      <c r="F5" s="15" t="s">
        <v>9</v>
      </c>
      <c r="G5" s="15" t="s">
        <v>9</v>
      </c>
      <c r="H5" s="100"/>
    </row>
    <row r="6" spans="1:8" ht="25.5" x14ac:dyDescent="0.2">
      <c r="A6" s="15" t="s">
        <v>9</v>
      </c>
      <c r="B6" s="15" t="s">
        <v>9</v>
      </c>
      <c r="C6" s="3" t="s">
        <v>11</v>
      </c>
      <c r="D6" s="15" t="s">
        <v>9</v>
      </c>
      <c r="E6" s="15" t="s">
        <v>9</v>
      </c>
      <c r="F6" s="15" t="s">
        <v>9</v>
      </c>
      <c r="G6" s="15" t="s">
        <v>9</v>
      </c>
      <c r="H6" s="100"/>
    </row>
    <row r="7" spans="1:8" x14ac:dyDescent="0.2">
      <c r="A7" s="4">
        <v>1</v>
      </c>
      <c r="B7" s="5" t="s">
        <v>147</v>
      </c>
      <c r="C7" s="5" t="s">
        <v>148</v>
      </c>
      <c r="D7" s="5" t="s">
        <v>146</v>
      </c>
      <c r="E7" s="6">
        <v>30824</v>
      </c>
      <c r="F7" s="7">
        <v>383.29644000000002</v>
      </c>
      <c r="G7" s="8">
        <v>4.6470382999999997E-2</v>
      </c>
      <c r="H7" s="100"/>
    </row>
    <row r="8" spans="1:8" x14ac:dyDescent="0.2">
      <c r="A8" s="4">
        <v>2</v>
      </c>
      <c r="B8" s="5" t="s">
        <v>144</v>
      </c>
      <c r="C8" s="5" t="s">
        <v>145</v>
      </c>
      <c r="D8" s="5" t="s">
        <v>146</v>
      </c>
      <c r="E8" s="6">
        <v>9474</v>
      </c>
      <c r="F8" s="7">
        <v>324.787668</v>
      </c>
      <c r="G8" s="8">
        <v>3.9376851999999997E-2</v>
      </c>
      <c r="H8" s="100"/>
    </row>
    <row r="9" spans="1:8" x14ac:dyDescent="0.2">
      <c r="A9" s="4">
        <v>3</v>
      </c>
      <c r="B9" s="5" t="s">
        <v>26</v>
      </c>
      <c r="C9" s="5" t="s">
        <v>27</v>
      </c>
      <c r="D9" s="5" t="s">
        <v>28</v>
      </c>
      <c r="E9" s="6">
        <v>28959</v>
      </c>
      <c r="F9" s="7">
        <v>265.23548099999999</v>
      </c>
      <c r="G9" s="8">
        <v>3.2156819000000003E-2</v>
      </c>
      <c r="H9" s="100"/>
    </row>
    <row r="10" spans="1:8" x14ac:dyDescent="0.2">
      <c r="A10" s="4">
        <v>4</v>
      </c>
      <c r="B10" s="5" t="s">
        <v>164</v>
      </c>
      <c r="C10" s="5" t="s">
        <v>947</v>
      </c>
      <c r="D10" s="5" t="s">
        <v>151</v>
      </c>
      <c r="E10" s="6">
        <v>33120</v>
      </c>
      <c r="F10" s="7">
        <v>239.93783999999999</v>
      </c>
      <c r="G10" s="8">
        <v>2.9089765E-2</v>
      </c>
      <c r="H10" s="100"/>
    </row>
    <row r="11" spans="1:8" ht="25.5" x14ac:dyDescent="0.2">
      <c r="A11" s="4">
        <v>5</v>
      </c>
      <c r="B11" s="5" t="s">
        <v>34</v>
      </c>
      <c r="C11" s="5" t="s">
        <v>35</v>
      </c>
      <c r="D11" s="5" t="s">
        <v>1001</v>
      </c>
      <c r="E11" s="6">
        <v>7122</v>
      </c>
      <c r="F11" s="7">
        <v>199.87180799999999</v>
      </c>
      <c r="G11" s="8">
        <v>2.4232209000000001E-2</v>
      </c>
      <c r="H11" s="100"/>
    </row>
    <row r="12" spans="1:8" x14ac:dyDescent="0.2">
      <c r="A12" s="4">
        <v>6</v>
      </c>
      <c r="B12" s="5" t="s">
        <v>179</v>
      </c>
      <c r="C12" s="5" t="s">
        <v>933</v>
      </c>
      <c r="D12" s="5" t="s">
        <v>47</v>
      </c>
      <c r="E12" s="6">
        <v>92686</v>
      </c>
      <c r="F12" s="7">
        <v>198.718784</v>
      </c>
      <c r="G12" s="8">
        <v>2.4092418000000001E-2</v>
      </c>
      <c r="H12" s="100"/>
    </row>
    <row r="13" spans="1:8" x14ac:dyDescent="0.2">
      <c r="A13" s="4">
        <v>7</v>
      </c>
      <c r="B13" s="5" t="s">
        <v>149</v>
      </c>
      <c r="C13" s="5" t="s">
        <v>150</v>
      </c>
      <c r="D13" s="5" t="s">
        <v>151</v>
      </c>
      <c r="E13" s="6">
        <v>3348</v>
      </c>
      <c r="F13" s="7">
        <v>184.908366</v>
      </c>
      <c r="G13" s="8">
        <v>2.241806E-2</v>
      </c>
      <c r="H13" s="100"/>
    </row>
    <row r="14" spans="1:8" x14ac:dyDescent="0.2">
      <c r="A14" s="4">
        <v>8</v>
      </c>
      <c r="B14" s="5" t="s">
        <v>154</v>
      </c>
      <c r="C14" s="5" t="s">
        <v>155</v>
      </c>
      <c r="D14" s="5" t="s">
        <v>156</v>
      </c>
      <c r="E14" s="6">
        <v>217199</v>
      </c>
      <c r="F14" s="7">
        <v>175.93118999999999</v>
      </c>
      <c r="G14" s="8">
        <v>2.1329678000000001E-2</v>
      </c>
      <c r="H14" s="100"/>
    </row>
    <row r="15" spans="1:8" x14ac:dyDescent="0.2">
      <c r="A15" s="4">
        <v>9</v>
      </c>
      <c r="B15" s="5" t="s">
        <v>157</v>
      </c>
      <c r="C15" s="5" t="s">
        <v>158</v>
      </c>
      <c r="D15" s="5" t="s">
        <v>28</v>
      </c>
      <c r="E15" s="6">
        <v>32056</v>
      </c>
      <c r="F15" s="7">
        <v>166.979704</v>
      </c>
      <c r="G15" s="8">
        <v>2.0244411E-2</v>
      </c>
      <c r="H15" s="100"/>
    </row>
    <row r="16" spans="1:8" x14ac:dyDescent="0.2">
      <c r="A16" s="4">
        <v>10</v>
      </c>
      <c r="B16" s="5" t="s">
        <v>159</v>
      </c>
      <c r="C16" s="5" t="s">
        <v>160</v>
      </c>
      <c r="D16" s="5" t="s">
        <v>58</v>
      </c>
      <c r="E16" s="6">
        <v>45924</v>
      </c>
      <c r="F16" s="7">
        <v>160.73400000000001</v>
      </c>
      <c r="G16" s="8">
        <v>1.9487190000000001E-2</v>
      </c>
      <c r="H16" s="100"/>
    </row>
    <row r="17" spans="1:8" ht="25.5" x14ac:dyDescent="0.2">
      <c r="A17" s="4">
        <v>11</v>
      </c>
      <c r="B17" s="5" t="s">
        <v>152</v>
      </c>
      <c r="C17" s="5" t="s">
        <v>153</v>
      </c>
      <c r="D17" s="5" t="s">
        <v>1001</v>
      </c>
      <c r="E17" s="6">
        <v>98000</v>
      </c>
      <c r="F17" s="7">
        <v>159.93600000000001</v>
      </c>
      <c r="G17" s="8">
        <v>1.9390441000000001E-2</v>
      </c>
      <c r="H17" s="100"/>
    </row>
    <row r="18" spans="1:8" ht="25.5" x14ac:dyDescent="0.2">
      <c r="A18" s="4">
        <v>12</v>
      </c>
      <c r="B18" s="5" t="s">
        <v>166</v>
      </c>
      <c r="C18" s="5" t="s">
        <v>948</v>
      </c>
      <c r="D18" s="5" t="s">
        <v>1001</v>
      </c>
      <c r="E18" s="6">
        <v>66035</v>
      </c>
      <c r="F18" s="7">
        <v>156.568985</v>
      </c>
      <c r="G18" s="8">
        <v>1.8982229E-2</v>
      </c>
      <c r="H18" s="100"/>
    </row>
    <row r="19" spans="1:8" x14ac:dyDescent="0.2">
      <c r="A19" s="4">
        <v>13</v>
      </c>
      <c r="B19" s="5" t="s">
        <v>161</v>
      </c>
      <c r="C19" s="5" t="s">
        <v>162</v>
      </c>
      <c r="D19" s="5" t="s">
        <v>163</v>
      </c>
      <c r="E19" s="6">
        <v>12373</v>
      </c>
      <c r="F19" s="7">
        <v>152.769431</v>
      </c>
      <c r="G19" s="8">
        <v>1.8521576000000001E-2</v>
      </c>
      <c r="H19" s="100"/>
    </row>
    <row r="20" spans="1:8" x14ac:dyDescent="0.2">
      <c r="A20" s="4">
        <v>14</v>
      </c>
      <c r="B20" s="5" t="s">
        <v>168</v>
      </c>
      <c r="C20" s="5" t="s">
        <v>169</v>
      </c>
      <c r="D20" s="5" t="s">
        <v>151</v>
      </c>
      <c r="E20" s="6">
        <v>75954</v>
      </c>
      <c r="F20" s="7">
        <v>149.819265</v>
      </c>
      <c r="G20" s="8">
        <v>1.8163901E-2</v>
      </c>
      <c r="H20" s="100"/>
    </row>
    <row r="21" spans="1:8" x14ac:dyDescent="0.2">
      <c r="A21" s="4">
        <v>15</v>
      </c>
      <c r="B21" s="5" t="s">
        <v>170</v>
      </c>
      <c r="C21" s="5" t="s">
        <v>171</v>
      </c>
      <c r="D21" s="5" t="s">
        <v>172</v>
      </c>
      <c r="E21" s="6">
        <v>14572</v>
      </c>
      <c r="F21" s="7">
        <v>149.37757199999999</v>
      </c>
      <c r="G21" s="8">
        <v>1.8110351E-2</v>
      </c>
      <c r="H21" s="100"/>
    </row>
    <row r="22" spans="1:8" x14ac:dyDescent="0.2">
      <c r="A22" s="4">
        <v>16</v>
      </c>
      <c r="B22" s="5" t="s">
        <v>278</v>
      </c>
      <c r="C22" s="5" t="s">
        <v>279</v>
      </c>
      <c r="D22" s="5" t="s">
        <v>28</v>
      </c>
      <c r="E22" s="6">
        <v>14094</v>
      </c>
      <c r="F22" s="7">
        <v>149.156802</v>
      </c>
      <c r="G22" s="8">
        <v>1.8083584999999999E-2</v>
      </c>
      <c r="H22" s="100"/>
    </row>
    <row r="23" spans="1:8" x14ac:dyDescent="0.2">
      <c r="A23" s="4">
        <v>17</v>
      </c>
      <c r="B23" s="5" t="s">
        <v>175</v>
      </c>
      <c r="C23" s="5" t="s">
        <v>176</v>
      </c>
      <c r="D23" s="5" t="s">
        <v>53</v>
      </c>
      <c r="E23" s="6">
        <v>40089</v>
      </c>
      <c r="F23" s="7">
        <v>147.78809849999999</v>
      </c>
      <c r="G23" s="8">
        <v>1.7917644999999999E-2</v>
      </c>
      <c r="H23" s="100"/>
    </row>
    <row r="24" spans="1:8" x14ac:dyDescent="0.2">
      <c r="A24" s="4">
        <v>18</v>
      </c>
      <c r="B24" s="5" t="s">
        <v>173</v>
      </c>
      <c r="C24" s="5" t="s">
        <v>949</v>
      </c>
      <c r="D24" s="5" t="s">
        <v>28</v>
      </c>
      <c r="E24" s="6">
        <v>32892</v>
      </c>
      <c r="F24" s="7">
        <v>146.89567199999999</v>
      </c>
      <c r="G24" s="8">
        <v>1.7809447999999999E-2</v>
      </c>
      <c r="H24" s="100"/>
    </row>
    <row r="25" spans="1:8" x14ac:dyDescent="0.2">
      <c r="A25" s="4">
        <v>19</v>
      </c>
      <c r="B25" s="5" t="s">
        <v>48</v>
      </c>
      <c r="C25" s="5" t="s">
        <v>49</v>
      </c>
      <c r="D25" s="5" t="s">
        <v>28</v>
      </c>
      <c r="E25" s="6">
        <v>10287</v>
      </c>
      <c r="F25" s="7">
        <v>144.44491049999999</v>
      </c>
      <c r="G25" s="8">
        <v>1.7512321000000001E-2</v>
      </c>
      <c r="H25" s="100"/>
    </row>
    <row r="26" spans="1:8" ht="25.5" x14ac:dyDescent="0.2">
      <c r="A26" s="4">
        <v>20</v>
      </c>
      <c r="B26" s="5" t="s">
        <v>67</v>
      </c>
      <c r="C26" s="5" t="s">
        <v>929</v>
      </c>
      <c r="D26" s="5" t="s">
        <v>25</v>
      </c>
      <c r="E26" s="6">
        <v>25630</v>
      </c>
      <c r="F26" s="7">
        <v>138.12007</v>
      </c>
      <c r="G26" s="8">
        <v>1.6745505000000001E-2</v>
      </c>
      <c r="H26" s="100"/>
    </row>
    <row r="27" spans="1:8" ht="25.5" x14ac:dyDescent="0.2">
      <c r="A27" s="4">
        <v>21</v>
      </c>
      <c r="B27" s="5" t="s">
        <v>180</v>
      </c>
      <c r="C27" s="5" t="s">
        <v>934</v>
      </c>
      <c r="D27" s="5" t="s">
        <v>146</v>
      </c>
      <c r="E27" s="6">
        <v>36238</v>
      </c>
      <c r="F27" s="7">
        <v>131.12720300000001</v>
      </c>
      <c r="G27" s="8">
        <v>1.5897699000000001E-2</v>
      </c>
      <c r="H27" s="100"/>
    </row>
    <row r="28" spans="1:8" x14ac:dyDescent="0.2">
      <c r="A28" s="4">
        <v>22</v>
      </c>
      <c r="B28" s="5" t="s">
        <v>184</v>
      </c>
      <c r="C28" s="5" t="s">
        <v>185</v>
      </c>
      <c r="D28" s="5" t="s">
        <v>172</v>
      </c>
      <c r="E28" s="6">
        <v>72801</v>
      </c>
      <c r="F28" s="7">
        <v>129.29457600000001</v>
      </c>
      <c r="G28" s="8">
        <v>1.5675512999999999E-2</v>
      </c>
      <c r="H28" s="100"/>
    </row>
    <row r="29" spans="1:8" ht="25.5" x14ac:dyDescent="0.2">
      <c r="A29" s="4">
        <v>23</v>
      </c>
      <c r="B29" s="5" t="s">
        <v>23</v>
      </c>
      <c r="C29" s="5" t="s">
        <v>24</v>
      </c>
      <c r="D29" s="5" t="s">
        <v>25</v>
      </c>
      <c r="E29" s="6">
        <v>51101</v>
      </c>
      <c r="F29" s="7">
        <v>119.9084965</v>
      </c>
      <c r="G29" s="8">
        <v>1.4537557E-2</v>
      </c>
      <c r="H29" s="100"/>
    </row>
    <row r="30" spans="1:8" x14ac:dyDescent="0.2">
      <c r="A30" s="4">
        <v>24</v>
      </c>
      <c r="B30" s="5" t="s">
        <v>189</v>
      </c>
      <c r="C30" s="5" t="s">
        <v>190</v>
      </c>
      <c r="D30" s="5" t="s">
        <v>151</v>
      </c>
      <c r="E30" s="6">
        <v>5738</v>
      </c>
      <c r="F30" s="7">
        <v>116.95765400000001</v>
      </c>
      <c r="G30" s="8">
        <v>1.4179799999999999E-2</v>
      </c>
      <c r="H30" s="100"/>
    </row>
    <row r="31" spans="1:8" x14ac:dyDescent="0.2">
      <c r="A31" s="4">
        <v>25</v>
      </c>
      <c r="B31" s="5" t="s">
        <v>191</v>
      </c>
      <c r="C31" s="5" t="s">
        <v>192</v>
      </c>
      <c r="D31" s="5" t="s">
        <v>193</v>
      </c>
      <c r="E31" s="6">
        <v>35139</v>
      </c>
      <c r="F31" s="7">
        <v>115.43161499999999</v>
      </c>
      <c r="G31" s="8">
        <v>1.3994784999999999E-2</v>
      </c>
      <c r="H31" s="100"/>
    </row>
    <row r="32" spans="1:8" ht="25.5" x14ac:dyDescent="0.2">
      <c r="A32" s="4">
        <v>26</v>
      </c>
      <c r="B32" s="5" t="s">
        <v>194</v>
      </c>
      <c r="C32" s="5" t="s">
        <v>195</v>
      </c>
      <c r="D32" s="5" t="s">
        <v>73</v>
      </c>
      <c r="E32" s="6">
        <v>31242</v>
      </c>
      <c r="F32" s="7">
        <v>114.736245</v>
      </c>
      <c r="G32" s="8">
        <v>1.3910479E-2</v>
      </c>
      <c r="H32" s="100"/>
    </row>
    <row r="33" spans="1:8" x14ac:dyDescent="0.2">
      <c r="A33" s="4">
        <v>27</v>
      </c>
      <c r="B33" s="5" t="s">
        <v>196</v>
      </c>
      <c r="C33" s="5" t="s">
        <v>197</v>
      </c>
      <c r="D33" s="5" t="s">
        <v>151</v>
      </c>
      <c r="E33" s="6">
        <v>15313</v>
      </c>
      <c r="F33" s="7">
        <v>112.86446650000001</v>
      </c>
      <c r="G33" s="8">
        <v>1.3683547000000001E-2</v>
      </c>
      <c r="H33" s="100"/>
    </row>
    <row r="34" spans="1:8" x14ac:dyDescent="0.2">
      <c r="A34" s="4">
        <v>28</v>
      </c>
      <c r="B34" s="5" t="s">
        <v>177</v>
      </c>
      <c r="C34" s="5" t="s">
        <v>178</v>
      </c>
      <c r="D34" s="5" t="s">
        <v>47</v>
      </c>
      <c r="E34" s="6">
        <v>10541</v>
      </c>
      <c r="F34" s="7">
        <v>111.28133699999999</v>
      </c>
      <c r="G34" s="8">
        <v>1.3491611000000001E-2</v>
      </c>
      <c r="H34" s="100"/>
    </row>
    <row r="35" spans="1:8" ht="25.5" x14ac:dyDescent="0.2">
      <c r="A35" s="4">
        <v>29</v>
      </c>
      <c r="B35" s="5" t="s">
        <v>182</v>
      </c>
      <c r="C35" s="5" t="s">
        <v>944</v>
      </c>
      <c r="D35" s="5" t="s">
        <v>58</v>
      </c>
      <c r="E35" s="6">
        <v>4600</v>
      </c>
      <c r="F35" s="7">
        <v>107.42610000000001</v>
      </c>
      <c r="G35" s="8">
        <v>1.3024206999999999E-2</v>
      </c>
      <c r="H35" s="100"/>
    </row>
    <row r="36" spans="1:8" x14ac:dyDescent="0.2">
      <c r="A36" s="4">
        <v>30</v>
      </c>
      <c r="B36" s="5" t="s">
        <v>202</v>
      </c>
      <c r="C36" s="5" t="s">
        <v>203</v>
      </c>
      <c r="D36" s="5" t="s">
        <v>38</v>
      </c>
      <c r="E36" s="6">
        <v>128038</v>
      </c>
      <c r="F36" s="7">
        <v>105.695369</v>
      </c>
      <c r="G36" s="8">
        <v>1.2814374999999999E-2</v>
      </c>
      <c r="H36" s="100"/>
    </row>
    <row r="37" spans="1:8" x14ac:dyDescent="0.2">
      <c r="A37" s="4">
        <v>31</v>
      </c>
      <c r="B37" s="5" t="s">
        <v>198</v>
      </c>
      <c r="C37" s="5" t="s">
        <v>199</v>
      </c>
      <c r="D37" s="5" t="s">
        <v>156</v>
      </c>
      <c r="E37" s="6">
        <v>195431</v>
      </c>
      <c r="F37" s="7">
        <v>103.57843</v>
      </c>
      <c r="G37" s="8">
        <v>1.255772E-2</v>
      </c>
      <c r="H37" s="100"/>
    </row>
    <row r="38" spans="1:8" x14ac:dyDescent="0.2">
      <c r="A38" s="4">
        <v>32</v>
      </c>
      <c r="B38" s="5" t="s">
        <v>220</v>
      </c>
      <c r="C38" s="5" t="s">
        <v>221</v>
      </c>
      <c r="D38" s="5" t="s">
        <v>1002</v>
      </c>
      <c r="E38" s="6">
        <v>11058</v>
      </c>
      <c r="F38" s="7">
        <v>103.231959</v>
      </c>
      <c r="G38" s="8">
        <v>1.2515714000000001E-2</v>
      </c>
      <c r="H38" s="100"/>
    </row>
    <row r="39" spans="1:8" x14ac:dyDescent="0.2">
      <c r="A39" s="4">
        <v>33</v>
      </c>
      <c r="B39" s="5" t="s">
        <v>200</v>
      </c>
      <c r="C39" s="5" t="s">
        <v>201</v>
      </c>
      <c r="D39" s="5" t="s">
        <v>1003</v>
      </c>
      <c r="E39" s="6">
        <v>16000</v>
      </c>
      <c r="F39" s="7">
        <v>100.52800000000001</v>
      </c>
      <c r="G39" s="8">
        <v>1.218789E-2</v>
      </c>
      <c r="H39" s="100"/>
    </row>
    <row r="40" spans="1:8" x14ac:dyDescent="0.2">
      <c r="A40" s="4">
        <v>34</v>
      </c>
      <c r="B40" s="5" t="s">
        <v>212</v>
      </c>
      <c r="C40" s="5" t="s">
        <v>213</v>
      </c>
      <c r="D40" s="5" t="s">
        <v>38</v>
      </c>
      <c r="E40" s="6">
        <v>13938</v>
      </c>
      <c r="F40" s="7">
        <v>99.921521999999996</v>
      </c>
      <c r="G40" s="8">
        <v>1.2114361000000001E-2</v>
      </c>
      <c r="H40" s="100"/>
    </row>
    <row r="41" spans="1:8" x14ac:dyDescent="0.2">
      <c r="A41" s="4">
        <v>35</v>
      </c>
      <c r="B41" s="5" t="s">
        <v>208</v>
      </c>
      <c r="C41" s="5" t="s">
        <v>209</v>
      </c>
      <c r="D41" s="5" t="s">
        <v>163</v>
      </c>
      <c r="E41" s="6">
        <v>27074</v>
      </c>
      <c r="F41" s="7">
        <v>99.361580000000004</v>
      </c>
      <c r="G41" s="8">
        <v>1.2046474E-2</v>
      </c>
      <c r="H41" s="100"/>
    </row>
    <row r="42" spans="1:8" x14ac:dyDescent="0.2">
      <c r="A42" s="4">
        <v>36</v>
      </c>
      <c r="B42" s="5" t="s">
        <v>36</v>
      </c>
      <c r="C42" s="5" t="s">
        <v>37</v>
      </c>
      <c r="D42" s="5" t="s">
        <v>38</v>
      </c>
      <c r="E42" s="6">
        <v>39179</v>
      </c>
      <c r="F42" s="7">
        <v>98.104215999999994</v>
      </c>
      <c r="G42" s="8">
        <v>1.1894033E-2</v>
      </c>
      <c r="H42" s="100"/>
    </row>
    <row r="43" spans="1:8" x14ac:dyDescent="0.2">
      <c r="A43" s="4">
        <v>37</v>
      </c>
      <c r="B43" s="5" t="s">
        <v>50</v>
      </c>
      <c r="C43" s="5" t="s">
        <v>51</v>
      </c>
      <c r="D43" s="5" t="s">
        <v>28</v>
      </c>
      <c r="E43" s="6">
        <v>11001</v>
      </c>
      <c r="F43" s="7">
        <v>97.298344499999999</v>
      </c>
      <c r="G43" s="8">
        <v>1.1796330000000001E-2</v>
      </c>
      <c r="H43" s="100"/>
    </row>
    <row r="44" spans="1:8" x14ac:dyDescent="0.2">
      <c r="A44" s="4">
        <v>38</v>
      </c>
      <c r="B44" s="5" t="s">
        <v>210</v>
      </c>
      <c r="C44" s="5" t="s">
        <v>211</v>
      </c>
      <c r="D44" s="5" t="s">
        <v>193</v>
      </c>
      <c r="E44" s="6">
        <v>21308</v>
      </c>
      <c r="F44" s="7">
        <v>96.471969999999999</v>
      </c>
      <c r="G44" s="8">
        <v>1.1696141E-2</v>
      </c>
      <c r="H44" s="100"/>
    </row>
    <row r="45" spans="1:8" x14ac:dyDescent="0.2">
      <c r="A45" s="4">
        <v>39</v>
      </c>
      <c r="B45" s="5" t="s">
        <v>226</v>
      </c>
      <c r="C45" s="5" t="s">
        <v>227</v>
      </c>
      <c r="D45" s="5" t="s">
        <v>228</v>
      </c>
      <c r="E45" s="6">
        <v>61316</v>
      </c>
      <c r="F45" s="7">
        <v>95.990198000000007</v>
      </c>
      <c r="G45" s="8">
        <v>1.1637732E-2</v>
      </c>
      <c r="H45" s="100"/>
    </row>
    <row r="46" spans="1:8" ht="25.5" x14ac:dyDescent="0.2">
      <c r="A46" s="4">
        <v>40</v>
      </c>
      <c r="B46" s="5" t="s">
        <v>214</v>
      </c>
      <c r="C46" s="5" t="s">
        <v>215</v>
      </c>
      <c r="D46" s="5" t="s">
        <v>25</v>
      </c>
      <c r="E46" s="6">
        <v>137334</v>
      </c>
      <c r="F46" s="7">
        <v>95.584463999999997</v>
      </c>
      <c r="G46" s="8">
        <v>1.1588541000000001E-2</v>
      </c>
      <c r="H46" s="100"/>
    </row>
    <row r="47" spans="1:8" x14ac:dyDescent="0.2">
      <c r="A47" s="4">
        <v>41</v>
      </c>
      <c r="B47" s="5" t="s">
        <v>56</v>
      </c>
      <c r="C47" s="5" t="s">
        <v>57</v>
      </c>
      <c r="D47" s="5" t="s">
        <v>58</v>
      </c>
      <c r="E47" s="6">
        <v>3000</v>
      </c>
      <c r="F47" s="7">
        <v>92.978999999999999</v>
      </c>
      <c r="G47" s="8">
        <v>1.1272658E-2</v>
      </c>
      <c r="H47" s="100"/>
    </row>
    <row r="48" spans="1:8" x14ac:dyDescent="0.2">
      <c r="A48" s="4">
        <v>42</v>
      </c>
      <c r="B48" s="5" t="s">
        <v>282</v>
      </c>
      <c r="C48" s="5" t="s">
        <v>283</v>
      </c>
      <c r="D48" s="5" t="s">
        <v>28</v>
      </c>
      <c r="E48" s="6">
        <v>23981</v>
      </c>
      <c r="F48" s="7">
        <v>91.523486500000004</v>
      </c>
      <c r="G48" s="8">
        <v>1.1096194E-2</v>
      </c>
      <c r="H48" s="100"/>
    </row>
    <row r="49" spans="1:8" x14ac:dyDescent="0.2">
      <c r="A49" s="4">
        <v>43</v>
      </c>
      <c r="B49" s="5" t="s">
        <v>64</v>
      </c>
      <c r="C49" s="5" t="s">
        <v>65</v>
      </c>
      <c r="D49" s="5" t="s">
        <v>1002</v>
      </c>
      <c r="E49" s="6">
        <v>79000</v>
      </c>
      <c r="F49" s="7">
        <v>91.284499999999994</v>
      </c>
      <c r="G49" s="8">
        <v>1.1067219E-2</v>
      </c>
      <c r="H49" s="100"/>
    </row>
    <row r="50" spans="1:8" x14ac:dyDescent="0.2">
      <c r="A50" s="4">
        <v>44</v>
      </c>
      <c r="B50" s="5" t="s">
        <v>218</v>
      </c>
      <c r="C50" s="5" t="s">
        <v>219</v>
      </c>
      <c r="D50" s="5" t="s">
        <v>156</v>
      </c>
      <c r="E50" s="6">
        <v>15522</v>
      </c>
      <c r="F50" s="7">
        <v>90.252668999999997</v>
      </c>
      <c r="G50" s="8">
        <v>1.0942121000000001E-2</v>
      </c>
      <c r="H50" s="100"/>
    </row>
    <row r="51" spans="1:8" x14ac:dyDescent="0.2">
      <c r="A51" s="4">
        <v>45</v>
      </c>
      <c r="B51" s="5" t="s">
        <v>204</v>
      </c>
      <c r="C51" s="5" t="s">
        <v>205</v>
      </c>
      <c r="D51" s="5" t="s">
        <v>1004</v>
      </c>
      <c r="E51" s="6">
        <v>32733</v>
      </c>
      <c r="F51" s="7">
        <v>89.001026999999993</v>
      </c>
      <c r="G51" s="8">
        <v>1.0790374E-2</v>
      </c>
      <c r="H51" s="100"/>
    </row>
    <row r="52" spans="1:8" x14ac:dyDescent="0.2">
      <c r="A52" s="4">
        <v>46</v>
      </c>
      <c r="B52" s="5" t="s">
        <v>222</v>
      </c>
      <c r="C52" s="5" t="s">
        <v>950</v>
      </c>
      <c r="D52" s="5" t="s">
        <v>28</v>
      </c>
      <c r="E52" s="6">
        <v>81409</v>
      </c>
      <c r="F52" s="7">
        <v>87.636788499999994</v>
      </c>
      <c r="G52" s="8">
        <v>1.0624975E-2</v>
      </c>
      <c r="H52" s="100"/>
    </row>
    <row r="53" spans="1:8" x14ac:dyDescent="0.2">
      <c r="A53" s="4">
        <v>47</v>
      </c>
      <c r="B53" s="5" t="s">
        <v>229</v>
      </c>
      <c r="C53" s="5" t="s">
        <v>230</v>
      </c>
      <c r="D53" s="5" t="s">
        <v>193</v>
      </c>
      <c r="E53" s="6">
        <v>5980</v>
      </c>
      <c r="F53" s="7">
        <v>83.441929999999999</v>
      </c>
      <c r="G53" s="8">
        <v>1.0116396E-2</v>
      </c>
      <c r="H53" s="100"/>
    </row>
    <row r="54" spans="1:8" x14ac:dyDescent="0.2">
      <c r="A54" s="4">
        <v>48</v>
      </c>
      <c r="B54" s="5" t="s">
        <v>231</v>
      </c>
      <c r="C54" s="5" t="s">
        <v>935</v>
      </c>
      <c r="D54" s="5" t="s">
        <v>156</v>
      </c>
      <c r="E54" s="6">
        <v>16591</v>
      </c>
      <c r="F54" s="7">
        <v>82.573407000000003</v>
      </c>
      <c r="G54" s="8">
        <v>1.0011097E-2</v>
      </c>
      <c r="H54" s="100"/>
    </row>
    <row r="55" spans="1:8" x14ac:dyDescent="0.2">
      <c r="A55" s="4">
        <v>49</v>
      </c>
      <c r="B55" s="5" t="s">
        <v>206</v>
      </c>
      <c r="C55" s="5" t="s">
        <v>207</v>
      </c>
      <c r="D55" s="5" t="s">
        <v>163</v>
      </c>
      <c r="E55" s="6">
        <v>20028</v>
      </c>
      <c r="F55" s="7">
        <v>76.537002000000001</v>
      </c>
      <c r="G55" s="8">
        <v>9.2792510000000005E-3</v>
      </c>
      <c r="H55" s="100"/>
    </row>
    <row r="56" spans="1:8" x14ac:dyDescent="0.2">
      <c r="A56" s="4">
        <v>50</v>
      </c>
      <c r="B56" s="5" t="s">
        <v>235</v>
      </c>
      <c r="C56" s="5" t="s">
        <v>236</v>
      </c>
      <c r="D56" s="5" t="s">
        <v>1005</v>
      </c>
      <c r="E56" s="6">
        <v>17394</v>
      </c>
      <c r="F56" s="7">
        <v>76.037870999999996</v>
      </c>
      <c r="G56" s="8">
        <v>9.2187369999999994E-3</v>
      </c>
      <c r="H56" s="100"/>
    </row>
    <row r="57" spans="1:8" x14ac:dyDescent="0.2">
      <c r="A57" s="4">
        <v>51</v>
      </c>
      <c r="B57" s="5" t="s">
        <v>237</v>
      </c>
      <c r="C57" s="5" t="s">
        <v>951</v>
      </c>
      <c r="D57" s="5" t="s">
        <v>1006</v>
      </c>
      <c r="E57" s="6">
        <v>20482</v>
      </c>
      <c r="F57" s="7">
        <v>75.844846000000004</v>
      </c>
      <c r="G57" s="8">
        <v>9.1953350000000007E-3</v>
      </c>
      <c r="H57" s="100"/>
    </row>
    <row r="58" spans="1:8" x14ac:dyDescent="0.2">
      <c r="A58" s="4">
        <v>52</v>
      </c>
      <c r="B58" s="5" t="s">
        <v>239</v>
      </c>
      <c r="C58" s="5" t="s">
        <v>240</v>
      </c>
      <c r="D58" s="5" t="s">
        <v>58</v>
      </c>
      <c r="E58" s="6">
        <v>16226</v>
      </c>
      <c r="F58" s="7">
        <v>74.177159000000003</v>
      </c>
      <c r="G58" s="8">
        <v>8.9931460000000005E-3</v>
      </c>
      <c r="H58" s="100"/>
    </row>
    <row r="59" spans="1:8" x14ac:dyDescent="0.2">
      <c r="A59" s="4">
        <v>53</v>
      </c>
      <c r="B59" s="5" t="s">
        <v>241</v>
      </c>
      <c r="C59" s="5" t="s">
        <v>242</v>
      </c>
      <c r="D59" s="5" t="s">
        <v>163</v>
      </c>
      <c r="E59" s="6">
        <v>12261</v>
      </c>
      <c r="F59" s="7">
        <v>73.026516000000001</v>
      </c>
      <c r="G59" s="8">
        <v>8.8536440000000008E-3</v>
      </c>
      <c r="H59" s="100"/>
    </row>
    <row r="60" spans="1:8" ht="25.5" x14ac:dyDescent="0.2">
      <c r="A60" s="4">
        <v>54</v>
      </c>
      <c r="B60" s="5" t="s">
        <v>233</v>
      </c>
      <c r="C60" s="5" t="s">
        <v>234</v>
      </c>
      <c r="D60" s="5" t="s">
        <v>1001</v>
      </c>
      <c r="E60" s="6">
        <v>24217</v>
      </c>
      <c r="F60" s="7">
        <v>68.413025000000005</v>
      </c>
      <c r="G60" s="8">
        <v>8.2943099999999992E-3</v>
      </c>
      <c r="H60" s="100"/>
    </row>
    <row r="61" spans="1:8" x14ac:dyDescent="0.2">
      <c r="A61" s="4">
        <v>55</v>
      </c>
      <c r="B61" s="5" t="s">
        <v>284</v>
      </c>
      <c r="C61" s="5" t="s">
        <v>285</v>
      </c>
      <c r="D61" s="5" t="s">
        <v>1005</v>
      </c>
      <c r="E61" s="6">
        <v>270455</v>
      </c>
      <c r="F61" s="7">
        <v>67.884204999999994</v>
      </c>
      <c r="G61" s="8">
        <v>8.2301960000000004E-3</v>
      </c>
      <c r="H61" s="100"/>
    </row>
    <row r="62" spans="1:8" x14ac:dyDescent="0.2">
      <c r="A62" s="4">
        <v>56</v>
      </c>
      <c r="B62" s="5" t="s">
        <v>245</v>
      </c>
      <c r="C62" s="5" t="s">
        <v>246</v>
      </c>
      <c r="D62" s="5" t="s">
        <v>22</v>
      </c>
      <c r="E62" s="6">
        <v>71994</v>
      </c>
      <c r="F62" s="7">
        <v>65.262561000000005</v>
      </c>
      <c r="G62" s="8">
        <v>7.9123519999999992E-3</v>
      </c>
      <c r="H62" s="100"/>
    </row>
    <row r="63" spans="1:8" x14ac:dyDescent="0.2">
      <c r="A63" s="4">
        <v>57</v>
      </c>
      <c r="B63" s="5" t="s">
        <v>216</v>
      </c>
      <c r="C63" s="5" t="s">
        <v>217</v>
      </c>
      <c r="D63" s="5" t="s">
        <v>1005</v>
      </c>
      <c r="E63" s="6">
        <v>29874</v>
      </c>
      <c r="F63" s="7">
        <v>62.944518000000002</v>
      </c>
      <c r="G63" s="8">
        <v>7.6313149999999996E-3</v>
      </c>
      <c r="H63" s="100"/>
    </row>
    <row r="64" spans="1:8" x14ac:dyDescent="0.2">
      <c r="A64" s="4">
        <v>58</v>
      </c>
      <c r="B64" s="5" t="s">
        <v>247</v>
      </c>
      <c r="C64" s="5" t="s">
        <v>248</v>
      </c>
      <c r="D64" s="5" t="s">
        <v>1005</v>
      </c>
      <c r="E64" s="6">
        <v>33415</v>
      </c>
      <c r="F64" s="7">
        <v>62.619709999999998</v>
      </c>
      <c r="G64" s="8">
        <v>7.5919359999999996E-3</v>
      </c>
      <c r="H64" s="100"/>
    </row>
    <row r="65" spans="1:8" x14ac:dyDescent="0.2">
      <c r="A65" s="4">
        <v>59</v>
      </c>
      <c r="B65" s="5" t="s">
        <v>252</v>
      </c>
      <c r="C65" s="5" t="s">
        <v>253</v>
      </c>
      <c r="D65" s="5" t="s">
        <v>53</v>
      </c>
      <c r="E65" s="6">
        <v>76703</v>
      </c>
      <c r="F65" s="7">
        <v>62.321187500000001</v>
      </c>
      <c r="G65" s="8">
        <v>7.5557430000000002E-3</v>
      </c>
      <c r="H65" s="100"/>
    </row>
    <row r="66" spans="1:8" x14ac:dyDescent="0.2">
      <c r="A66" s="4">
        <v>60</v>
      </c>
      <c r="B66" s="5" t="s">
        <v>249</v>
      </c>
      <c r="C66" s="5" t="s">
        <v>952</v>
      </c>
      <c r="D66" s="5" t="s">
        <v>251</v>
      </c>
      <c r="E66" s="6">
        <v>29211</v>
      </c>
      <c r="F66" s="7">
        <v>61.883503500000003</v>
      </c>
      <c r="G66" s="8">
        <v>7.5026789999999999E-3</v>
      </c>
      <c r="H66" s="100"/>
    </row>
    <row r="67" spans="1:8" x14ac:dyDescent="0.2">
      <c r="A67" s="4">
        <v>61</v>
      </c>
      <c r="B67" s="5" t="s">
        <v>254</v>
      </c>
      <c r="C67" s="5" t="s">
        <v>255</v>
      </c>
      <c r="D67" s="5" t="s">
        <v>58</v>
      </c>
      <c r="E67" s="6">
        <v>40563</v>
      </c>
      <c r="F67" s="7">
        <v>56.321725499999999</v>
      </c>
      <c r="G67" s="8">
        <v>6.8283759999999997E-3</v>
      </c>
      <c r="H67" s="100"/>
    </row>
    <row r="68" spans="1:8" x14ac:dyDescent="0.2">
      <c r="A68" s="4">
        <v>62</v>
      </c>
      <c r="B68" s="5" t="s">
        <v>258</v>
      </c>
      <c r="C68" s="5" t="s">
        <v>259</v>
      </c>
      <c r="D68" s="5" t="s">
        <v>1006</v>
      </c>
      <c r="E68" s="6">
        <v>3777</v>
      </c>
      <c r="F68" s="7">
        <v>55.757962499999998</v>
      </c>
      <c r="G68" s="8">
        <v>6.7600259999999997E-3</v>
      </c>
      <c r="H68" s="100"/>
    </row>
    <row r="69" spans="1:8" x14ac:dyDescent="0.2">
      <c r="A69" s="4">
        <v>63</v>
      </c>
      <c r="B69" s="5" t="s">
        <v>260</v>
      </c>
      <c r="C69" s="5" t="s">
        <v>261</v>
      </c>
      <c r="D69" s="5" t="s">
        <v>58</v>
      </c>
      <c r="E69" s="6">
        <v>34000</v>
      </c>
      <c r="F69" s="7">
        <v>52.954999999999998</v>
      </c>
      <c r="G69" s="8">
        <v>6.4201980000000002E-3</v>
      </c>
      <c r="H69" s="100"/>
    </row>
    <row r="70" spans="1:8" x14ac:dyDescent="0.2">
      <c r="A70" s="4">
        <v>64</v>
      </c>
      <c r="B70" s="5" t="s">
        <v>262</v>
      </c>
      <c r="C70" s="5" t="s">
        <v>263</v>
      </c>
      <c r="D70" s="5" t="s">
        <v>146</v>
      </c>
      <c r="E70" s="6">
        <v>3329</v>
      </c>
      <c r="F70" s="7">
        <v>51.511281500000003</v>
      </c>
      <c r="G70" s="8">
        <v>6.2451640000000001E-3</v>
      </c>
      <c r="H70" s="100"/>
    </row>
    <row r="71" spans="1:8" x14ac:dyDescent="0.2">
      <c r="A71" s="4">
        <v>65</v>
      </c>
      <c r="B71" s="5" t="s">
        <v>256</v>
      </c>
      <c r="C71" s="5" t="s">
        <v>257</v>
      </c>
      <c r="D71" s="5" t="s">
        <v>1005</v>
      </c>
      <c r="E71" s="6">
        <v>42305</v>
      </c>
      <c r="F71" s="7">
        <v>45.879772500000001</v>
      </c>
      <c r="G71" s="8">
        <v>5.5624059999999998E-3</v>
      </c>
      <c r="H71" s="100"/>
    </row>
    <row r="72" spans="1:8" x14ac:dyDescent="0.2">
      <c r="A72" s="4">
        <v>66</v>
      </c>
      <c r="B72" s="5" t="s">
        <v>59</v>
      </c>
      <c r="C72" s="5" t="s">
        <v>60</v>
      </c>
      <c r="D72" s="5" t="s">
        <v>38</v>
      </c>
      <c r="E72" s="6">
        <v>24117</v>
      </c>
      <c r="F72" s="7">
        <v>45.737890499999999</v>
      </c>
      <c r="G72" s="8">
        <v>5.5452050000000001E-3</v>
      </c>
      <c r="H72" s="100"/>
    </row>
    <row r="73" spans="1:8" x14ac:dyDescent="0.2">
      <c r="A73" s="4">
        <v>67</v>
      </c>
      <c r="B73" s="5" t="s">
        <v>264</v>
      </c>
      <c r="C73" s="5" t="s">
        <v>265</v>
      </c>
      <c r="D73" s="5" t="s">
        <v>193</v>
      </c>
      <c r="E73" s="6">
        <v>4266</v>
      </c>
      <c r="F73" s="7">
        <v>42.049962000000001</v>
      </c>
      <c r="G73" s="8">
        <v>5.0980849999999996E-3</v>
      </c>
      <c r="H73" s="100"/>
    </row>
    <row r="74" spans="1:8" x14ac:dyDescent="0.2">
      <c r="A74" s="4">
        <v>68</v>
      </c>
      <c r="B74" s="5" t="s">
        <v>268</v>
      </c>
      <c r="C74" s="5" t="s">
        <v>269</v>
      </c>
      <c r="D74" s="5" t="s">
        <v>1005</v>
      </c>
      <c r="E74" s="6">
        <v>81269</v>
      </c>
      <c r="F74" s="7">
        <v>28.769226</v>
      </c>
      <c r="G74" s="8">
        <v>3.4879450000000001E-3</v>
      </c>
      <c r="H74" s="100"/>
    </row>
    <row r="75" spans="1:8" x14ac:dyDescent="0.2">
      <c r="A75" s="4">
        <v>69</v>
      </c>
      <c r="B75" s="5" t="s">
        <v>270</v>
      </c>
      <c r="C75" s="5" t="s">
        <v>271</v>
      </c>
      <c r="D75" s="5" t="s">
        <v>272</v>
      </c>
      <c r="E75" s="6">
        <v>19600</v>
      </c>
      <c r="F75" s="7">
        <v>25.5486</v>
      </c>
      <c r="G75" s="8">
        <v>3.0974800000000001E-3</v>
      </c>
      <c r="H75" s="100"/>
    </row>
    <row r="76" spans="1:8" x14ac:dyDescent="0.2">
      <c r="A76" s="4">
        <v>70</v>
      </c>
      <c r="B76" s="5" t="s">
        <v>275</v>
      </c>
      <c r="C76" s="5" t="s">
        <v>276</v>
      </c>
      <c r="D76" s="5" t="s">
        <v>228</v>
      </c>
      <c r="E76" s="6">
        <v>15139</v>
      </c>
      <c r="F76" s="7">
        <v>4.1783640000000002</v>
      </c>
      <c r="G76" s="8">
        <v>5.0657999999999996E-4</v>
      </c>
      <c r="H76" s="100"/>
    </row>
    <row r="77" spans="1:8" x14ac:dyDescent="0.2">
      <c r="A77" s="15" t="s">
        <v>9</v>
      </c>
      <c r="B77" s="15" t="s">
        <v>9</v>
      </c>
      <c r="C77" s="3" t="s">
        <v>94</v>
      </c>
      <c r="D77" s="15" t="s">
        <v>9</v>
      </c>
      <c r="E77" s="15" t="s">
        <v>9</v>
      </c>
      <c r="F77" s="9">
        <v>7894.4265290000003</v>
      </c>
      <c r="G77" s="10">
        <v>0.95711043900000004</v>
      </c>
      <c r="H77" s="100"/>
    </row>
    <row r="78" spans="1:8" x14ac:dyDescent="0.2">
      <c r="A78" s="15" t="s">
        <v>9</v>
      </c>
      <c r="B78" s="15" t="s">
        <v>9</v>
      </c>
      <c r="C78" s="11" t="s">
        <v>9</v>
      </c>
      <c r="D78" s="15" t="s">
        <v>9</v>
      </c>
      <c r="E78" s="15" t="s">
        <v>9</v>
      </c>
      <c r="F78" s="12" t="s">
        <v>9</v>
      </c>
      <c r="G78" s="12" t="s">
        <v>9</v>
      </c>
      <c r="H78" s="100"/>
    </row>
    <row r="79" spans="1:8" x14ac:dyDescent="0.2">
      <c r="A79" s="15" t="s">
        <v>9</v>
      </c>
      <c r="B79" s="15" t="s">
        <v>9</v>
      </c>
      <c r="C79" s="3" t="s">
        <v>95</v>
      </c>
      <c r="D79" s="15" t="s">
        <v>9</v>
      </c>
      <c r="E79" s="15" t="s">
        <v>9</v>
      </c>
      <c r="F79" s="15" t="s">
        <v>9</v>
      </c>
      <c r="G79" s="15" t="s">
        <v>9</v>
      </c>
      <c r="H79" s="100"/>
    </row>
    <row r="80" spans="1:8" x14ac:dyDescent="0.2">
      <c r="A80" s="15" t="s">
        <v>9</v>
      </c>
      <c r="B80" s="15" t="s">
        <v>9</v>
      </c>
      <c r="C80" s="3" t="s">
        <v>94</v>
      </c>
      <c r="D80" s="15" t="s">
        <v>9</v>
      </c>
      <c r="E80" s="15" t="s">
        <v>9</v>
      </c>
      <c r="F80" s="13">
        <v>0</v>
      </c>
      <c r="G80" s="14">
        <v>0</v>
      </c>
      <c r="H80" s="100"/>
    </row>
    <row r="81" spans="1:8" x14ac:dyDescent="0.2">
      <c r="A81" s="15" t="s">
        <v>9</v>
      </c>
      <c r="B81" s="15" t="s">
        <v>9</v>
      </c>
      <c r="C81" s="11" t="s">
        <v>9</v>
      </c>
      <c r="D81" s="15" t="s">
        <v>9</v>
      </c>
      <c r="E81" s="15" t="s">
        <v>9</v>
      </c>
      <c r="F81" s="12" t="s">
        <v>9</v>
      </c>
      <c r="G81" s="12" t="s">
        <v>9</v>
      </c>
      <c r="H81" s="100"/>
    </row>
    <row r="82" spans="1:8" x14ac:dyDescent="0.2">
      <c r="A82" s="15" t="s">
        <v>9</v>
      </c>
      <c r="B82" s="15" t="s">
        <v>9</v>
      </c>
      <c r="C82" s="3" t="s">
        <v>96</v>
      </c>
      <c r="D82" s="15" t="s">
        <v>9</v>
      </c>
      <c r="E82" s="15" t="s">
        <v>9</v>
      </c>
      <c r="F82" s="15" t="s">
        <v>9</v>
      </c>
      <c r="G82" s="15" t="s">
        <v>9</v>
      </c>
      <c r="H82" s="100"/>
    </row>
    <row r="83" spans="1:8" x14ac:dyDescent="0.2">
      <c r="A83" s="15" t="s">
        <v>9</v>
      </c>
      <c r="B83" s="15" t="s">
        <v>9</v>
      </c>
      <c r="C83" s="3" t="s">
        <v>94</v>
      </c>
      <c r="D83" s="15" t="s">
        <v>9</v>
      </c>
      <c r="E83" s="15" t="s">
        <v>9</v>
      </c>
      <c r="F83" s="13">
        <v>0</v>
      </c>
      <c r="G83" s="14">
        <v>0</v>
      </c>
      <c r="H83" s="100"/>
    </row>
    <row r="84" spans="1:8" x14ac:dyDescent="0.2">
      <c r="A84" s="15" t="s">
        <v>9</v>
      </c>
      <c r="B84" s="15" t="s">
        <v>9</v>
      </c>
      <c r="C84" s="11" t="s">
        <v>9</v>
      </c>
      <c r="D84" s="15" t="s">
        <v>9</v>
      </c>
      <c r="E84" s="15" t="s">
        <v>9</v>
      </c>
      <c r="F84" s="12" t="s">
        <v>9</v>
      </c>
      <c r="G84" s="12" t="s">
        <v>9</v>
      </c>
      <c r="H84" s="100"/>
    </row>
    <row r="85" spans="1:8" x14ac:dyDescent="0.2">
      <c r="A85" s="15" t="s">
        <v>9</v>
      </c>
      <c r="B85" s="15" t="s">
        <v>9</v>
      </c>
      <c r="C85" s="3" t="s">
        <v>100</v>
      </c>
      <c r="D85" s="15" t="s">
        <v>9</v>
      </c>
      <c r="E85" s="15" t="s">
        <v>9</v>
      </c>
      <c r="F85" s="15" t="s">
        <v>9</v>
      </c>
      <c r="G85" s="15" t="s">
        <v>9</v>
      </c>
      <c r="H85" s="100"/>
    </row>
    <row r="86" spans="1:8" x14ac:dyDescent="0.2">
      <c r="A86" s="15" t="s">
        <v>9</v>
      </c>
      <c r="B86" s="15" t="s">
        <v>9</v>
      </c>
      <c r="C86" s="3" t="s">
        <v>94</v>
      </c>
      <c r="D86" s="15" t="s">
        <v>9</v>
      </c>
      <c r="E86" s="15" t="s">
        <v>9</v>
      </c>
      <c r="F86" s="13">
        <v>0</v>
      </c>
      <c r="G86" s="14">
        <v>0</v>
      </c>
      <c r="H86" s="100"/>
    </row>
    <row r="87" spans="1:8" x14ac:dyDescent="0.2">
      <c r="A87" s="15" t="s">
        <v>9</v>
      </c>
      <c r="B87" s="15" t="s">
        <v>9</v>
      </c>
      <c r="C87" s="11" t="s">
        <v>9</v>
      </c>
      <c r="D87" s="15" t="s">
        <v>9</v>
      </c>
      <c r="E87" s="15" t="s">
        <v>9</v>
      </c>
      <c r="F87" s="12" t="s">
        <v>9</v>
      </c>
      <c r="G87" s="12" t="s">
        <v>9</v>
      </c>
      <c r="H87" s="100"/>
    </row>
    <row r="88" spans="1:8" x14ac:dyDescent="0.2">
      <c r="A88" s="15" t="s">
        <v>9</v>
      </c>
      <c r="B88" s="15" t="s">
        <v>9</v>
      </c>
      <c r="C88" s="3" t="s">
        <v>101</v>
      </c>
      <c r="D88" s="15" t="s">
        <v>9</v>
      </c>
      <c r="E88" s="15" t="s">
        <v>9</v>
      </c>
      <c r="F88" s="12" t="s">
        <v>9</v>
      </c>
      <c r="G88" s="12" t="s">
        <v>9</v>
      </c>
      <c r="H88" s="100"/>
    </row>
    <row r="89" spans="1:8" x14ac:dyDescent="0.2">
      <c r="A89" s="15" t="s">
        <v>9</v>
      </c>
      <c r="B89" s="15" t="s">
        <v>9</v>
      </c>
      <c r="C89" s="3" t="s">
        <v>94</v>
      </c>
      <c r="D89" s="15" t="s">
        <v>9</v>
      </c>
      <c r="E89" s="15" t="s">
        <v>9</v>
      </c>
      <c r="F89" s="13">
        <v>0</v>
      </c>
      <c r="G89" s="14">
        <v>0</v>
      </c>
      <c r="H89" s="100"/>
    </row>
    <row r="90" spans="1:8" x14ac:dyDescent="0.2">
      <c r="A90" s="15" t="s">
        <v>9</v>
      </c>
      <c r="B90" s="15" t="s">
        <v>9</v>
      </c>
      <c r="C90" s="11" t="s">
        <v>9</v>
      </c>
      <c r="D90" s="15" t="s">
        <v>9</v>
      </c>
      <c r="E90" s="15" t="s">
        <v>9</v>
      </c>
      <c r="F90" s="12" t="s">
        <v>9</v>
      </c>
      <c r="G90" s="12" t="s">
        <v>9</v>
      </c>
      <c r="H90" s="100"/>
    </row>
    <row r="91" spans="1:8" x14ac:dyDescent="0.2">
      <c r="A91" s="15" t="s">
        <v>9</v>
      </c>
      <c r="B91" s="15" t="s">
        <v>9</v>
      </c>
      <c r="C91" s="3" t="s">
        <v>102</v>
      </c>
      <c r="D91" s="15" t="s">
        <v>9</v>
      </c>
      <c r="E91" s="15" t="s">
        <v>9</v>
      </c>
      <c r="F91" s="12" t="s">
        <v>9</v>
      </c>
      <c r="G91" s="12" t="s">
        <v>9</v>
      </c>
      <c r="H91" s="100"/>
    </row>
    <row r="92" spans="1:8" x14ac:dyDescent="0.2">
      <c r="A92" s="15" t="s">
        <v>9</v>
      </c>
      <c r="B92" s="15" t="s">
        <v>9</v>
      </c>
      <c r="C92" s="3" t="s">
        <v>94</v>
      </c>
      <c r="D92" s="15" t="s">
        <v>9</v>
      </c>
      <c r="E92" s="15" t="s">
        <v>9</v>
      </c>
      <c r="F92" s="13">
        <v>0</v>
      </c>
      <c r="G92" s="14">
        <v>0</v>
      </c>
      <c r="H92" s="100"/>
    </row>
    <row r="93" spans="1:8" x14ac:dyDescent="0.2">
      <c r="A93" s="15" t="s">
        <v>9</v>
      </c>
      <c r="B93" s="15" t="s">
        <v>9</v>
      </c>
      <c r="C93" s="11" t="s">
        <v>9</v>
      </c>
      <c r="D93" s="15" t="s">
        <v>9</v>
      </c>
      <c r="E93" s="15" t="s">
        <v>9</v>
      </c>
      <c r="F93" s="12" t="s">
        <v>9</v>
      </c>
      <c r="G93" s="12" t="s">
        <v>9</v>
      </c>
      <c r="H93" s="100"/>
    </row>
    <row r="94" spans="1:8" x14ac:dyDescent="0.2">
      <c r="A94" s="15" t="s">
        <v>9</v>
      </c>
      <c r="B94" s="15" t="s">
        <v>9</v>
      </c>
      <c r="C94" s="3" t="s">
        <v>104</v>
      </c>
      <c r="D94" s="15" t="s">
        <v>9</v>
      </c>
      <c r="E94" s="15" t="s">
        <v>9</v>
      </c>
      <c r="F94" s="9">
        <v>7894.4265290000003</v>
      </c>
      <c r="G94" s="10">
        <v>0.95711043900000004</v>
      </c>
      <c r="H94" s="100"/>
    </row>
    <row r="95" spans="1:8" x14ac:dyDescent="0.2">
      <c r="A95" s="15" t="s">
        <v>9</v>
      </c>
      <c r="B95" s="15" t="s">
        <v>9</v>
      </c>
      <c r="C95" s="11" t="s">
        <v>9</v>
      </c>
      <c r="D95" s="15" t="s">
        <v>9</v>
      </c>
      <c r="E95" s="15" t="s">
        <v>9</v>
      </c>
      <c r="F95" s="12" t="s">
        <v>9</v>
      </c>
      <c r="G95" s="12" t="s">
        <v>9</v>
      </c>
      <c r="H95" s="100"/>
    </row>
    <row r="96" spans="1:8" x14ac:dyDescent="0.2">
      <c r="A96" s="15" t="s">
        <v>9</v>
      </c>
      <c r="B96" s="15" t="s">
        <v>9</v>
      </c>
      <c r="C96" s="3" t="s">
        <v>105</v>
      </c>
      <c r="D96" s="15" t="s">
        <v>9</v>
      </c>
      <c r="E96" s="15" t="s">
        <v>9</v>
      </c>
      <c r="F96" s="12" t="s">
        <v>9</v>
      </c>
      <c r="G96" s="12" t="s">
        <v>9</v>
      </c>
      <c r="H96" s="100"/>
    </row>
    <row r="97" spans="1:8" ht="25.5" x14ac:dyDescent="0.2">
      <c r="A97" s="15" t="s">
        <v>9</v>
      </c>
      <c r="B97" s="15" t="s">
        <v>9</v>
      </c>
      <c r="C97" s="3" t="s">
        <v>11</v>
      </c>
      <c r="D97" s="15" t="s">
        <v>9</v>
      </c>
      <c r="E97" s="15" t="s">
        <v>9</v>
      </c>
      <c r="F97" s="12" t="s">
        <v>9</v>
      </c>
      <c r="G97" s="12" t="s">
        <v>9</v>
      </c>
      <c r="H97" s="100"/>
    </row>
    <row r="98" spans="1:8" x14ac:dyDescent="0.2">
      <c r="A98" s="15" t="s">
        <v>9</v>
      </c>
      <c r="B98" s="15" t="s">
        <v>9</v>
      </c>
      <c r="C98" s="3" t="s">
        <v>94</v>
      </c>
      <c r="D98" s="15" t="s">
        <v>9</v>
      </c>
      <c r="E98" s="15" t="s">
        <v>9</v>
      </c>
      <c r="F98" s="13">
        <v>0</v>
      </c>
      <c r="G98" s="14">
        <v>0</v>
      </c>
      <c r="H98" s="100"/>
    </row>
    <row r="99" spans="1:8" x14ac:dyDescent="0.2">
      <c r="A99" s="15" t="s">
        <v>9</v>
      </c>
      <c r="B99" s="15" t="s">
        <v>9</v>
      </c>
      <c r="C99" s="11" t="s">
        <v>9</v>
      </c>
      <c r="D99" s="15" t="s">
        <v>9</v>
      </c>
      <c r="E99" s="15" t="s">
        <v>9</v>
      </c>
      <c r="F99" s="12" t="s">
        <v>9</v>
      </c>
      <c r="G99" s="12" t="s">
        <v>9</v>
      </c>
      <c r="H99" s="100"/>
    </row>
    <row r="100" spans="1:8" x14ac:dyDescent="0.2">
      <c r="A100" s="15" t="s">
        <v>9</v>
      </c>
      <c r="B100" s="15" t="s">
        <v>9</v>
      </c>
      <c r="C100" s="3" t="s">
        <v>106</v>
      </c>
      <c r="D100" s="15" t="s">
        <v>9</v>
      </c>
      <c r="E100" s="15" t="s">
        <v>9</v>
      </c>
      <c r="F100" s="15" t="s">
        <v>9</v>
      </c>
      <c r="G100" s="15" t="s">
        <v>9</v>
      </c>
      <c r="H100" s="100"/>
    </row>
    <row r="101" spans="1:8" x14ac:dyDescent="0.2">
      <c r="A101" s="15" t="s">
        <v>9</v>
      </c>
      <c r="B101" s="15" t="s">
        <v>9</v>
      </c>
      <c r="C101" s="3" t="s">
        <v>94</v>
      </c>
      <c r="D101" s="15" t="s">
        <v>9</v>
      </c>
      <c r="E101" s="15" t="s">
        <v>9</v>
      </c>
      <c r="F101" s="13">
        <v>0</v>
      </c>
      <c r="G101" s="14">
        <v>0</v>
      </c>
      <c r="H101" s="100"/>
    </row>
    <row r="102" spans="1:8" x14ac:dyDescent="0.2">
      <c r="A102" s="15" t="s">
        <v>9</v>
      </c>
      <c r="B102" s="15" t="s">
        <v>9</v>
      </c>
      <c r="C102" s="11" t="s">
        <v>9</v>
      </c>
      <c r="D102" s="15" t="s">
        <v>9</v>
      </c>
      <c r="E102" s="15" t="s">
        <v>9</v>
      </c>
      <c r="F102" s="12" t="s">
        <v>9</v>
      </c>
      <c r="G102" s="12" t="s">
        <v>9</v>
      </c>
      <c r="H102" s="100"/>
    </row>
    <row r="103" spans="1:8" x14ac:dyDescent="0.2">
      <c r="A103" s="15" t="s">
        <v>9</v>
      </c>
      <c r="B103" s="15" t="s">
        <v>9</v>
      </c>
      <c r="C103" s="3" t="s">
        <v>107</v>
      </c>
      <c r="D103" s="15" t="s">
        <v>9</v>
      </c>
      <c r="E103" s="15" t="s">
        <v>9</v>
      </c>
      <c r="F103" s="15" t="s">
        <v>9</v>
      </c>
      <c r="G103" s="15" t="s">
        <v>9</v>
      </c>
      <c r="H103" s="100"/>
    </row>
    <row r="104" spans="1:8" x14ac:dyDescent="0.2">
      <c r="A104" s="15" t="s">
        <v>9</v>
      </c>
      <c r="B104" s="15" t="s">
        <v>9</v>
      </c>
      <c r="C104" s="3" t="s">
        <v>94</v>
      </c>
      <c r="D104" s="15" t="s">
        <v>9</v>
      </c>
      <c r="E104" s="15" t="s">
        <v>9</v>
      </c>
      <c r="F104" s="13">
        <v>0</v>
      </c>
      <c r="G104" s="14">
        <v>0</v>
      </c>
      <c r="H104" s="100"/>
    </row>
    <row r="105" spans="1:8" x14ac:dyDescent="0.2">
      <c r="A105" s="15" t="s">
        <v>9</v>
      </c>
      <c r="B105" s="15" t="s">
        <v>9</v>
      </c>
      <c r="C105" s="11" t="s">
        <v>9</v>
      </c>
      <c r="D105" s="15" t="s">
        <v>9</v>
      </c>
      <c r="E105" s="15" t="s">
        <v>9</v>
      </c>
      <c r="F105" s="12" t="s">
        <v>9</v>
      </c>
      <c r="G105" s="12" t="s">
        <v>9</v>
      </c>
      <c r="H105" s="100"/>
    </row>
    <row r="106" spans="1:8" x14ac:dyDescent="0.2">
      <c r="A106" s="15" t="s">
        <v>9</v>
      </c>
      <c r="B106" s="15" t="s">
        <v>9</v>
      </c>
      <c r="C106" s="3" t="s">
        <v>108</v>
      </c>
      <c r="D106" s="15" t="s">
        <v>9</v>
      </c>
      <c r="E106" s="15" t="s">
        <v>9</v>
      </c>
      <c r="F106" s="12" t="s">
        <v>9</v>
      </c>
      <c r="G106" s="12" t="s">
        <v>9</v>
      </c>
      <c r="H106" s="100"/>
    </row>
    <row r="107" spans="1:8" x14ac:dyDescent="0.2">
      <c r="A107" s="15" t="s">
        <v>9</v>
      </c>
      <c r="B107" s="15" t="s">
        <v>9</v>
      </c>
      <c r="C107" s="3" t="s">
        <v>94</v>
      </c>
      <c r="D107" s="15" t="s">
        <v>9</v>
      </c>
      <c r="E107" s="15" t="s">
        <v>9</v>
      </c>
      <c r="F107" s="13">
        <v>0</v>
      </c>
      <c r="G107" s="14">
        <v>0</v>
      </c>
      <c r="H107" s="100"/>
    </row>
    <row r="108" spans="1:8" x14ac:dyDescent="0.2">
      <c r="A108" s="15" t="s">
        <v>9</v>
      </c>
      <c r="B108" s="15" t="s">
        <v>9</v>
      </c>
      <c r="C108" s="11" t="s">
        <v>9</v>
      </c>
      <c r="D108" s="15" t="s">
        <v>9</v>
      </c>
      <c r="E108" s="15" t="s">
        <v>9</v>
      </c>
      <c r="F108" s="12" t="s">
        <v>9</v>
      </c>
      <c r="G108" s="12" t="s">
        <v>9</v>
      </c>
      <c r="H108" s="100"/>
    </row>
    <row r="109" spans="1:8" x14ac:dyDescent="0.2">
      <c r="A109" s="15" t="s">
        <v>9</v>
      </c>
      <c r="B109" s="15" t="s">
        <v>9</v>
      </c>
      <c r="C109" s="3" t="s">
        <v>109</v>
      </c>
      <c r="D109" s="15" t="s">
        <v>9</v>
      </c>
      <c r="E109" s="15" t="s">
        <v>9</v>
      </c>
      <c r="F109" s="9">
        <v>0</v>
      </c>
      <c r="G109" s="10">
        <v>0</v>
      </c>
      <c r="H109" s="100"/>
    </row>
    <row r="110" spans="1:8" x14ac:dyDescent="0.2">
      <c r="A110" s="15" t="s">
        <v>9</v>
      </c>
      <c r="B110" s="15" t="s">
        <v>9</v>
      </c>
      <c r="C110" s="11" t="s">
        <v>9</v>
      </c>
      <c r="D110" s="15" t="s">
        <v>9</v>
      </c>
      <c r="E110" s="15" t="s">
        <v>9</v>
      </c>
      <c r="F110" s="12" t="s">
        <v>9</v>
      </c>
      <c r="G110" s="12" t="s">
        <v>9</v>
      </c>
      <c r="H110" s="100"/>
    </row>
    <row r="111" spans="1:8" x14ac:dyDescent="0.2">
      <c r="A111" s="15" t="s">
        <v>9</v>
      </c>
      <c r="B111" s="15" t="s">
        <v>9</v>
      </c>
      <c r="C111" s="3" t="s">
        <v>110</v>
      </c>
      <c r="D111" s="15" t="s">
        <v>9</v>
      </c>
      <c r="E111" s="15" t="s">
        <v>9</v>
      </c>
      <c r="F111" s="12" t="s">
        <v>9</v>
      </c>
      <c r="G111" s="12" t="s">
        <v>9</v>
      </c>
      <c r="H111" s="100"/>
    </row>
    <row r="112" spans="1:8" x14ac:dyDescent="0.2">
      <c r="A112" s="15" t="s">
        <v>9</v>
      </c>
      <c r="B112" s="15" t="s">
        <v>9</v>
      </c>
      <c r="C112" s="3" t="s">
        <v>111</v>
      </c>
      <c r="D112" s="15" t="s">
        <v>9</v>
      </c>
      <c r="E112" s="15" t="s">
        <v>9</v>
      </c>
      <c r="F112" s="12" t="s">
        <v>9</v>
      </c>
      <c r="G112" s="12" t="s">
        <v>9</v>
      </c>
      <c r="H112" s="100"/>
    </row>
    <row r="113" spans="1:8" x14ac:dyDescent="0.2">
      <c r="A113" s="15" t="s">
        <v>9</v>
      </c>
      <c r="B113" s="15" t="s">
        <v>9</v>
      </c>
      <c r="C113" s="3" t="s">
        <v>94</v>
      </c>
      <c r="D113" s="15" t="s">
        <v>9</v>
      </c>
      <c r="E113" s="15" t="s">
        <v>9</v>
      </c>
      <c r="F113" s="13">
        <v>0</v>
      </c>
      <c r="G113" s="14">
        <v>0</v>
      </c>
      <c r="H113" s="100"/>
    </row>
    <row r="114" spans="1:8" x14ac:dyDescent="0.2">
      <c r="A114" s="15" t="s">
        <v>9</v>
      </c>
      <c r="B114" s="15" t="s">
        <v>9</v>
      </c>
      <c r="C114" s="11" t="s">
        <v>9</v>
      </c>
      <c r="D114" s="15" t="s">
        <v>9</v>
      </c>
      <c r="E114" s="15" t="s">
        <v>9</v>
      </c>
      <c r="F114" s="12" t="s">
        <v>9</v>
      </c>
      <c r="G114" s="12" t="s">
        <v>9</v>
      </c>
      <c r="H114" s="100"/>
    </row>
    <row r="115" spans="1:8" x14ac:dyDescent="0.2">
      <c r="A115" s="15" t="s">
        <v>9</v>
      </c>
      <c r="B115" s="15" t="s">
        <v>9</v>
      </c>
      <c r="C115" s="3" t="s">
        <v>112</v>
      </c>
      <c r="D115" s="15" t="s">
        <v>9</v>
      </c>
      <c r="E115" s="15" t="s">
        <v>9</v>
      </c>
      <c r="F115" s="12" t="s">
        <v>9</v>
      </c>
      <c r="G115" s="12" t="s">
        <v>9</v>
      </c>
      <c r="H115" s="100"/>
    </row>
    <row r="116" spans="1:8" x14ac:dyDescent="0.2">
      <c r="A116" s="15" t="s">
        <v>9</v>
      </c>
      <c r="B116" s="15" t="s">
        <v>9</v>
      </c>
      <c r="C116" s="3" t="s">
        <v>94</v>
      </c>
      <c r="D116" s="15" t="s">
        <v>9</v>
      </c>
      <c r="E116" s="15" t="s">
        <v>9</v>
      </c>
      <c r="F116" s="13">
        <v>0</v>
      </c>
      <c r="G116" s="14">
        <v>0</v>
      </c>
      <c r="H116" s="100"/>
    </row>
    <row r="117" spans="1:8" x14ac:dyDescent="0.2">
      <c r="A117" s="15" t="s">
        <v>9</v>
      </c>
      <c r="B117" s="15" t="s">
        <v>9</v>
      </c>
      <c r="C117" s="11" t="s">
        <v>9</v>
      </c>
      <c r="D117" s="15" t="s">
        <v>9</v>
      </c>
      <c r="E117" s="15" t="s">
        <v>9</v>
      </c>
      <c r="F117" s="12" t="s">
        <v>9</v>
      </c>
      <c r="G117" s="12" t="s">
        <v>9</v>
      </c>
      <c r="H117" s="100"/>
    </row>
    <row r="118" spans="1:8" x14ac:dyDescent="0.2">
      <c r="A118" s="15" t="s">
        <v>9</v>
      </c>
      <c r="B118" s="15" t="s">
        <v>9</v>
      </c>
      <c r="C118" s="3" t="s">
        <v>113</v>
      </c>
      <c r="D118" s="15" t="s">
        <v>9</v>
      </c>
      <c r="E118" s="15" t="s">
        <v>9</v>
      </c>
      <c r="F118" s="12" t="s">
        <v>9</v>
      </c>
      <c r="G118" s="12" t="s">
        <v>9</v>
      </c>
      <c r="H118" s="100"/>
    </row>
    <row r="119" spans="1:8" x14ac:dyDescent="0.2">
      <c r="A119" s="15" t="s">
        <v>9</v>
      </c>
      <c r="B119" s="15" t="s">
        <v>9</v>
      </c>
      <c r="C119" s="3" t="s">
        <v>94</v>
      </c>
      <c r="D119" s="15" t="s">
        <v>9</v>
      </c>
      <c r="E119" s="15" t="s">
        <v>9</v>
      </c>
      <c r="F119" s="13">
        <v>0</v>
      </c>
      <c r="G119" s="14">
        <v>0</v>
      </c>
      <c r="H119" s="100"/>
    </row>
    <row r="120" spans="1:8" x14ac:dyDescent="0.2">
      <c r="A120" s="15" t="s">
        <v>9</v>
      </c>
      <c r="B120" s="15" t="s">
        <v>9</v>
      </c>
      <c r="C120" s="11" t="s">
        <v>9</v>
      </c>
      <c r="D120" s="15" t="s">
        <v>9</v>
      </c>
      <c r="E120" s="15" t="s">
        <v>9</v>
      </c>
      <c r="F120" s="12" t="s">
        <v>9</v>
      </c>
      <c r="G120" s="12" t="s">
        <v>9</v>
      </c>
      <c r="H120" s="100"/>
    </row>
    <row r="121" spans="1:8" x14ac:dyDescent="0.2">
      <c r="A121" s="15" t="s">
        <v>9</v>
      </c>
      <c r="B121" s="15" t="s">
        <v>9</v>
      </c>
      <c r="C121" s="3" t="s">
        <v>114</v>
      </c>
      <c r="D121" s="15" t="s">
        <v>9</v>
      </c>
      <c r="E121" s="15" t="s">
        <v>9</v>
      </c>
      <c r="F121" s="12" t="s">
        <v>9</v>
      </c>
      <c r="G121" s="12" t="s">
        <v>9</v>
      </c>
      <c r="H121" s="100"/>
    </row>
    <row r="122" spans="1:8" x14ac:dyDescent="0.2">
      <c r="A122" s="4">
        <v>1</v>
      </c>
      <c r="B122" s="5"/>
      <c r="C122" s="5" t="s">
        <v>115</v>
      </c>
      <c r="D122" s="5"/>
      <c r="E122" s="15" t="s">
        <v>9</v>
      </c>
      <c r="F122" s="7">
        <v>304.35335859999998</v>
      </c>
      <c r="G122" s="8">
        <v>3.6899422000000001E-2</v>
      </c>
      <c r="H122" s="99">
        <v>3.2516689338443991</v>
      </c>
    </row>
    <row r="123" spans="1:8" x14ac:dyDescent="0.2">
      <c r="A123" s="4">
        <v>2</v>
      </c>
      <c r="B123" s="5"/>
      <c r="C123" s="5" t="s">
        <v>116</v>
      </c>
      <c r="D123" s="5"/>
      <c r="E123" s="15" t="s">
        <v>9</v>
      </c>
      <c r="F123" s="7">
        <v>41.699193800000003</v>
      </c>
      <c r="G123" s="8">
        <v>5.0555579999999999E-3</v>
      </c>
      <c r="H123" s="100">
        <v>3.350000000000001</v>
      </c>
    </row>
    <row r="124" spans="1:8" x14ac:dyDescent="0.2">
      <c r="A124" s="15" t="s">
        <v>9</v>
      </c>
      <c r="B124" s="15" t="s">
        <v>9</v>
      </c>
      <c r="C124" s="3" t="s">
        <v>94</v>
      </c>
      <c r="D124" s="15" t="s">
        <v>9</v>
      </c>
      <c r="E124" s="15" t="s">
        <v>9</v>
      </c>
      <c r="F124" s="9">
        <v>346.05255240000002</v>
      </c>
      <c r="G124" s="10">
        <v>4.1954980000000003E-2</v>
      </c>
      <c r="H124" s="100"/>
    </row>
    <row r="125" spans="1:8" x14ac:dyDescent="0.2">
      <c r="A125" s="15" t="s">
        <v>9</v>
      </c>
      <c r="B125" s="15" t="s">
        <v>9</v>
      </c>
      <c r="C125" s="11" t="s">
        <v>9</v>
      </c>
      <c r="D125" s="15" t="s">
        <v>9</v>
      </c>
      <c r="E125" s="15" t="s">
        <v>9</v>
      </c>
      <c r="F125" s="12" t="s">
        <v>9</v>
      </c>
      <c r="G125" s="12" t="s">
        <v>9</v>
      </c>
      <c r="H125" s="100"/>
    </row>
    <row r="126" spans="1:8" x14ac:dyDescent="0.2">
      <c r="A126" s="15" t="s">
        <v>9</v>
      </c>
      <c r="B126" s="15" t="s">
        <v>9</v>
      </c>
      <c r="C126" s="3" t="s">
        <v>117</v>
      </c>
      <c r="D126" s="15" t="s">
        <v>9</v>
      </c>
      <c r="E126" s="15" t="s">
        <v>9</v>
      </c>
      <c r="F126" s="9">
        <v>346.05255240000002</v>
      </c>
      <c r="G126" s="10">
        <v>4.1954980000000003E-2</v>
      </c>
      <c r="H126" s="100"/>
    </row>
    <row r="127" spans="1:8" x14ac:dyDescent="0.2">
      <c r="A127" s="15" t="s">
        <v>9</v>
      </c>
      <c r="B127" s="15" t="s">
        <v>9</v>
      </c>
      <c r="C127" s="12" t="s">
        <v>9</v>
      </c>
      <c r="D127" s="15" t="s">
        <v>9</v>
      </c>
      <c r="E127" s="15" t="s">
        <v>9</v>
      </c>
      <c r="F127" s="15" t="s">
        <v>9</v>
      </c>
      <c r="G127" s="15" t="s">
        <v>9</v>
      </c>
      <c r="H127" s="100"/>
    </row>
    <row r="128" spans="1:8" x14ac:dyDescent="0.2">
      <c r="A128" s="15" t="s">
        <v>9</v>
      </c>
      <c r="B128" s="15" t="s">
        <v>9</v>
      </c>
      <c r="C128" s="3" t="s">
        <v>118</v>
      </c>
      <c r="D128" s="15" t="s">
        <v>9</v>
      </c>
      <c r="E128" s="15" t="s">
        <v>9</v>
      </c>
      <c r="F128" s="15" t="s">
        <v>9</v>
      </c>
      <c r="G128" s="15" t="s">
        <v>9</v>
      </c>
      <c r="H128" s="100"/>
    </row>
    <row r="129" spans="1:8" x14ac:dyDescent="0.2">
      <c r="A129" s="15" t="s">
        <v>9</v>
      </c>
      <c r="B129" s="15" t="s">
        <v>9</v>
      </c>
      <c r="C129" s="3" t="s">
        <v>119</v>
      </c>
      <c r="D129" s="15" t="s">
        <v>9</v>
      </c>
      <c r="E129" s="15" t="s">
        <v>9</v>
      </c>
      <c r="F129" s="15" t="s">
        <v>9</v>
      </c>
      <c r="G129" s="15" t="s">
        <v>9</v>
      </c>
      <c r="H129" s="100"/>
    </row>
    <row r="130" spans="1:8" x14ac:dyDescent="0.2">
      <c r="A130" s="15" t="s">
        <v>9</v>
      </c>
      <c r="B130" s="15" t="s">
        <v>9</v>
      </c>
      <c r="C130" s="3" t="s">
        <v>94</v>
      </c>
      <c r="D130" s="15" t="s">
        <v>9</v>
      </c>
      <c r="E130" s="15" t="s">
        <v>9</v>
      </c>
      <c r="F130" s="13">
        <v>0</v>
      </c>
      <c r="G130" s="14">
        <v>0</v>
      </c>
      <c r="H130" s="100"/>
    </row>
    <row r="131" spans="1:8" x14ac:dyDescent="0.2">
      <c r="A131" s="15" t="s">
        <v>9</v>
      </c>
      <c r="B131" s="15" t="s">
        <v>9</v>
      </c>
      <c r="C131" s="11" t="s">
        <v>9</v>
      </c>
      <c r="D131" s="15" t="s">
        <v>9</v>
      </c>
      <c r="E131" s="15" t="s">
        <v>9</v>
      </c>
      <c r="F131" s="12" t="s">
        <v>9</v>
      </c>
      <c r="G131" s="12" t="s">
        <v>9</v>
      </c>
      <c r="H131" s="100"/>
    </row>
    <row r="132" spans="1:8" x14ac:dyDescent="0.2">
      <c r="A132" s="15" t="s">
        <v>9</v>
      </c>
      <c r="B132" s="15" t="s">
        <v>9</v>
      </c>
      <c r="C132" s="3" t="s">
        <v>120</v>
      </c>
      <c r="D132" s="15" t="s">
        <v>9</v>
      </c>
      <c r="E132" s="15" t="s">
        <v>9</v>
      </c>
      <c r="F132" s="15" t="s">
        <v>9</v>
      </c>
      <c r="G132" s="15" t="s">
        <v>9</v>
      </c>
      <c r="H132" s="100"/>
    </row>
    <row r="133" spans="1:8" x14ac:dyDescent="0.2">
      <c r="A133" s="15" t="s">
        <v>9</v>
      </c>
      <c r="B133" s="15" t="s">
        <v>9</v>
      </c>
      <c r="C133" s="3" t="s">
        <v>121</v>
      </c>
      <c r="D133" s="15" t="s">
        <v>9</v>
      </c>
      <c r="E133" s="15" t="s">
        <v>9</v>
      </c>
      <c r="F133" s="15" t="s">
        <v>9</v>
      </c>
      <c r="G133" s="15" t="s">
        <v>9</v>
      </c>
      <c r="H133" s="100"/>
    </row>
    <row r="134" spans="1:8" x14ac:dyDescent="0.2">
      <c r="A134" s="15" t="s">
        <v>9</v>
      </c>
      <c r="B134" s="15" t="s">
        <v>9</v>
      </c>
      <c r="C134" s="3" t="s">
        <v>94</v>
      </c>
      <c r="D134" s="15" t="s">
        <v>9</v>
      </c>
      <c r="E134" s="15" t="s">
        <v>9</v>
      </c>
      <c r="F134" s="13">
        <v>0</v>
      </c>
      <c r="G134" s="14">
        <v>0</v>
      </c>
      <c r="H134" s="100"/>
    </row>
    <row r="135" spans="1:8" x14ac:dyDescent="0.2">
      <c r="A135" s="15" t="s">
        <v>9</v>
      </c>
      <c r="B135" s="15" t="s">
        <v>9</v>
      </c>
      <c r="C135" s="11" t="s">
        <v>9</v>
      </c>
      <c r="D135" s="15" t="s">
        <v>9</v>
      </c>
      <c r="E135" s="15" t="s">
        <v>9</v>
      </c>
      <c r="F135" s="12" t="s">
        <v>9</v>
      </c>
      <c r="G135" s="12" t="s">
        <v>9</v>
      </c>
      <c r="H135" s="100"/>
    </row>
    <row r="136" spans="1:8" x14ac:dyDescent="0.2">
      <c r="A136" s="15" t="s">
        <v>9</v>
      </c>
      <c r="B136" s="15" t="s">
        <v>9</v>
      </c>
      <c r="C136" s="11" t="s">
        <v>9</v>
      </c>
      <c r="D136" s="15" t="s">
        <v>9</v>
      </c>
      <c r="E136" s="15" t="s">
        <v>9</v>
      </c>
      <c r="F136" s="12" t="s">
        <v>9</v>
      </c>
      <c r="G136" s="12" t="s">
        <v>9</v>
      </c>
      <c r="H136" s="100"/>
    </row>
    <row r="137" spans="1:8" ht="25.5" x14ac:dyDescent="0.2">
      <c r="A137" s="15" t="s">
        <v>9</v>
      </c>
      <c r="B137" s="15" t="s">
        <v>9</v>
      </c>
      <c r="C137" s="3" t="s">
        <v>122</v>
      </c>
      <c r="D137" s="15" t="s">
        <v>9</v>
      </c>
      <c r="E137" s="15" t="s">
        <v>9</v>
      </c>
      <c r="F137" s="12" t="s">
        <v>9</v>
      </c>
      <c r="G137" s="12" t="s">
        <v>9</v>
      </c>
      <c r="H137" s="100"/>
    </row>
    <row r="138" spans="1:8" x14ac:dyDescent="0.2">
      <c r="A138" s="15" t="s">
        <v>9</v>
      </c>
      <c r="B138" s="15" t="s">
        <v>9</v>
      </c>
      <c r="C138" s="3" t="s">
        <v>94</v>
      </c>
      <c r="D138" s="15" t="s">
        <v>9</v>
      </c>
      <c r="E138" s="15" t="s">
        <v>9</v>
      </c>
      <c r="F138" s="13">
        <v>0</v>
      </c>
      <c r="G138" s="14">
        <v>0</v>
      </c>
      <c r="H138" s="100"/>
    </row>
    <row r="139" spans="1:8" x14ac:dyDescent="0.2">
      <c r="A139" s="15" t="s">
        <v>9</v>
      </c>
      <c r="B139" s="15" t="s">
        <v>9</v>
      </c>
      <c r="C139" s="11" t="s">
        <v>9</v>
      </c>
      <c r="D139" s="15" t="s">
        <v>9</v>
      </c>
      <c r="E139" s="15" t="s">
        <v>9</v>
      </c>
      <c r="F139" s="12" t="s">
        <v>9</v>
      </c>
      <c r="G139" s="12" t="s">
        <v>9</v>
      </c>
      <c r="H139" s="100"/>
    </row>
    <row r="140" spans="1:8" x14ac:dyDescent="0.2">
      <c r="A140" s="15" t="s">
        <v>9</v>
      </c>
      <c r="B140" s="5" t="s">
        <v>9</v>
      </c>
      <c r="C140" s="5" t="s">
        <v>9</v>
      </c>
      <c r="D140" s="3" t="s">
        <v>9</v>
      </c>
      <c r="E140" s="15" t="s">
        <v>9</v>
      </c>
      <c r="F140" s="5" t="s">
        <v>9</v>
      </c>
      <c r="G140" s="15" t="s">
        <v>9</v>
      </c>
      <c r="H140" s="100"/>
    </row>
    <row r="141" spans="1:8" x14ac:dyDescent="0.2">
      <c r="A141" s="15" t="s">
        <v>9</v>
      </c>
      <c r="B141" s="5" t="s">
        <v>9</v>
      </c>
      <c r="C141" s="5" t="s">
        <v>124</v>
      </c>
      <c r="D141" s="5" t="s">
        <v>9</v>
      </c>
      <c r="E141" s="15" t="s">
        <v>9</v>
      </c>
      <c r="F141" s="7">
        <v>7.7085953800000002</v>
      </c>
      <c r="G141" s="8">
        <v>9.3458099999999998E-4</v>
      </c>
      <c r="H141" s="100"/>
    </row>
    <row r="142" spans="1:8" x14ac:dyDescent="0.2">
      <c r="A142" s="11" t="s">
        <v>9</v>
      </c>
      <c r="B142" s="11" t="s">
        <v>9</v>
      </c>
      <c r="C142" s="3" t="s">
        <v>125</v>
      </c>
      <c r="D142" s="16" t="s">
        <v>9</v>
      </c>
      <c r="E142" s="16" t="s">
        <v>9</v>
      </c>
      <c r="F142" s="9">
        <v>8248.1876767800004</v>
      </c>
      <c r="G142" s="10">
        <v>1</v>
      </c>
      <c r="H142" s="100"/>
    </row>
    <row r="143" spans="1:8" x14ac:dyDescent="0.2">
      <c r="A143" s="17" t="s">
        <v>9</v>
      </c>
      <c r="B143" s="17" t="s">
        <v>9</v>
      </c>
      <c r="C143" s="17" t="s">
        <v>9</v>
      </c>
      <c r="D143" s="18" t="s">
        <v>9</v>
      </c>
      <c r="E143" s="18" t="s">
        <v>9</v>
      </c>
      <c r="F143" s="18" t="s">
        <v>9</v>
      </c>
      <c r="G143" s="18" t="s">
        <v>9</v>
      </c>
      <c r="H143" s="142"/>
    </row>
    <row r="144" spans="1:8" x14ac:dyDescent="0.2">
      <c r="A144" s="19" t="s">
        <v>9</v>
      </c>
      <c r="B144" s="254" t="s">
        <v>9</v>
      </c>
      <c r="C144" s="254"/>
      <c r="D144" s="254"/>
      <c r="E144" s="254"/>
      <c r="F144" s="254"/>
      <c r="G144" s="20" t="s">
        <v>9</v>
      </c>
      <c r="H144" s="142"/>
    </row>
    <row r="145" spans="1:8" x14ac:dyDescent="0.2">
      <c r="A145" s="19" t="s">
        <v>9</v>
      </c>
      <c r="B145" s="254" t="s">
        <v>9</v>
      </c>
      <c r="C145" s="254"/>
      <c r="D145" s="254"/>
      <c r="E145" s="254"/>
      <c r="F145" s="254"/>
      <c r="G145" s="20" t="s">
        <v>9</v>
      </c>
      <c r="H145" s="142"/>
    </row>
    <row r="146" spans="1:8" x14ac:dyDescent="0.2">
      <c r="A146" s="19" t="s">
        <v>9</v>
      </c>
      <c r="B146" s="19" t="s">
        <v>9</v>
      </c>
      <c r="C146" s="19" t="s">
        <v>9</v>
      </c>
      <c r="D146" s="20" t="s">
        <v>9</v>
      </c>
      <c r="E146" s="20" t="s">
        <v>9</v>
      </c>
      <c r="F146" s="20" t="s">
        <v>9</v>
      </c>
      <c r="G146" s="20" t="s">
        <v>9</v>
      </c>
      <c r="H146" s="142"/>
    </row>
    <row r="147" spans="1:8" x14ac:dyDescent="0.2">
      <c r="A147" s="19" t="s">
        <v>9</v>
      </c>
      <c r="B147" s="247" t="s">
        <v>127</v>
      </c>
      <c r="C147" s="248"/>
      <c r="D147" s="182" t="s">
        <v>9</v>
      </c>
      <c r="E147" s="21" t="s">
        <v>9</v>
      </c>
      <c r="F147" s="20" t="s">
        <v>9</v>
      </c>
      <c r="G147" s="20" t="s">
        <v>9</v>
      </c>
      <c r="H147" s="142"/>
    </row>
    <row r="148" spans="1:8" ht="28.5" customHeight="1" x14ac:dyDescent="0.2">
      <c r="A148" s="19" t="s">
        <v>9</v>
      </c>
      <c r="B148" s="242" t="s">
        <v>128</v>
      </c>
      <c r="C148" s="243"/>
      <c r="D148" s="3" t="s">
        <v>129</v>
      </c>
      <c r="E148" s="21" t="s">
        <v>9</v>
      </c>
      <c r="F148" s="20" t="s">
        <v>9</v>
      </c>
      <c r="G148" s="20" t="s">
        <v>9</v>
      </c>
      <c r="H148" s="142"/>
    </row>
    <row r="149" spans="1:8" x14ac:dyDescent="0.2">
      <c r="A149" s="19" t="s">
        <v>9</v>
      </c>
      <c r="B149" s="240" t="s">
        <v>130</v>
      </c>
      <c r="C149" s="241"/>
      <c r="D149" s="177" t="s">
        <v>129</v>
      </c>
      <c r="E149" s="21" t="s">
        <v>9</v>
      </c>
      <c r="F149" s="20" t="s">
        <v>9</v>
      </c>
      <c r="G149" s="20" t="s">
        <v>9</v>
      </c>
      <c r="H149" s="142"/>
    </row>
    <row r="150" spans="1:8" x14ac:dyDescent="0.2">
      <c r="A150" s="19" t="s">
        <v>9</v>
      </c>
      <c r="B150" s="240" t="s">
        <v>131</v>
      </c>
      <c r="C150" s="241"/>
      <c r="D150" s="182" t="s">
        <v>9</v>
      </c>
      <c r="E150" s="21" t="s">
        <v>9</v>
      </c>
      <c r="F150" s="20" t="s">
        <v>9</v>
      </c>
      <c r="G150" s="20" t="s">
        <v>9</v>
      </c>
      <c r="H150" s="142"/>
    </row>
    <row r="151" spans="1:8" ht="25.5" x14ac:dyDescent="0.2">
      <c r="A151" s="25" t="s">
        <v>9</v>
      </c>
      <c r="B151" s="23" t="s">
        <v>9</v>
      </c>
      <c r="C151" s="23" t="s">
        <v>132</v>
      </c>
      <c r="D151" s="23" t="s">
        <v>133</v>
      </c>
      <c r="E151" s="25" t="s">
        <v>9</v>
      </c>
      <c r="F151" s="25" t="s">
        <v>9</v>
      </c>
      <c r="G151" s="25" t="s">
        <v>9</v>
      </c>
      <c r="H151" s="142"/>
    </row>
    <row r="152" spans="1:8" x14ac:dyDescent="0.2">
      <c r="A152" s="25" t="s">
        <v>9</v>
      </c>
      <c r="B152" s="23" t="s">
        <v>134</v>
      </c>
      <c r="C152" s="23" t="s">
        <v>135</v>
      </c>
      <c r="D152" s="23" t="s">
        <v>136</v>
      </c>
      <c r="E152" s="25" t="s">
        <v>9</v>
      </c>
      <c r="F152" s="25" t="s">
        <v>9</v>
      </c>
      <c r="G152" s="25" t="s">
        <v>9</v>
      </c>
      <c r="H152" s="142"/>
    </row>
    <row r="153" spans="1:8" x14ac:dyDescent="0.2">
      <c r="A153" s="25" t="s">
        <v>9</v>
      </c>
      <c r="B153" s="183" t="s">
        <v>137</v>
      </c>
      <c r="C153" s="184">
        <v>10.0486</v>
      </c>
      <c r="D153" s="184">
        <v>10.5565</v>
      </c>
      <c r="E153" s="25" t="s">
        <v>9</v>
      </c>
      <c r="F153" s="73" t="s">
        <v>9</v>
      </c>
      <c r="G153" s="25" t="s">
        <v>9</v>
      </c>
      <c r="H153" s="142"/>
    </row>
    <row r="154" spans="1:8" x14ac:dyDescent="0.2">
      <c r="A154" s="25" t="s">
        <v>9</v>
      </c>
      <c r="B154" s="183" t="s">
        <v>921</v>
      </c>
      <c r="C154" s="184">
        <v>10.0486</v>
      </c>
      <c r="D154" s="184">
        <v>10.5565</v>
      </c>
      <c r="E154" s="25" t="s">
        <v>9</v>
      </c>
      <c r="F154" s="73" t="s">
        <v>9</v>
      </c>
      <c r="G154" s="25" t="s">
        <v>9</v>
      </c>
      <c r="H154" s="142"/>
    </row>
    <row r="155" spans="1:8" x14ac:dyDescent="0.2">
      <c r="A155" s="25" t="s">
        <v>9</v>
      </c>
      <c r="B155" s="183" t="s">
        <v>138</v>
      </c>
      <c r="C155" s="184">
        <v>9.7081999999999997</v>
      </c>
      <c r="D155" s="184">
        <v>10.1944</v>
      </c>
      <c r="E155" s="25" t="s">
        <v>9</v>
      </c>
      <c r="F155" s="73" t="s">
        <v>9</v>
      </c>
      <c r="G155" s="25" t="s">
        <v>9</v>
      </c>
      <c r="H155" s="142"/>
    </row>
    <row r="156" spans="1:8" x14ac:dyDescent="0.2">
      <c r="A156" s="25" t="s">
        <v>9</v>
      </c>
      <c r="B156" s="183" t="s">
        <v>922</v>
      </c>
      <c r="C156" s="184">
        <v>9.7081999999999997</v>
      </c>
      <c r="D156" s="184">
        <v>10.1944</v>
      </c>
      <c r="E156" s="25" t="s">
        <v>9</v>
      </c>
      <c r="F156" s="73" t="s">
        <v>9</v>
      </c>
      <c r="G156" s="25" t="s">
        <v>9</v>
      </c>
      <c r="H156" s="142"/>
    </row>
    <row r="157" spans="1:8" x14ac:dyDescent="0.2">
      <c r="A157" s="25" t="s">
        <v>9</v>
      </c>
      <c r="B157" s="22" t="s">
        <v>9</v>
      </c>
      <c r="C157" s="22" t="s">
        <v>9</v>
      </c>
      <c r="D157" s="22" t="s">
        <v>9</v>
      </c>
      <c r="E157" s="25" t="s">
        <v>9</v>
      </c>
      <c r="F157" s="25" t="s">
        <v>9</v>
      </c>
      <c r="G157" s="25" t="s">
        <v>9</v>
      </c>
      <c r="H157" s="142"/>
    </row>
    <row r="158" spans="1:8" x14ac:dyDescent="0.2">
      <c r="A158" s="25" t="s">
        <v>9</v>
      </c>
      <c r="B158" s="240" t="s">
        <v>1012</v>
      </c>
      <c r="C158" s="241"/>
      <c r="D158" s="177" t="s">
        <v>129</v>
      </c>
      <c r="E158" s="25" t="s">
        <v>9</v>
      </c>
      <c r="F158" s="25" t="s">
        <v>9</v>
      </c>
      <c r="G158" s="25" t="s">
        <v>9</v>
      </c>
      <c r="H158" s="142"/>
    </row>
    <row r="159" spans="1:8" x14ac:dyDescent="0.2">
      <c r="A159" s="25" t="s">
        <v>9</v>
      </c>
      <c r="B159" s="98"/>
      <c r="C159" s="98"/>
      <c r="D159" s="26" t="s">
        <v>9</v>
      </c>
      <c r="E159" s="25" t="s">
        <v>9</v>
      </c>
      <c r="F159" s="25" t="s">
        <v>9</v>
      </c>
      <c r="G159" s="25" t="s">
        <v>9</v>
      </c>
      <c r="H159" s="142"/>
    </row>
    <row r="160" spans="1:8" s="238" customFormat="1" ht="12.75" x14ac:dyDescent="0.2">
      <c r="B160" s="246" t="s">
        <v>923</v>
      </c>
      <c r="C160" s="246"/>
      <c r="D160" s="246"/>
      <c r="E160" s="246"/>
      <c r="F160" s="246"/>
    </row>
    <row r="161" spans="1:8" x14ac:dyDescent="0.2">
      <c r="A161" s="25" t="s">
        <v>9</v>
      </c>
      <c r="B161" s="185" t="s">
        <v>9</v>
      </c>
      <c r="C161" s="185" t="s">
        <v>9</v>
      </c>
      <c r="D161" s="22" t="s">
        <v>9</v>
      </c>
      <c r="E161" s="25" t="s">
        <v>9</v>
      </c>
      <c r="F161" s="25" t="s">
        <v>9</v>
      </c>
      <c r="G161" s="25" t="s">
        <v>9</v>
      </c>
      <c r="H161" s="142"/>
    </row>
    <row r="162" spans="1:8" x14ac:dyDescent="0.2">
      <c r="A162" s="25" t="s">
        <v>9</v>
      </c>
      <c r="B162" s="240" t="s">
        <v>139</v>
      </c>
      <c r="C162" s="241"/>
      <c r="D162" s="177" t="s">
        <v>129</v>
      </c>
      <c r="E162" s="25" t="s">
        <v>9</v>
      </c>
      <c r="F162" s="25" t="s">
        <v>9</v>
      </c>
      <c r="G162" s="25" t="s">
        <v>9</v>
      </c>
      <c r="H162" s="142"/>
    </row>
    <row r="163" spans="1:8" x14ac:dyDescent="0.2">
      <c r="A163" s="25" t="s">
        <v>9</v>
      </c>
      <c r="B163" s="240" t="s">
        <v>140</v>
      </c>
      <c r="C163" s="241"/>
      <c r="D163" s="177" t="s">
        <v>129</v>
      </c>
      <c r="E163" s="25" t="s">
        <v>9</v>
      </c>
      <c r="F163" s="25" t="s">
        <v>9</v>
      </c>
      <c r="G163" s="25" t="s">
        <v>9</v>
      </c>
      <c r="H163" s="142"/>
    </row>
    <row r="164" spans="1:8" x14ac:dyDescent="0.2">
      <c r="A164" s="25" t="s">
        <v>9</v>
      </c>
      <c r="B164" s="240" t="s">
        <v>141</v>
      </c>
      <c r="C164" s="241"/>
      <c r="D164" s="186">
        <v>0.48717456682661675</v>
      </c>
      <c r="E164" s="25" t="s">
        <v>9</v>
      </c>
      <c r="F164" s="73" t="s">
        <v>9</v>
      </c>
      <c r="G164" s="25" t="s">
        <v>9</v>
      </c>
      <c r="H164" s="142"/>
    </row>
    <row r="165" spans="1:8" x14ac:dyDescent="0.2">
      <c r="A165" s="25" t="s">
        <v>9</v>
      </c>
      <c r="B165" s="240" t="s">
        <v>142</v>
      </c>
      <c r="C165" s="241"/>
      <c r="D165" s="177" t="s">
        <v>129</v>
      </c>
      <c r="E165" s="25" t="s">
        <v>9</v>
      </c>
      <c r="F165" s="25" t="s">
        <v>9</v>
      </c>
      <c r="G165" s="25" t="s">
        <v>9</v>
      </c>
      <c r="H165" s="142"/>
    </row>
  </sheetData>
  <mergeCells count="15">
    <mergeCell ref="B147:C147"/>
    <mergeCell ref="B144:F144"/>
    <mergeCell ref="B145:F145"/>
    <mergeCell ref="A1:H1"/>
    <mergeCell ref="A2:H2"/>
    <mergeCell ref="A3:H3"/>
    <mergeCell ref="B164:C164"/>
    <mergeCell ref="B165:C165"/>
    <mergeCell ref="B148:C148"/>
    <mergeCell ref="B149:C149"/>
    <mergeCell ref="B150:C150"/>
    <mergeCell ref="B158:C158"/>
    <mergeCell ref="B162:C162"/>
    <mergeCell ref="B163:C163"/>
    <mergeCell ref="B160:F160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outlinePr summaryBelow="0" summaryRight="0"/>
  </sheetPr>
  <dimension ref="A1:H160"/>
  <sheetViews>
    <sheetView showGridLines="0" workbookViewId="0">
      <selection activeCell="J1" sqref="J1"/>
    </sheetView>
  </sheetViews>
  <sheetFormatPr defaultRowHeight="15" x14ac:dyDescent="0.2"/>
  <cols>
    <col min="1" max="1" width="6.85546875" style="155" customWidth="1"/>
    <col min="2" max="2" width="20.5703125" style="155" customWidth="1"/>
    <col min="3" max="3" width="34.28515625" style="155" customWidth="1"/>
    <col min="4" max="4" width="17.85546875" style="155" customWidth="1"/>
    <col min="5" max="6" width="19.140625" style="155" customWidth="1"/>
    <col min="7" max="7" width="16.42578125" style="155" customWidth="1"/>
    <col min="8" max="16384" width="9.140625" style="155"/>
  </cols>
  <sheetData>
    <row r="1" spans="1:8" x14ac:dyDescent="0.2">
      <c r="A1" s="250" t="s">
        <v>0</v>
      </c>
      <c r="B1" s="250"/>
      <c r="C1" s="250"/>
      <c r="D1" s="250"/>
      <c r="E1" s="250"/>
      <c r="F1" s="250"/>
      <c r="G1" s="250"/>
      <c r="H1" s="250"/>
    </row>
    <row r="2" spans="1:8" x14ac:dyDescent="0.2">
      <c r="A2" s="251" t="s">
        <v>286</v>
      </c>
      <c r="B2" s="252"/>
      <c r="C2" s="252"/>
      <c r="D2" s="252"/>
      <c r="E2" s="252"/>
      <c r="F2" s="252"/>
      <c r="G2" s="252"/>
      <c r="H2" s="253"/>
    </row>
    <row r="3" spans="1:8" x14ac:dyDescent="0.2">
      <c r="A3" s="250" t="s">
        <v>1015</v>
      </c>
      <c r="B3" s="250"/>
      <c r="C3" s="250"/>
      <c r="D3" s="250"/>
      <c r="E3" s="250"/>
      <c r="F3" s="250"/>
      <c r="G3" s="250"/>
      <c r="H3" s="250"/>
    </row>
    <row r="4" spans="1:8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60" t="s">
        <v>6</v>
      </c>
      <c r="F4" s="160" t="s">
        <v>7</v>
      </c>
      <c r="G4" s="160" t="s">
        <v>8</v>
      </c>
      <c r="H4" s="161" t="s">
        <v>909</v>
      </c>
    </row>
    <row r="5" spans="1:8" x14ac:dyDescent="0.2">
      <c r="A5" s="15" t="s">
        <v>9</v>
      </c>
      <c r="B5" s="15" t="s">
        <v>9</v>
      </c>
      <c r="C5" s="3" t="s">
        <v>10</v>
      </c>
      <c r="D5" s="15" t="s">
        <v>9</v>
      </c>
      <c r="E5" s="15" t="s">
        <v>9</v>
      </c>
      <c r="F5" s="15" t="s">
        <v>9</v>
      </c>
      <c r="G5" s="15" t="s">
        <v>9</v>
      </c>
      <c r="H5" s="100"/>
    </row>
    <row r="6" spans="1:8" ht="25.5" x14ac:dyDescent="0.2">
      <c r="A6" s="15" t="s">
        <v>9</v>
      </c>
      <c r="B6" s="15" t="s">
        <v>9</v>
      </c>
      <c r="C6" s="3" t="s">
        <v>11</v>
      </c>
      <c r="D6" s="15" t="s">
        <v>9</v>
      </c>
      <c r="E6" s="15" t="s">
        <v>9</v>
      </c>
      <c r="F6" s="15" t="s">
        <v>9</v>
      </c>
      <c r="G6" s="15" t="s">
        <v>9</v>
      </c>
      <c r="H6" s="100"/>
    </row>
    <row r="7" spans="1:8" ht="25.5" x14ac:dyDescent="0.2">
      <c r="A7" s="4">
        <v>1</v>
      </c>
      <c r="B7" s="5" t="s">
        <v>18</v>
      </c>
      <c r="C7" s="5" t="s">
        <v>19</v>
      </c>
      <c r="D7" s="5" t="s">
        <v>1001</v>
      </c>
      <c r="E7" s="6">
        <v>2240000</v>
      </c>
      <c r="F7" s="7">
        <v>22075.200000000001</v>
      </c>
      <c r="G7" s="8">
        <v>3.6242165E-2</v>
      </c>
      <c r="H7" s="100"/>
    </row>
    <row r="8" spans="1:8" ht="25.5" x14ac:dyDescent="0.2">
      <c r="A8" s="4">
        <v>2</v>
      </c>
      <c r="B8" s="5" t="s">
        <v>287</v>
      </c>
      <c r="C8" s="5" t="s">
        <v>288</v>
      </c>
      <c r="D8" s="5" t="s">
        <v>156</v>
      </c>
      <c r="E8" s="6">
        <v>3220000</v>
      </c>
      <c r="F8" s="7">
        <v>18410.349999999999</v>
      </c>
      <c r="G8" s="8">
        <v>3.0225363000000002E-2</v>
      </c>
      <c r="H8" s="100"/>
    </row>
    <row r="9" spans="1:8" x14ac:dyDescent="0.2">
      <c r="A9" s="4">
        <v>3</v>
      </c>
      <c r="B9" s="5" t="s">
        <v>289</v>
      </c>
      <c r="C9" s="5" t="s">
        <v>290</v>
      </c>
      <c r="D9" s="5" t="s">
        <v>1009</v>
      </c>
      <c r="E9" s="6">
        <v>2027701</v>
      </c>
      <c r="F9" s="7">
        <v>18166.173258999999</v>
      </c>
      <c r="G9" s="8">
        <v>2.9824483999999998E-2</v>
      </c>
      <c r="H9" s="100"/>
    </row>
    <row r="10" spans="1:8" x14ac:dyDescent="0.2">
      <c r="A10" s="4">
        <v>4</v>
      </c>
      <c r="B10" s="5" t="s">
        <v>83</v>
      </c>
      <c r="C10" s="5" t="s">
        <v>84</v>
      </c>
      <c r="D10" s="5" t="s">
        <v>28</v>
      </c>
      <c r="E10" s="6">
        <v>2145000</v>
      </c>
      <c r="F10" s="7">
        <v>17966.52</v>
      </c>
      <c r="G10" s="8">
        <v>2.9496701E-2</v>
      </c>
      <c r="H10" s="100"/>
    </row>
    <row r="11" spans="1:8" x14ac:dyDescent="0.2">
      <c r="A11" s="4">
        <v>5</v>
      </c>
      <c r="B11" s="5" t="s">
        <v>291</v>
      </c>
      <c r="C11" s="5" t="s">
        <v>292</v>
      </c>
      <c r="D11" s="5" t="s">
        <v>163</v>
      </c>
      <c r="E11" s="6">
        <v>556050</v>
      </c>
      <c r="F11" s="7">
        <v>17391.853875000001</v>
      </c>
      <c r="G11" s="8">
        <v>2.8553238000000002E-2</v>
      </c>
      <c r="H11" s="100"/>
    </row>
    <row r="12" spans="1:8" x14ac:dyDescent="0.2">
      <c r="A12" s="4">
        <v>6</v>
      </c>
      <c r="B12" s="5" t="s">
        <v>293</v>
      </c>
      <c r="C12" s="5" t="s">
        <v>294</v>
      </c>
      <c r="D12" s="5" t="s">
        <v>172</v>
      </c>
      <c r="E12" s="6">
        <v>515779</v>
      </c>
      <c r="F12" s="7">
        <v>16492.033524999999</v>
      </c>
      <c r="G12" s="8">
        <v>2.7075948999999998E-2</v>
      </c>
      <c r="H12" s="100"/>
    </row>
    <row r="13" spans="1:8" x14ac:dyDescent="0.2">
      <c r="A13" s="4">
        <v>7</v>
      </c>
      <c r="B13" s="5" t="s">
        <v>144</v>
      </c>
      <c r="C13" s="5" t="s">
        <v>145</v>
      </c>
      <c r="D13" s="5" t="s">
        <v>146</v>
      </c>
      <c r="E13" s="6">
        <v>480000</v>
      </c>
      <c r="F13" s="7">
        <v>16455.36</v>
      </c>
      <c r="G13" s="8">
        <v>2.701574E-2</v>
      </c>
      <c r="H13" s="100"/>
    </row>
    <row r="14" spans="1:8" x14ac:dyDescent="0.2">
      <c r="A14" s="4">
        <v>8</v>
      </c>
      <c r="B14" s="5" t="s">
        <v>295</v>
      </c>
      <c r="C14" s="5" t="s">
        <v>296</v>
      </c>
      <c r="D14" s="5" t="s">
        <v>151</v>
      </c>
      <c r="E14" s="6">
        <v>736918</v>
      </c>
      <c r="F14" s="7">
        <v>15519.49308</v>
      </c>
      <c r="G14" s="8">
        <v>2.5479272000000001E-2</v>
      </c>
      <c r="H14" s="100"/>
    </row>
    <row r="15" spans="1:8" x14ac:dyDescent="0.2">
      <c r="A15" s="4">
        <v>9</v>
      </c>
      <c r="B15" s="5" t="s">
        <v>297</v>
      </c>
      <c r="C15" s="5" t="s">
        <v>928</v>
      </c>
      <c r="D15" s="5" t="s">
        <v>22</v>
      </c>
      <c r="E15" s="6">
        <v>18952752</v>
      </c>
      <c r="F15" s="7">
        <v>15181.154352</v>
      </c>
      <c r="G15" s="8">
        <v>2.4923800999999999E-2</v>
      </c>
      <c r="H15" s="100"/>
    </row>
    <row r="16" spans="1:8" x14ac:dyDescent="0.2">
      <c r="A16" s="4">
        <v>10</v>
      </c>
      <c r="B16" s="5" t="s">
        <v>26</v>
      </c>
      <c r="C16" s="5" t="s">
        <v>27</v>
      </c>
      <c r="D16" s="5" t="s">
        <v>28</v>
      </c>
      <c r="E16" s="6">
        <v>1520000</v>
      </c>
      <c r="F16" s="7">
        <v>13921.68</v>
      </c>
      <c r="G16" s="8">
        <v>2.2856048E-2</v>
      </c>
      <c r="H16" s="100"/>
    </row>
    <row r="17" spans="1:8" x14ac:dyDescent="0.2">
      <c r="A17" s="4">
        <v>11</v>
      </c>
      <c r="B17" s="5" t="s">
        <v>299</v>
      </c>
      <c r="C17" s="5" t="s">
        <v>300</v>
      </c>
      <c r="D17" s="5" t="s">
        <v>193</v>
      </c>
      <c r="E17" s="6">
        <v>1542601</v>
      </c>
      <c r="F17" s="7">
        <v>13827.104063500001</v>
      </c>
      <c r="G17" s="8">
        <v>2.2700776999999998E-2</v>
      </c>
      <c r="H17" s="100"/>
    </row>
    <row r="18" spans="1:8" x14ac:dyDescent="0.2">
      <c r="A18" s="4">
        <v>12</v>
      </c>
      <c r="B18" s="5" t="s">
        <v>301</v>
      </c>
      <c r="C18" s="5" t="s">
        <v>302</v>
      </c>
      <c r="D18" s="5" t="s">
        <v>58</v>
      </c>
      <c r="E18" s="6">
        <v>1386681</v>
      </c>
      <c r="F18" s="7">
        <v>13272.6171915</v>
      </c>
      <c r="G18" s="8">
        <v>2.1790443E-2</v>
      </c>
      <c r="H18" s="100"/>
    </row>
    <row r="19" spans="1:8" x14ac:dyDescent="0.2">
      <c r="A19" s="4">
        <v>13</v>
      </c>
      <c r="B19" s="5" t="s">
        <v>303</v>
      </c>
      <c r="C19" s="5" t="s">
        <v>304</v>
      </c>
      <c r="D19" s="5" t="s">
        <v>22</v>
      </c>
      <c r="E19" s="6">
        <v>1266166</v>
      </c>
      <c r="F19" s="7">
        <v>12716.105138000001</v>
      </c>
      <c r="G19" s="8">
        <v>2.0876783999999999E-2</v>
      </c>
      <c r="H19" s="100"/>
    </row>
    <row r="20" spans="1:8" x14ac:dyDescent="0.2">
      <c r="A20" s="4">
        <v>14</v>
      </c>
      <c r="B20" s="5" t="s">
        <v>305</v>
      </c>
      <c r="C20" s="5" t="s">
        <v>306</v>
      </c>
      <c r="D20" s="5" t="s">
        <v>1005</v>
      </c>
      <c r="E20" s="6">
        <v>429478</v>
      </c>
      <c r="F20" s="7">
        <v>12419.215326</v>
      </c>
      <c r="G20" s="8">
        <v>2.0389362000000001E-2</v>
      </c>
      <c r="H20" s="100"/>
    </row>
    <row r="21" spans="1:8" x14ac:dyDescent="0.2">
      <c r="A21" s="4">
        <v>15</v>
      </c>
      <c r="B21" s="5" t="s">
        <v>307</v>
      </c>
      <c r="C21" s="5" t="s">
        <v>308</v>
      </c>
      <c r="D21" s="5" t="s">
        <v>193</v>
      </c>
      <c r="E21" s="6">
        <v>587800</v>
      </c>
      <c r="F21" s="7">
        <v>12374.9534</v>
      </c>
      <c r="G21" s="8">
        <v>2.0316694999999999E-2</v>
      </c>
      <c r="H21" s="100"/>
    </row>
    <row r="22" spans="1:8" x14ac:dyDescent="0.2">
      <c r="A22" s="4">
        <v>16</v>
      </c>
      <c r="B22" s="5" t="s">
        <v>309</v>
      </c>
      <c r="C22" s="5" t="s">
        <v>310</v>
      </c>
      <c r="D22" s="5" t="s">
        <v>58</v>
      </c>
      <c r="E22" s="6">
        <v>540000</v>
      </c>
      <c r="F22" s="7">
        <v>11995.83</v>
      </c>
      <c r="G22" s="8">
        <v>1.9694264999999999E-2</v>
      </c>
      <c r="H22" s="100"/>
    </row>
    <row r="23" spans="1:8" x14ac:dyDescent="0.2">
      <c r="A23" s="4">
        <v>17</v>
      </c>
      <c r="B23" s="5" t="s">
        <v>311</v>
      </c>
      <c r="C23" s="5" t="s">
        <v>312</v>
      </c>
      <c r="D23" s="5" t="s">
        <v>313</v>
      </c>
      <c r="E23" s="6">
        <v>472166</v>
      </c>
      <c r="F23" s="7">
        <v>11859.157338999999</v>
      </c>
      <c r="G23" s="8">
        <v>1.9469882000000001E-2</v>
      </c>
      <c r="H23" s="100"/>
    </row>
    <row r="24" spans="1:8" ht="25.5" x14ac:dyDescent="0.2">
      <c r="A24" s="4">
        <v>18</v>
      </c>
      <c r="B24" s="5" t="s">
        <v>314</v>
      </c>
      <c r="C24" s="5" t="s">
        <v>315</v>
      </c>
      <c r="D24" s="5" t="s">
        <v>73</v>
      </c>
      <c r="E24" s="6">
        <v>2403433</v>
      </c>
      <c r="F24" s="7">
        <v>11816.478344499999</v>
      </c>
      <c r="G24" s="8">
        <v>1.9399812999999998E-2</v>
      </c>
      <c r="H24" s="100"/>
    </row>
    <row r="25" spans="1:8" x14ac:dyDescent="0.2">
      <c r="A25" s="4">
        <v>19</v>
      </c>
      <c r="B25" s="5" t="s">
        <v>316</v>
      </c>
      <c r="C25" s="5" t="s">
        <v>317</v>
      </c>
      <c r="D25" s="5" t="s">
        <v>163</v>
      </c>
      <c r="E25" s="6">
        <v>13981</v>
      </c>
      <c r="F25" s="7">
        <v>11285.5400955</v>
      </c>
      <c r="G25" s="8">
        <v>1.8528139999999998E-2</v>
      </c>
      <c r="H25" s="100"/>
    </row>
    <row r="26" spans="1:8" x14ac:dyDescent="0.2">
      <c r="A26" s="4">
        <v>20</v>
      </c>
      <c r="B26" s="5" t="s">
        <v>318</v>
      </c>
      <c r="C26" s="5" t="s">
        <v>319</v>
      </c>
      <c r="D26" s="5" t="s">
        <v>22</v>
      </c>
      <c r="E26" s="6">
        <v>6717295</v>
      </c>
      <c r="F26" s="7">
        <v>11201.0894125</v>
      </c>
      <c r="G26" s="8">
        <v>1.8389493E-2</v>
      </c>
      <c r="H26" s="100"/>
    </row>
    <row r="27" spans="1:8" x14ac:dyDescent="0.2">
      <c r="A27" s="4">
        <v>21</v>
      </c>
      <c r="B27" s="5" t="s">
        <v>320</v>
      </c>
      <c r="C27" s="5" t="s">
        <v>321</v>
      </c>
      <c r="D27" s="5" t="s">
        <v>47</v>
      </c>
      <c r="E27" s="6">
        <v>2504373</v>
      </c>
      <c r="F27" s="7">
        <v>11056.806795</v>
      </c>
      <c r="G27" s="8">
        <v>1.8152615E-2</v>
      </c>
      <c r="H27" s="100"/>
    </row>
    <row r="28" spans="1:8" x14ac:dyDescent="0.2">
      <c r="A28" s="4">
        <v>22</v>
      </c>
      <c r="B28" s="5" t="s">
        <v>322</v>
      </c>
      <c r="C28" s="5" t="s">
        <v>323</v>
      </c>
      <c r="D28" s="5" t="s">
        <v>78</v>
      </c>
      <c r="E28" s="6">
        <v>2155766</v>
      </c>
      <c r="F28" s="7">
        <v>10971.771057</v>
      </c>
      <c r="G28" s="8">
        <v>1.8013007000000001E-2</v>
      </c>
      <c r="H28" s="100"/>
    </row>
    <row r="29" spans="1:8" ht="25.5" x14ac:dyDescent="0.2">
      <c r="A29" s="4">
        <v>23</v>
      </c>
      <c r="B29" s="5" t="s">
        <v>324</v>
      </c>
      <c r="C29" s="5" t="s">
        <v>325</v>
      </c>
      <c r="D29" s="5" t="s">
        <v>58</v>
      </c>
      <c r="E29" s="6">
        <v>2819006</v>
      </c>
      <c r="F29" s="7">
        <v>10850.354094</v>
      </c>
      <c r="G29" s="8">
        <v>1.781367E-2</v>
      </c>
      <c r="H29" s="100"/>
    </row>
    <row r="30" spans="1:8" ht="25.5" x14ac:dyDescent="0.2">
      <c r="A30" s="4">
        <v>24</v>
      </c>
      <c r="B30" s="5" t="s">
        <v>326</v>
      </c>
      <c r="C30" s="5" t="s">
        <v>327</v>
      </c>
      <c r="D30" s="5" t="s">
        <v>73</v>
      </c>
      <c r="E30" s="6">
        <v>1126494</v>
      </c>
      <c r="F30" s="7">
        <v>10707.888717</v>
      </c>
      <c r="G30" s="8">
        <v>1.7579775999999998E-2</v>
      </c>
      <c r="H30" s="100"/>
    </row>
    <row r="31" spans="1:8" ht="25.5" x14ac:dyDescent="0.2">
      <c r="A31" s="4">
        <v>25</v>
      </c>
      <c r="B31" s="5" t="s">
        <v>32</v>
      </c>
      <c r="C31" s="5" t="s">
        <v>33</v>
      </c>
      <c r="D31" s="5" t="s">
        <v>25</v>
      </c>
      <c r="E31" s="6">
        <v>24800</v>
      </c>
      <c r="F31" s="7">
        <v>10692.507600000001</v>
      </c>
      <c r="G31" s="8">
        <v>1.7554523999999998E-2</v>
      </c>
      <c r="H31" s="100"/>
    </row>
    <row r="32" spans="1:8" x14ac:dyDescent="0.2">
      <c r="A32" s="4">
        <v>26</v>
      </c>
      <c r="B32" s="5" t="s">
        <v>200</v>
      </c>
      <c r="C32" s="5" t="s">
        <v>201</v>
      </c>
      <c r="D32" s="5" t="s">
        <v>1003</v>
      </c>
      <c r="E32" s="6">
        <v>1672959</v>
      </c>
      <c r="F32" s="7">
        <v>10511.201397000001</v>
      </c>
      <c r="G32" s="8">
        <v>1.7256863000000001E-2</v>
      </c>
      <c r="H32" s="100"/>
    </row>
    <row r="33" spans="1:8" x14ac:dyDescent="0.2">
      <c r="A33" s="4">
        <v>27</v>
      </c>
      <c r="B33" s="5" t="s">
        <v>328</v>
      </c>
      <c r="C33" s="5" t="s">
        <v>953</v>
      </c>
      <c r="D33" s="5" t="s">
        <v>28</v>
      </c>
      <c r="E33" s="6">
        <v>200000</v>
      </c>
      <c r="F33" s="7">
        <v>10466.799999999999</v>
      </c>
      <c r="G33" s="8">
        <v>1.7183965999999998E-2</v>
      </c>
      <c r="H33" s="100"/>
    </row>
    <row r="34" spans="1:8" x14ac:dyDescent="0.2">
      <c r="A34" s="4">
        <v>28</v>
      </c>
      <c r="B34" s="5" t="s">
        <v>329</v>
      </c>
      <c r="C34" s="5" t="s">
        <v>945</v>
      </c>
      <c r="D34" s="5" t="s">
        <v>146</v>
      </c>
      <c r="E34" s="6">
        <v>162706</v>
      </c>
      <c r="F34" s="7">
        <v>10463.785566</v>
      </c>
      <c r="G34" s="8">
        <v>1.7179017000000001E-2</v>
      </c>
      <c r="H34" s="100"/>
    </row>
    <row r="35" spans="1:8" x14ac:dyDescent="0.2">
      <c r="A35" s="4">
        <v>29</v>
      </c>
      <c r="B35" s="5" t="s">
        <v>330</v>
      </c>
      <c r="C35" s="5" t="s">
        <v>331</v>
      </c>
      <c r="D35" s="5" t="s">
        <v>272</v>
      </c>
      <c r="E35" s="6">
        <v>1300000</v>
      </c>
      <c r="F35" s="7">
        <v>10097.1</v>
      </c>
      <c r="G35" s="8">
        <v>1.6577008000000001E-2</v>
      </c>
      <c r="H35" s="100"/>
    </row>
    <row r="36" spans="1:8" x14ac:dyDescent="0.2">
      <c r="A36" s="4">
        <v>30</v>
      </c>
      <c r="B36" s="5" t="s">
        <v>332</v>
      </c>
      <c r="C36" s="5" t="s">
        <v>333</v>
      </c>
      <c r="D36" s="5" t="s">
        <v>22</v>
      </c>
      <c r="E36" s="6">
        <v>18257153</v>
      </c>
      <c r="F36" s="7">
        <v>9986.6626909999995</v>
      </c>
      <c r="G36" s="8">
        <v>1.6395696000000001E-2</v>
      </c>
      <c r="H36" s="100"/>
    </row>
    <row r="37" spans="1:8" x14ac:dyDescent="0.2">
      <c r="A37" s="4">
        <v>31</v>
      </c>
      <c r="B37" s="5" t="s">
        <v>334</v>
      </c>
      <c r="C37" s="5" t="s">
        <v>335</v>
      </c>
      <c r="D37" s="5" t="s">
        <v>156</v>
      </c>
      <c r="E37" s="6">
        <v>2426123</v>
      </c>
      <c r="F37" s="7">
        <v>9842.7810109999991</v>
      </c>
      <c r="G37" s="8">
        <v>1.6159476999999998E-2</v>
      </c>
      <c r="H37" s="100"/>
    </row>
    <row r="38" spans="1:8" x14ac:dyDescent="0.2">
      <c r="A38" s="4">
        <v>32</v>
      </c>
      <c r="B38" s="5" t="s">
        <v>336</v>
      </c>
      <c r="C38" s="5" t="s">
        <v>337</v>
      </c>
      <c r="D38" s="5" t="s">
        <v>146</v>
      </c>
      <c r="E38" s="6">
        <v>595440</v>
      </c>
      <c r="F38" s="7">
        <v>9555.9188400000003</v>
      </c>
      <c r="G38" s="8">
        <v>1.5688519000000001E-2</v>
      </c>
      <c r="H38" s="100"/>
    </row>
    <row r="39" spans="1:8" x14ac:dyDescent="0.2">
      <c r="A39" s="4">
        <v>33</v>
      </c>
      <c r="B39" s="5" t="s">
        <v>338</v>
      </c>
      <c r="C39" s="5" t="s">
        <v>339</v>
      </c>
      <c r="D39" s="5" t="s">
        <v>193</v>
      </c>
      <c r="E39" s="6">
        <v>341452</v>
      </c>
      <c r="F39" s="7">
        <v>9497.6581060000008</v>
      </c>
      <c r="G39" s="8">
        <v>1.5592869000000001E-2</v>
      </c>
      <c r="H39" s="100"/>
    </row>
    <row r="40" spans="1:8" x14ac:dyDescent="0.2">
      <c r="A40" s="4">
        <v>34</v>
      </c>
      <c r="B40" s="5" t="s">
        <v>340</v>
      </c>
      <c r="C40" s="5" t="s">
        <v>341</v>
      </c>
      <c r="D40" s="5" t="s">
        <v>228</v>
      </c>
      <c r="E40" s="6">
        <v>31744</v>
      </c>
      <c r="F40" s="7">
        <v>9415.4608640000006</v>
      </c>
      <c r="G40" s="8">
        <v>1.545792E-2</v>
      </c>
      <c r="H40" s="100"/>
    </row>
    <row r="41" spans="1:8" x14ac:dyDescent="0.2">
      <c r="A41" s="4">
        <v>35</v>
      </c>
      <c r="B41" s="5" t="s">
        <v>342</v>
      </c>
      <c r="C41" s="5" t="s">
        <v>343</v>
      </c>
      <c r="D41" s="5" t="s">
        <v>58</v>
      </c>
      <c r="E41" s="6">
        <v>217254</v>
      </c>
      <c r="F41" s="7">
        <v>9128.5785720000003</v>
      </c>
      <c r="G41" s="8">
        <v>1.4986929E-2</v>
      </c>
      <c r="H41" s="100"/>
    </row>
    <row r="42" spans="1:8" x14ac:dyDescent="0.2">
      <c r="A42" s="4">
        <v>36</v>
      </c>
      <c r="B42" s="5" t="s">
        <v>89</v>
      </c>
      <c r="C42" s="5" t="s">
        <v>90</v>
      </c>
      <c r="D42" s="5" t="s">
        <v>91</v>
      </c>
      <c r="E42" s="6">
        <v>7942374</v>
      </c>
      <c r="F42" s="7">
        <v>8951.0554979999997</v>
      </c>
      <c r="G42" s="8">
        <v>1.4695478999999999E-2</v>
      </c>
      <c r="H42" s="100"/>
    </row>
    <row r="43" spans="1:8" x14ac:dyDescent="0.2">
      <c r="A43" s="4">
        <v>37</v>
      </c>
      <c r="B43" s="5" t="s">
        <v>344</v>
      </c>
      <c r="C43" s="5" t="s">
        <v>345</v>
      </c>
      <c r="D43" s="5" t="s">
        <v>1002</v>
      </c>
      <c r="E43" s="6">
        <v>6700000</v>
      </c>
      <c r="F43" s="7">
        <v>8827.25</v>
      </c>
      <c r="G43" s="8">
        <v>1.449222E-2</v>
      </c>
      <c r="H43" s="100"/>
    </row>
    <row r="44" spans="1:8" ht="25.5" x14ac:dyDescent="0.2">
      <c r="A44" s="4">
        <v>38</v>
      </c>
      <c r="B44" s="5" t="s">
        <v>346</v>
      </c>
      <c r="C44" s="5" t="s">
        <v>939</v>
      </c>
      <c r="D44" s="5" t="s">
        <v>73</v>
      </c>
      <c r="E44" s="6">
        <v>1290000</v>
      </c>
      <c r="F44" s="7">
        <v>8636.5499999999993</v>
      </c>
      <c r="G44" s="8">
        <v>1.4179136E-2</v>
      </c>
      <c r="H44" s="100"/>
    </row>
    <row r="45" spans="1:8" ht="25.5" x14ac:dyDescent="0.2">
      <c r="A45" s="4">
        <v>39</v>
      </c>
      <c r="B45" s="5" t="s">
        <v>348</v>
      </c>
      <c r="C45" s="5" t="s">
        <v>349</v>
      </c>
      <c r="D45" s="5" t="s">
        <v>156</v>
      </c>
      <c r="E45" s="6">
        <v>4731915</v>
      </c>
      <c r="F45" s="7">
        <v>7658.6044275000004</v>
      </c>
      <c r="G45" s="8">
        <v>1.2573585E-2</v>
      </c>
      <c r="H45" s="100"/>
    </row>
    <row r="46" spans="1:8" x14ac:dyDescent="0.2">
      <c r="A46" s="4">
        <v>40</v>
      </c>
      <c r="B46" s="5" t="s">
        <v>350</v>
      </c>
      <c r="C46" s="5" t="s">
        <v>351</v>
      </c>
      <c r="D46" s="5" t="s">
        <v>1006</v>
      </c>
      <c r="E46" s="6">
        <v>1646891</v>
      </c>
      <c r="F46" s="7">
        <v>7476.0616945000002</v>
      </c>
      <c r="G46" s="8">
        <v>1.2273894E-2</v>
      </c>
      <c r="H46" s="100"/>
    </row>
    <row r="47" spans="1:8" x14ac:dyDescent="0.2">
      <c r="A47" s="4">
        <v>41</v>
      </c>
      <c r="B47" s="5" t="s">
        <v>352</v>
      </c>
      <c r="C47" s="5" t="s">
        <v>353</v>
      </c>
      <c r="D47" s="5" t="s">
        <v>28</v>
      </c>
      <c r="E47" s="6">
        <v>1210000</v>
      </c>
      <c r="F47" s="7">
        <v>7385.84</v>
      </c>
      <c r="G47" s="8">
        <v>1.2125772E-2</v>
      </c>
      <c r="H47" s="100"/>
    </row>
    <row r="48" spans="1:8" x14ac:dyDescent="0.2">
      <c r="A48" s="4">
        <v>42</v>
      </c>
      <c r="B48" s="5" t="s">
        <v>354</v>
      </c>
      <c r="C48" s="5" t="s">
        <v>355</v>
      </c>
      <c r="D48" s="5" t="s">
        <v>63</v>
      </c>
      <c r="E48" s="6">
        <v>1197089</v>
      </c>
      <c r="F48" s="7">
        <v>7061.6280109999998</v>
      </c>
      <c r="G48" s="8">
        <v>1.1593493E-2</v>
      </c>
      <c r="H48" s="100"/>
    </row>
    <row r="49" spans="1:8" x14ac:dyDescent="0.2">
      <c r="A49" s="4">
        <v>43</v>
      </c>
      <c r="B49" s="5" t="s">
        <v>356</v>
      </c>
      <c r="C49" s="5" t="s">
        <v>357</v>
      </c>
      <c r="D49" s="5" t="s">
        <v>151</v>
      </c>
      <c r="E49" s="6">
        <v>745534</v>
      </c>
      <c r="F49" s="7">
        <v>6701.9778930000002</v>
      </c>
      <c r="G49" s="8">
        <v>1.1003035E-2</v>
      </c>
      <c r="H49" s="100"/>
    </row>
    <row r="50" spans="1:8" x14ac:dyDescent="0.2">
      <c r="A50" s="4">
        <v>44</v>
      </c>
      <c r="B50" s="5" t="s">
        <v>358</v>
      </c>
      <c r="C50" s="5" t="s">
        <v>359</v>
      </c>
      <c r="D50" s="5" t="s">
        <v>156</v>
      </c>
      <c r="E50" s="6">
        <v>583325</v>
      </c>
      <c r="F50" s="7">
        <v>6576.1143874999998</v>
      </c>
      <c r="G50" s="8">
        <v>1.0796396999999999E-2</v>
      </c>
      <c r="H50" s="100"/>
    </row>
    <row r="51" spans="1:8" x14ac:dyDescent="0.2">
      <c r="A51" s="4">
        <v>45</v>
      </c>
      <c r="B51" s="5" t="s">
        <v>360</v>
      </c>
      <c r="C51" s="5" t="s">
        <v>361</v>
      </c>
      <c r="D51" s="5" t="s">
        <v>98</v>
      </c>
      <c r="E51" s="6">
        <v>236000</v>
      </c>
      <c r="F51" s="7">
        <v>6440.2039999999997</v>
      </c>
      <c r="G51" s="8">
        <v>1.0573265E-2</v>
      </c>
      <c r="H51" s="100"/>
    </row>
    <row r="52" spans="1:8" x14ac:dyDescent="0.2">
      <c r="A52" s="4">
        <v>46</v>
      </c>
      <c r="B52" s="5" t="s">
        <v>362</v>
      </c>
      <c r="C52" s="5" t="s">
        <v>363</v>
      </c>
      <c r="D52" s="5" t="s">
        <v>364</v>
      </c>
      <c r="E52" s="6">
        <v>834189</v>
      </c>
      <c r="F52" s="7">
        <v>6188.848191</v>
      </c>
      <c r="G52" s="8">
        <v>1.0160598999999999E-2</v>
      </c>
      <c r="H52" s="100"/>
    </row>
    <row r="53" spans="1:8" ht="25.5" x14ac:dyDescent="0.2">
      <c r="A53" s="4">
        <v>47</v>
      </c>
      <c r="B53" s="5" t="s">
        <v>71</v>
      </c>
      <c r="C53" s="5" t="s">
        <v>72</v>
      </c>
      <c r="D53" s="5" t="s">
        <v>73</v>
      </c>
      <c r="E53" s="6">
        <v>1096661</v>
      </c>
      <c r="F53" s="7">
        <v>6094.6935075000001</v>
      </c>
      <c r="G53" s="8">
        <v>1.0006019999999999E-2</v>
      </c>
      <c r="H53" s="100"/>
    </row>
    <row r="54" spans="1:8" x14ac:dyDescent="0.2">
      <c r="A54" s="4">
        <v>48</v>
      </c>
      <c r="B54" s="5" t="s">
        <v>365</v>
      </c>
      <c r="C54" s="5" t="s">
        <v>366</v>
      </c>
      <c r="D54" s="5" t="s">
        <v>1004</v>
      </c>
      <c r="E54" s="6">
        <v>3273353</v>
      </c>
      <c r="F54" s="7">
        <v>6075.3431680000003</v>
      </c>
      <c r="G54" s="8">
        <v>9.974251E-3</v>
      </c>
      <c r="H54" s="100"/>
    </row>
    <row r="55" spans="1:8" x14ac:dyDescent="0.2">
      <c r="A55" s="4">
        <v>49</v>
      </c>
      <c r="B55" s="5" t="s">
        <v>367</v>
      </c>
      <c r="C55" s="5" t="s">
        <v>368</v>
      </c>
      <c r="D55" s="5" t="s">
        <v>22</v>
      </c>
      <c r="E55" s="6">
        <v>8776249</v>
      </c>
      <c r="F55" s="7">
        <v>5858.1462074999999</v>
      </c>
      <c r="G55" s="8">
        <v>9.6176660000000004E-3</v>
      </c>
      <c r="H55" s="100"/>
    </row>
    <row r="56" spans="1:8" x14ac:dyDescent="0.2">
      <c r="A56" s="4">
        <v>50</v>
      </c>
      <c r="B56" s="5" t="s">
        <v>369</v>
      </c>
      <c r="C56" s="5" t="s">
        <v>954</v>
      </c>
      <c r="D56" s="5" t="s">
        <v>163</v>
      </c>
      <c r="E56" s="6">
        <v>709679</v>
      </c>
      <c r="F56" s="7">
        <v>5753.7224925</v>
      </c>
      <c r="G56" s="8">
        <v>9.4462269999999997E-3</v>
      </c>
      <c r="H56" s="100"/>
    </row>
    <row r="57" spans="1:8" ht="25.5" x14ac:dyDescent="0.2">
      <c r="A57" s="4">
        <v>51</v>
      </c>
      <c r="B57" s="5" t="s">
        <v>370</v>
      </c>
      <c r="C57" s="5" t="s">
        <v>955</v>
      </c>
      <c r="D57" s="5" t="s">
        <v>63</v>
      </c>
      <c r="E57" s="6">
        <v>320020</v>
      </c>
      <c r="F57" s="7">
        <v>5732.8382799999999</v>
      </c>
      <c r="G57" s="8">
        <v>9.4119410000000001E-3</v>
      </c>
      <c r="H57" s="100"/>
    </row>
    <row r="58" spans="1:8" x14ac:dyDescent="0.2">
      <c r="A58" s="4">
        <v>52</v>
      </c>
      <c r="B58" s="5" t="s">
        <v>48</v>
      </c>
      <c r="C58" s="5" t="s">
        <v>49</v>
      </c>
      <c r="D58" s="5" t="s">
        <v>28</v>
      </c>
      <c r="E58" s="6">
        <v>403947</v>
      </c>
      <c r="F58" s="7">
        <v>5672.0218004999997</v>
      </c>
      <c r="G58" s="8">
        <v>9.3120949999999994E-3</v>
      </c>
      <c r="H58" s="100"/>
    </row>
    <row r="59" spans="1:8" x14ac:dyDescent="0.2">
      <c r="A59" s="4">
        <v>53</v>
      </c>
      <c r="B59" s="5" t="s">
        <v>216</v>
      </c>
      <c r="C59" s="5" t="s">
        <v>217</v>
      </c>
      <c r="D59" s="5" t="s">
        <v>1005</v>
      </c>
      <c r="E59" s="6">
        <v>2638121</v>
      </c>
      <c r="F59" s="7">
        <v>5558.520947</v>
      </c>
      <c r="G59" s="8">
        <v>9.1257530000000003E-3</v>
      </c>
      <c r="H59" s="100"/>
    </row>
    <row r="60" spans="1:8" x14ac:dyDescent="0.2">
      <c r="A60" s="4">
        <v>54</v>
      </c>
      <c r="B60" s="5" t="s">
        <v>371</v>
      </c>
      <c r="C60" s="5" t="s">
        <v>372</v>
      </c>
      <c r="D60" s="5" t="s">
        <v>58</v>
      </c>
      <c r="E60" s="6">
        <v>7855850</v>
      </c>
      <c r="F60" s="7">
        <v>4705.6541500000003</v>
      </c>
      <c r="G60" s="8">
        <v>7.7255509999999998E-3</v>
      </c>
      <c r="H60" s="100"/>
    </row>
    <row r="61" spans="1:8" x14ac:dyDescent="0.2">
      <c r="A61" s="4">
        <v>55</v>
      </c>
      <c r="B61" s="5" t="s">
        <v>373</v>
      </c>
      <c r="C61" s="5" t="s">
        <v>374</v>
      </c>
      <c r="D61" s="5" t="s">
        <v>375</v>
      </c>
      <c r="E61" s="6">
        <v>1250000</v>
      </c>
      <c r="F61" s="7">
        <v>4518.125</v>
      </c>
      <c r="G61" s="8">
        <v>7.417674E-3</v>
      </c>
      <c r="H61" s="100"/>
    </row>
    <row r="62" spans="1:8" x14ac:dyDescent="0.2">
      <c r="A62" s="4">
        <v>56</v>
      </c>
      <c r="B62" s="5" t="s">
        <v>376</v>
      </c>
      <c r="C62" s="5" t="s">
        <v>377</v>
      </c>
      <c r="D62" s="5" t="s">
        <v>38</v>
      </c>
      <c r="E62" s="6">
        <v>303078</v>
      </c>
      <c r="F62" s="7">
        <v>4147.167813</v>
      </c>
      <c r="G62" s="8">
        <v>6.8086509999999998E-3</v>
      </c>
      <c r="H62" s="100"/>
    </row>
    <row r="63" spans="1:8" x14ac:dyDescent="0.2">
      <c r="A63" s="4">
        <v>57</v>
      </c>
      <c r="B63" s="5" t="s">
        <v>378</v>
      </c>
      <c r="C63" s="5" t="s">
        <v>379</v>
      </c>
      <c r="D63" s="5" t="s">
        <v>151</v>
      </c>
      <c r="E63" s="6">
        <v>210807</v>
      </c>
      <c r="F63" s="7">
        <v>3720.3219359999998</v>
      </c>
      <c r="G63" s="8">
        <v>6.1078729999999998E-3</v>
      </c>
      <c r="H63" s="100"/>
    </row>
    <row r="64" spans="1:8" x14ac:dyDescent="0.2">
      <c r="A64" s="4">
        <v>58</v>
      </c>
      <c r="B64" s="5" t="s">
        <v>380</v>
      </c>
      <c r="C64" s="5" t="s">
        <v>381</v>
      </c>
      <c r="D64" s="5" t="s">
        <v>22</v>
      </c>
      <c r="E64" s="6">
        <v>1530000</v>
      </c>
      <c r="F64" s="7">
        <v>2841.9749999999999</v>
      </c>
      <c r="G64" s="8">
        <v>4.6658389999999998E-3</v>
      </c>
      <c r="H64" s="100"/>
    </row>
    <row r="65" spans="1:8" x14ac:dyDescent="0.2">
      <c r="A65" s="4">
        <v>59</v>
      </c>
      <c r="B65" s="5" t="s">
        <v>382</v>
      </c>
      <c r="C65" s="5" t="s">
        <v>383</v>
      </c>
      <c r="D65" s="5" t="s">
        <v>1009</v>
      </c>
      <c r="E65" s="6">
        <v>20000</v>
      </c>
      <c r="F65" s="7">
        <v>2208.33</v>
      </c>
      <c r="G65" s="8">
        <v>3.6255459999999999E-3</v>
      </c>
      <c r="H65" s="100"/>
    </row>
    <row r="66" spans="1:8" customFormat="1" ht="25.5" x14ac:dyDescent="0.2">
      <c r="A66" s="4">
        <v>60</v>
      </c>
      <c r="B66" s="76" t="s">
        <v>389</v>
      </c>
      <c r="C66" s="76" t="s">
        <v>1017</v>
      </c>
      <c r="D66" s="76" t="s">
        <v>272</v>
      </c>
      <c r="E66" s="77">
        <v>1458031</v>
      </c>
      <c r="F66" s="78">
        <v>2117.7900275000002</v>
      </c>
      <c r="G66" s="79">
        <v>3.4769010000000001E-3</v>
      </c>
      <c r="H66" s="78"/>
    </row>
    <row r="67" spans="1:8" x14ac:dyDescent="0.2">
      <c r="A67" s="4">
        <v>61</v>
      </c>
      <c r="B67" s="5" t="s">
        <v>384</v>
      </c>
      <c r="C67" s="5" t="s">
        <v>385</v>
      </c>
      <c r="D67" s="5" t="s">
        <v>156</v>
      </c>
      <c r="E67" s="6">
        <v>96000</v>
      </c>
      <c r="F67" s="7">
        <v>2183.6640000000002</v>
      </c>
      <c r="G67" s="8">
        <v>3.5850510000000001E-3</v>
      </c>
      <c r="H67" s="100"/>
    </row>
    <row r="68" spans="1:8" x14ac:dyDescent="0.2">
      <c r="A68" s="4">
        <v>62</v>
      </c>
      <c r="B68" s="5" t="s">
        <v>386</v>
      </c>
      <c r="C68" s="5" t="s">
        <v>387</v>
      </c>
      <c r="D68" s="5" t="s">
        <v>193</v>
      </c>
      <c r="E68" s="6">
        <v>17025</v>
      </c>
      <c r="F68" s="7">
        <v>1285.608825</v>
      </c>
      <c r="G68" s="8">
        <v>2.1106599999999999E-3</v>
      </c>
      <c r="H68" s="100"/>
    </row>
    <row r="69" spans="1:8" x14ac:dyDescent="0.2">
      <c r="A69" s="4">
        <v>63</v>
      </c>
      <c r="B69" s="5" t="s">
        <v>388</v>
      </c>
      <c r="C69" s="5" t="s">
        <v>946</v>
      </c>
      <c r="D69" s="5" t="s">
        <v>163</v>
      </c>
      <c r="E69" s="6">
        <v>15587</v>
      </c>
      <c r="F69" s="7">
        <v>1051.3821175</v>
      </c>
      <c r="G69" s="8">
        <v>1.726116E-3</v>
      </c>
      <c r="H69" s="100"/>
    </row>
    <row r="70" spans="1:8" x14ac:dyDescent="0.2">
      <c r="A70" s="15" t="s">
        <v>9</v>
      </c>
      <c r="B70" s="15" t="s">
        <v>9</v>
      </c>
      <c r="C70" s="3" t="s">
        <v>94</v>
      </c>
      <c r="D70" s="15" t="s">
        <v>9</v>
      </c>
      <c r="E70" s="15" t="s">
        <v>9</v>
      </c>
      <c r="F70" s="9">
        <v>599022.62308599986</v>
      </c>
      <c r="G70" s="10">
        <v>0.98345096100000018</v>
      </c>
      <c r="H70" s="100"/>
    </row>
    <row r="71" spans="1:8" x14ac:dyDescent="0.2">
      <c r="A71" s="15" t="s">
        <v>9</v>
      </c>
      <c r="B71" s="15" t="s">
        <v>9</v>
      </c>
      <c r="C71" s="11" t="s">
        <v>9</v>
      </c>
      <c r="D71" s="15" t="s">
        <v>9</v>
      </c>
      <c r="E71" s="15" t="s">
        <v>9</v>
      </c>
      <c r="F71" s="12" t="s">
        <v>9</v>
      </c>
      <c r="G71" s="12" t="s">
        <v>9</v>
      </c>
      <c r="H71" s="100"/>
    </row>
    <row r="72" spans="1:8" x14ac:dyDescent="0.2">
      <c r="A72" s="15" t="s">
        <v>9</v>
      </c>
      <c r="B72" s="15" t="s">
        <v>9</v>
      </c>
      <c r="C72" s="3" t="s">
        <v>95</v>
      </c>
      <c r="D72" s="15" t="s">
        <v>9</v>
      </c>
      <c r="E72" s="15" t="s">
        <v>9</v>
      </c>
      <c r="F72" s="15" t="s">
        <v>9</v>
      </c>
      <c r="G72" s="15" t="s">
        <v>9</v>
      </c>
      <c r="H72" s="100"/>
    </row>
    <row r="73" spans="1:8" x14ac:dyDescent="0.2">
      <c r="A73" s="15" t="s">
        <v>9</v>
      </c>
      <c r="B73" s="15" t="s">
        <v>9</v>
      </c>
      <c r="C73" s="3" t="s">
        <v>94</v>
      </c>
      <c r="D73" s="15" t="s">
        <v>9</v>
      </c>
      <c r="E73" s="15" t="s">
        <v>9</v>
      </c>
      <c r="F73" s="13">
        <v>0</v>
      </c>
      <c r="G73" s="14">
        <v>0</v>
      </c>
      <c r="H73" s="100"/>
    </row>
    <row r="74" spans="1:8" x14ac:dyDescent="0.2">
      <c r="A74" s="15" t="s">
        <v>9</v>
      </c>
      <c r="B74" s="15" t="s">
        <v>9</v>
      </c>
      <c r="C74" s="11" t="s">
        <v>9</v>
      </c>
      <c r="D74" s="15" t="s">
        <v>9</v>
      </c>
      <c r="E74" s="15" t="s">
        <v>9</v>
      </c>
      <c r="F74" s="12" t="s">
        <v>9</v>
      </c>
      <c r="G74" s="12" t="s">
        <v>9</v>
      </c>
      <c r="H74" s="100"/>
    </row>
    <row r="75" spans="1:8" x14ac:dyDescent="0.2">
      <c r="A75" s="15" t="s">
        <v>9</v>
      </c>
      <c r="B75" s="15" t="s">
        <v>9</v>
      </c>
      <c r="C75" s="3" t="s">
        <v>96</v>
      </c>
      <c r="D75" s="15" t="s">
        <v>9</v>
      </c>
      <c r="E75" s="15" t="s">
        <v>9</v>
      </c>
      <c r="F75" s="15" t="s">
        <v>9</v>
      </c>
      <c r="G75" s="15" t="s">
        <v>9</v>
      </c>
      <c r="H75" s="100"/>
    </row>
    <row r="76" spans="1:8" x14ac:dyDescent="0.2">
      <c r="A76" s="15" t="s">
        <v>9</v>
      </c>
      <c r="B76" s="15" t="s">
        <v>9</v>
      </c>
      <c r="C76" s="3" t="s">
        <v>94</v>
      </c>
      <c r="D76" s="15" t="s">
        <v>9</v>
      </c>
      <c r="E76" s="15" t="s">
        <v>9</v>
      </c>
      <c r="F76" s="13">
        <v>0</v>
      </c>
      <c r="G76" s="14">
        <v>0</v>
      </c>
      <c r="H76" s="100"/>
    </row>
    <row r="77" spans="1:8" x14ac:dyDescent="0.2">
      <c r="A77" s="15" t="s">
        <v>9</v>
      </c>
      <c r="B77" s="15" t="s">
        <v>9</v>
      </c>
      <c r="C77" s="11" t="s">
        <v>9</v>
      </c>
      <c r="D77" s="15" t="s">
        <v>9</v>
      </c>
      <c r="E77" s="15" t="s">
        <v>9</v>
      </c>
      <c r="F77" s="12" t="s">
        <v>9</v>
      </c>
      <c r="G77" s="12" t="s">
        <v>9</v>
      </c>
      <c r="H77" s="100"/>
    </row>
    <row r="78" spans="1:8" x14ac:dyDescent="0.2">
      <c r="A78" s="15" t="s">
        <v>9</v>
      </c>
      <c r="B78" s="15" t="s">
        <v>9</v>
      </c>
      <c r="C78" s="3" t="s">
        <v>100</v>
      </c>
      <c r="D78" s="15" t="s">
        <v>9</v>
      </c>
      <c r="E78" s="15" t="s">
        <v>9</v>
      </c>
      <c r="F78" s="15" t="s">
        <v>9</v>
      </c>
      <c r="G78" s="15" t="s">
        <v>9</v>
      </c>
      <c r="H78" s="100"/>
    </row>
    <row r="79" spans="1:8" x14ac:dyDescent="0.2">
      <c r="A79" s="15" t="s">
        <v>9</v>
      </c>
      <c r="B79" s="15" t="s">
        <v>9</v>
      </c>
      <c r="C79" s="3" t="s">
        <v>94</v>
      </c>
      <c r="D79" s="15" t="s">
        <v>9</v>
      </c>
      <c r="E79" s="15" t="s">
        <v>9</v>
      </c>
      <c r="F79" s="9">
        <v>0</v>
      </c>
      <c r="G79" s="10">
        <v>0</v>
      </c>
      <c r="H79" s="100"/>
    </row>
    <row r="80" spans="1:8" x14ac:dyDescent="0.2">
      <c r="A80" s="15" t="s">
        <v>9</v>
      </c>
      <c r="B80" s="15" t="s">
        <v>9</v>
      </c>
      <c r="C80" s="11" t="s">
        <v>9</v>
      </c>
      <c r="D80" s="15" t="s">
        <v>9</v>
      </c>
      <c r="E80" s="15" t="s">
        <v>9</v>
      </c>
      <c r="F80" s="12" t="s">
        <v>9</v>
      </c>
      <c r="G80" s="12" t="s">
        <v>9</v>
      </c>
      <c r="H80" s="100"/>
    </row>
    <row r="81" spans="1:8" x14ac:dyDescent="0.2">
      <c r="A81" s="15" t="s">
        <v>9</v>
      </c>
      <c r="B81" s="15" t="s">
        <v>9</v>
      </c>
      <c r="C81" s="3" t="s">
        <v>101</v>
      </c>
      <c r="D81" s="15" t="s">
        <v>9</v>
      </c>
      <c r="E81" s="15" t="s">
        <v>9</v>
      </c>
      <c r="F81" s="12" t="s">
        <v>9</v>
      </c>
      <c r="G81" s="12" t="s">
        <v>9</v>
      </c>
      <c r="H81" s="100"/>
    </row>
    <row r="82" spans="1:8" x14ac:dyDescent="0.2">
      <c r="A82" s="15" t="s">
        <v>9</v>
      </c>
      <c r="B82" s="15" t="s">
        <v>9</v>
      </c>
      <c r="C82" s="3" t="s">
        <v>94</v>
      </c>
      <c r="D82" s="15" t="s">
        <v>9</v>
      </c>
      <c r="E82" s="15" t="s">
        <v>9</v>
      </c>
      <c r="F82" s="13">
        <v>0</v>
      </c>
      <c r="G82" s="14">
        <v>0</v>
      </c>
      <c r="H82" s="100"/>
    </row>
    <row r="83" spans="1:8" x14ac:dyDescent="0.2">
      <c r="A83" s="15" t="s">
        <v>9</v>
      </c>
      <c r="B83" s="15" t="s">
        <v>9</v>
      </c>
      <c r="C83" s="11" t="s">
        <v>9</v>
      </c>
      <c r="D83" s="15" t="s">
        <v>9</v>
      </c>
      <c r="E83" s="15" t="s">
        <v>9</v>
      </c>
      <c r="F83" s="12" t="s">
        <v>9</v>
      </c>
      <c r="G83" s="12" t="s">
        <v>9</v>
      </c>
      <c r="H83" s="100"/>
    </row>
    <row r="84" spans="1:8" x14ac:dyDescent="0.2">
      <c r="A84" s="15" t="s">
        <v>9</v>
      </c>
      <c r="B84" s="15" t="s">
        <v>9</v>
      </c>
      <c r="C84" s="3" t="s">
        <v>102</v>
      </c>
      <c r="D84" s="15" t="s">
        <v>9</v>
      </c>
      <c r="E84" s="15" t="s">
        <v>9</v>
      </c>
      <c r="F84" s="12" t="s">
        <v>9</v>
      </c>
      <c r="G84" s="12" t="s">
        <v>9</v>
      </c>
      <c r="H84" s="100"/>
    </row>
    <row r="85" spans="1:8" x14ac:dyDescent="0.2">
      <c r="A85" s="15" t="s">
        <v>9</v>
      </c>
      <c r="B85" s="15" t="s">
        <v>9</v>
      </c>
      <c r="C85" s="3" t="s">
        <v>94</v>
      </c>
      <c r="D85" s="15" t="s">
        <v>9</v>
      </c>
      <c r="E85" s="15" t="s">
        <v>9</v>
      </c>
      <c r="F85" s="13">
        <v>0</v>
      </c>
      <c r="G85" s="14">
        <v>0</v>
      </c>
      <c r="H85" s="100"/>
    </row>
    <row r="86" spans="1:8" x14ac:dyDescent="0.2">
      <c r="A86" s="15" t="s">
        <v>9</v>
      </c>
      <c r="B86" s="15" t="s">
        <v>9</v>
      </c>
      <c r="C86" s="11" t="s">
        <v>9</v>
      </c>
      <c r="D86" s="15" t="s">
        <v>9</v>
      </c>
      <c r="E86" s="15" t="s">
        <v>9</v>
      </c>
      <c r="F86" s="12" t="s">
        <v>9</v>
      </c>
      <c r="G86" s="12" t="s">
        <v>9</v>
      </c>
      <c r="H86" s="100"/>
    </row>
    <row r="87" spans="1:8" x14ac:dyDescent="0.2">
      <c r="A87" s="15" t="s">
        <v>9</v>
      </c>
      <c r="B87" s="15" t="s">
        <v>9</v>
      </c>
      <c r="C87" s="3" t="s">
        <v>104</v>
      </c>
      <c r="D87" s="15" t="s">
        <v>9</v>
      </c>
      <c r="E87" s="15" t="s">
        <v>9</v>
      </c>
      <c r="F87" s="9">
        <v>599022.62308599998</v>
      </c>
      <c r="G87" s="10">
        <v>0.98345096099999996</v>
      </c>
      <c r="H87" s="100"/>
    </row>
    <row r="88" spans="1:8" x14ac:dyDescent="0.2">
      <c r="A88" s="15" t="s">
        <v>9</v>
      </c>
      <c r="B88" s="15" t="s">
        <v>9</v>
      </c>
      <c r="C88" s="11" t="s">
        <v>9</v>
      </c>
      <c r="D88" s="15" t="s">
        <v>9</v>
      </c>
      <c r="E88" s="15" t="s">
        <v>9</v>
      </c>
      <c r="F88" s="12" t="s">
        <v>9</v>
      </c>
      <c r="G88" s="12" t="s">
        <v>9</v>
      </c>
      <c r="H88" s="100"/>
    </row>
    <row r="89" spans="1:8" x14ac:dyDescent="0.2">
      <c r="A89" s="15" t="s">
        <v>9</v>
      </c>
      <c r="B89" s="15" t="s">
        <v>9</v>
      </c>
      <c r="C89" s="3" t="s">
        <v>105</v>
      </c>
      <c r="D89" s="15" t="s">
        <v>9</v>
      </c>
      <c r="E89" s="15" t="s">
        <v>9</v>
      </c>
      <c r="F89" s="12" t="s">
        <v>9</v>
      </c>
      <c r="G89" s="12" t="s">
        <v>9</v>
      </c>
      <c r="H89" s="100"/>
    </row>
    <row r="90" spans="1:8" ht="25.5" x14ac:dyDescent="0.2">
      <c r="A90" s="15" t="s">
        <v>9</v>
      </c>
      <c r="B90" s="15" t="s">
        <v>9</v>
      </c>
      <c r="C90" s="3" t="s">
        <v>11</v>
      </c>
      <c r="D90" s="15" t="s">
        <v>9</v>
      </c>
      <c r="E90" s="15" t="s">
        <v>9</v>
      </c>
      <c r="F90" s="12" t="s">
        <v>9</v>
      </c>
      <c r="G90" s="12" t="s">
        <v>9</v>
      </c>
      <c r="H90" s="100"/>
    </row>
    <row r="91" spans="1:8" x14ac:dyDescent="0.2">
      <c r="A91" s="15" t="s">
        <v>9</v>
      </c>
      <c r="B91" s="15" t="s">
        <v>9</v>
      </c>
      <c r="C91" s="3" t="s">
        <v>94</v>
      </c>
      <c r="D91" s="15" t="s">
        <v>9</v>
      </c>
      <c r="E91" s="15" t="s">
        <v>9</v>
      </c>
      <c r="F91" s="13">
        <v>0</v>
      </c>
      <c r="G91" s="14">
        <v>0</v>
      </c>
      <c r="H91" s="100"/>
    </row>
    <row r="92" spans="1:8" x14ac:dyDescent="0.2">
      <c r="A92" s="15" t="s">
        <v>9</v>
      </c>
      <c r="B92" s="15" t="s">
        <v>9</v>
      </c>
      <c r="C92" s="11" t="s">
        <v>9</v>
      </c>
      <c r="D92" s="15" t="s">
        <v>9</v>
      </c>
      <c r="E92" s="15" t="s">
        <v>9</v>
      </c>
      <c r="F92" s="12" t="s">
        <v>9</v>
      </c>
      <c r="G92" s="12" t="s">
        <v>9</v>
      </c>
      <c r="H92" s="100"/>
    </row>
    <row r="93" spans="1:8" x14ac:dyDescent="0.2">
      <c r="A93" s="15" t="s">
        <v>9</v>
      </c>
      <c r="B93" s="15" t="s">
        <v>9</v>
      </c>
      <c r="C93" s="3" t="s">
        <v>106</v>
      </c>
      <c r="D93" s="15" t="s">
        <v>9</v>
      </c>
      <c r="E93" s="15" t="s">
        <v>9</v>
      </c>
      <c r="F93" s="15" t="s">
        <v>9</v>
      </c>
      <c r="G93" s="15" t="s">
        <v>9</v>
      </c>
      <c r="H93" s="100"/>
    </row>
    <row r="94" spans="1:8" x14ac:dyDescent="0.2">
      <c r="A94" s="15" t="s">
        <v>9</v>
      </c>
      <c r="B94" s="15" t="s">
        <v>9</v>
      </c>
      <c r="C94" s="3" t="s">
        <v>94</v>
      </c>
      <c r="D94" s="15" t="s">
        <v>9</v>
      </c>
      <c r="E94" s="15" t="s">
        <v>9</v>
      </c>
      <c r="F94" s="13">
        <v>0</v>
      </c>
      <c r="G94" s="14">
        <v>0</v>
      </c>
      <c r="H94" s="100"/>
    </row>
    <row r="95" spans="1:8" x14ac:dyDescent="0.2">
      <c r="A95" s="15" t="s">
        <v>9</v>
      </c>
      <c r="B95" s="15" t="s">
        <v>9</v>
      </c>
      <c r="C95" s="11" t="s">
        <v>9</v>
      </c>
      <c r="D95" s="15" t="s">
        <v>9</v>
      </c>
      <c r="E95" s="15" t="s">
        <v>9</v>
      </c>
      <c r="F95" s="12" t="s">
        <v>9</v>
      </c>
      <c r="G95" s="12" t="s">
        <v>9</v>
      </c>
      <c r="H95" s="100"/>
    </row>
    <row r="96" spans="1:8" x14ac:dyDescent="0.2">
      <c r="A96" s="15" t="s">
        <v>9</v>
      </c>
      <c r="B96" s="15" t="s">
        <v>9</v>
      </c>
      <c r="C96" s="3" t="s">
        <v>107</v>
      </c>
      <c r="D96" s="15" t="s">
        <v>9</v>
      </c>
      <c r="E96" s="15" t="s">
        <v>9</v>
      </c>
      <c r="F96" s="15" t="s">
        <v>9</v>
      </c>
      <c r="G96" s="15" t="s">
        <v>9</v>
      </c>
      <c r="H96" s="100"/>
    </row>
    <row r="97" spans="1:8" x14ac:dyDescent="0.2">
      <c r="A97" s="15" t="s">
        <v>9</v>
      </c>
      <c r="B97" s="15" t="s">
        <v>9</v>
      </c>
      <c r="C97" s="3" t="s">
        <v>94</v>
      </c>
      <c r="D97" s="15" t="s">
        <v>9</v>
      </c>
      <c r="E97" s="15" t="s">
        <v>9</v>
      </c>
      <c r="F97" s="13">
        <v>0</v>
      </c>
      <c r="G97" s="14">
        <v>0</v>
      </c>
      <c r="H97" s="100"/>
    </row>
    <row r="98" spans="1:8" x14ac:dyDescent="0.2">
      <c r="A98" s="15" t="s">
        <v>9</v>
      </c>
      <c r="B98" s="15" t="s">
        <v>9</v>
      </c>
      <c r="C98" s="11" t="s">
        <v>9</v>
      </c>
      <c r="D98" s="15" t="s">
        <v>9</v>
      </c>
      <c r="E98" s="15" t="s">
        <v>9</v>
      </c>
      <c r="F98" s="12" t="s">
        <v>9</v>
      </c>
      <c r="G98" s="12" t="s">
        <v>9</v>
      </c>
      <c r="H98" s="100"/>
    </row>
    <row r="99" spans="1:8" x14ac:dyDescent="0.2">
      <c r="A99" s="15" t="s">
        <v>9</v>
      </c>
      <c r="B99" s="15" t="s">
        <v>9</v>
      </c>
      <c r="C99" s="3" t="s">
        <v>108</v>
      </c>
      <c r="D99" s="15" t="s">
        <v>9</v>
      </c>
      <c r="E99" s="15" t="s">
        <v>9</v>
      </c>
      <c r="F99" s="12" t="s">
        <v>9</v>
      </c>
      <c r="G99" s="12" t="s">
        <v>9</v>
      </c>
      <c r="H99" s="100"/>
    </row>
    <row r="100" spans="1:8" x14ac:dyDescent="0.2">
      <c r="A100" s="15" t="s">
        <v>9</v>
      </c>
      <c r="B100" s="15" t="s">
        <v>9</v>
      </c>
      <c r="C100" s="3" t="s">
        <v>94</v>
      </c>
      <c r="D100" s="15" t="s">
        <v>9</v>
      </c>
      <c r="E100" s="15" t="s">
        <v>9</v>
      </c>
      <c r="F100" s="13">
        <v>0</v>
      </c>
      <c r="G100" s="14">
        <v>0</v>
      </c>
      <c r="H100" s="100"/>
    </row>
    <row r="101" spans="1:8" x14ac:dyDescent="0.2">
      <c r="A101" s="15" t="s">
        <v>9</v>
      </c>
      <c r="B101" s="15" t="s">
        <v>9</v>
      </c>
      <c r="C101" s="11" t="s">
        <v>9</v>
      </c>
      <c r="D101" s="15" t="s">
        <v>9</v>
      </c>
      <c r="E101" s="15" t="s">
        <v>9</v>
      </c>
      <c r="F101" s="12" t="s">
        <v>9</v>
      </c>
      <c r="G101" s="12" t="s">
        <v>9</v>
      </c>
      <c r="H101" s="100"/>
    </row>
    <row r="102" spans="1:8" x14ac:dyDescent="0.2">
      <c r="A102" s="15" t="s">
        <v>9</v>
      </c>
      <c r="B102" s="15" t="s">
        <v>9</v>
      </c>
      <c r="C102" s="3" t="s">
        <v>109</v>
      </c>
      <c r="D102" s="15" t="s">
        <v>9</v>
      </c>
      <c r="E102" s="15" t="s">
        <v>9</v>
      </c>
      <c r="F102" s="9">
        <v>0</v>
      </c>
      <c r="G102" s="10">
        <v>0</v>
      </c>
      <c r="H102" s="100"/>
    </row>
    <row r="103" spans="1:8" x14ac:dyDescent="0.2">
      <c r="A103" s="15" t="s">
        <v>9</v>
      </c>
      <c r="B103" s="15" t="s">
        <v>9</v>
      </c>
      <c r="C103" s="11" t="s">
        <v>9</v>
      </c>
      <c r="D103" s="15" t="s">
        <v>9</v>
      </c>
      <c r="E103" s="15" t="s">
        <v>9</v>
      </c>
      <c r="F103" s="12" t="s">
        <v>9</v>
      </c>
      <c r="G103" s="12" t="s">
        <v>9</v>
      </c>
      <c r="H103" s="100"/>
    </row>
    <row r="104" spans="1:8" x14ac:dyDescent="0.2">
      <c r="A104" s="15" t="s">
        <v>9</v>
      </c>
      <c r="B104" s="15" t="s">
        <v>9</v>
      </c>
      <c r="C104" s="3" t="s">
        <v>110</v>
      </c>
      <c r="D104" s="15" t="s">
        <v>9</v>
      </c>
      <c r="E104" s="15" t="s">
        <v>9</v>
      </c>
      <c r="F104" s="12" t="s">
        <v>9</v>
      </c>
      <c r="G104" s="12" t="s">
        <v>9</v>
      </c>
      <c r="H104" s="100"/>
    </row>
    <row r="105" spans="1:8" x14ac:dyDescent="0.2">
      <c r="A105" s="15" t="s">
        <v>9</v>
      </c>
      <c r="B105" s="15" t="s">
        <v>9</v>
      </c>
      <c r="C105" s="3" t="s">
        <v>111</v>
      </c>
      <c r="D105" s="15" t="s">
        <v>9</v>
      </c>
      <c r="E105" s="15" t="s">
        <v>9</v>
      </c>
      <c r="F105" s="12" t="s">
        <v>9</v>
      </c>
      <c r="G105" s="12" t="s">
        <v>9</v>
      </c>
      <c r="H105" s="100"/>
    </row>
    <row r="106" spans="1:8" x14ac:dyDescent="0.2">
      <c r="A106" s="15" t="s">
        <v>9</v>
      </c>
      <c r="B106" s="15" t="s">
        <v>9</v>
      </c>
      <c r="C106" s="3" t="s">
        <v>94</v>
      </c>
      <c r="D106" s="15" t="s">
        <v>9</v>
      </c>
      <c r="E106" s="15" t="s">
        <v>9</v>
      </c>
      <c r="F106" s="13">
        <v>0</v>
      </c>
      <c r="G106" s="14">
        <v>0</v>
      </c>
      <c r="H106" s="100"/>
    </row>
    <row r="107" spans="1:8" x14ac:dyDescent="0.2">
      <c r="A107" s="15" t="s">
        <v>9</v>
      </c>
      <c r="B107" s="15" t="s">
        <v>9</v>
      </c>
      <c r="C107" s="11" t="s">
        <v>9</v>
      </c>
      <c r="D107" s="15" t="s">
        <v>9</v>
      </c>
      <c r="E107" s="15" t="s">
        <v>9</v>
      </c>
      <c r="F107" s="12" t="s">
        <v>9</v>
      </c>
      <c r="G107" s="12" t="s">
        <v>9</v>
      </c>
      <c r="H107" s="100"/>
    </row>
    <row r="108" spans="1:8" x14ac:dyDescent="0.2">
      <c r="A108" s="15" t="s">
        <v>9</v>
      </c>
      <c r="B108" s="15" t="s">
        <v>9</v>
      </c>
      <c r="C108" s="3" t="s">
        <v>112</v>
      </c>
      <c r="D108" s="15" t="s">
        <v>9</v>
      </c>
      <c r="E108" s="15" t="s">
        <v>9</v>
      </c>
      <c r="F108" s="12" t="s">
        <v>9</v>
      </c>
      <c r="G108" s="12" t="s">
        <v>9</v>
      </c>
      <c r="H108" s="100"/>
    </row>
    <row r="109" spans="1:8" x14ac:dyDescent="0.2">
      <c r="A109" s="15" t="s">
        <v>9</v>
      </c>
      <c r="B109" s="15" t="s">
        <v>9</v>
      </c>
      <c r="C109" s="3" t="s">
        <v>94</v>
      </c>
      <c r="D109" s="15" t="s">
        <v>9</v>
      </c>
      <c r="E109" s="15" t="s">
        <v>9</v>
      </c>
      <c r="F109" s="13">
        <v>0</v>
      </c>
      <c r="G109" s="14">
        <v>0</v>
      </c>
      <c r="H109" s="100"/>
    </row>
    <row r="110" spans="1:8" x14ac:dyDescent="0.2">
      <c r="A110" s="15" t="s">
        <v>9</v>
      </c>
      <c r="B110" s="15" t="s">
        <v>9</v>
      </c>
      <c r="C110" s="11" t="s">
        <v>9</v>
      </c>
      <c r="D110" s="15" t="s">
        <v>9</v>
      </c>
      <c r="E110" s="15" t="s">
        <v>9</v>
      </c>
      <c r="F110" s="12" t="s">
        <v>9</v>
      </c>
      <c r="G110" s="12" t="s">
        <v>9</v>
      </c>
      <c r="H110" s="100"/>
    </row>
    <row r="111" spans="1:8" x14ac:dyDescent="0.2">
      <c r="A111" s="15" t="s">
        <v>9</v>
      </c>
      <c r="B111" s="15" t="s">
        <v>9</v>
      </c>
      <c r="C111" s="3" t="s">
        <v>113</v>
      </c>
      <c r="D111" s="15" t="s">
        <v>9</v>
      </c>
      <c r="E111" s="15" t="s">
        <v>9</v>
      </c>
      <c r="F111" s="12" t="s">
        <v>9</v>
      </c>
      <c r="G111" s="12" t="s">
        <v>9</v>
      </c>
      <c r="H111" s="100"/>
    </row>
    <row r="112" spans="1:8" x14ac:dyDescent="0.2">
      <c r="A112" s="15" t="s">
        <v>9</v>
      </c>
      <c r="B112" s="15" t="s">
        <v>9</v>
      </c>
      <c r="C112" s="3" t="s">
        <v>94</v>
      </c>
      <c r="D112" s="15" t="s">
        <v>9</v>
      </c>
      <c r="E112" s="15" t="s">
        <v>9</v>
      </c>
      <c r="F112" s="13">
        <v>0</v>
      </c>
      <c r="G112" s="14">
        <v>0</v>
      </c>
      <c r="H112" s="100"/>
    </row>
    <row r="113" spans="1:8" x14ac:dyDescent="0.2">
      <c r="A113" s="15" t="s">
        <v>9</v>
      </c>
      <c r="B113" s="15" t="s">
        <v>9</v>
      </c>
      <c r="C113" s="11" t="s">
        <v>9</v>
      </c>
      <c r="D113" s="15" t="s">
        <v>9</v>
      </c>
      <c r="E113" s="15" t="s">
        <v>9</v>
      </c>
      <c r="F113" s="12" t="s">
        <v>9</v>
      </c>
      <c r="G113" s="12" t="s">
        <v>9</v>
      </c>
      <c r="H113" s="100"/>
    </row>
    <row r="114" spans="1:8" x14ac:dyDescent="0.2">
      <c r="A114" s="15" t="s">
        <v>9</v>
      </c>
      <c r="B114" s="15" t="s">
        <v>9</v>
      </c>
      <c r="C114" s="3" t="s">
        <v>114</v>
      </c>
      <c r="D114" s="15" t="s">
        <v>9</v>
      </c>
      <c r="E114" s="15" t="s">
        <v>9</v>
      </c>
      <c r="F114" s="12" t="s">
        <v>9</v>
      </c>
      <c r="G114" s="12" t="s">
        <v>9</v>
      </c>
      <c r="H114" s="100"/>
    </row>
    <row r="115" spans="1:8" x14ac:dyDescent="0.2">
      <c r="A115" s="4">
        <v>1</v>
      </c>
      <c r="B115" s="5"/>
      <c r="C115" s="5" t="s">
        <v>115</v>
      </c>
      <c r="D115" s="5"/>
      <c r="E115" s="15" t="s">
        <v>9</v>
      </c>
      <c r="F115" s="7">
        <v>8552.8760538000006</v>
      </c>
      <c r="G115" s="8">
        <v>1.4041764E-2</v>
      </c>
      <c r="H115" s="99">
        <v>3.2516689338443991</v>
      </c>
    </row>
    <row r="116" spans="1:8" x14ac:dyDescent="0.2">
      <c r="A116" s="4">
        <v>2</v>
      </c>
      <c r="B116" s="5"/>
      <c r="C116" s="5" t="s">
        <v>116</v>
      </c>
      <c r="D116" s="5"/>
      <c r="E116" s="15" t="s">
        <v>9</v>
      </c>
      <c r="F116" s="7">
        <v>1171.8221432</v>
      </c>
      <c r="G116" s="8">
        <v>1.92385E-3</v>
      </c>
      <c r="H116" s="100">
        <v>3.350000000000001</v>
      </c>
    </row>
    <row r="117" spans="1:8" x14ac:dyDescent="0.2">
      <c r="A117" s="15" t="s">
        <v>9</v>
      </c>
      <c r="B117" s="15" t="s">
        <v>9</v>
      </c>
      <c r="C117" s="3" t="s">
        <v>94</v>
      </c>
      <c r="D117" s="15" t="s">
        <v>9</v>
      </c>
      <c r="E117" s="15" t="s">
        <v>9</v>
      </c>
      <c r="F117" s="9">
        <v>9724.6981969999997</v>
      </c>
      <c r="G117" s="10">
        <v>1.5965614E-2</v>
      </c>
      <c r="H117" s="100"/>
    </row>
    <row r="118" spans="1:8" x14ac:dyDescent="0.2">
      <c r="A118" s="15" t="s">
        <v>9</v>
      </c>
      <c r="B118" s="15" t="s">
        <v>9</v>
      </c>
      <c r="C118" s="11" t="s">
        <v>9</v>
      </c>
      <c r="D118" s="15" t="s">
        <v>9</v>
      </c>
      <c r="E118" s="15" t="s">
        <v>9</v>
      </c>
      <c r="F118" s="12" t="s">
        <v>9</v>
      </c>
      <c r="G118" s="12" t="s">
        <v>9</v>
      </c>
      <c r="H118" s="100"/>
    </row>
    <row r="119" spans="1:8" x14ac:dyDescent="0.2">
      <c r="A119" s="15" t="s">
        <v>9</v>
      </c>
      <c r="B119" s="15" t="s">
        <v>9</v>
      </c>
      <c r="C119" s="3" t="s">
        <v>117</v>
      </c>
      <c r="D119" s="15" t="s">
        <v>9</v>
      </c>
      <c r="E119" s="15" t="s">
        <v>9</v>
      </c>
      <c r="F119" s="9">
        <v>9724.6981969999997</v>
      </c>
      <c r="G119" s="10">
        <v>1.5965614E-2</v>
      </c>
      <c r="H119" s="100"/>
    </row>
    <row r="120" spans="1:8" x14ac:dyDescent="0.2">
      <c r="A120" s="15" t="s">
        <v>9</v>
      </c>
      <c r="B120" s="15" t="s">
        <v>9</v>
      </c>
      <c r="C120" s="12" t="s">
        <v>9</v>
      </c>
      <c r="D120" s="15" t="s">
        <v>9</v>
      </c>
      <c r="E120" s="15" t="s">
        <v>9</v>
      </c>
      <c r="F120" s="15" t="s">
        <v>9</v>
      </c>
      <c r="G120" s="15" t="s">
        <v>9</v>
      </c>
      <c r="H120" s="100"/>
    </row>
    <row r="121" spans="1:8" x14ac:dyDescent="0.2">
      <c r="A121" s="15" t="s">
        <v>9</v>
      </c>
      <c r="B121" s="15" t="s">
        <v>9</v>
      </c>
      <c r="C121" s="3" t="s">
        <v>118</v>
      </c>
      <c r="D121" s="15" t="s">
        <v>9</v>
      </c>
      <c r="E121" s="15" t="s">
        <v>9</v>
      </c>
      <c r="F121" s="15" t="s">
        <v>9</v>
      </c>
      <c r="G121" s="15" t="s">
        <v>9</v>
      </c>
      <c r="H121" s="100"/>
    </row>
    <row r="122" spans="1:8" x14ac:dyDescent="0.2">
      <c r="A122" s="15" t="s">
        <v>9</v>
      </c>
      <c r="B122" s="15" t="s">
        <v>9</v>
      </c>
      <c r="C122" s="3" t="s">
        <v>119</v>
      </c>
      <c r="D122" s="15" t="s">
        <v>9</v>
      </c>
      <c r="E122" s="15" t="s">
        <v>9</v>
      </c>
      <c r="F122" s="15" t="s">
        <v>9</v>
      </c>
      <c r="G122" s="15" t="s">
        <v>9</v>
      </c>
      <c r="H122" s="100"/>
    </row>
    <row r="123" spans="1:8" x14ac:dyDescent="0.2">
      <c r="A123" s="15" t="s">
        <v>9</v>
      </c>
      <c r="B123" s="15" t="s">
        <v>9</v>
      </c>
      <c r="C123" s="3" t="s">
        <v>94</v>
      </c>
      <c r="D123" s="15" t="s">
        <v>9</v>
      </c>
      <c r="E123" s="15" t="s">
        <v>9</v>
      </c>
      <c r="F123" s="13">
        <v>0</v>
      </c>
      <c r="G123" s="14">
        <v>0</v>
      </c>
      <c r="H123" s="100"/>
    </row>
    <row r="124" spans="1:8" x14ac:dyDescent="0.2">
      <c r="A124" s="15" t="s">
        <v>9</v>
      </c>
      <c r="B124" s="15" t="s">
        <v>9</v>
      </c>
      <c r="C124" s="11" t="s">
        <v>9</v>
      </c>
      <c r="D124" s="15" t="s">
        <v>9</v>
      </c>
      <c r="E124" s="15" t="s">
        <v>9</v>
      </c>
      <c r="F124" s="12" t="s">
        <v>9</v>
      </c>
      <c r="G124" s="12" t="s">
        <v>9</v>
      </c>
      <c r="H124" s="100"/>
    </row>
    <row r="125" spans="1:8" x14ac:dyDescent="0.2">
      <c r="A125" s="15" t="s">
        <v>9</v>
      </c>
      <c r="B125" s="15" t="s">
        <v>9</v>
      </c>
      <c r="C125" s="3" t="s">
        <v>120</v>
      </c>
      <c r="D125" s="15" t="s">
        <v>9</v>
      </c>
      <c r="E125" s="15" t="s">
        <v>9</v>
      </c>
      <c r="F125" s="15" t="s">
        <v>9</v>
      </c>
      <c r="G125" s="15" t="s">
        <v>9</v>
      </c>
      <c r="H125" s="100"/>
    </row>
    <row r="126" spans="1:8" x14ac:dyDescent="0.2">
      <c r="A126" s="15" t="s">
        <v>9</v>
      </c>
      <c r="B126" s="15" t="s">
        <v>9</v>
      </c>
      <c r="C126" s="3" t="s">
        <v>121</v>
      </c>
      <c r="D126" s="15" t="s">
        <v>9</v>
      </c>
      <c r="E126" s="15" t="s">
        <v>9</v>
      </c>
      <c r="F126" s="15" t="s">
        <v>9</v>
      </c>
      <c r="G126" s="15" t="s">
        <v>9</v>
      </c>
      <c r="H126" s="100"/>
    </row>
    <row r="127" spans="1:8" x14ac:dyDescent="0.2">
      <c r="A127" s="15" t="s">
        <v>9</v>
      </c>
      <c r="B127" s="15" t="s">
        <v>9</v>
      </c>
      <c r="C127" s="3" t="s">
        <v>94</v>
      </c>
      <c r="D127" s="15" t="s">
        <v>9</v>
      </c>
      <c r="E127" s="15" t="s">
        <v>9</v>
      </c>
      <c r="F127" s="13">
        <v>0</v>
      </c>
      <c r="G127" s="14">
        <v>0</v>
      </c>
      <c r="H127" s="100"/>
    </row>
    <row r="128" spans="1:8" x14ac:dyDescent="0.2">
      <c r="A128" s="15" t="s">
        <v>9</v>
      </c>
      <c r="B128" s="15" t="s">
        <v>9</v>
      </c>
      <c r="C128" s="11" t="s">
        <v>9</v>
      </c>
      <c r="D128" s="15" t="s">
        <v>9</v>
      </c>
      <c r="E128" s="15" t="s">
        <v>9</v>
      </c>
      <c r="F128" s="12" t="s">
        <v>9</v>
      </c>
      <c r="G128" s="12" t="s">
        <v>9</v>
      </c>
      <c r="H128" s="100"/>
    </row>
    <row r="129" spans="1:8" x14ac:dyDescent="0.2">
      <c r="A129" s="15" t="s">
        <v>9</v>
      </c>
      <c r="B129" s="15" t="s">
        <v>9</v>
      </c>
      <c r="C129" s="11" t="s">
        <v>9</v>
      </c>
      <c r="D129" s="15" t="s">
        <v>9</v>
      </c>
      <c r="E129" s="15" t="s">
        <v>9</v>
      </c>
      <c r="F129" s="12" t="s">
        <v>9</v>
      </c>
      <c r="G129" s="12" t="s">
        <v>9</v>
      </c>
      <c r="H129" s="100"/>
    </row>
    <row r="130" spans="1:8" ht="25.5" x14ac:dyDescent="0.2">
      <c r="A130" s="15" t="s">
        <v>9</v>
      </c>
      <c r="B130" s="15" t="s">
        <v>9</v>
      </c>
      <c r="C130" s="3" t="s">
        <v>122</v>
      </c>
      <c r="D130" s="15" t="s">
        <v>9</v>
      </c>
      <c r="E130" s="15" t="s">
        <v>9</v>
      </c>
      <c r="F130" s="12" t="s">
        <v>9</v>
      </c>
      <c r="G130" s="12" t="s">
        <v>9</v>
      </c>
      <c r="H130" s="100"/>
    </row>
    <row r="131" spans="1:8" x14ac:dyDescent="0.2">
      <c r="A131" s="15" t="s">
        <v>9</v>
      </c>
      <c r="B131" s="15" t="s">
        <v>9</v>
      </c>
      <c r="C131" s="3" t="s">
        <v>94</v>
      </c>
      <c r="D131" s="15" t="s">
        <v>9</v>
      </c>
      <c r="E131" s="15" t="s">
        <v>9</v>
      </c>
      <c r="F131" s="13">
        <v>0</v>
      </c>
      <c r="G131" s="14">
        <v>0</v>
      </c>
      <c r="H131" s="100"/>
    </row>
    <row r="132" spans="1:8" x14ac:dyDescent="0.2">
      <c r="A132" s="15" t="s">
        <v>9</v>
      </c>
      <c r="B132" s="15" t="s">
        <v>9</v>
      </c>
      <c r="C132" s="11" t="s">
        <v>9</v>
      </c>
      <c r="D132" s="15" t="s">
        <v>9</v>
      </c>
      <c r="E132" s="15" t="s">
        <v>9</v>
      </c>
      <c r="F132" s="12" t="s">
        <v>9</v>
      </c>
      <c r="G132" s="12" t="s">
        <v>9</v>
      </c>
      <c r="H132" s="100"/>
    </row>
    <row r="133" spans="1:8" x14ac:dyDescent="0.2">
      <c r="A133" s="15" t="s">
        <v>9</v>
      </c>
      <c r="B133" s="5" t="s">
        <v>9</v>
      </c>
      <c r="C133" s="5" t="s">
        <v>9</v>
      </c>
      <c r="D133" s="3" t="s">
        <v>9</v>
      </c>
      <c r="E133" s="15" t="s">
        <v>9</v>
      </c>
      <c r="F133" s="5" t="s">
        <v>9</v>
      </c>
      <c r="G133" s="15" t="s">
        <v>9</v>
      </c>
      <c r="H133" s="100"/>
    </row>
    <row r="134" spans="1:8" x14ac:dyDescent="0.2">
      <c r="A134" s="15" t="s">
        <v>9</v>
      </c>
      <c r="B134" s="5" t="s">
        <v>9</v>
      </c>
      <c r="C134" s="5" t="s">
        <v>124</v>
      </c>
      <c r="D134" s="5" t="s">
        <v>9</v>
      </c>
      <c r="E134" s="15" t="s">
        <v>9</v>
      </c>
      <c r="F134" s="7">
        <v>355.36401366000001</v>
      </c>
      <c r="G134" s="8">
        <v>5.83422E-4</v>
      </c>
      <c r="H134" s="100"/>
    </row>
    <row r="135" spans="1:8" x14ac:dyDescent="0.2">
      <c r="A135" s="11" t="s">
        <v>9</v>
      </c>
      <c r="B135" s="11" t="s">
        <v>9</v>
      </c>
      <c r="C135" s="3" t="s">
        <v>125</v>
      </c>
      <c r="D135" s="16" t="s">
        <v>9</v>
      </c>
      <c r="E135" s="16" t="s">
        <v>9</v>
      </c>
      <c r="F135" s="9">
        <v>609102.68529665994</v>
      </c>
      <c r="G135" s="10">
        <v>1</v>
      </c>
      <c r="H135" s="100"/>
    </row>
    <row r="136" spans="1:8" x14ac:dyDescent="0.2">
      <c r="A136" s="17" t="s">
        <v>9</v>
      </c>
      <c r="B136" s="17" t="s">
        <v>9</v>
      </c>
      <c r="C136" s="17" t="s">
        <v>9</v>
      </c>
      <c r="D136" s="18" t="s">
        <v>9</v>
      </c>
      <c r="E136" s="18" t="s">
        <v>9</v>
      </c>
      <c r="F136" s="18" t="s">
        <v>9</v>
      </c>
      <c r="G136" s="18" t="s">
        <v>9</v>
      </c>
      <c r="H136" s="142"/>
    </row>
    <row r="137" spans="1:8" x14ac:dyDescent="0.2">
      <c r="A137" s="19" t="s">
        <v>9</v>
      </c>
      <c r="B137" s="254" t="s">
        <v>9</v>
      </c>
      <c r="C137" s="254"/>
      <c r="D137" s="254"/>
      <c r="E137" s="254"/>
      <c r="F137" s="254"/>
      <c r="G137" s="20" t="s">
        <v>9</v>
      </c>
      <c r="H137" s="142"/>
    </row>
    <row r="138" spans="1:8" x14ac:dyDescent="0.2">
      <c r="A138" s="19" t="s">
        <v>9</v>
      </c>
      <c r="B138" s="254" t="s">
        <v>9</v>
      </c>
      <c r="C138" s="254"/>
      <c r="D138" s="254"/>
      <c r="E138" s="254"/>
      <c r="F138" s="254"/>
      <c r="G138" s="20" t="s">
        <v>9</v>
      </c>
      <c r="H138" s="142"/>
    </row>
    <row r="139" spans="1:8" x14ac:dyDescent="0.2">
      <c r="A139" s="19" t="s">
        <v>9</v>
      </c>
      <c r="B139" s="176" t="s">
        <v>9</v>
      </c>
      <c r="C139" s="176" t="s">
        <v>9</v>
      </c>
      <c r="D139" s="179" t="s">
        <v>9</v>
      </c>
      <c r="E139" s="179" t="s">
        <v>9</v>
      </c>
      <c r="F139" s="179" t="s">
        <v>9</v>
      </c>
      <c r="G139" s="20" t="s">
        <v>9</v>
      </c>
      <c r="H139" s="142"/>
    </row>
    <row r="140" spans="1:8" x14ac:dyDescent="0.2">
      <c r="A140" s="19" t="s">
        <v>9</v>
      </c>
      <c r="B140" s="247" t="s">
        <v>127</v>
      </c>
      <c r="C140" s="248"/>
      <c r="D140" s="182" t="s">
        <v>9</v>
      </c>
      <c r="E140" s="178" t="s">
        <v>9</v>
      </c>
      <c r="F140" s="179" t="s">
        <v>9</v>
      </c>
      <c r="G140" s="20" t="s">
        <v>9</v>
      </c>
      <c r="H140" s="142"/>
    </row>
    <row r="141" spans="1:8" ht="28.5" customHeight="1" x14ac:dyDescent="0.2">
      <c r="A141" s="19" t="s">
        <v>9</v>
      </c>
      <c r="B141" s="242" t="s">
        <v>128</v>
      </c>
      <c r="C141" s="243"/>
      <c r="D141" s="3" t="s">
        <v>129</v>
      </c>
      <c r="E141" s="21" t="s">
        <v>9</v>
      </c>
      <c r="F141" s="20" t="s">
        <v>9</v>
      </c>
      <c r="G141" s="20" t="s">
        <v>9</v>
      </c>
      <c r="H141" s="142"/>
    </row>
    <row r="142" spans="1:8" x14ac:dyDescent="0.2">
      <c r="A142" s="19" t="s">
        <v>9</v>
      </c>
      <c r="B142" s="240" t="s">
        <v>130</v>
      </c>
      <c r="C142" s="241"/>
      <c r="D142" s="177" t="s">
        <v>129</v>
      </c>
      <c r="E142" s="178" t="s">
        <v>9</v>
      </c>
      <c r="F142" s="179" t="s">
        <v>9</v>
      </c>
      <c r="G142" s="20" t="s">
        <v>9</v>
      </c>
      <c r="H142" s="142"/>
    </row>
    <row r="143" spans="1:8" x14ac:dyDescent="0.2">
      <c r="A143" s="19" t="s">
        <v>9</v>
      </c>
      <c r="B143" s="240" t="s">
        <v>131</v>
      </c>
      <c r="C143" s="241"/>
      <c r="D143" s="182" t="s">
        <v>9</v>
      </c>
      <c r="E143" s="178" t="s">
        <v>9</v>
      </c>
      <c r="F143" s="179" t="s">
        <v>9</v>
      </c>
      <c r="G143" s="20" t="s">
        <v>9</v>
      </c>
      <c r="H143" s="142"/>
    </row>
    <row r="144" spans="1:8" ht="25.5" x14ac:dyDescent="0.2">
      <c r="A144" s="25" t="s">
        <v>9</v>
      </c>
      <c r="B144" s="23" t="s">
        <v>9</v>
      </c>
      <c r="C144" s="23" t="s">
        <v>132</v>
      </c>
      <c r="D144" s="23" t="s">
        <v>133</v>
      </c>
      <c r="E144" s="22" t="s">
        <v>9</v>
      </c>
      <c r="F144" s="22" t="s">
        <v>9</v>
      </c>
      <c r="G144" s="25" t="s">
        <v>9</v>
      </c>
      <c r="H144" s="142"/>
    </row>
    <row r="145" spans="1:8" x14ac:dyDescent="0.2">
      <c r="A145" s="25" t="s">
        <v>9</v>
      </c>
      <c r="B145" s="23" t="s">
        <v>134</v>
      </c>
      <c r="C145" s="23" t="s">
        <v>135</v>
      </c>
      <c r="D145" s="23" t="s">
        <v>136</v>
      </c>
      <c r="E145" s="22" t="s">
        <v>9</v>
      </c>
      <c r="F145" s="22" t="s">
        <v>9</v>
      </c>
      <c r="G145" s="25" t="s">
        <v>9</v>
      </c>
      <c r="H145" s="142"/>
    </row>
    <row r="146" spans="1:8" x14ac:dyDescent="0.2">
      <c r="A146" s="25" t="s">
        <v>9</v>
      </c>
      <c r="B146" s="183" t="s">
        <v>137</v>
      </c>
      <c r="C146" s="184">
        <v>605.28579999999999</v>
      </c>
      <c r="D146" s="184">
        <v>604.41510000000005</v>
      </c>
      <c r="E146" s="22" t="s">
        <v>9</v>
      </c>
      <c r="F146" s="185" t="s">
        <v>9</v>
      </c>
      <c r="G146" s="25" t="s">
        <v>9</v>
      </c>
      <c r="H146" s="142"/>
    </row>
    <row r="147" spans="1:8" x14ac:dyDescent="0.2">
      <c r="A147" s="25" t="s">
        <v>9</v>
      </c>
      <c r="B147" s="183" t="s">
        <v>921</v>
      </c>
      <c r="C147" s="184">
        <v>40.755000000000003</v>
      </c>
      <c r="D147" s="184">
        <v>40.696300000000001</v>
      </c>
      <c r="E147" s="22" t="s">
        <v>9</v>
      </c>
      <c r="F147" s="185" t="s">
        <v>9</v>
      </c>
      <c r="G147" s="25" t="s">
        <v>9</v>
      </c>
      <c r="H147" s="142"/>
    </row>
    <row r="148" spans="1:8" ht="25.5" x14ac:dyDescent="0.2">
      <c r="A148" s="25" t="s">
        <v>9</v>
      </c>
      <c r="B148" s="183" t="s">
        <v>391</v>
      </c>
      <c r="C148" s="184">
        <v>617.81470000000002</v>
      </c>
      <c r="D148" s="184">
        <v>616.92190000000005</v>
      </c>
      <c r="E148" s="22" t="s">
        <v>9</v>
      </c>
      <c r="F148" s="185" t="s">
        <v>9</v>
      </c>
      <c r="G148" s="25" t="s">
        <v>9</v>
      </c>
      <c r="H148" s="142"/>
    </row>
    <row r="149" spans="1:8" ht="25.5" x14ac:dyDescent="0.2">
      <c r="A149" s="25" t="s">
        <v>9</v>
      </c>
      <c r="B149" s="183" t="s">
        <v>999</v>
      </c>
      <c r="C149" s="184">
        <v>35.1248</v>
      </c>
      <c r="D149" s="184">
        <v>35.073599999999999</v>
      </c>
      <c r="E149" s="22" t="s">
        <v>9</v>
      </c>
      <c r="F149" s="185" t="s">
        <v>9</v>
      </c>
      <c r="G149" s="25" t="s">
        <v>9</v>
      </c>
      <c r="H149" s="142"/>
    </row>
    <row r="150" spans="1:8" x14ac:dyDescent="0.2">
      <c r="A150" s="25" t="s">
        <v>9</v>
      </c>
      <c r="B150" s="183" t="s">
        <v>138</v>
      </c>
      <c r="C150" s="184">
        <v>575.06960000000004</v>
      </c>
      <c r="D150" s="184">
        <v>573.81579999999997</v>
      </c>
      <c r="E150" s="22" t="s">
        <v>9</v>
      </c>
      <c r="F150" s="185" t="s">
        <v>9</v>
      </c>
      <c r="G150" s="25" t="s">
        <v>9</v>
      </c>
      <c r="H150" s="142"/>
    </row>
    <row r="151" spans="1:8" x14ac:dyDescent="0.2">
      <c r="A151" s="25" t="s">
        <v>9</v>
      </c>
      <c r="B151" s="183" t="s">
        <v>922</v>
      </c>
      <c r="C151" s="184">
        <v>38.1798</v>
      </c>
      <c r="D151" s="184">
        <v>38.096499999999999</v>
      </c>
      <c r="E151" s="22" t="s">
        <v>9</v>
      </c>
      <c r="F151" s="185" t="s">
        <v>9</v>
      </c>
      <c r="G151" s="25" t="s">
        <v>9</v>
      </c>
      <c r="H151" s="142"/>
    </row>
    <row r="152" spans="1:8" x14ac:dyDescent="0.2">
      <c r="A152" s="25" t="s">
        <v>9</v>
      </c>
      <c r="B152" s="22" t="s">
        <v>9</v>
      </c>
      <c r="C152" s="22" t="s">
        <v>9</v>
      </c>
      <c r="D152" s="22" t="s">
        <v>9</v>
      </c>
      <c r="E152" s="22" t="s">
        <v>9</v>
      </c>
      <c r="F152" s="22" t="s">
        <v>9</v>
      </c>
      <c r="G152" s="25" t="s">
        <v>9</v>
      </c>
      <c r="H152" s="142"/>
    </row>
    <row r="153" spans="1:8" x14ac:dyDescent="0.2">
      <c r="A153" s="25" t="s">
        <v>9</v>
      </c>
      <c r="B153" s="240" t="s">
        <v>1012</v>
      </c>
      <c r="C153" s="241"/>
      <c r="D153" s="177" t="s">
        <v>129</v>
      </c>
      <c r="E153" s="22" t="s">
        <v>9</v>
      </c>
      <c r="F153" s="22" t="s">
        <v>9</v>
      </c>
      <c r="G153" s="25" t="s">
        <v>9</v>
      </c>
      <c r="H153" s="142"/>
    </row>
    <row r="154" spans="1:8" x14ac:dyDescent="0.2">
      <c r="A154" s="25" t="s">
        <v>9</v>
      </c>
      <c r="B154" s="98"/>
      <c r="C154" s="98"/>
      <c r="D154" s="26" t="s">
        <v>9</v>
      </c>
      <c r="E154" s="22" t="s">
        <v>9</v>
      </c>
      <c r="F154" s="22" t="s">
        <v>9</v>
      </c>
      <c r="G154" s="25" t="s">
        <v>9</v>
      </c>
      <c r="H154" s="142"/>
    </row>
    <row r="155" spans="1:8" s="238" customFormat="1" ht="12.75" x14ac:dyDescent="0.2">
      <c r="B155" s="246" t="s">
        <v>923</v>
      </c>
      <c r="C155" s="246"/>
      <c r="D155" s="246"/>
      <c r="E155" s="246"/>
      <c r="F155" s="246"/>
    </row>
    <row r="156" spans="1:8" x14ac:dyDescent="0.2">
      <c r="A156" s="25" t="s">
        <v>9</v>
      </c>
      <c r="B156" s="185" t="s">
        <v>9</v>
      </c>
      <c r="C156" s="185" t="s">
        <v>9</v>
      </c>
      <c r="D156" s="22" t="s">
        <v>9</v>
      </c>
      <c r="E156" s="22" t="s">
        <v>9</v>
      </c>
      <c r="F156" s="22" t="s">
        <v>9</v>
      </c>
      <c r="G156" s="25" t="s">
        <v>9</v>
      </c>
      <c r="H156" s="142"/>
    </row>
    <row r="157" spans="1:8" x14ac:dyDescent="0.2">
      <c r="A157" s="25" t="s">
        <v>9</v>
      </c>
      <c r="B157" s="240" t="s">
        <v>139</v>
      </c>
      <c r="C157" s="241"/>
      <c r="D157" s="177" t="s">
        <v>129</v>
      </c>
      <c r="E157" s="22" t="s">
        <v>9</v>
      </c>
      <c r="F157" s="22" t="s">
        <v>9</v>
      </c>
      <c r="G157" s="25" t="s">
        <v>9</v>
      </c>
      <c r="H157" s="142"/>
    </row>
    <row r="158" spans="1:8" x14ac:dyDescent="0.2">
      <c r="A158" s="25" t="s">
        <v>9</v>
      </c>
      <c r="B158" s="240" t="s">
        <v>140</v>
      </c>
      <c r="C158" s="241"/>
      <c r="D158" s="177" t="s">
        <v>129</v>
      </c>
      <c r="E158" s="22" t="s">
        <v>9</v>
      </c>
      <c r="F158" s="22" t="s">
        <v>9</v>
      </c>
      <c r="G158" s="25" t="s">
        <v>9</v>
      </c>
      <c r="H158" s="142"/>
    </row>
    <row r="159" spans="1:8" x14ac:dyDescent="0.2">
      <c r="A159" s="25" t="s">
        <v>9</v>
      </c>
      <c r="B159" s="240" t="s">
        <v>141</v>
      </c>
      <c r="C159" s="241"/>
      <c r="D159" s="186">
        <v>0.61921820162007968</v>
      </c>
      <c r="E159" s="22" t="s">
        <v>9</v>
      </c>
      <c r="F159" s="185" t="s">
        <v>9</v>
      </c>
      <c r="G159" s="25" t="s">
        <v>9</v>
      </c>
      <c r="H159" s="142"/>
    </row>
    <row r="160" spans="1:8" x14ac:dyDescent="0.2">
      <c r="A160" s="25" t="s">
        <v>9</v>
      </c>
      <c r="B160" s="240" t="s">
        <v>142</v>
      </c>
      <c r="C160" s="241"/>
      <c r="D160" s="177" t="s">
        <v>129</v>
      </c>
      <c r="E160" s="22" t="s">
        <v>9</v>
      </c>
      <c r="F160" s="22" t="s">
        <v>9</v>
      </c>
      <c r="G160" s="25" t="s">
        <v>9</v>
      </c>
      <c r="H160" s="142"/>
    </row>
  </sheetData>
  <mergeCells count="15">
    <mergeCell ref="B140:C140"/>
    <mergeCell ref="B137:F137"/>
    <mergeCell ref="B138:F138"/>
    <mergeCell ref="A1:H1"/>
    <mergeCell ref="A2:H2"/>
    <mergeCell ref="A3:H3"/>
    <mergeCell ref="B159:C159"/>
    <mergeCell ref="B160:C160"/>
    <mergeCell ref="B141:C141"/>
    <mergeCell ref="B142:C142"/>
    <mergeCell ref="B143:C143"/>
    <mergeCell ref="B153:C153"/>
    <mergeCell ref="B157:C157"/>
    <mergeCell ref="B158:C158"/>
    <mergeCell ref="B155:F155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outlinePr summaryBelow="0" summaryRight="0"/>
  </sheetPr>
  <dimension ref="A1:H144"/>
  <sheetViews>
    <sheetView showGridLines="0" workbookViewId="0">
      <selection activeCell="J1" sqref="J1"/>
    </sheetView>
  </sheetViews>
  <sheetFormatPr defaultRowHeight="15" x14ac:dyDescent="0.2"/>
  <cols>
    <col min="1" max="1" width="6.85546875" style="155" customWidth="1"/>
    <col min="2" max="2" width="20.5703125" style="155" customWidth="1"/>
    <col min="3" max="3" width="34.28515625" style="155" customWidth="1"/>
    <col min="4" max="4" width="17.85546875" style="155" customWidth="1"/>
    <col min="5" max="6" width="19.140625" style="155" customWidth="1"/>
    <col min="7" max="7" width="16.42578125" style="155" customWidth="1"/>
    <col min="8" max="16384" width="9.140625" style="155"/>
  </cols>
  <sheetData>
    <row r="1" spans="1:8" x14ac:dyDescent="0.2">
      <c r="A1" s="250" t="s">
        <v>0</v>
      </c>
      <c r="B1" s="250"/>
      <c r="C1" s="250"/>
      <c r="D1" s="250"/>
      <c r="E1" s="250"/>
      <c r="F1" s="250"/>
      <c r="G1" s="250"/>
      <c r="H1" s="250"/>
    </row>
    <row r="2" spans="1:8" x14ac:dyDescent="0.2">
      <c r="A2" s="251" t="s">
        <v>392</v>
      </c>
      <c r="B2" s="252"/>
      <c r="C2" s="252"/>
      <c r="D2" s="252"/>
      <c r="E2" s="252"/>
      <c r="F2" s="252"/>
      <c r="G2" s="252"/>
      <c r="H2" s="253"/>
    </row>
    <row r="3" spans="1:8" x14ac:dyDescent="0.2">
      <c r="A3" s="250" t="s">
        <v>1015</v>
      </c>
      <c r="B3" s="250"/>
      <c r="C3" s="250"/>
      <c r="D3" s="250"/>
      <c r="E3" s="250"/>
      <c r="F3" s="250"/>
      <c r="G3" s="250"/>
      <c r="H3" s="250"/>
    </row>
    <row r="4" spans="1:8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60" t="s">
        <v>6</v>
      </c>
      <c r="F4" s="160" t="s">
        <v>7</v>
      </c>
      <c r="G4" s="160" t="s">
        <v>8</v>
      </c>
      <c r="H4" s="161" t="s">
        <v>909</v>
      </c>
    </row>
    <row r="5" spans="1:8" x14ac:dyDescent="0.2">
      <c r="A5" s="15" t="s">
        <v>9</v>
      </c>
      <c r="B5" s="15" t="s">
        <v>9</v>
      </c>
      <c r="C5" s="3" t="s">
        <v>10</v>
      </c>
      <c r="D5" s="15" t="s">
        <v>9</v>
      </c>
      <c r="E5" s="15" t="s">
        <v>9</v>
      </c>
      <c r="F5" s="15" t="s">
        <v>9</v>
      </c>
      <c r="G5" s="15" t="s">
        <v>9</v>
      </c>
      <c r="H5" s="100"/>
    </row>
    <row r="6" spans="1:8" ht="25.5" x14ac:dyDescent="0.2">
      <c r="A6" s="15" t="s">
        <v>9</v>
      </c>
      <c r="B6" s="15" t="s">
        <v>9</v>
      </c>
      <c r="C6" s="3" t="s">
        <v>11</v>
      </c>
      <c r="D6" s="15" t="s">
        <v>9</v>
      </c>
      <c r="E6" s="15" t="s">
        <v>9</v>
      </c>
      <c r="F6" s="15" t="s">
        <v>9</v>
      </c>
      <c r="G6" s="15" t="s">
        <v>9</v>
      </c>
      <c r="H6" s="100"/>
    </row>
    <row r="7" spans="1:8" x14ac:dyDescent="0.2">
      <c r="A7" s="4">
        <v>1</v>
      </c>
      <c r="B7" s="5" t="s">
        <v>54</v>
      </c>
      <c r="C7" s="5" t="s">
        <v>55</v>
      </c>
      <c r="D7" s="5" t="s">
        <v>22</v>
      </c>
      <c r="E7" s="6">
        <v>58344</v>
      </c>
      <c r="F7" s="7">
        <v>823.99231199999997</v>
      </c>
      <c r="G7" s="8">
        <v>6.8973804E-2</v>
      </c>
      <c r="H7" s="100"/>
    </row>
    <row r="8" spans="1:8" x14ac:dyDescent="0.2">
      <c r="A8" s="4">
        <v>2</v>
      </c>
      <c r="B8" s="5" t="s">
        <v>15</v>
      </c>
      <c r="C8" s="5" t="s">
        <v>16</v>
      </c>
      <c r="D8" s="5" t="s">
        <v>17</v>
      </c>
      <c r="E8" s="6">
        <v>40288</v>
      </c>
      <c r="F8" s="7">
        <v>803.54416000000003</v>
      </c>
      <c r="G8" s="8">
        <v>6.7262154000000005E-2</v>
      </c>
      <c r="H8" s="100"/>
    </row>
    <row r="9" spans="1:8" x14ac:dyDescent="0.2">
      <c r="A9" s="4">
        <v>3</v>
      </c>
      <c r="B9" s="5" t="s">
        <v>20</v>
      </c>
      <c r="C9" s="5" t="s">
        <v>21</v>
      </c>
      <c r="D9" s="5" t="s">
        <v>22</v>
      </c>
      <c r="E9" s="6">
        <v>118809</v>
      </c>
      <c r="F9" s="7">
        <v>713.44804499999998</v>
      </c>
      <c r="G9" s="8">
        <v>5.9720491000000001E-2</v>
      </c>
      <c r="H9" s="100"/>
    </row>
    <row r="10" spans="1:8" x14ac:dyDescent="0.2">
      <c r="A10" s="4">
        <v>4</v>
      </c>
      <c r="B10" s="5" t="s">
        <v>144</v>
      </c>
      <c r="C10" s="5" t="s">
        <v>145</v>
      </c>
      <c r="D10" s="5" t="s">
        <v>146</v>
      </c>
      <c r="E10" s="6">
        <v>19144</v>
      </c>
      <c r="F10" s="7">
        <v>656.29460800000004</v>
      </c>
      <c r="G10" s="8">
        <v>5.4936356999999998E-2</v>
      </c>
      <c r="H10" s="100"/>
    </row>
    <row r="11" spans="1:8" x14ac:dyDescent="0.2">
      <c r="A11" s="4">
        <v>5</v>
      </c>
      <c r="B11" s="5" t="s">
        <v>393</v>
      </c>
      <c r="C11" s="5" t="s">
        <v>394</v>
      </c>
      <c r="D11" s="5" t="s">
        <v>151</v>
      </c>
      <c r="E11" s="6">
        <v>41823</v>
      </c>
      <c r="F11" s="7">
        <v>566.42980050000006</v>
      </c>
      <c r="G11" s="8">
        <v>4.7414057000000003E-2</v>
      </c>
      <c r="H11" s="100"/>
    </row>
    <row r="12" spans="1:8" ht="25.5" x14ac:dyDescent="0.2">
      <c r="A12" s="4">
        <v>6</v>
      </c>
      <c r="B12" s="5" t="s">
        <v>395</v>
      </c>
      <c r="C12" s="5" t="s">
        <v>396</v>
      </c>
      <c r="D12" s="5" t="s">
        <v>156</v>
      </c>
      <c r="E12" s="6">
        <v>20809</v>
      </c>
      <c r="F12" s="7">
        <v>503.59860900000001</v>
      </c>
      <c r="G12" s="8">
        <v>4.2154654999999999E-2</v>
      </c>
      <c r="H12" s="100"/>
    </row>
    <row r="13" spans="1:8" x14ac:dyDescent="0.2">
      <c r="A13" s="4">
        <v>7</v>
      </c>
      <c r="B13" s="5" t="s">
        <v>397</v>
      </c>
      <c r="C13" s="5" t="s">
        <v>398</v>
      </c>
      <c r="D13" s="5" t="s">
        <v>22</v>
      </c>
      <c r="E13" s="6">
        <v>57031</v>
      </c>
      <c r="F13" s="7">
        <v>407.71461900000003</v>
      </c>
      <c r="G13" s="8">
        <v>3.4128508000000002E-2</v>
      </c>
      <c r="H13" s="100"/>
    </row>
    <row r="14" spans="1:8" ht="25.5" x14ac:dyDescent="0.2">
      <c r="A14" s="4">
        <v>8</v>
      </c>
      <c r="B14" s="5" t="s">
        <v>326</v>
      </c>
      <c r="C14" s="5" t="s">
        <v>327</v>
      </c>
      <c r="D14" s="5" t="s">
        <v>73</v>
      </c>
      <c r="E14" s="6">
        <v>33620</v>
      </c>
      <c r="F14" s="7">
        <v>319.57490999999999</v>
      </c>
      <c r="G14" s="8">
        <v>2.6750610000000001E-2</v>
      </c>
      <c r="H14" s="100"/>
    </row>
    <row r="15" spans="1:8" x14ac:dyDescent="0.2">
      <c r="A15" s="4">
        <v>9</v>
      </c>
      <c r="B15" s="5" t="s">
        <v>29</v>
      </c>
      <c r="C15" s="5" t="s">
        <v>30</v>
      </c>
      <c r="D15" s="5" t="s">
        <v>31</v>
      </c>
      <c r="E15" s="6">
        <v>57903</v>
      </c>
      <c r="F15" s="7">
        <v>310.7943525</v>
      </c>
      <c r="G15" s="8">
        <v>2.6015617000000001E-2</v>
      </c>
      <c r="H15" s="100"/>
    </row>
    <row r="16" spans="1:8" x14ac:dyDescent="0.2">
      <c r="A16" s="4">
        <v>10</v>
      </c>
      <c r="B16" s="5" t="s">
        <v>26</v>
      </c>
      <c r="C16" s="5" t="s">
        <v>27</v>
      </c>
      <c r="D16" s="5" t="s">
        <v>28</v>
      </c>
      <c r="E16" s="6">
        <v>32394</v>
      </c>
      <c r="F16" s="7">
        <v>296.69664599999999</v>
      </c>
      <c r="G16" s="8">
        <v>2.4835543000000002E-2</v>
      </c>
      <c r="H16" s="100"/>
    </row>
    <row r="17" spans="1:8" x14ac:dyDescent="0.2">
      <c r="A17" s="4">
        <v>11</v>
      </c>
      <c r="B17" s="5" t="s">
        <v>399</v>
      </c>
      <c r="C17" s="5" t="s">
        <v>400</v>
      </c>
      <c r="D17" s="5" t="s">
        <v>22</v>
      </c>
      <c r="E17" s="6">
        <v>83416</v>
      </c>
      <c r="F17" s="7">
        <v>294.87556000000001</v>
      </c>
      <c r="G17" s="8">
        <v>2.4683105E-2</v>
      </c>
      <c r="H17" s="100"/>
    </row>
    <row r="18" spans="1:8" x14ac:dyDescent="0.2">
      <c r="A18" s="4">
        <v>12</v>
      </c>
      <c r="B18" s="5" t="s">
        <v>305</v>
      </c>
      <c r="C18" s="5" t="s">
        <v>306</v>
      </c>
      <c r="D18" s="5" t="s">
        <v>1005</v>
      </c>
      <c r="E18" s="6">
        <v>9814</v>
      </c>
      <c r="F18" s="7">
        <v>283.79143800000003</v>
      </c>
      <c r="G18" s="8">
        <v>2.3755287999999999E-2</v>
      </c>
      <c r="H18" s="100"/>
    </row>
    <row r="19" spans="1:8" ht="25.5" x14ac:dyDescent="0.2">
      <c r="A19" s="4">
        <v>13</v>
      </c>
      <c r="B19" s="5" t="s">
        <v>39</v>
      </c>
      <c r="C19" s="5" t="s">
        <v>941</v>
      </c>
      <c r="D19" s="5" t="s">
        <v>1001</v>
      </c>
      <c r="E19" s="6">
        <v>4173</v>
      </c>
      <c r="F19" s="7">
        <v>262.02058349999999</v>
      </c>
      <c r="G19" s="8">
        <v>2.1932918999999999E-2</v>
      </c>
      <c r="H19" s="100"/>
    </row>
    <row r="20" spans="1:8" x14ac:dyDescent="0.2">
      <c r="A20" s="4">
        <v>14</v>
      </c>
      <c r="B20" s="5" t="s">
        <v>401</v>
      </c>
      <c r="C20" s="5" t="s">
        <v>402</v>
      </c>
      <c r="D20" s="5" t="s">
        <v>91</v>
      </c>
      <c r="E20" s="6">
        <v>33032</v>
      </c>
      <c r="F20" s="7">
        <v>248.58231599999999</v>
      </c>
      <c r="G20" s="8">
        <v>2.0808044000000001E-2</v>
      </c>
      <c r="H20" s="100"/>
    </row>
    <row r="21" spans="1:8" x14ac:dyDescent="0.2">
      <c r="A21" s="4">
        <v>15</v>
      </c>
      <c r="B21" s="5" t="s">
        <v>12</v>
      </c>
      <c r="C21" s="5" t="s">
        <v>13</v>
      </c>
      <c r="D21" s="5" t="s">
        <v>14</v>
      </c>
      <c r="E21" s="6">
        <v>18120</v>
      </c>
      <c r="F21" s="7">
        <v>242.88954000000001</v>
      </c>
      <c r="G21" s="8">
        <v>2.0331518999999999E-2</v>
      </c>
      <c r="H21" s="100"/>
    </row>
    <row r="22" spans="1:8" x14ac:dyDescent="0.2">
      <c r="A22" s="4">
        <v>16</v>
      </c>
      <c r="B22" s="5" t="s">
        <v>403</v>
      </c>
      <c r="C22" s="5" t="s">
        <v>404</v>
      </c>
      <c r="D22" s="5" t="s">
        <v>1009</v>
      </c>
      <c r="E22" s="6">
        <v>26074</v>
      </c>
      <c r="F22" s="7">
        <v>242.149238</v>
      </c>
      <c r="G22" s="8">
        <v>2.0269551E-2</v>
      </c>
      <c r="H22" s="100"/>
    </row>
    <row r="23" spans="1:8" ht="25.5" x14ac:dyDescent="0.2">
      <c r="A23" s="4">
        <v>17</v>
      </c>
      <c r="B23" s="5" t="s">
        <v>324</v>
      </c>
      <c r="C23" s="5" t="s">
        <v>325</v>
      </c>
      <c r="D23" s="5" t="s">
        <v>58</v>
      </c>
      <c r="E23" s="6">
        <v>62892</v>
      </c>
      <c r="F23" s="7">
        <v>242.07130799999999</v>
      </c>
      <c r="G23" s="8">
        <v>2.0263027999999999E-2</v>
      </c>
      <c r="H23" s="100"/>
    </row>
    <row r="24" spans="1:8" ht="25.5" x14ac:dyDescent="0.2">
      <c r="A24" s="4">
        <v>18</v>
      </c>
      <c r="B24" s="5" t="s">
        <v>182</v>
      </c>
      <c r="C24" s="5" t="s">
        <v>944</v>
      </c>
      <c r="D24" s="5" t="s">
        <v>58</v>
      </c>
      <c r="E24" s="6">
        <v>10000</v>
      </c>
      <c r="F24" s="7">
        <v>233.535</v>
      </c>
      <c r="G24" s="8">
        <v>1.954848E-2</v>
      </c>
      <c r="H24" s="100"/>
    </row>
    <row r="25" spans="1:8" x14ac:dyDescent="0.2">
      <c r="A25" s="4">
        <v>19</v>
      </c>
      <c r="B25" s="5" t="s">
        <v>350</v>
      </c>
      <c r="C25" s="5" t="s">
        <v>351</v>
      </c>
      <c r="D25" s="5" t="s">
        <v>1006</v>
      </c>
      <c r="E25" s="6">
        <v>50010</v>
      </c>
      <c r="F25" s="7">
        <v>227.02039500000001</v>
      </c>
      <c r="G25" s="8">
        <v>1.9003163E-2</v>
      </c>
      <c r="H25" s="100"/>
    </row>
    <row r="26" spans="1:8" x14ac:dyDescent="0.2">
      <c r="A26" s="4">
        <v>20</v>
      </c>
      <c r="B26" s="5" t="s">
        <v>83</v>
      </c>
      <c r="C26" s="5" t="s">
        <v>84</v>
      </c>
      <c r="D26" s="5" t="s">
        <v>28</v>
      </c>
      <c r="E26" s="6">
        <v>25977</v>
      </c>
      <c r="F26" s="7">
        <v>217.58335199999999</v>
      </c>
      <c r="G26" s="8">
        <v>1.8213218E-2</v>
      </c>
      <c r="H26" s="100"/>
    </row>
    <row r="27" spans="1:8" x14ac:dyDescent="0.2">
      <c r="A27" s="4">
        <v>21</v>
      </c>
      <c r="B27" s="5" t="s">
        <v>405</v>
      </c>
      <c r="C27" s="5" t="s">
        <v>406</v>
      </c>
      <c r="D27" s="5" t="s">
        <v>193</v>
      </c>
      <c r="E27" s="6">
        <v>21682</v>
      </c>
      <c r="F27" s="7">
        <v>212.66789700000001</v>
      </c>
      <c r="G27" s="8">
        <v>1.7801760999999999E-2</v>
      </c>
      <c r="H27" s="100"/>
    </row>
    <row r="28" spans="1:8" x14ac:dyDescent="0.2">
      <c r="A28" s="4">
        <v>22</v>
      </c>
      <c r="B28" s="5" t="s">
        <v>200</v>
      </c>
      <c r="C28" s="5" t="s">
        <v>201</v>
      </c>
      <c r="D28" s="5" t="s">
        <v>1003</v>
      </c>
      <c r="E28" s="6">
        <v>32477</v>
      </c>
      <c r="F28" s="7">
        <v>204.05299099999999</v>
      </c>
      <c r="G28" s="8">
        <v>1.7080634000000001E-2</v>
      </c>
      <c r="H28" s="100"/>
    </row>
    <row r="29" spans="1:8" x14ac:dyDescent="0.2">
      <c r="A29" s="4">
        <v>23</v>
      </c>
      <c r="B29" s="5" t="s">
        <v>407</v>
      </c>
      <c r="C29" s="5" t="s">
        <v>408</v>
      </c>
      <c r="D29" s="5" t="s">
        <v>193</v>
      </c>
      <c r="E29" s="6">
        <v>30197</v>
      </c>
      <c r="F29" s="7">
        <v>197.6242665</v>
      </c>
      <c r="G29" s="8">
        <v>1.6542505999999998E-2</v>
      </c>
      <c r="H29" s="100"/>
    </row>
    <row r="30" spans="1:8" x14ac:dyDescent="0.2">
      <c r="A30" s="4">
        <v>24</v>
      </c>
      <c r="B30" s="5" t="s">
        <v>409</v>
      </c>
      <c r="C30" s="5" t="s">
        <v>940</v>
      </c>
      <c r="D30" s="5" t="s">
        <v>151</v>
      </c>
      <c r="E30" s="6">
        <v>6466</v>
      </c>
      <c r="F30" s="7">
        <v>196.28512900000001</v>
      </c>
      <c r="G30" s="8">
        <v>1.6430410999999999E-2</v>
      </c>
      <c r="H30" s="100"/>
    </row>
    <row r="31" spans="1:8" x14ac:dyDescent="0.2">
      <c r="A31" s="4">
        <v>25</v>
      </c>
      <c r="B31" s="5" t="s">
        <v>309</v>
      </c>
      <c r="C31" s="5" t="s">
        <v>310</v>
      </c>
      <c r="D31" s="5" t="s">
        <v>58</v>
      </c>
      <c r="E31" s="6">
        <v>8763</v>
      </c>
      <c r="F31" s="7">
        <v>194.66566349999999</v>
      </c>
      <c r="G31" s="8">
        <v>1.629485E-2</v>
      </c>
      <c r="H31" s="100"/>
    </row>
    <row r="32" spans="1:8" x14ac:dyDescent="0.2">
      <c r="A32" s="4">
        <v>26</v>
      </c>
      <c r="B32" s="5" t="s">
        <v>411</v>
      </c>
      <c r="C32" s="5" t="s">
        <v>412</v>
      </c>
      <c r="D32" s="5" t="s">
        <v>151</v>
      </c>
      <c r="E32" s="6">
        <v>39000</v>
      </c>
      <c r="F32" s="7">
        <v>192.17250000000001</v>
      </c>
      <c r="G32" s="8">
        <v>1.6086155000000001E-2</v>
      </c>
      <c r="H32" s="100"/>
    </row>
    <row r="33" spans="1:8" x14ac:dyDescent="0.2">
      <c r="A33" s="4">
        <v>27</v>
      </c>
      <c r="B33" s="5" t="s">
        <v>413</v>
      </c>
      <c r="C33" s="5" t="s">
        <v>414</v>
      </c>
      <c r="D33" s="5" t="s">
        <v>47</v>
      </c>
      <c r="E33" s="6">
        <v>17000</v>
      </c>
      <c r="F33" s="7">
        <v>175.78</v>
      </c>
      <c r="G33" s="8">
        <v>1.4713990999999999E-2</v>
      </c>
      <c r="H33" s="100"/>
    </row>
    <row r="34" spans="1:8" ht="25.5" x14ac:dyDescent="0.2">
      <c r="A34" s="4">
        <v>28</v>
      </c>
      <c r="B34" s="5" t="s">
        <v>415</v>
      </c>
      <c r="C34" s="5" t="s">
        <v>938</v>
      </c>
      <c r="D34" s="5" t="s">
        <v>73</v>
      </c>
      <c r="E34" s="6">
        <v>7325</v>
      </c>
      <c r="F34" s="7">
        <v>172.41218749999999</v>
      </c>
      <c r="G34" s="8">
        <v>1.4432082000000001E-2</v>
      </c>
      <c r="H34" s="100"/>
    </row>
    <row r="35" spans="1:8" x14ac:dyDescent="0.2">
      <c r="A35" s="4">
        <v>29</v>
      </c>
      <c r="B35" s="5" t="s">
        <v>356</v>
      </c>
      <c r="C35" s="5" t="s">
        <v>357</v>
      </c>
      <c r="D35" s="5" t="s">
        <v>151</v>
      </c>
      <c r="E35" s="6">
        <v>18271</v>
      </c>
      <c r="F35" s="7">
        <v>164.24715449999999</v>
      </c>
      <c r="G35" s="8">
        <v>1.3748613E-2</v>
      </c>
      <c r="H35" s="100"/>
    </row>
    <row r="36" spans="1:8" x14ac:dyDescent="0.2">
      <c r="A36" s="4">
        <v>30</v>
      </c>
      <c r="B36" s="5" t="s">
        <v>235</v>
      </c>
      <c r="C36" s="5" t="s">
        <v>236</v>
      </c>
      <c r="D36" s="5" t="s">
        <v>1005</v>
      </c>
      <c r="E36" s="6">
        <v>35857</v>
      </c>
      <c r="F36" s="7">
        <v>156.7488755</v>
      </c>
      <c r="G36" s="8">
        <v>1.3120955E-2</v>
      </c>
      <c r="H36" s="100"/>
    </row>
    <row r="37" spans="1:8" x14ac:dyDescent="0.2">
      <c r="A37" s="4">
        <v>31</v>
      </c>
      <c r="B37" s="5" t="s">
        <v>69</v>
      </c>
      <c r="C37" s="5" t="s">
        <v>70</v>
      </c>
      <c r="D37" s="5" t="s">
        <v>17</v>
      </c>
      <c r="E37" s="6">
        <v>37123</v>
      </c>
      <c r="F37" s="7">
        <v>156.58481399999999</v>
      </c>
      <c r="G37" s="8">
        <v>1.3107222E-2</v>
      </c>
      <c r="H37" s="100"/>
    </row>
    <row r="38" spans="1:8" x14ac:dyDescent="0.2">
      <c r="A38" s="4">
        <v>32</v>
      </c>
      <c r="B38" s="5" t="s">
        <v>330</v>
      </c>
      <c r="C38" s="5" t="s">
        <v>331</v>
      </c>
      <c r="D38" s="5" t="s">
        <v>272</v>
      </c>
      <c r="E38" s="6">
        <v>19336</v>
      </c>
      <c r="F38" s="7">
        <v>150.18271200000001</v>
      </c>
      <c r="G38" s="8">
        <v>1.2571321999999999E-2</v>
      </c>
      <c r="H38" s="100"/>
    </row>
    <row r="39" spans="1:8" x14ac:dyDescent="0.2">
      <c r="A39" s="4">
        <v>33</v>
      </c>
      <c r="B39" s="5" t="s">
        <v>316</v>
      </c>
      <c r="C39" s="5" t="s">
        <v>317</v>
      </c>
      <c r="D39" s="5" t="s">
        <v>163</v>
      </c>
      <c r="E39" s="6">
        <v>175</v>
      </c>
      <c r="F39" s="7">
        <v>141.26096250000001</v>
      </c>
      <c r="G39" s="8">
        <v>1.1824510999999999E-2</v>
      </c>
      <c r="H39" s="100"/>
    </row>
    <row r="40" spans="1:8" x14ac:dyDescent="0.2">
      <c r="A40" s="4">
        <v>34</v>
      </c>
      <c r="B40" s="5" t="s">
        <v>417</v>
      </c>
      <c r="C40" s="5" t="s">
        <v>418</v>
      </c>
      <c r="D40" s="5" t="s">
        <v>193</v>
      </c>
      <c r="E40" s="6">
        <v>3376</v>
      </c>
      <c r="F40" s="7">
        <v>137.144936</v>
      </c>
      <c r="G40" s="8">
        <v>1.1479971E-2</v>
      </c>
      <c r="H40" s="100"/>
    </row>
    <row r="41" spans="1:8" ht="25.5" x14ac:dyDescent="0.2">
      <c r="A41" s="4">
        <v>35</v>
      </c>
      <c r="B41" s="5" t="s">
        <v>419</v>
      </c>
      <c r="C41" s="5" t="s">
        <v>420</v>
      </c>
      <c r="D41" s="5" t="s">
        <v>1009</v>
      </c>
      <c r="E41" s="6">
        <v>9175</v>
      </c>
      <c r="F41" s="7">
        <v>129.7345</v>
      </c>
      <c r="G41" s="8">
        <v>1.0859667E-2</v>
      </c>
      <c r="H41" s="100"/>
    </row>
    <row r="42" spans="1:8" x14ac:dyDescent="0.2">
      <c r="A42" s="4">
        <v>36</v>
      </c>
      <c r="B42" s="5" t="s">
        <v>320</v>
      </c>
      <c r="C42" s="5" t="s">
        <v>321</v>
      </c>
      <c r="D42" s="5" t="s">
        <v>47</v>
      </c>
      <c r="E42" s="6">
        <v>26000</v>
      </c>
      <c r="F42" s="7">
        <v>114.79</v>
      </c>
      <c r="G42" s="8">
        <v>9.6087099999999995E-3</v>
      </c>
      <c r="H42" s="100"/>
    </row>
    <row r="43" spans="1:8" ht="25.5" x14ac:dyDescent="0.2">
      <c r="A43" s="4">
        <v>37</v>
      </c>
      <c r="B43" s="5" t="s">
        <v>152</v>
      </c>
      <c r="C43" s="5" t="s">
        <v>153</v>
      </c>
      <c r="D43" s="5" t="s">
        <v>1001</v>
      </c>
      <c r="E43" s="6">
        <v>67360</v>
      </c>
      <c r="F43" s="7">
        <v>109.93152000000001</v>
      </c>
      <c r="G43" s="8">
        <v>9.2020220000000007E-3</v>
      </c>
      <c r="H43" s="100"/>
    </row>
    <row r="44" spans="1:8" ht="25.5" x14ac:dyDescent="0.2">
      <c r="A44" s="4">
        <v>38</v>
      </c>
      <c r="B44" s="5" t="s">
        <v>421</v>
      </c>
      <c r="C44" s="5" t="s">
        <v>422</v>
      </c>
      <c r="D44" s="5" t="s">
        <v>73</v>
      </c>
      <c r="E44" s="6">
        <v>53592</v>
      </c>
      <c r="F44" s="7">
        <v>108.577392</v>
      </c>
      <c r="G44" s="8">
        <v>9.0886720000000008E-3</v>
      </c>
      <c r="H44" s="100"/>
    </row>
    <row r="45" spans="1:8" ht="25.5" x14ac:dyDescent="0.2">
      <c r="A45" s="4">
        <v>39</v>
      </c>
      <c r="B45" s="5" t="s">
        <v>194</v>
      </c>
      <c r="C45" s="5" t="s">
        <v>195</v>
      </c>
      <c r="D45" s="5" t="s">
        <v>73</v>
      </c>
      <c r="E45" s="6">
        <v>29130</v>
      </c>
      <c r="F45" s="7">
        <v>106.97992499999999</v>
      </c>
      <c r="G45" s="8">
        <v>8.9549529999999999E-3</v>
      </c>
      <c r="H45" s="100"/>
    </row>
    <row r="46" spans="1:8" x14ac:dyDescent="0.2">
      <c r="A46" s="4">
        <v>40</v>
      </c>
      <c r="B46" s="5" t="s">
        <v>367</v>
      </c>
      <c r="C46" s="5" t="s">
        <v>368</v>
      </c>
      <c r="D46" s="5" t="s">
        <v>22</v>
      </c>
      <c r="E46" s="6">
        <v>160000</v>
      </c>
      <c r="F46" s="7">
        <v>106.8</v>
      </c>
      <c r="G46" s="8">
        <v>8.9398919999999996E-3</v>
      </c>
      <c r="H46" s="100"/>
    </row>
    <row r="47" spans="1:8" x14ac:dyDescent="0.2">
      <c r="A47" s="4">
        <v>41</v>
      </c>
      <c r="B47" s="5" t="s">
        <v>289</v>
      </c>
      <c r="C47" s="5" t="s">
        <v>290</v>
      </c>
      <c r="D47" s="5" t="s">
        <v>1009</v>
      </c>
      <c r="E47" s="6">
        <v>10058</v>
      </c>
      <c r="F47" s="7">
        <v>90.109622000000002</v>
      </c>
      <c r="G47" s="8">
        <v>7.5427929999999999E-3</v>
      </c>
      <c r="H47" s="100"/>
    </row>
    <row r="48" spans="1:8" x14ac:dyDescent="0.2">
      <c r="A48" s="4">
        <v>42</v>
      </c>
      <c r="B48" s="5" t="s">
        <v>76</v>
      </c>
      <c r="C48" s="5" t="s">
        <v>77</v>
      </c>
      <c r="D48" s="5" t="s">
        <v>78</v>
      </c>
      <c r="E48" s="6">
        <v>63169</v>
      </c>
      <c r="F48" s="7">
        <v>86.667867999999999</v>
      </c>
      <c r="G48" s="8">
        <v>7.2546950000000002E-3</v>
      </c>
      <c r="H48" s="100"/>
    </row>
    <row r="49" spans="1:8" x14ac:dyDescent="0.2">
      <c r="A49" s="4">
        <v>43</v>
      </c>
      <c r="B49" s="5" t="s">
        <v>344</v>
      </c>
      <c r="C49" s="5" t="s">
        <v>345</v>
      </c>
      <c r="D49" s="5" t="s">
        <v>1002</v>
      </c>
      <c r="E49" s="6">
        <v>64975</v>
      </c>
      <c r="F49" s="7">
        <v>85.6045625</v>
      </c>
      <c r="G49" s="8">
        <v>7.1656890000000003E-3</v>
      </c>
      <c r="H49" s="100"/>
    </row>
    <row r="50" spans="1:8" x14ac:dyDescent="0.2">
      <c r="A50" s="4">
        <v>44</v>
      </c>
      <c r="B50" s="5" t="s">
        <v>358</v>
      </c>
      <c r="C50" s="5" t="s">
        <v>359</v>
      </c>
      <c r="D50" s="5" t="s">
        <v>156</v>
      </c>
      <c r="E50" s="6">
        <v>7523</v>
      </c>
      <c r="F50" s="7">
        <v>84.810540500000002</v>
      </c>
      <c r="G50" s="8">
        <v>7.0992240000000003E-3</v>
      </c>
      <c r="H50" s="100"/>
    </row>
    <row r="51" spans="1:8" x14ac:dyDescent="0.2">
      <c r="A51" s="4">
        <v>45</v>
      </c>
      <c r="B51" s="5" t="s">
        <v>241</v>
      </c>
      <c r="C51" s="5" t="s">
        <v>242</v>
      </c>
      <c r="D51" s="5" t="s">
        <v>163</v>
      </c>
      <c r="E51" s="6">
        <v>14000</v>
      </c>
      <c r="F51" s="7">
        <v>83.384</v>
      </c>
      <c r="G51" s="8">
        <v>6.9798120000000002E-3</v>
      </c>
      <c r="H51" s="100"/>
    </row>
    <row r="52" spans="1:8" x14ac:dyDescent="0.2">
      <c r="A52" s="4">
        <v>46</v>
      </c>
      <c r="B52" s="5" t="s">
        <v>423</v>
      </c>
      <c r="C52" s="5" t="s">
        <v>424</v>
      </c>
      <c r="D52" s="5" t="s">
        <v>22</v>
      </c>
      <c r="E52" s="6">
        <v>4709</v>
      </c>
      <c r="F52" s="7">
        <v>82.350992000000005</v>
      </c>
      <c r="G52" s="8">
        <v>6.8933420000000002E-3</v>
      </c>
      <c r="H52" s="100"/>
    </row>
    <row r="53" spans="1:8" ht="25.5" x14ac:dyDescent="0.2">
      <c r="A53" s="4">
        <v>47</v>
      </c>
      <c r="B53" s="5" t="s">
        <v>71</v>
      </c>
      <c r="C53" s="5" t="s">
        <v>72</v>
      </c>
      <c r="D53" s="5" t="s">
        <v>73</v>
      </c>
      <c r="E53" s="6">
        <v>14701</v>
      </c>
      <c r="F53" s="7">
        <v>81.700807499999996</v>
      </c>
      <c r="G53" s="8">
        <v>6.8389180000000003E-3</v>
      </c>
      <c r="H53" s="100"/>
    </row>
    <row r="54" spans="1:8" x14ac:dyDescent="0.2">
      <c r="A54" s="4">
        <v>48</v>
      </c>
      <c r="B54" s="5" t="s">
        <v>425</v>
      </c>
      <c r="C54" s="5" t="s">
        <v>426</v>
      </c>
      <c r="D54" s="5" t="s">
        <v>427</v>
      </c>
      <c r="E54" s="6">
        <v>15990</v>
      </c>
      <c r="F54" s="7">
        <v>58.267560000000003</v>
      </c>
      <c r="G54" s="8">
        <v>4.8773940000000002E-3</v>
      </c>
      <c r="H54" s="100"/>
    </row>
    <row r="55" spans="1:8" x14ac:dyDescent="0.2">
      <c r="A55" s="4">
        <v>49</v>
      </c>
      <c r="B55" s="5" t="s">
        <v>428</v>
      </c>
      <c r="C55" s="5" t="s">
        <v>429</v>
      </c>
      <c r="D55" s="5" t="s">
        <v>91</v>
      </c>
      <c r="E55" s="6">
        <v>91</v>
      </c>
      <c r="F55" s="7">
        <v>0.57411900000000005</v>
      </c>
      <c r="G55" s="15" t="s">
        <v>99</v>
      </c>
      <c r="H55" s="100"/>
    </row>
    <row r="56" spans="1:8" x14ac:dyDescent="0.2">
      <c r="A56" s="15" t="s">
        <v>9</v>
      </c>
      <c r="B56" s="15" t="s">
        <v>9</v>
      </c>
      <c r="C56" s="3" t="s">
        <v>94</v>
      </c>
      <c r="D56" s="15" t="s">
        <v>9</v>
      </c>
      <c r="E56" s="15" t="s">
        <v>9</v>
      </c>
      <c r="F56" s="9">
        <v>11678.720289999999</v>
      </c>
      <c r="G56" s="10">
        <v>0.97758893599999996</v>
      </c>
      <c r="H56" s="100"/>
    </row>
    <row r="57" spans="1:8" x14ac:dyDescent="0.2">
      <c r="A57" s="15" t="s">
        <v>9</v>
      </c>
      <c r="B57" s="15" t="s">
        <v>9</v>
      </c>
      <c r="C57" s="11" t="s">
        <v>9</v>
      </c>
      <c r="D57" s="15" t="s">
        <v>9</v>
      </c>
      <c r="E57" s="15" t="s">
        <v>9</v>
      </c>
      <c r="F57" s="12" t="s">
        <v>9</v>
      </c>
      <c r="G57" s="12" t="s">
        <v>9</v>
      </c>
      <c r="H57" s="100"/>
    </row>
    <row r="58" spans="1:8" x14ac:dyDescent="0.2">
      <c r="A58" s="15" t="s">
        <v>9</v>
      </c>
      <c r="B58" s="15" t="s">
        <v>9</v>
      </c>
      <c r="C58" s="3" t="s">
        <v>95</v>
      </c>
      <c r="D58" s="15" t="s">
        <v>9</v>
      </c>
      <c r="E58" s="15" t="s">
        <v>9</v>
      </c>
      <c r="F58" s="15" t="s">
        <v>9</v>
      </c>
      <c r="G58" s="15" t="s">
        <v>9</v>
      </c>
      <c r="H58" s="100"/>
    </row>
    <row r="59" spans="1:8" x14ac:dyDescent="0.2">
      <c r="A59" s="15" t="s">
        <v>9</v>
      </c>
      <c r="B59" s="15" t="s">
        <v>9</v>
      </c>
      <c r="C59" s="3" t="s">
        <v>94</v>
      </c>
      <c r="D59" s="15" t="s">
        <v>9</v>
      </c>
      <c r="E59" s="15" t="s">
        <v>9</v>
      </c>
      <c r="F59" s="13">
        <v>0</v>
      </c>
      <c r="G59" s="14">
        <v>0</v>
      </c>
      <c r="H59" s="100"/>
    </row>
    <row r="60" spans="1:8" x14ac:dyDescent="0.2">
      <c r="A60" s="15" t="s">
        <v>9</v>
      </c>
      <c r="B60" s="15" t="s">
        <v>9</v>
      </c>
      <c r="C60" s="11" t="s">
        <v>9</v>
      </c>
      <c r="D60" s="15" t="s">
        <v>9</v>
      </c>
      <c r="E60" s="15" t="s">
        <v>9</v>
      </c>
      <c r="F60" s="12" t="s">
        <v>9</v>
      </c>
      <c r="G60" s="12" t="s">
        <v>9</v>
      </c>
      <c r="H60" s="100"/>
    </row>
    <row r="61" spans="1:8" x14ac:dyDescent="0.2">
      <c r="A61" s="15" t="s">
        <v>9</v>
      </c>
      <c r="B61" s="15" t="s">
        <v>9</v>
      </c>
      <c r="C61" s="3" t="s">
        <v>96</v>
      </c>
      <c r="D61" s="15" t="s">
        <v>9</v>
      </c>
      <c r="E61" s="15" t="s">
        <v>9</v>
      </c>
      <c r="F61" s="15" t="s">
        <v>9</v>
      </c>
      <c r="G61" s="15" t="s">
        <v>9</v>
      </c>
      <c r="H61" s="100"/>
    </row>
    <row r="62" spans="1:8" x14ac:dyDescent="0.2">
      <c r="A62" s="15" t="s">
        <v>9</v>
      </c>
      <c r="B62" s="15" t="s">
        <v>9</v>
      </c>
      <c r="C62" s="3" t="s">
        <v>94</v>
      </c>
      <c r="D62" s="15" t="s">
        <v>9</v>
      </c>
      <c r="E62" s="15" t="s">
        <v>9</v>
      </c>
      <c r="F62" s="13">
        <v>0</v>
      </c>
      <c r="G62" s="14">
        <v>0</v>
      </c>
      <c r="H62" s="100"/>
    </row>
    <row r="63" spans="1:8" x14ac:dyDescent="0.2">
      <c r="A63" s="15" t="s">
        <v>9</v>
      </c>
      <c r="B63" s="15" t="s">
        <v>9</v>
      </c>
      <c r="C63" s="11" t="s">
        <v>9</v>
      </c>
      <c r="D63" s="15" t="s">
        <v>9</v>
      </c>
      <c r="E63" s="15" t="s">
        <v>9</v>
      </c>
      <c r="F63" s="12" t="s">
        <v>9</v>
      </c>
      <c r="G63" s="12" t="s">
        <v>9</v>
      </c>
      <c r="H63" s="100"/>
    </row>
    <row r="64" spans="1:8" x14ac:dyDescent="0.2">
      <c r="A64" s="15" t="s">
        <v>9</v>
      </c>
      <c r="B64" s="15" t="s">
        <v>9</v>
      </c>
      <c r="C64" s="3" t="s">
        <v>100</v>
      </c>
      <c r="D64" s="15" t="s">
        <v>9</v>
      </c>
      <c r="E64" s="15" t="s">
        <v>9</v>
      </c>
      <c r="F64" s="15" t="s">
        <v>9</v>
      </c>
      <c r="G64" s="15" t="s">
        <v>9</v>
      </c>
      <c r="H64" s="100"/>
    </row>
    <row r="65" spans="1:8" x14ac:dyDescent="0.2">
      <c r="A65" s="15" t="s">
        <v>9</v>
      </c>
      <c r="B65" s="15" t="s">
        <v>9</v>
      </c>
      <c r="C65" s="3" t="s">
        <v>94</v>
      </c>
      <c r="D65" s="15" t="s">
        <v>9</v>
      </c>
      <c r="E65" s="15" t="s">
        <v>9</v>
      </c>
      <c r="F65" s="13">
        <v>0</v>
      </c>
      <c r="G65" s="14">
        <v>0</v>
      </c>
      <c r="H65" s="100"/>
    </row>
    <row r="66" spans="1:8" x14ac:dyDescent="0.2">
      <c r="A66" s="15" t="s">
        <v>9</v>
      </c>
      <c r="B66" s="15" t="s">
        <v>9</v>
      </c>
      <c r="C66" s="11" t="s">
        <v>9</v>
      </c>
      <c r="D66" s="15" t="s">
        <v>9</v>
      </c>
      <c r="E66" s="15" t="s">
        <v>9</v>
      </c>
      <c r="F66" s="12" t="s">
        <v>9</v>
      </c>
      <c r="G66" s="12" t="s">
        <v>9</v>
      </c>
      <c r="H66" s="100"/>
    </row>
    <row r="67" spans="1:8" x14ac:dyDescent="0.2">
      <c r="A67" s="15" t="s">
        <v>9</v>
      </c>
      <c r="B67" s="15" t="s">
        <v>9</v>
      </c>
      <c r="C67" s="3" t="s">
        <v>101</v>
      </c>
      <c r="D67" s="15" t="s">
        <v>9</v>
      </c>
      <c r="E67" s="15" t="s">
        <v>9</v>
      </c>
      <c r="F67" s="12" t="s">
        <v>9</v>
      </c>
      <c r="G67" s="12" t="s">
        <v>9</v>
      </c>
      <c r="H67" s="100"/>
    </row>
    <row r="68" spans="1:8" x14ac:dyDescent="0.2">
      <c r="A68" s="15" t="s">
        <v>9</v>
      </c>
      <c r="B68" s="15" t="s">
        <v>9</v>
      </c>
      <c r="C68" s="3" t="s">
        <v>94</v>
      </c>
      <c r="D68" s="15" t="s">
        <v>9</v>
      </c>
      <c r="E68" s="15" t="s">
        <v>9</v>
      </c>
      <c r="F68" s="13">
        <v>0</v>
      </c>
      <c r="G68" s="14">
        <v>0</v>
      </c>
      <c r="H68" s="100"/>
    </row>
    <row r="69" spans="1:8" x14ac:dyDescent="0.2">
      <c r="A69" s="15" t="s">
        <v>9</v>
      </c>
      <c r="B69" s="15" t="s">
        <v>9</v>
      </c>
      <c r="C69" s="11" t="s">
        <v>9</v>
      </c>
      <c r="D69" s="15" t="s">
        <v>9</v>
      </c>
      <c r="E69" s="15" t="s">
        <v>9</v>
      </c>
      <c r="F69" s="12" t="s">
        <v>9</v>
      </c>
      <c r="G69" s="12" t="s">
        <v>9</v>
      </c>
      <c r="H69" s="100"/>
    </row>
    <row r="70" spans="1:8" x14ac:dyDescent="0.2">
      <c r="A70" s="15" t="s">
        <v>9</v>
      </c>
      <c r="B70" s="15" t="s">
        <v>9</v>
      </c>
      <c r="C70" s="3" t="s">
        <v>102</v>
      </c>
      <c r="D70" s="15" t="s">
        <v>9</v>
      </c>
      <c r="E70" s="15" t="s">
        <v>9</v>
      </c>
      <c r="F70" s="12" t="s">
        <v>9</v>
      </c>
      <c r="G70" s="12" t="s">
        <v>9</v>
      </c>
      <c r="H70" s="100"/>
    </row>
    <row r="71" spans="1:8" x14ac:dyDescent="0.2">
      <c r="A71" s="15" t="s">
        <v>9</v>
      </c>
      <c r="B71" s="15" t="s">
        <v>9</v>
      </c>
      <c r="C71" s="3" t="s">
        <v>94</v>
      </c>
      <c r="D71" s="15" t="s">
        <v>9</v>
      </c>
      <c r="E71" s="15" t="s">
        <v>9</v>
      </c>
      <c r="F71" s="13">
        <v>0</v>
      </c>
      <c r="G71" s="14">
        <v>0</v>
      </c>
      <c r="H71" s="100"/>
    </row>
    <row r="72" spans="1:8" x14ac:dyDescent="0.2">
      <c r="A72" s="15" t="s">
        <v>9</v>
      </c>
      <c r="B72" s="15" t="s">
        <v>9</v>
      </c>
      <c r="C72" s="11" t="s">
        <v>9</v>
      </c>
      <c r="D72" s="15" t="s">
        <v>9</v>
      </c>
      <c r="E72" s="15" t="s">
        <v>9</v>
      </c>
      <c r="F72" s="12" t="s">
        <v>9</v>
      </c>
      <c r="G72" s="12" t="s">
        <v>9</v>
      </c>
      <c r="H72" s="100"/>
    </row>
    <row r="73" spans="1:8" x14ac:dyDescent="0.2">
      <c r="A73" s="15" t="s">
        <v>9</v>
      </c>
      <c r="B73" s="15" t="s">
        <v>9</v>
      </c>
      <c r="C73" s="3" t="s">
        <v>104</v>
      </c>
      <c r="D73" s="15" t="s">
        <v>9</v>
      </c>
      <c r="E73" s="15" t="s">
        <v>9</v>
      </c>
      <c r="F73" s="9">
        <v>11678.720289999999</v>
      </c>
      <c r="G73" s="10">
        <v>0.97758893599999996</v>
      </c>
      <c r="H73" s="100"/>
    </row>
    <row r="74" spans="1:8" x14ac:dyDescent="0.2">
      <c r="A74" s="15" t="s">
        <v>9</v>
      </c>
      <c r="B74" s="15" t="s">
        <v>9</v>
      </c>
      <c r="C74" s="11" t="s">
        <v>9</v>
      </c>
      <c r="D74" s="15" t="s">
        <v>9</v>
      </c>
      <c r="E74" s="15" t="s">
        <v>9</v>
      </c>
      <c r="F74" s="12" t="s">
        <v>9</v>
      </c>
      <c r="G74" s="12" t="s">
        <v>9</v>
      </c>
      <c r="H74" s="100"/>
    </row>
    <row r="75" spans="1:8" x14ac:dyDescent="0.2">
      <c r="A75" s="15" t="s">
        <v>9</v>
      </c>
      <c r="B75" s="15" t="s">
        <v>9</v>
      </c>
      <c r="C75" s="3" t="s">
        <v>105</v>
      </c>
      <c r="D75" s="15" t="s">
        <v>9</v>
      </c>
      <c r="E75" s="15" t="s">
        <v>9</v>
      </c>
      <c r="F75" s="12" t="s">
        <v>9</v>
      </c>
      <c r="G75" s="12" t="s">
        <v>9</v>
      </c>
      <c r="H75" s="100"/>
    </row>
    <row r="76" spans="1:8" ht="25.5" x14ac:dyDescent="0.2">
      <c r="A76" s="15" t="s">
        <v>9</v>
      </c>
      <c r="B76" s="15" t="s">
        <v>9</v>
      </c>
      <c r="C76" s="3" t="s">
        <v>11</v>
      </c>
      <c r="D76" s="15" t="s">
        <v>9</v>
      </c>
      <c r="E76" s="15" t="s">
        <v>9</v>
      </c>
      <c r="F76" s="12" t="s">
        <v>9</v>
      </c>
      <c r="G76" s="12" t="s">
        <v>9</v>
      </c>
      <c r="H76" s="100"/>
    </row>
    <row r="77" spans="1:8" x14ac:dyDescent="0.2">
      <c r="A77" s="15" t="s">
        <v>9</v>
      </c>
      <c r="B77" s="15" t="s">
        <v>9</v>
      </c>
      <c r="C77" s="3" t="s">
        <v>94</v>
      </c>
      <c r="D77" s="15" t="s">
        <v>9</v>
      </c>
      <c r="E77" s="15" t="s">
        <v>9</v>
      </c>
      <c r="F77" s="13">
        <v>0</v>
      </c>
      <c r="G77" s="14">
        <v>0</v>
      </c>
      <c r="H77" s="100"/>
    </row>
    <row r="78" spans="1:8" x14ac:dyDescent="0.2">
      <c r="A78" s="15" t="s">
        <v>9</v>
      </c>
      <c r="B78" s="15" t="s">
        <v>9</v>
      </c>
      <c r="C78" s="11" t="s">
        <v>9</v>
      </c>
      <c r="D78" s="15" t="s">
        <v>9</v>
      </c>
      <c r="E78" s="15" t="s">
        <v>9</v>
      </c>
      <c r="F78" s="12" t="s">
        <v>9</v>
      </c>
      <c r="G78" s="12" t="s">
        <v>9</v>
      </c>
      <c r="H78" s="100"/>
    </row>
    <row r="79" spans="1:8" x14ac:dyDescent="0.2">
      <c r="A79" s="15" t="s">
        <v>9</v>
      </c>
      <c r="B79" s="15" t="s">
        <v>9</v>
      </c>
      <c r="C79" s="3" t="s">
        <v>106</v>
      </c>
      <c r="D79" s="15" t="s">
        <v>9</v>
      </c>
      <c r="E79" s="15" t="s">
        <v>9</v>
      </c>
      <c r="F79" s="15" t="s">
        <v>9</v>
      </c>
      <c r="G79" s="15" t="s">
        <v>9</v>
      </c>
      <c r="H79" s="100"/>
    </row>
    <row r="80" spans="1:8" x14ac:dyDescent="0.2">
      <c r="A80" s="15" t="s">
        <v>9</v>
      </c>
      <c r="B80" s="15" t="s">
        <v>9</v>
      </c>
      <c r="C80" s="3" t="s">
        <v>94</v>
      </c>
      <c r="D80" s="15" t="s">
        <v>9</v>
      </c>
      <c r="E80" s="15" t="s">
        <v>9</v>
      </c>
      <c r="F80" s="13">
        <v>0</v>
      </c>
      <c r="G80" s="14">
        <v>0</v>
      </c>
      <c r="H80" s="100"/>
    </row>
    <row r="81" spans="1:8" x14ac:dyDescent="0.2">
      <c r="A81" s="15" t="s">
        <v>9</v>
      </c>
      <c r="B81" s="15" t="s">
        <v>9</v>
      </c>
      <c r="C81" s="11" t="s">
        <v>9</v>
      </c>
      <c r="D81" s="15" t="s">
        <v>9</v>
      </c>
      <c r="E81" s="15" t="s">
        <v>9</v>
      </c>
      <c r="F81" s="12" t="s">
        <v>9</v>
      </c>
      <c r="G81" s="12" t="s">
        <v>9</v>
      </c>
      <c r="H81" s="100"/>
    </row>
    <row r="82" spans="1:8" x14ac:dyDescent="0.2">
      <c r="A82" s="15" t="s">
        <v>9</v>
      </c>
      <c r="B82" s="15" t="s">
        <v>9</v>
      </c>
      <c r="C82" s="3" t="s">
        <v>107</v>
      </c>
      <c r="D82" s="15" t="s">
        <v>9</v>
      </c>
      <c r="E82" s="15" t="s">
        <v>9</v>
      </c>
      <c r="F82" s="15" t="s">
        <v>9</v>
      </c>
      <c r="G82" s="15" t="s">
        <v>9</v>
      </c>
      <c r="H82" s="100"/>
    </row>
    <row r="83" spans="1:8" x14ac:dyDescent="0.2">
      <c r="A83" s="15" t="s">
        <v>9</v>
      </c>
      <c r="B83" s="15" t="s">
        <v>9</v>
      </c>
      <c r="C83" s="3" t="s">
        <v>94</v>
      </c>
      <c r="D83" s="15" t="s">
        <v>9</v>
      </c>
      <c r="E83" s="15" t="s">
        <v>9</v>
      </c>
      <c r="F83" s="13">
        <v>0</v>
      </c>
      <c r="G83" s="14">
        <v>0</v>
      </c>
      <c r="H83" s="100"/>
    </row>
    <row r="84" spans="1:8" x14ac:dyDescent="0.2">
      <c r="A84" s="15" t="s">
        <v>9</v>
      </c>
      <c r="B84" s="15" t="s">
        <v>9</v>
      </c>
      <c r="C84" s="11" t="s">
        <v>9</v>
      </c>
      <c r="D84" s="15" t="s">
        <v>9</v>
      </c>
      <c r="E84" s="15" t="s">
        <v>9</v>
      </c>
      <c r="F84" s="12" t="s">
        <v>9</v>
      </c>
      <c r="G84" s="12" t="s">
        <v>9</v>
      </c>
      <c r="H84" s="100"/>
    </row>
    <row r="85" spans="1:8" x14ac:dyDescent="0.2">
      <c r="A85" s="15" t="s">
        <v>9</v>
      </c>
      <c r="B85" s="15" t="s">
        <v>9</v>
      </c>
      <c r="C85" s="3" t="s">
        <v>108</v>
      </c>
      <c r="D85" s="15" t="s">
        <v>9</v>
      </c>
      <c r="E85" s="15" t="s">
        <v>9</v>
      </c>
      <c r="F85" s="12" t="s">
        <v>9</v>
      </c>
      <c r="G85" s="12" t="s">
        <v>9</v>
      </c>
      <c r="H85" s="100"/>
    </row>
    <row r="86" spans="1:8" x14ac:dyDescent="0.2">
      <c r="A86" s="15" t="s">
        <v>9</v>
      </c>
      <c r="B86" s="15" t="s">
        <v>9</v>
      </c>
      <c r="C86" s="3" t="s">
        <v>94</v>
      </c>
      <c r="D86" s="15" t="s">
        <v>9</v>
      </c>
      <c r="E86" s="15" t="s">
        <v>9</v>
      </c>
      <c r="F86" s="13">
        <v>0</v>
      </c>
      <c r="G86" s="14">
        <v>0</v>
      </c>
      <c r="H86" s="100"/>
    </row>
    <row r="87" spans="1:8" x14ac:dyDescent="0.2">
      <c r="A87" s="15" t="s">
        <v>9</v>
      </c>
      <c r="B87" s="15" t="s">
        <v>9</v>
      </c>
      <c r="C87" s="11" t="s">
        <v>9</v>
      </c>
      <c r="D87" s="15" t="s">
        <v>9</v>
      </c>
      <c r="E87" s="15" t="s">
        <v>9</v>
      </c>
      <c r="F87" s="12" t="s">
        <v>9</v>
      </c>
      <c r="G87" s="12" t="s">
        <v>9</v>
      </c>
      <c r="H87" s="100"/>
    </row>
    <row r="88" spans="1:8" x14ac:dyDescent="0.2">
      <c r="A88" s="15" t="s">
        <v>9</v>
      </c>
      <c r="B88" s="15" t="s">
        <v>9</v>
      </c>
      <c r="C88" s="3" t="s">
        <v>109</v>
      </c>
      <c r="D88" s="15" t="s">
        <v>9</v>
      </c>
      <c r="E88" s="15" t="s">
        <v>9</v>
      </c>
      <c r="F88" s="9">
        <v>0</v>
      </c>
      <c r="G88" s="10">
        <v>0</v>
      </c>
      <c r="H88" s="100"/>
    </row>
    <row r="89" spans="1:8" x14ac:dyDescent="0.2">
      <c r="A89" s="15" t="s">
        <v>9</v>
      </c>
      <c r="B89" s="15" t="s">
        <v>9</v>
      </c>
      <c r="C89" s="11" t="s">
        <v>9</v>
      </c>
      <c r="D89" s="15" t="s">
        <v>9</v>
      </c>
      <c r="E89" s="15" t="s">
        <v>9</v>
      </c>
      <c r="F89" s="12" t="s">
        <v>9</v>
      </c>
      <c r="G89" s="12" t="s">
        <v>9</v>
      </c>
      <c r="H89" s="100"/>
    </row>
    <row r="90" spans="1:8" x14ac:dyDescent="0.2">
      <c r="A90" s="15" t="s">
        <v>9</v>
      </c>
      <c r="B90" s="15" t="s">
        <v>9</v>
      </c>
      <c r="C90" s="3" t="s">
        <v>110</v>
      </c>
      <c r="D90" s="15" t="s">
        <v>9</v>
      </c>
      <c r="E90" s="15" t="s">
        <v>9</v>
      </c>
      <c r="F90" s="12" t="s">
        <v>9</v>
      </c>
      <c r="G90" s="12" t="s">
        <v>9</v>
      </c>
      <c r="H90" s="100"/>
    </row>
    <row r="91" spans="1:8" x14ac:dyDescent="0.2">
      <c r="A91" s="15" t="s">
        <v>9</v>
      </c>
      <c r="B91" s="15" t="s">
        <v>9</v>
      </c>
      <c r="C91" s="3" t="s">
        <v>111</v>
      </c>
      <c r="D91" s="15" t="s">
        <v>9</v>
      </c>
      <c r="E91" s="15" t="s">
        <v>9</v>
      </c>
      <c r="F91" s="12" t="s">
        <v>9</v>
      </c>
      <c r="G91" s="12" t="s">
        <v>9</v>
      </c>
      <c r="H91" s="100"/>
    </row>
    <row r="92" spans="1:8" x14ac:dyDescent="0.2">
      <c r="A92" s="15" t="s">
        <v>9</v>
      </c>
      <c r="B92" s="15" t="s">
        <v>9</v>
      </c>
      <c r="C92" s="3" t="s">
        <v>94</v>
      </c>
      <c r="D92" s="15" t="s">
        <v>9</v>
      </c>
      <c r="E92" s="15" t="s">
        <v>9</v>
      </c>
      <c r="F92" s="13">
        <v>0</v>
      </c>
      <c r="G92" s="14">
        <v>0</v>
      </c>
      <c r="H92" s="100"/>
    </row>
    <row r="93" spans="1:8" x14ac:dyDescent="0.2">
      <c r="A93" s="15" t="s">
        <v>9</v>
      </c>
      <c r="B93" s="15" t="s">
        <v>9</v>
      </c>
      <c r="C93" s="11" t="s">
        <v>9</v>
      </c>
      <c r="D93" s="15" t="s">
        <v>9</v>
      </c>
      <c r="E93" s="15" t="s">
        <v>9</v>
      </c>
      <c r="F93" s="12" t="s">
        <v>9</v>
      </c>
      <c r="G93" s="12" t="s">
        <v>9</v>
      </c>
      <c r="H93" s="100"/>
    </row>
    <row r="94" spans="1:8" x14ac:dyDescent="0.2">
      <c r="A94" s="15" t="s">
        <v>9</v>
      </c>
      <c r="B94" s="15" t="s">
        <v>9</v>
      </c>
      <c r="C94" s="3" t="s">
        <v>112</v>
      </c>
      <c r="D94" s="15" t="s">
        <v>9</v>
      </c>
      <c r="E94" s="15" t="s">
        <v>9</v>
      </c>
      <c r="F94" s="12" t="s">
        <v>9</v>
      </c>
      <c r="G94" s="12" t="s">
        <v>9</v>
      </c>
      <c r="H94" s="100"/>
    </row>
    <row r="95" spans="1:8" x14ac:dyDescent="0.2">
      <c r="A95" s="15" t="s">
        <v>9</v>
      </c>
      <c r="B95" s="15" t="s">
        <v>9</v>
      </c>
      <c r="C95" s="3" t="s">
        <v>94</v>
      </c>
      <c r="D95" s="15" t="s">
        <v>9</v>
      </c>
      <c r="E95" s="15" t="s">
        <v>9</v>
      </c>
      <c r="F95" s="13">
        <v>0</v>
      </c>
      <c r="G95" s="14">
        <v>0</v>
      </c>
      <c r="H95" s="100"/>
    </row>
    <row r="96" spans="1:8" x14ac:dyDescent="0.2">
      <c r="A96" s="15" t="s">
        <v>9</v>
      </c>
      <c r="B96" s="15" t="s">
        <v>9</v>
      </c>
      <c r="C96" s="11" t="s">
        <v>9</v>
      </c>
      <c r="D96" s="15" t="s">
        <v>9</v>
      </c>
      <c r="E96" s="15" t="s">
        <v>9</v>
      </c>
      <c r="F96" s="12" t="s">
        <v>9</v>
      </c>
      <c r="G96" s="12" t="s">
        <v>9</v>
      </c>
      <c r="H96" s="100"/>
    </row>
    <row r="97" spans="1:8" x14ac:dyDescent="0.2">
      <c r="A97" s="15" t="s">
        <v>9</v>
      </c>
      <c r="B97" s="15" t="s">
        <v>9</v>
      </c>
      <c r="C97" s="3" t="s">
        <v>113</v>
      </c>
      <c r="D97" s="15" t="s">
        <v>9</v>
      </c>
      <c r="E97" s="15" t="s">
        <v>9</v>
      </c>
      <c r="F97" s="12" t="s">
        <v>9</v>
      </c>
      <c r="G97" s="12" t="s">
        <v>9</v>
      </c>
      <c r="H97" s="100"/>
    </row>
    <row r="98" spans="1:8" x14ac:dyDescent="0.2">
      <c r="A98" s="15" t="s">
        <v>9</v>
      </c>
      <c r="B98" s="15" t="s">
        <v>9</v>
      </c>
      <c r="C98" s="3" t="s">
        <v>94</v>
      </c>
      <c r="D98" s="15" t="s">
        <v>9</v>
      </c>
      <c r="E98" s="15" t="s">
        <v>9</v>
      </c>
      <c r="F98" s="13">
        <v>0</v>
      </c>
      <c r="G98" s="14">
        <v>0</v>
      </c>
      <c r="H98" s="100"/>
    </row>
    <row r="99" spans="1:8" x14ac:dyDescent="0.2">
      <c r="A99" s="15" t="s">
        <v>9</v>
      </c>
      <c r="B99" s="15" t="s">
        <v>9</v>
      </c>
      <c r="C99" s="11" t="s">
        <v>9</v>
      </c>
      <c r="D99" s="15" t="s">
        <v>9</v>
      </c>
      <c r="E99" s="15" t="s">
        <v>9</v>
      </c>
      <c r="F99" s="12" t="s">
        <v>9</v>
      </c>
      <c r="G99" s="12" t="s">
        <v>9</v>
      </c>
      <c r="H99" s="100"/>
    </row>
    <row r="100" spans="1:8" x14ac:dyDescent="0.2">
      <c r="A100" s="15" t="s">
        <v>9</v>
      </c>
      <c r="B100" s="15" t="s">
        <v>9</v>
      </c>
      <c r="C100" s="3" t="s">
        <v>114</v>
      </c>
      <c r="D100" s="15" t="s">
        <v>9</v>
      </c>
      <c r="E100" s="15" t="s">
        <v>9</v>
      </c>
      <c r="F100" s="12" t="s">
        <v>9</v>
      </c>
      <c r="G100" s="12" t="s">
        <v>9</v>
      </c>
      <c r="H100" s="100"/>
    </row>
    <row r="101" spans="1:8" x14ac:dyDescent="0.2">
      <c r="A101" s="4">
        <v>1</v>
      </c>
      <c r="B101" s="5"/>
      <c r="C101" s="5" t="s">
        <v>115</v>
      </c>
      <c r="D101" s="5"/>
      <c r="E101" s="15" t="s">
        <v>9</v>
      </c>
      <c r="F101" s="7">
        <v>240.30907500000001</v>
      </c>
      <c r="G101" s="8">
        <v>2.0115516999999999E-2</v>
      </c>
      <c r="H101" s="99">
        <v>3.2516689338443991</v>
      </c>
    </row>
    <row r="102" spans="1:8" x14ac:dyDescent="0.2">
      <c r="A102" s="4">
        <v>2</v>
      </c>
      <c r="B102" s="5"/>
      <c r="C102" s="5" t="s">
        <v>116</v>
      </c>
      <c r="D102" s="5"/>
      <c r="E102" s="15" t="s">
        <v>9</v>
      </c>
      <c r="F102" s="7">
        <v>32.924543800000002</v>
      </c>
      <c r="G102" s="8">
        <v>2.7560100000000001E-3</v>
      </c>
      <c r="H102" s="100">
        <v>3.350000000000001</v>
      </c>
    </row>
    <row r="103" spans="1:8" x14ac:dyDescent="0.2">
      <c r="A103" s="15" t="s">
        <v>9</v>
      </c>
      <c r="B103" s="15" t="s">
        <v>9</v>
      </c>
      <c r="C103" s="3" t="s">
        <v>94</v>
      </c>
      <c r="D103" s="15" t="s">
        <v>9</v>
      </c>
      <c r="E103" s="15" t="s">
        <v>9</v>
      </c>
      <c r="F103" s="9">
        <v>273.23361879999999</v>
      </c>
      <c r="G103" s="10">
        <v>2.2871526999999999E-2</v>
      </c>
      <c r="H103" s="100"/>
    </row>
    <row r="104" spans="1:8" x14ac:dyDescent="0.2">
      <c r="A104" s="15" t="s">
        <v>9</v>
      </c>
      <c r="B104" s="15" t="s">
        <v>9</v>
      </c>
      <c r="C104" s="11" t="s">
        <v>9</v>
      </c>
      <c r="D104" s="15" t="s">
        <v>9</v>
      </c>
      <c r="E104" s="15" t="s">
        <v>9</v>
      </c>
      <c r="F104" s="12" t="s">
        <v>9</v>
      </c>
      <c r="G104" s="12" t="s">
        <v>9</v>
      </c>
      <c r="H104" s="100"/>
    </row>
    <row r="105" spans="1:8" x14ac:dyDescent="0.2">
      <c r="A105" s="15" t="s">
        <v>9</v>
      </c>
      <c r="B105" s="15" t="s">
        <v>9</v>
      </c>
      <c r="C105" s="3" t="s">
        <v>117</v>
      </c>
      <c r="D105" s="15" t="s">
        <v>9</v>
      </c>
      <c r="E105" s="15" t="s">
        <v>9</v>
      </c>
      <c r="F105" s="9">
        <v>273.23361879999999</v>
      </c>
      <c r="G105" s="10">
        <v>2.2871526999999999E-2</v>
      </c>
      <c r="H105" s="100"/>
    </row>
    <row r="106" spans="1:8" x14ac:dyDescent="0.2">
      <c r="A106" s="15" t="s">
        <v>9</v>
      </c>
      <c r="B106" s="15" t="s">
        <v>9</v>
      </c>
      <c r="C106" s="12" t="s">
        <v>9</v>
      </c>
      <c r="D106" s="15" t="s">
        <v>9</v>
      </c>
      <c r="E106" s="15" t="s">
        <v>9</v>
      </c>
      <c r="F106" s="15" t="s">
        <v>9</v>
      </c>
      <c r="G106" s="15" t="s">
        <v>9</v>
      </c>
      <c r="H106" s="100"/>
    </row>
    <row r="107" spans="1:8" x14ac:dyDescent="0.2">
      <c r="A107" s="15" t="s">
        <v>9</v>
      </c>
      <c r="B107" s="15" t="s">
        <v>9</v>
      </c>
      <c r="C107" s="3" t="s">
        <v>118</v>
      </c>
      <c r="D107" s="15" t="s">
        <v>9</v>
      </c>
      <c r="E107" s="15" t="s">
        <v>9</v>
      </c>
      <c r="F107" s="15" t="s">
        <v>9</v>
      </c>
      <c r="G107" s="15" t="s">
        <v>9</v>
      </c>
      <c r="H107" s="100"/>
    </row>
    <row r="108" spans="1:8" x14ac:dyDescent="0.2">
      <c r="A108" s="15" t="s">
        <v>9</v>
      </c>
      <c r="B108" s="15" t="s">
        <v>9</v>
      </c>
      <c r="C108" s="3" t="s">
        <v>119</v>
      </c>
      <c r="D108" s="15" t="s">
        <v>9</v>
      </c>
      <c r="E108" s="15" t="s">
        <v>9</v>
      </c>
      <c r="F108" s="15" t="s">
        <v>9</v>
      </c>
      <c r="G108" s="15" t="s">
        <v>9</v>
      </c>
      <c r="H108" s="100"/>
    </row>
    <row r="109" spans="1:8" x14ac:dyDescent="0.2">
      <c r="A109" s="15" t="s">
        <v>9</v>
      </c>
      <c r="B109" s="15" t="s">
        <v>9</v>
      </c>
      <c r="C109" s="3" t="s">
        <v>94</v>
      </c>
      <c r="D109" s="15" t="s">
        <v>9</v>
      </c>
      <c r="E109" s="15" t="s">
        <v>9</v>
      </c>
      <c r="F109" s="13">
        <v>0</v>
      </c>
      <c r="G109" s="14">
        <v>0</v>
      </c>
      <c r="H109" s="100"/>
    </row>
    <row r="110" spans="1:8" x14ac:dyDescent="0.2">
      <c r="A110" s="15" t="s">
        <v>9</v>
      </c>
      <c r="B110" s="15" t="s">
        <v>9</v>
      </c>
      <c r="C110" s="11" t="s">
        <v>9</v>
      </c>
      <c r="D110" s="15" t="s">
        <v>9</v>
      </c>
      <c r="E110" s="15" t="s">
        <v>9</v>
      </c>
      <c r="F110" s="12" t="s">
        <v>9</v>
      </c>
      <c r="G110" s="12" t="s">
        <v>9</v>
      </c>
      <c r="H110" s="100"/>
    </row>
    <row r="111" spans="1:8" x14ac:dyDescent="0.2">
      <c r="A111" s="15" t="s">
        <v>9</v>
      </c>
      <c r="B111" s="15" t="s">
        <v>9</v>
      </c>
      <c r="C111" s="3" t="s">
        <v>120</v>
      </c>
      <c r="D111" s="15" t="s">
        <v>9</v>
      </c>
      <c r="E111" s="15" t="s">
        <v>9</v>
      </c>
      <c r="F111" s="15" t="s">
        <v>9</v>
      </c>
      <c r="G111" s="15" t="s">
        <v>9</v>
      </c>
      <c r="H111" s="100"/>
    </row>
    <row r="112" spans="1:8" x14ac:dyDescent="0.2">
      <c r="A112" s="15" t="s">
        <v>9</v>
      </c>
      <c r="B112" s="15" t="s">
        <v>9</v>
      </c>
      <c r="C112" s="3" t="s">
        <v>121</v>
      </c>
      <c r="D112" s="15" t="s">
        <v>9</v>
      </c>
      <c r="E112" s="15" t="s">
        <v>9</v>
      </c>
      <c r="F112" s="15" t="s">
        <v>9</v>
      </c>
      <c r="G112" s="15" t="s">
        <v>9</v>
      </c>
      <c r="H112" s="100"/>
    </row>
    <row r="113" spans="1:8" x14ac:dyDescent="0.2">
      <c r="A113" s="15" t="s">
        <v>9</v>
      </c>
      <c r="B113" s="15" t="s">
        <v>9</v>
      </c>
      <c r="C113" s="3" t="s">
        <v>94</v>
      </c>
      <c r="D113" s="15" t="s">
        <v>9</v>
      </c>
      <c r="E113" s="15" t="s">
        <v>9</v>
      </c>
      <c r="F113" s="13">
        <v>0</v>
      </c>
      <c r="G113" s="14">
        <v>0</v>
      </c>
      <c r="H113" s="100"/>
    </row>
    <row r="114" spans="1:8" x14ac:dyDescent="0.2">
      <c r="A114" s="15" t="s">
        <v>9</v>
      </c>
      <c r="B114" s="15" t="s">
        <v>9</v>
      </c>
      <c r="C114" s="11" t="s">
        <v>9</v>
      </c>
      <c r="D114" s="15" t="s">
        <v>9</v>
      </c>
      <c r="E114" s="15" t="s">
        <v>9</v>
      </c>
      <c r="F114" s="12" t="s">
        <v>9</v>
      </c>
      <c r="G114" s="12" t="s">
        <v>9</v>
      </c>
      <c r="H114" s="100"/>
    </row>
    <row r="115" spans="1:8" x14ac:dyDescent="0.2">
      <c r="A115" s="15" t="s">
        <v>9</v>
      </c>
      <c r="B115" s="15" t="s">
        <v>9</v>
      </c>
      <c r="C115" s="11" t="s">
        <v>9</v>
      </c>
      <c r="D115" s="15" t="s">
        <v>9</v>
      </c>
      <c r="E115" s="15" t="s">
        <v>9</v>
      </c>
      <c r="F115" s="12" t="s">
        <v>9</v>
      </c>
      <c r="G115" s="12" t="s">
        <v>9</v>
      </c>
      <c r="H115" s="100"/>
    </row>
    <row r="116" spans="1:8" ht="25.5" x14ac:dyDescent="0.2">
      <c r="A116" s="15" t="s">
        <v>9</v>
      </c>
      <c r="B116" s="15" t="s">
        <v>9</v>
      </c>
      <c r="C116" s="3" t="s">
        <v>122</v>
      </c>
      <c r="D116" s="15" t="s">
        <v>9</v>
      </c>
      <c r="E116" s="15" t="s">
        <v>9</v>
      </c>
      <c r="F116" s="12" t="s">
        <v>9</v>
      </c>
      <c r="G116" s="12" t="s">
        <v>9</v>
      </c>
      <c r="H116" s="100"/>
    </row>
    <row r="117" spans="1:8" x14ac:dyDescent="0.2">
      <c r="A117" s="15" t="s">
        <v>9</v>
      </c>
      <c r="B117" s="15" t="s">
        <v>9</v>
      </c>
      <c r="C117" s="3" t="s">
        <v>94</v>
      </c>
      <c r="D117" s="15" t="s">
        <v>9</v>
      </c>
      <c r="E117" s="15" t="s">
        <v>9</v>
      </c>
      <c r="F117" s="13">
        <v>0</v>
      </c>
      <c r="G117" s="14">
        <v>0</v>
      </c>
      <c r="H117" s="100"/>
    </row>
    <row r="118" spans="1:8" x14ac:dyDescent="0.2">
      <c r="A118" s="15" t="s">
        <v>9</v>
      </c>
      <c r="B118" s="15" t="s">
        <v>9</v>
      </c>
      <c r="C118" s="11" t="s">
        <v>9</v>
      </c>
      <c r="D118" s="15" t="s">
        <v>9</v>
      </c>
      <c r="E118" s="15" t="s">
        <v>9</v>
      </c>
      <c r="F118" s="12" t="s">
        <v>9</v>
      </c>
      <c r="G118" s="12" t="s">
        <v>9</v>
      </c>
      <c r="H118" s="100"/>
    </row>
    <row r="119" spans="1:8" x14ac:dyDescent="0.2">
      <c r="A119" s="15" t="s">
        <v>9</v>
      </c>
      <c r="B119" s="5" t="s">
        <v>9</v>
      </c>
      <c r="C119" s="5" t="s">
        <v>9</v>
      </c>
      <c r="D119" s="3" t="s">
        <v>9</v>
      </c>
      <c r="E119" s="15" t="s">
        <v>9</v>
      </c>
      <c r="F119" s="5" t="s">
        <v>9</v>
      </c>
      <c r="G119" s="15" t="s">
        <v>9</v>
      </c>
      <c r="H119" s="100"/>
    </row>
    <row r="120" spans="1:8" x14ac:dyDescent="0.2">
      <c r="A120" s="15" t="s">
        <v>9</v>
      </c>
      <c r="B120" s="5" t="s">
        <v>9</v>
      </c>
      <c r="C120" s="5" t="s">
        <v>124</v>
      </c>
      <c r="D120" s="5" t="s">
        <v>9</v>
      </c>
      <c r="E120" s="15" t="s">
        <v>9</v>
      </c>
      <c r="F120" s="7">
        <v>-5.5008516099999998</v>
      </c>
      <c r="G120" s="8">
        <v>-4.6045899999999998E-4</v>
      </c>
      <c r="H120" s="100"/>
    </row>
    <row r="121" spans="1:8" x14ac:dyDescent="0.2">
      <c r="A121" s="11" t="s">
        <v>9</v>
      </c>
      <c r="B121" s="11" t="s">
        <v>9</v>
      </c>
      <c r="C121" s="3" t="s">
        <v>125</v>
      </c>
      <c r="D121" s="16" t="s">
        <v>9</v>
      </c>
      <c r="E121" s="16" t="s">
        <v>9</v>
      </c>
      <c r="F121" s="9">
        <v>11946.45305719</v>
      </c>
      <c r="G121" s="10">
        <v>1.0000000040000001</v>
      </c>
      <c r="H121" s="100"/>
    </row>
    <row r="122" spans="1:8" x14ac:dyDescent="0.2">
      <c r="A122" s="17" t="s">
        <v>9</v>
      </c>
      <c r="B122" s="17" t="s">
        <v>9</v>
      </c>
      <c r="C122" s="17" t="s">
        <v>9</v>
      </c>
      <c r="D122" s="18" t="s">
        <v>9</v>
      </c>
      <c r="E122" s="18" t="s">
        <v>9</v>
      </c>
      <c r="F122" s="18" t="s">
        <v>9</v>
      </c>
      <c r="G122" s="18" t="s">
        <v>9</v>
      </c>
      <c r="H122" s="142"/>
    </row>
    <row r="123" spans="1:8" x14ac:dyDescent="0.2">
      <c r="A123" s="19" t="s">
        <v>9</v>
      </c>
      <c r="B123" s="254" t="s">
        <v>9</v>
      </c>
      <c r="C123" s="254"/>
      <c r="D123" s="254"/>
      <c r="E123" s="254"/>
      <c r="F123" s="254"/>
      <c r="G123" s="20" t="s">
        <v>9</v>
      </c>
      <c r="H123" s="142"/>
    </row>
    <row r="124" spans="1:8" x14ac:dyDescent="0.2">
      <c r="A124" s="19" t="s">
        <v>9</v>
      </c>
      <c r="B124" s="249" t="s">
        <v>126</v>
      </c>
      <c r="C124" s="249"/>
      <c r="D124" s="249"/>
      <c r="E124" s="249"/>
      <c r="F124" s="249"/>
      <c r="G124" s="20" t="s">
        <v>9</v>
      </c>
      <c r="H124" s="142"/>
    </row>
    <row r="125" spans="1:8" x14ac:dyDescent="0.2">
      <c r="A125" s="19" t="s">
        <v>9</v>
      </c>
      <c r="B125" s="176" t="s">
        <v>9</v>
      </c>
      <c r="C125" s="176" t="s">
        <v>9</v>
      </c>
      <c r="D125" s="179" t="s">
        <v>9</v>
      </c>
      <c r="E125" s="179" t="s">
        <v>9</v>
      </c>
      <c r="F125" s="179" t="s">
        <v>9</v>
      </c>
      <c r="G125" s="20" t="s">
        <v>9</v>
      </c>
      <c r="H125" s="142"/>
    </row>
    <row r="126" spans="1:8" x14ac:dyDescent="0.2">
      <c r="A126" s="19" t="s">
        <v>9</v>
      </c>
      <c r="B126" s="247" t="s">
        <v>127</v>
      </c>
      <c r="C126" s="248"/>
      <c r="D126" s="182" t="s">
        <v>9</v>
      </c>
      <c r="E126" s="178" t="s">
        <v>9</v>
      </c>
      <c r="F126" s="179" t="s">
        <v>9</v>
      </c>
      <c r="G126" s="20" t="s">
        <v>9</v>
      </c>
      <c r="H126" s="142"/>
    </row>
    <row r="127" spans="1:8" ht="28.5" customHeight="1" x14ac:dyDescent="0.2">
      <c r="A127" s="19" t="s">
        <v>9</v>
      </c>
      <c r="B127" s="242" t="s">
        <v>128</v>
      </c>
      <c r="C127" s="243"/>
      <c r="D127" s="3" t="s">
        <v>129</v>
      </c>
      <c r="E127" s="21" t="s">
        <v>9</v>
      </c>
      <c r="F127" s="20" t="s">
        <v>9</v>
      </c>
      <c r="G127" s="20" t="s">
        <v>9</v>
      </c>
      <c r="H127" s="142"/>
    </row>
    <row r="128" spans="1:8" x14ac:dyDescent="0.2">
      <c r="A128" s="19" t="s">
        <v>9</v>
      </c>
      <c r="B128" s="240" t="s">
        <v>130</v>
      </c>
      <c r="C128" s="241"/>
      <c r="D128" s="177" t="s">
        <v>129</v>
      </c>
      <c r="E128" s="178" t="s">
        <v>9</v>
      </c>
      <c r="F128" s="179" t="s">
        <v>9</v>
      </c>
      <c r="G128" s="20" t="s">
        <v>9</v>
      </c>
      <c r="H128" s="142"/>
    </row>
    <row r="129" spans="1:8" x14ac:dyDescent="0.2">
      <c r="A129" s="19" t="s">
        <v>9</v>
      </c>
      <c r="B129" s="240" t="s">
        <v>131</v>
      </c>
      <c r="C129" s="241"/>
      <c r="D129" s="182" t="s">
        <v>9</v>
      </c>
      <c r="E129" s="178" t="s">
        <v>9</v>
      </c>
      <c r="F129" s="179" t="s">
        <v>9</v>
      </c>
      <c r="G129" s="20" t="s">
        <v>9</v>
      </c>
      <c r="H129" s="142"/>
    </row>
    <row r="130" spans="1:8" ht="25.5" x14ac:dyDescent="0.2">
      <c r="A130" s="25" t="s">
        <v>9</v>
      </c>
      <c r="B130" s="23" t="s">
        <v>9</v>
      </c>
      <c r="C130" s="23" t="s">
        <v>132</v>
      </c>
      <c r="D130" s="23" t="s">
        <v>133</v>
      </c>
      <c r="E130" s="22" t="s">
        <v>9</v>
      </c>
      <c r="F130" s="22" t="s">
        <v>9</v>
      </c>
      <c r="G130" s="25" t="s">
        <v>9</v>
      </c>
      <c r="H130" s="142"/>
    </row>
    <row r="131" spans="1:8" x14ac:dyDescent="0.2">
      <c r="A131" s="25" t="s">
        <v>9</v>
      </c>
      <c r="B131" s="23" t="s">
        <v>134</v>
      </c>
      <c r="C131" s="23" t="s">
        <v>135</v>
      </c>
      <c r="D131" s="23" t="s">
        <v>136</v>
      </c>
      <c r="E131" s="22" t="s">
        <v>9</v>
      </c>
      <c r="F131" s="22" t="s">
        <v>9</v>
      </c>
      <c r="G131" s="25" t="s">
        <v>9</v>
      </c>
      <c r="H131" s="142"/>
    </row>
    <row r="132" spans="1:8" x14ac:dyDescent="0.2">
      <c r="A132" s="25" t="s">
        <v>9</v>
      </c>
      <c r="B132" s="183" t="s">
        <v>137</v>
      </c>
      <c r="C132" s="184">
        <v>14.1107</v>
      </c>
      <c r="D132" s="184">
        <v>14.196099999999999</v>
      </c>
      <c r="E132" s="22" t="s">
        <v>9</v>
      </c>
      <c r="F132" s="185" t="s">
        <v>9</v>
      </c>
      <c r="G132" s="25" t="s">
        <v>9</v>
      </c>
      <c r="H132" s="142"/>
    </row>
    <row r="133" spans="1:8" x14ac:dyDescent="0.2">
      <c r="A133" s="25" t="s">
        <v>9</v>
      </c>
      <c r="B133" s="183" t="s">
        <v>921</v>
      </c>
      <c r="C133" s="184">
        <v>14.1107</v>
      </c>
      <c r="D133" s="184">
        <v>14.196099999999999</v>
      </c>
      <c r="E133" s="22" t="s">
        <v>9</v>
      </c>
      <c r="F133" s="185" t="s">
        <v>9</v>
      </c>
      <c r="G133" s="25" t="s">
        <v>9</v>
      </c>
      <c r="H133" s="142"/>
    </row>
    <row r="134" spans="1:8" x14ac:dyDescent="0.2">
      <c r="A134" s="25" t="s">
        <v>9</v>
      </c>
      <c r="B134" s="183" t="s">
        <v>138</v>
      </c>
      <c r="C134" s="184">
        <v>13.8858</v>
      </c>
      <c r="D134" s="184">
        <v>13.9634</v>
      </c>
      <c r="E134" s="22" t="s">
        <v>9</v>
      </c>
      <c r="F134" s="185" t="s">
        <v>9</v>
      </c>
      <c r="G134" s="25" t="s">
        <v>9</v>
      </c>
      <c r="H134" s="142"/>
    </row>
    <row r="135" spans="1:8" x14ac:dyDescent="0.2">
      <c r="A135" s="25" t="s">
        <v>9</v>
      </c>
      <c r="B135" s="183" t="s">
        <v>922</v>
      </c>
      <c r="C135" s="184">
        <v>13.8858</v>
      </c>
      <c r="D135" s="184">
        <v>13.9634</v>
      </c>
      <c r="E135" s="22" t="s">
        <v>9</v>
      </c>
      <c r="F135" s="185" t="s">
        <v>9</v>
      </c>
      <c r="G135" s="25" t="s">
        <v>9</v>
      </c>
      <c r="H135" s="142"/>
    </row>
    <row r="136" spans="1:8" x14ac:dyDescent="0.2">
      <c r="A136" s="25" t="s">
        <v>9</v>
      </c>
      <c r="B136" s="22" t="s">
        <v>9</v>
      </c>
      <c r="C136" s="22" t="s">
        <v>9</v>
      </c>
      <c r="D136" s="22" t="s">
        <v>9</v>
      </c>
      <c r="E136" s="22" t="s">
        <v>9</v>
      </c>
      <c r="F136" s="22" t="s">
        <v>9</v>
      </c>
      <c r="G136" s="25" t="s">
        <v>9</v>
      </c>
      <c r="H136" s="142"/>
    </row>
    <row r="137" spans="1:8" x14ac:dyDescent="0.2">
      <c r="A137" s="25" t="s">
        <v>9</v>
      </c>
      <c r="B137" s="240" t="s">
        <v>1012</v>
      </c>
      <c r="C137" s="241"/>
      <c r="D137" s="177" t="s">
        <v>129</v>
      </c>
      <c r="E137" s="22" t="s">
        <v>9</v>
      </c>
      <c r="F137" s="22" t="s">
        <v>9</v>
      </c>
      <c r="G137" s="25" t="s">
        <v>9</v>
      </c>
      <c r="H137" s="142"/>
    </row>
    <row r="138" spans="1:8" x14ac:dyDescent="0.2">
      <c r="A138" s="25" t="s">
        <v>9</v>
      </c>
      <c r="B138" s="98"/>
      <c r="C138" s="98"/>
      <c r="D138" s="26" t="s">
        <v>9</v>
      </c>
      <c r="E138" s="22" t="s">
        <v>9</v>
      </c>
      <c r="F138" s="22" t="s">
        <v>9</v>
      </c>
      <c r="G138" s="25" t="s">
        <v>9</v>
      </c>
      <c r="H138" s="142"/>
    </row>
    <row r="139" spans="1:8" s="238" customFormat="1" ht="12.75" x14ac:dyDescent="0.2">
      <c r="B139" s="246" t="s">
        <v>923</v>
      </c>
      <c r="C139" s="246"/>
      <c r="D139" s="246"/>
      <c r="E139" s="246"/>
      <c r="F139" s="246"/>
    </row>
    <row r="140" spans="1:8" x14ac:dyDescent="0.2">
      <c r="A140" s="25" t="s">
        <v>9</v>
      </c>
      <c r="B140" s="185" t="s">
        <v>9</v>
      </c>
      <c r="C140" s="185" t="s">
        <v>9</v>
      </c>
      <c r="D140" s="22" t="s">
        <v>9</v>
      </c>
      <c r="E140" s="22" t="s">
        <v>9</v>
      </c>
      <c r="F140" s="22" t="s">
        <v>9</v>
      </c>
      <c r="G140" s="25" t="s">
        <v>9</v>
      </c>
      <c r="H140" s="142"/>
    </row>
    <row r="141" spans="1:8" x14ac:dyDescent="0.2">
      <c r="A141" s="25" t="s">
        <v>9</v>
      </c>
      <c r="B141" s="240" t="s">
        <v>139</v>
      </c>
      <c r="C141" s="241"/>
      <c r="D141" s="177" t="s">
        <v>129</v>
      </c>
      <c r="E141" s="22" t="s">
        <v>9</v>
      </c>
      <c r="F141" s="22" t="s">
        <v>9</v>
      </c>
      <c r="G141" s="25" t="s">
        <v>9</v>
      </c>
      <c r="H141" s="142"/>
    </row>
    <row r="142" spans="1:8" x14ac:dyDescent="0.2">
      <c r="A142" s="25" t="s">
        <v>9</v>
      </c>
      <c r="B142" s="240" t="s">
        <v>140</v>
      </c>
      <c r="C142" s="241"/>
      <c r="D142" s="177" t="s">
        <v>129</v>
      </c>
      <c r="E142" s="22" t="s">
        <v>9</v>
      </c>
      <c r="F142" s="22" t="s">
        <v>9</v>
      </c>
      <c r="G142" s="25" t="s">
        <v>9</v>
      </c>
      <c r="H142" s="142"/>
    </row>
    <row r="143" spans="1:8" x14ac:dyDescent="0.2">
      <c r="A143" s="25" t="s">
        <v>9</v>
      </c>
      <c r="B143" s="240" t="s">
        <v>141</v>
      </c>
      <c r="C143" s="241"/>
      <c r="D143" s="186">
        <v>0.35118502988835459</v>
      </c>
      <c r="E143" s="22" t="s">
        <v>9</v>
      </c>
      <c r="F143" s="185" t="s">
        <v>9</v>
      </c>
      <c r="G143" s="25" t="s">
        <v>9</v>
      </c>
      <c r="H143" s="142"/>
    </row>
    <row r="144" spans="1:8" x14ac:dyDescent="0.2">
      <c r="A144" s="25" t="s">
        <v>9</v>
      </c>
      <c r="B144" s="240" t="s">
        <v>142</v>
      </c>
      <c r="C144" s="241"/>
      <c r="D144" s="177" t="s">
        <v>129</v>
      </c>
      <c r="E144" s="22" t="s">
        <v>9</v>
      </c>
      <c r="F144" s="22" t="s">
        <v>9</v>
      </c>
      <c r="G144" s="25" t="s">
        <v>9</v>
      </c>
      <c r="H144" s="142"/>
    </row>
  </sheetData>
  <mergeCells count="15">
    <mergeCell ref="B126:C126"/>
    <mergeCell ref="B123:F123"/>
    <mergeCell ref="B124:F124"/>
    <mergeCell ref="A1:H1"/>
    <mergeCell ref="A2:H2"/>
    <mergeCell ref="A3:H3"/>
    <mergeCell ref="B143:C143"/>
    <mergeCell ref="B144:C144"/>
    <mergeCell ref="B127:C127"/>
    <mergeCell ref="B128:C128"/>
    <mergeCell ref="B129:C129"/>
    <mergeCell ref="B137:C137"/>
    <mergeCell ref="B141:C141"/>
    <mergeCell ref="B142:C142"/>
    <mergeCell ref="B139:F139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outlinePr summaryBelow="0" summaryRight="0"/>
  </sheetPr>
  <dimension ref="A1:H144"/>
  <sheetViews>
    <sheetView showGridLines="0" workbookViewId="0">
      <selection activeCell="J1" sqref="J1"/>
    </sheetView>
  </sheetViews>
  <sheetFormatPr defaultRowHeight="15" x14ac:dyDescent="0.2"/>
  <cols>
    <col min="1" max="1" width="6.85546875" style="155" customWidth="1"/>
    <col min="2" max="2" width="20.5703125" style="155" customWidth="1"/>
    <col min="3" max="3" width="34.28515625" style="155" customWidth="1"/>
    <col min="4" max="4" width="17.85546875" style="155" customWidth="1"/>
    <col min="5" max="6" width="19.140625" style="155" customWidth="1"/>
    <col min="7" max="7" width="16.42578125" style="155" customWidth="1"/>
    <col min="8" max="16384" width="9.140625" style="155"/>
  </cols>
  <sheetData>
    <row r="1" spans="1:8" x14ac:dyDescent="0.2">
      <c r="A1" s="250" t="s">
        <v>0</v>
      </c>
      <c r="B1" s="250"/>
      <c r="C1" s="250"/>
      <c r="D1" s="250"/>
      <c r="E1" s="250"/>
      <c r="F1" s="250"/>
      <c r="G1" s="250"/>
      <c r="H1" s="250"/>
    </row>
    <row r="2" spans="1:8" x14ac:dyDescent="0.2">
      <c r="A2" s="251" t="s">
        <v>430</v>
      </c>
      <c r="B2" s="252"/>
      <c r="C2" s="252"/>
      <c r="D2" s="252"/>
      <c r="E2" s="252"/>
      <c r="F2" s="252"/>
      <c r="G2" s="252"/>
      <c r="H2" s="253"/>
    </row>
    <row r="3" spans="1:8" x14ac:dyDescent="0.2">
      <c r="A3" s="250" t="s">
        <v>1015</v>
      </c>
      <c r="B3" s="250"/>
      <c r="C3" s="250"/>
      <c r="D3" s="250"/>
      <c r="E3" s="250"/>
      <c r="F3" s="250"/>
      <c r="G3" s="250"/>
      <c r="H3" s="250"/>
    </row>
    <row r="4" spans="1:8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60" t="s">
        <v>6</v>
      </c>
      <c r="F4" s="160" t="s">
        <v>7</v>
      </c>
      <c r="G4" s="160" t="s">
        <v>8</v>
      </c>
      <c r="H4" s="161" t="s">
        <v>909</v>
      </c>
    </row>
    <row r="5" spans="1:8" x14ac:dyDescent="0.2">
      <c r="A5" s="15" t="s">
        <v>9</v>
      </c>
      <c r="B5" s="15" t="s">
        <v>9</v>
      </c>
      <c r="C5" s="3" t="s">
        <v>10</v>
      </c>
      <c r="D5" s="15" t="s">
        <v>9</v>
      </c>
      <c r="E5" s="15" t="s">
        <v>9</v>
      </c>
      <c r="F5" s="15" t="s">
        <v>9</v>
      </c>
      <c r="G5" s="15" t="s">
        <v>9</v>
      </c>
      <c r="H5" s="100"/>
    </row>
    <row r="6" spans="1:8" ht="25.5" x14ac:dyDescent="0.2">
      <c r="A6" s="15" t="s">
        <v>9</v>
      </c>
      <c r="B6" s="15" t="s">
        <v>9</v>
      </c>
      <c r="C6" s="3" t="s">
        <v>11</v>
      </c>
      <c r="D6" s="15" t="s">
        <v>9</v>
      </c>
      <c r="E6" s="15" t="s">
        <v>9</v>
      </c>
      <c r="F6" s="15" t="s">
        <v>9</v>
      </c>
      <c r="G6" s="15" t="s">
        <v>9</v>
      </c>
      <c r="H6" s="100"/>
    </row>
    <row r="7" spans="1:8" x14ac:dyDescent="0.2">
      <c r="A7" s="4">
        <v>1</v>
      </c>
      <c r="B7" s="5" t="s">
        <v>54</v>
      </c>
      <c r="C7" s="5" t="s">
        <v>55</v>
      </c>
      <c r="D7" s="5" t="s">
        <v>22</v>
      </c>
      <c r="E7" s="6">
        <v>34392</v>
      </c>
      <c r="F7" s="7">
        <v>485.71821599999998</v>
      </c>
      <c r="G7" s="8">
        <v>6.8977273000000006E-2</v>
      </c>
      <c r="H7" s="100"/>
    </row>
    <row r="8" spans="1:8" x14ac:dyDescent="0.2">
      <c r="A8" s="4">
        <v>2</v>
      </c>
      <c r="B8" s="5" t="s">
        <v>15</v>
      </c>
      <c r="C8" s="5" t="s">
        <v>16</v>
      </c>
      <c r="D8" s="5" t="s">
        <v>17</v>
      </c>
      <c r="E8" s="6">
        <v>23741</v>
      </c>
      <c r="F8" s="7">
        <v>473.51424500000002</v>
      </c>
      <c r="G8" s="8">
        <v>6.7244177000000002E-2</v>
      </c>
      <c r="H8" s="100"/>
    </row>
    <row r="9" spans="1:8" x14ac:dyDescent="0.2">
      <c r="A9" s="4">
        <v>3</v>
      </c>
      <c r="B9" s="5" t="s">
        <v>20</v>
      </c>
      <c r="C9" s="5" t="s">
        <v>21</v>
      </c>
      <c r="D9" s="5" t="s">
        <v>22</v>
      </c>
      <c r="E9" s="6">
        <v>69948</v>
      </c>
      <c r="F9" s="7">
        <v>420.03773999999999</v>
      </c>
      <c r="G9" s="8">
        <v>5.9649931000000003E-2</v>
      </c>
      <c r="H9" s="100"/>
    </row>
    <row r="10" spans="1:8" x14ac:dyDescent="0.2">
      <c r="A10" s="4">
        <v>4</v>
      </c>
      <c r="B10" s="5" t="s">
        <v>144</v>
      </c>
      <c r="C10" s="5" t="s">
        <v>145</v>
      </c>
      <c r="D10" s="5" t="s">
        <v>146</v>
      </c>
      <c r="E10" s="6">
        <v>11316</v>
      </c>
      <c r="F10" s="7">
        <v>387.935112</v>
      </c>
      <c r="G10" s="8">
        <v>5.5091007999999997E-2</v>
      </c>
      <c r="H10" s="100"/>
    </row>
    <row r="11" spans="1:8" x14ac:dyDescent="0.2">
      <c r="A11" s="4">
        <v>5</v>
      </c>
      <c r="B11" s="5" t="s">
        <v>393</v>
      </c>
      <c r="C11" s="5" t="s">
        <v>394</v>
      </c>
      <c r="D11" s="5" t="s">
        <v>151</v>
      </c>
      <c r="E11" s="6">
        <v>24647</v>
      </c>
      <c r="F11" s="7">
        <v>333.8066445</v>
      </c>
      <c r="G11" s="8">
        <v>4.7404176999999999E-2</v>
      </c>
      <c r="H11" s="100"/>
    </row>
    <row r="12" spans="1:8" ht="25.5" x14ac:dyDescent="0.2">
      <c r="A12" s="4">
        <v>6</v>
      </c>
      <c r="B12" s="5" t="s">
        <v>395</v>
      </c>
      <c r="C12" s="5" t="s">
        <v>396</v>
      </c>
      <c r="D12" s="5" t="s">
        <v>156</v>
      </c>
      <c r="E12" s="6">
        <v>12284</v>
      </c>
      <c r="F12" s="7">
        <v>297.28508399999998</v>
      </c>
      <c r="G12" s="8">
        <v>4.2217718000000001E-2</v>
      </c>
      <c r="H12" s="100"/>
    </row>
    <row r="13" spans="1:8" x14ac:dyDescent="0.2">
      <c r="A13" s="4">
        <v>7</v>
      </c>
      <c r="B13" s="5" t="s">
        <v>397</v>
      </c>
      <c r="C13" s="5" t="s">
        <v>398</v>
      </c>
      <c r="D13" s="5" t="s">
        <v>22</v>
      </c>
      <c r="E13" s="6">
        <v>33477</v>
      </c>
      <c r="F13" s="7">
        <v>239.32707300000001</v>
      </c>
      <c r="G13" s="8">
        <v>3.3987048999999998E-2</v>
      </c>
      <c r="H13" s="100"/>
    </row>
    <row r="14" spans="1:8" ht="25.5" x14ac:dyDescent="0.2">
      <c r="A14" s="4">
        <v>8</v>
      </c>
      <c r="B14" s="5" t="s">
        <v>326</v>
      </c>
      <c r="C14" s="5" t="s">
        <v>327</v>
      </c>
      <c r="D14" s="5" t="s">
        <v>73</v>
      </c>
      <c r="E14" s="6">
        <v>19791</v>
      </c>
      <c r="F14" s="7">
        <v>188.12335049999999</v>
      </c>
      <c r="G14" s="8">
        <v>2.6715563000000001E-2</v>
      </c>
      <c r="H14" s="100"/>
    </row>
    <row r="15" spans="1:8" x14ac:dyDescent="0.2">
      <c r="A15" s="4">
        <v>9</v>
      </c>
      <c r="B15" s="5" t="s">
        <v>29</v>
      </c>
      <c r="C15" s="5" t="s">
        <v>30</v>
      </c>
      <c r="D15" s="5" t="s">
        <v>31</v>
      </c>
      <c r="E15" s="6">
        <v>34075</v>
      </c>
      <c r="F15" s="7">
        <v>182.89756249999999</v>
      </c>
      <c r="G15" s="8">
        <v>2.5973445000000001E-2</v>
      </c>
      <c r="H15" s="100"/>
    </row>
    <row r="16" spans="1:8" x14ac:dyDescent="0.2">
      <c r="A16" s="4">
        <v>10</v>
      </c>
      <c r="B16" s="5" t="s">
        <v>26</v>
      </c>
      <c r="C16" s="5" t="s">
        <v>27</v>
      </c>
      <c r="D16" s="5" t="s">
        <v>28</v>
      </c>
      <c r="E16" s="6">
        <v>19534</v>
      </c>
      <c r="F16" s="7">
        <v>178.91190599999999</v>
      </c>
      <c r="G16" s="8">
        <v>2.5407438000000001E-2</v>
      </c>
      <c r="H16" s="100"/>
    </row>
    <row r="17" spans="1:8" x14ac:dyDescent="0.2">
      <c r="A17" s="4">
        <v>11</v>
      </c>
      <c r="B17" s="5" t="s">
        <v>399</v>
      </c>
      <c r="C17" s="5" t="s">
        <v>400</v>
      </c>
      <c r="D17" s="5" t="s">
        <v>22</v>
      </c>
      <c r="E17" s="6">
        <v>49096</v>
      </c>
      <c r="F17" s="7">
        <v>173.55436</v>
      </c>
      <c r="G17" s="8">
        <v>2.4646608E-2</v>
      </c>
      <c r="H17" s="100"/>
    </row>
    <row r="18" spans="1:8" x14ac:dyDescent="0.2">
      <c r="A18" s="4">
        <v>12</v>
      </c>
      <c r="B18" s="5" t="s">
        <v>305</v>
      </c>
      <c r="C18" s="5" t="s">
        <v>306</v>
      </c>
      <c r="D18" s="5" t="s">
        <v>1005</v>
      </c>
      <c r="E18" s="6">
        <v>5771</v>
      </c>
      <c r="F18" s="7">
        <v>166.88000700000001</v>
      </c>
      <c r="G18" s="8">
        <v>2.3698777000000001E-2</v>
      </c>
      <c r="H18" s="100"/>
    </row>
    <row r="19" spans="1:8" ht="25.5" x14ac:dyDescent="0.2">
      <c r="A19" s="4">
        <v>13</v>
      </c>
      <c r="B19" s="5" t="s">
        <v>39</v>
      </c>
      <c r="C19" s="5" t="s">
        <v>941</v>
      </c>
      <c r="D19" s="5" t="s">
        <v>1001</v>
      </c>
      <c r="E19" s="6">
        <v>2453</v>
      </c>
      <c r="F19" s="7">
        <v>154.02264349999999</v>
      </c>
      <c r="G19" s="8">
        <v>2.1872892000000001E-2</v>
      </c>
      <c r="H19" s="100"/>
    </row>
    <row r="20" spans="1:8" x14ac:dyDescent="0.2">
      <c r="A20" s="4">
        <v>14</v>
      </c>
      <c r="B20" s="5" t="s">
        <v>401</v>
      </c>
      <c r="C20" s="5" t="s">
        <v>402</v>
      </c>
      <c r="D20" s="5" t="s">
        <v>91</v>
      </c>
      <c r="E20" s="6">
        <v>19389</v>
      </c>
      <c r="F20" s="7">
        <v>145.91191950000001</v>
      </c>
      <c r="G20" s="8">
        <v>2.0721080999999999E-2</v>
      </c>
      <c r="H20" s="100"/>
    </row>
    <row r="21" spans="1:8" x14ac:dyDescent="0.2">
      <c r="A21" s="4">
        <v>15</v>
      </c>
      <c r="B21" s="5" t="s">
        <v>12</v>
      </c>
      <c r="C21" s="5" t="s">
        <v>13</v>
      </c>
      <c r="D21" s="5" t="s">
        <v>14</v>
      </c>
      <c r="E21" s="6">
        <v>10691</v>
      </c>
      <c r="F21" s="7">
        <v>143.30750950000001</v>
      </c>
      <c r="G21" s="8">
        <v>2.0351226E-2</v>
      </c>
      <c r="H21" s="100"/>
    </row>
    <row r="22" spans="1:8" x14ac:dyDescent="0.2">
      <c r="A22" s="4">
        <v>16</v>
      </c>
      <c r="B22" s="5" t="s">
        <v>403</v>
      </c>
      <c r="C22" s="5" t="s">
        <v>404</v>
      </c>
      <c r="D22" s="5" t="s">
        <v>1009</v>
      </c>
      <c r="E22" s="6">
        <v>15410</v>
      </c>
      <c r="F22" s="7">
        <v>143.11267000000001</v>
      </c>
      <c r="G22" s="8">
        <v>2.0323556999999999E-2</v>
      </c>
      <c r="H22" s="100"/>
    </row>
    <row r="23" spans="1:8" ht="25.5" x14ac:dyDescent="0.2">
      <c r="A23" s="4">
        <v>17</v>
      </c>
      <c r="B23" s="5" t="s">
        <v>324</v>
      </c>
      <c r="C23" s="5" t="s">
        <v>325</v>
      </c>
      <c r="D23" s="5" t="s">
        <v>58</v>
      </c>
      <c r="E23" s="6">
        <v>37015</v>
      </c>
      <c r="F23" s="7">
        <v>142.47073499999999</v>
      </c>
      <c r="G23" s="8">
        <v>2.0232395E-2</v>
      </c>
      <c r="H23" s="100"/>
    </row>
    <row r="24" spans="1:8" ht="25.5" x14ac:dyDescent="0.2">
      <c r="A24" s="4">
        <v>18</v>
      </c>
      <c r="B24" s="5" t="s">
        <v>182</v>
      </c>
      <c r="C24" s="5" t="s">
        <v>944</v>
      </c>
      <c r="D24" s="5" t="s">
        <v>58</v>
      </c>
      <c r="E24" s="6">
        <v>6000</v>
      </c>
      <c r="F24" s="7">
        <v>140.12100000000001</v>
      </c>
      <c r="G24" s="8">
        <v>1.9898707000000002E-2</v>
      </c>
      <c r="H24" s="100"/>
    </row>
    <row r="25" spans="1:8" x14ac:dyDescent="0.2">
      <c r="A25" s="4">
        <v>19</v>
      </c>
      <c r="B25" s="5" t="s">
        <v>350</v>
      </c>
      <c r="C25" s="5" t="s">
        <v>351</v>
      </c>
      <c r="D25" s="5" t="s">
        <v>1006</v>
      </c>
      <c r="E25" s="6">
        <v>29796</v>
      </c>
      <c r="F25" s="7">
        <v>135.25894199999999</v>
      </c>
      <c r="G25" s="8">
        <v>1.9208242E-2</v>
      </c>
      <c r="H25" s="100"/>
    </row>
    <row r="26" spans="1:8" x14ac:dyDescent="0.2">
      <c r="A26" s="4">
        <v>20</v>
      </c>
      <c r="B26" s="5" t="s">
        <v>83</v>
      </c>
      <c r="C26" s="5" t="s">
        <v>84</v>
      </c>
      <c r="D26" s="5" t="s">
        <v>28</v>
      </c>
      <c r="E26" s="6">
        <v>15282</v>
      </c>
      <c r="F26" s="7">
        <v>128.00203200000001</v>
      </c>
      <c r="G26" s="8">
        <v>1.8177682000000001E-2</v>
      </c>
      <c r="H26" s="100"/>
    </row>
    <row r="27" spans="1:8" x14ac:dyDescent="0.2">
      <c r="A27" s="4">
        <v>21</v>
      </c>
      <c r="B27" s="5" t="s">
        <v>405</v>
      </c>
      <c r="C27" s="5" t="s">
        <v>406</v>
      </c>
      <c r="D27" s="5" t="s">
        <v>193</v>
      </c>
      <c r="E27" s="6">
        <v>12888</v>
      </c>
      <c r="F27" s="7">
        <v>126.411948</v>
      </c>
      <c r="G27" s="8">
        <v>1.7951873E-2</v>
      </c>
      <c r="H27" s="100"/>
    </row>
    <row r="28" spans="1:8" x14ac:dyDescent="0.2">
      <c r="A28" s="4">
        <v>22</v>
      </c>
      <c r="B28" s="5" t="s">
        <v>200</v>
      </c>
      <c r="C28" s="5" t="s">
        <v>201</v>
      </c>
      <c r="D28" s="5" t="s">
        <v>1003</v>
      </c>
      <c r="E28" s="6">
        <v>19626</v>
      </c>
      <c r="F28" s="7">
        <v>123.310158</v>
      </c>
      <c r="G28" s="8">
        <v>1.7511385000000001E-2</v>
      </c>
      <c r="H28" s="100"/>
    </row>
    <row r="29" spans="1:8" x14ac:dyDescent="0.2">
      <c r="A29" s="4">
        <v>23</v>
      </c>
      <c r="B29" s="5" t="s">
        <v>407</v>
      </c>
      <c r="C29" s="5" t="s">
        <v>408</v>
      </c>
      <c r="D29" s="5" t="s">
        <v>193</v>
      </c>
      <c r="E29" s="6">
        <v>17804</v>
      </c>
      <c r="F29" s="7">
        <v>116.518278</v>
      </c>
      <c r="G29" s="8">
        <v>1.6546864000000001E-2</v>
      </c>
      <c r="H29" s="100"/>
    </row>
    <row r="30" spans="1:8" x14ac:dyDescent="0.2">
      <c r="A30" s="4">
        <v>24</v>
      </c>
      <c r="B30" s="5" t="s">
        <v>409</v>
      </c>
      <c r="C30" s="5" t="s">
        <v>940</v>
      </c>
      <c r="D30" s="5" t="s">
        <v>151</v>
      </c>
      <c r="E30" s="6">
        <v>3810</v>
      </c>
      <c r="F30" s="7">
        <v>115.658265</v>
      </c>
      <c r="G30" s="8">
        <v>1.6424733E-2</v>
      </c>
      <c r="H30" s="100"/>
    </row>
    <row r="31" spans="1:8" x14ac:dyDescent="0.2">
      <c r="A31" s="4">
        <v>25</v>
      </c>
      <c r="B31" s="5" t="s">
        <v>309</v>
      </c>
      <c r="C31" s="5" t="s">
        <v>310</v>
      </c>
      <c r="D31" s="5" t="s">
        <v>58</v>
      </c>
      <c r="E31" s="6">
        <v>5154</v>
      </c>
      <c r="F31" s="7">
        <v>114.493533</v>
      </c>
      <c r="G31" s="8">
        <v>1.6259328E-2</v>
      </c>
      <c r="H31" s="100"/>
    </row>
    <row r="32" spans="1:8" x14ac:dyDescent="0.2">
      <c r="A32" s="4">
        <v>26</v>
      </c>
      <c r="B32" s="5" t="s">
        <v>411</v>
      </c>
      <c r="C32" s="5" t="s">
        <v>412</v>
      </c>
      <c r="D32" s="5" t="s">
        <v>151</v>
      </c>
      <c r="E32" s="6">
        <v>23000</v>
      </c>
      <c r="F32" s="7">
        <v>113.3325</v>
      </c>
      <c r="G32" s="8">
        <v>1.6094449E-2</v>
      </c>
      <c r="H32" s="100"/>
    </row>
    <row r="33" spans="1:8" x14ac:dyDescent="0.2">
      <c r="A33" s="4">
        <v>27</v>
      </c>
      <c r="B33" s="5" t="s">
        <v>413</v>
      </c>
      <c r="C33" s="5" t="s">
        <v>414</v>
      </c>
      <c r="D33" s="5" t="s">
        <v>47</v>
      </c>
      <c r="E33" s="6">
        <v>10000</v>
      </c>
      <c r="F33" s="7">
        <v>103.4</v>
      </c>
      <c r="G33" s="8">
        <v>1.4683925E-2</v>
      </c>
      <c r="H33" s="100"/>
    </row>
    <row r="34" spans="1:8" ht="25.5" x14ac:dyDescent="0.2">
      <c r="A34" s="4">
        <v>28</v>
      </c>
      <c r="B34" s="5" t="s">
        <v>415</v>
      </c>
      <c r="C34" s="5" t="s">
        <v>938</v>
      </c>
      <c r="D34" s="5" t="s">
        <v>73</v>
      </c>
      <c r="E34" s="6">
        <v>4309</v>
      </c>
      <c r="F34" s="7">
        <v>101.42308749999999</v>
      </c>
      <c r="G34" s="8">
        <v>1.4403182E-2</v>
      </c>
      <c r="H34" s="100"/>
    </row>
    <row r="35" spans="1:8" x14ac:dyDescent="0.2">
      <c r="A35" s="4">
        <v>29</v>
      </c>
      <c r="B35" s="5" t="s">
        <v>356</v>
      </c>
      <c r="C35" s="5" t="s">
        <v>357</v>
      </c>
      <c r="D35" s="5" t="s">
        <v>151</v>
      </c>
      <c r="E35" s="6">
        <v>10771</v>
      </c>
      <c r="F35" s="7">
        <v>96.825904499999993</v>
      </c>
      <c r="G35" s="8">
        <v>1.3750332000000001E-2</v>
      </c>
      <c r="H35" s="100"/>
    </row>
    <row r="36" spans="1:8" x14ac:dyDescent="0.2">
      <c r="A36" s="4">
        <v>30</v>
      </c>
      <c r="B36" s="5" t="s">
        <v>235</v>
      </c>
      <c r="C36" s="5" t="s">
        <v>236</v>
      </c>
      <c r="D36" s="5" t="s">
        <v>1005</v>
      </c>
      <c r="E36" s="6">
        <v>21234</v>
      </c>
      <c r="F36" s="7">
        <v>92.824431000000004</v>
      </c>
      <c r="G36" s="8">
        <v>1.3182080000000001E-2</v>
      </c>
      <c r="H36" s="100"/>
    </row>
    <row r="37" spans="1:8" x14ac:dyDescent="0.2">
      <c r="A37" s="4">
        <v>31</v>
      </c>
      <c r="B37" s="5" t="s">
        <v>69</v>
      </c>
      <c r="C37" s="5" t="s">
        <v>70</v>
      </c>
      <c r="D37" s="5" t="s">
        <v>17</v>
      </c>
      <c r="E37" s="6">
        <v>21882</v>
      </c>
      <c r="F37" s="7">
        <v>92.298276000000001</v>
      </c>
      <c r="G37" s="8">
        <v>1.310736E-2</v>
      </c>
      <c r="H37" s="100"/>
    </row>
    <row r="38" spans="1:8" x14ac:dyDescent="0.2">
      <c r="A38" s="4">
        <v>32</v>
      </c>
      <c r="B38" s="5" t="s">
        <v>330</v>
      </c>
      <c r="C38" s="5" t="s">
        <v>331</v>
      </c>
      <c r="D38" s="5" t="s">
        <v>272</v>
      </c>
      <c r="E38" s="6">
        <v>11381</v>
      </c>
      <c r="F38" s="7">
        <v>88.396226999999996</v>
      </c>
      <c r="G38" s="8">
        <v>1.2553226000000001E-2</v>
      </c>
      <c r="H38" s="100"/>
    </row>
    <row r="39" spans="1:8" x14ac:dyDescent="0.2">
      <c r="A39" s="4">
        <v>33</v>
      </c>
      <c r="B39" s="5" t="s">
        <v>316</v>
      </c>
      <c r="C39" s="5" t="s">
        <v>317</v>
      </c>
      <c r="D39" s="5" t="s">
        <v>163</v>
      </c>
      <c r="E39" s="6">
        <v>104</v>
      </c>
      <c r="F39" s="7">
        <v>83.949371999999997</v>
      </c>
      <c r="G39" s="8">
        <v>1.1921724999999999E-2</v>
      </c>
      <c r="H39" s="100"/>
    </row>
    <row r="40" spans="1:8" x14ac:dyDescent="0.2">
      <c r="A40" s="4">
        <v>34</v>
      </c>
      <c r="B40" s="5" t="s">
        <v>417</v>
      </c>
      <c r="C40" s="5" t="s">
        <v>418</v>
      </c>
      <c r="D40" s="5" t="s">
        <v>193</v>
      </c>
      <c r="E40" s="6">
        <v>1992</v>
      </c>
      <c r="F40" s="7">
        <v>80.922011999999995</v>
      </c>
      <c r="G40" s="8">
        <v>1.1491806E-2</v>
      </c>
      <c r="H40" s="100"/>
    </row>
    <row r="41" spans="1:8" ht="25.5" x14ac:dyDescent="0.2">
      <c r="A41" s="4">
        <v>35</v>
      </c>
      <c r="B41" s="5" t="s">
        <v>419</v>
      </c>
      <c r="C41" s="5" t="s">
        <v>420</v>
      </c>
      <c r="D41" s="5" t="s">
        <v>1009</v>
      </c>
      <c r="E41" s="6">
        <v>5376</v>
      </c>
      <c r="F41" s="7">
        <v>76.016639999999995</v>
      </c>
      <c r="G41" s="8">
        <v>1.079519E-2</v>
      </c>
      <c r="H41" s="100"/>
    </row>
    <row r="42" spans="1:8" x14ac:dyDescent="0.2">
      <c r="A42" s="4">
        <v>36</v>
      </c>
      <c r="B42" s="5" t="s">
        <v>320</v>
      </c>
      <c r="C42" s="5" t="s">
        <v>321</v>
      </c>
      <c r="D42" s="5" t="s">
        <v>47</v>
      </c>
      <c r="E42" s="6">
        <v>15000</v>
      </c>
      <c r="F42" s="7">
        <v>66.224999999999994</v>
      </c>
      <c r="G42" s="8">
        <v>9.4046709999999999E-3</v>
      </c>
      <c r="H42" s="100"/>
    </row>
    <row r="43" spans="1:8" ht="25.5" x14ac:dyDescent="0.2">
      <c r="A43" s="4">
        <v>37</v>
      </c>
      <c r="B43" s="5" t="s">
        <v>152</v>
      </c>
      <c r="C43" s="5" t="s">
        <v>153</v>
      </c>
      <c r="D43" s="5" t="s">
        <v>1001</v>
      </c>
      <c r="E43" s="6">
        <v>39711</v>
      </c>
      <c r="F43" s="7">
        <v>64.808351999999999</v>
      </c>
      <c r="G43" s="8">
        <v>9.2034909999999994E-3</v>
      </c>
      <c r="H43" s="100"/>
    </row>
    <row r="44" spans="1:8" x14ac:dyDescent="0.2">
      <c r="A44" s="4">
        <v>38</v>
      </c>
      <c r="B44" s="5" t="s">
        <v>367</v>
      </c>
      <c r="C44" s="5" t="s">
        <v>368</v>
      </c>
      <c r="D44" s="5" t="s">
        <v>22</v>
      </c>
      <c r="E44" s="6">
        <v>96000</v>
      </c>
      <c r="F44" s="7">
        <v>64.08</v>
      </c>
      <c r="G44" s="8">
        <v>9.1000569999999999E-3</v>
      </c>
      <c r="H44" s="100"/>
    </row>
    <row r="45" spans="1:8" ht="25.5" x14ac:dyDescent="0.2">
      <c r="A45" s="4">
        <v>39</v>
      </c>
      <c r="B45" s="5" t="s">
        <v>421</v>
      </c>
      <c r="C45" s="5" t="s">
        <v>422</v>
      </c>
      <c r="D45" s="5" t="s">
        <v>73</v>
      </c>
      <c r="E45" s="6">
        <v>31300</v>
      </c>
      <c r="F45" s="7">
        <v>63.413800000000002</v>
      </c>
      <c r="G45" s="8">
        <v>9.0054499999999999E-3</v>
      </c>
      <c r="H45" s="100"/>
    </row>
    <row r="46" spans="1:8" ht="25.5" x14ac:dyDescent="0.2">
      <c r="A46" s="4">
        <v>40</v>
      </c>
      <c r="B46" s="5" t="s">
        <v>194</v>
      </c>
      <c r="C46" s="5" t="s">
        <v>195</v>
      </c>
      <c r="D46" s="5" t="s">
        <v>73</v>
      </c>
      <c r="E46" s="6">
        <v>17147</v>
      </c>
      <c r="F46" s="7">
        <v>62.972357500000001</v>
      </c>
      <c r="G46" s="8">
        <v>8.9427599999999993E-3</v>
      </c>
      <c r="H46" s="100"/>
    </row>
    <row r="47" spans="1:8" x14ac:dyDescent="0.2">
      <c r="A47" s="4">
        <v>41</v>
      </c>
      <c r="B47" s="5" t="s">
        <v>289</v>
      </c>
      <c r="C47" s="5" t="s">
        <v>290</v>
      </c>
      <c r="D47" s="5" t="s">
        <v>1009</v>
      </c>
      <c r="E47" s="6">
        <v>5927</v>
      </c>
      <c r="F47" s="7">
        <v>53.099992999999998</v>
      </c>
      <c r="G47" s="8">
        <v>7.5407770000000002E-3</v>
      </c>
      <c r="H47" s="100"/>
    </row>
    <row r="48" spans="1:8" x14ac:dyDescent="0.2">
      <c r="A48" s="4">
        <v>42</v>
      </c>
      <c r="B48" s="5" t="s">
        <v>76</v>
      </c>
      <c r="C48" s="5" t="s">
        <v>77</v>
      </c>
      <c r="D48" s="5" t="s">
        <v>78</v>
      </c>
      <c r="E48" s="6">
        <v>36861</v>
      </c>
      <c r="F48" s="7">
        <v>50.573292000000002</v>
      </c>
      <c r="G48" s="8">
        <v>7.1819579999999996E-3</v>
      </c>
      <c r="H48" s="100"/>
    </row>
    <row r="49" spans="1:8" x14ac:dyDescent="0.2">
      <c r="A49" s="4">
        <v>43</v>
      </c>
      <c r="B49" s="5" t="s">
        <v>358</v>
      </c>
      <c r="C49" s="5" t="s">
        <v>359</v>
      </c>
      <c r="D49" s="5" t="s">
        <v>156</v>
      </c>
      <c r="E49" s="6">
        <v>4434</v>
      </c>
      <c r="F49" s="7">
        <v>49.986699000000002</v>
      </c>
      <c r="G49" s="8">
        <v>7.0986549999999997E-3</v>
      </c>
      <c r="H49" s="100"/>
    </row>
    <row r="50" spans="1:8" x14ac:dyDescent="0.2">
      <c r="A50" s="4">
        <v>44</v>
      </c>
      <c r="B50" s="5" t="s">
        <v>344</v>
      </c>
      <c r="C50" s="5" t="s">
        <v>345</v>
      </c>
      <c r="D50" s="5" t="s">
        <v>1002</v>
      </c>
      <c r="E50" s="6">
        <v>37746</v>
      </c>
      <c r="F50" s="7">
        <v>49.730355000000003</v>
      </c>
      <c r="G50" s="8">
        <v>7.0622519999999998E-3</v>
      </c>
      <c r="H50" s="100"/>
    </row>
    <row r="51" spans="1:8" x14ac:dyDescent="0.2">
      <c r="A51" s="4">
        <v>45</v>
      </c>
      <c r="B51" s="5" t="s">
        <v>423</v>
      </c>
      <c r="C51" s="5" t="s">
        <v>424</v>
      </c>
      <c r="D51" s="5" t="s">
        <v>22</v>
      </c>
      <c r="E51" s="6">
        <v>2804</v>
      </c>
      <c r="F51" s="7">
        <v>49.036352000000001</v>
      </c>
      <c r="G51" s="8">
        <v>6.9636960000000001E-3</v>
      </c>
      <c r="H51" s="100"/>
    </row>
    <row r="52" spans="1:8" ht="25.5" x14ac:dyDescent="0.2">
      <c r="A52" s="4">
        <v>46</v>
      </c>
      <c r="B52" s="5" t="s">
        <v>71</v>
      </c>
      <c r="C52" s="5" t="s">
        <v>72</v>
      </c>
      <c r="D52" s="5" t="s">
        <v>73</v>
      </c>
      <c r="E52" s="6">
        <v>8741</v>
      </c>
      <c r="F52" s="7">
        <v>48.578107500000002</v>
      </c>
      <c r="G52" s="8">
        <v>6.8986200000000003E-3</v>
      </c>
      <c r="H52" s="100"/>
    </row>
    <row r="53" spans="1:8" x14ac:dyDescent="0.2">
      <c r="A53" s="4">
        <v>47</v>
      </c>
      <c r="B53" s="5" t="s">
        <v>241</v>
      </c>
      <c r="C53" s="5" t="s">
        <v>242</v>
      </c>
      <c r="D53" s="5" t="s">
        <v>163</v>
      </c>
      <c r="E53" s="6">
        <v>8000</v>
      </c>
      <c r="F53" s="7">
        <v>47.648000000000003</v>
      </c>
      <c r="G53" s="8">
        <v>6.7665349999999997E-3</v>
      </c>
      <c r="H53" s="100"/>
    </row>
    <row r="54" spans="1:8" x14ac:dyDescent="0.2">
      <c r="A54" s="4">
        <v>48</v>
      </c>
      <c r="B54" s="5" t="s">
        <v>425</v>
      </c>
      <c r="C54" s="5" t="s">
        <v>426</v>
      </c>
      <c r="D54" s="5" t="s">
        <v>427</v>
      </c>
      <c r="E54" s="6">
        <v>7540</v>
      </c>
      <c r="F54" s="7">
        <v>27.475760000000001</v>
      </c>
      <c r="G54" s="8">
        <v>3.9018569999999999E-3</v>
      </c>
      <c r="H54" s="100"/>
    </row>
    <row r="55" spans="1:8" x14ac:dyDescent="0.2">
      <c r="A55" s="4">
        <v>49</v>
      </c>
      <c r="B55" s="5" t="s">
        <v>428</v>
      </c>
      <c r="C55" s="5" t="s">
        <v>429</v>
      </c>
      <c r="D55" s="5" t="s">
        <v>91</v>
      </c>
      <c r="E55" s="6">
        <v>30</v>
      </c>
      <c r="F55" s="7">
        <v>0.18926999999999999</v>
      </c>
      <c r="G55" s="15" t="s">
        <v>99</v>
      </c>
      <c r="H55" s="100"/>
    </row>
    <row r="56" spans="1:8" x14ac:dyDescent="0.2">
      <c r="A56" s="15" t="s">
        <v>9</v>
      </c>
      <c r="B56" s="15" t="s">
        <v>9</v>
      </c>
      <c r="C56" s="3" t="s">
        <v>94</v>
      </c>
      <c r="D56" s="15" t="s">
        <v>9</v>
      </c>
      <c r="E56" s="15" t="s">
        <v>9</v>
      </c>
      <c r="F56" s="9">
        <v>6883.796722</v>
      </c>
      <c r="G56" s="10">
        <v>0.97757406099999999</v>
      </c>
      <c r="H56" s="100"/>
    </row>
    <row r="57" spans="1:8" x14ac:dyDescent="0.2">
      <c r="A57" s="15" t="s">
        <v>9</v>
      </c>
      <c r="B57" s="15" t="s">
        <v>9</v>
      </c>
      <c r="C57" s="11" t="s">
        <v>9</v>
      </c>
      <c r="D57" s="15" t="s">
        <v>9</v>
      </c>
      <c r="E57" s="15" t="s">
        <v>9</v>
      </c>
      <c r="F57" s="12" t="s">
        <v>9</v>
      </c>
      <c r="G57" s="12" t="s">
        <v>9</v>
      </c>
      <c r="H57" s="100"/>
    </row>
    <row r="58" spans="1:8" x14ac:dyDescent="0.2">
      <c r="A58" s="15" t="s">
        <v>9</v>
      </c>
      <c r="B58" s="15" t="s">
        <v>9</v>
      </c>
      <c r="C58" s="3" t="s">
        <v>95</v>
      </c>
      <c r="D58" s="15" t="s">
        <v>9</v>
      </c>
      <c r="E58" s="15" t="s">
        <v>9</v>
      </c>
      <c r="F58" s="15" t="s">
        <v>9</v>
      </c>
      <c r="G58" s="15" t="s">
        <v>9</v>
      </c>
      <c r="H58" s="100"/>
    </row>
    <row r="59" spans="1:8" x14ac:dyDescent="0.2">
      <c r="A59" s="15" t="s">
        <v>9</v>
      </c>
      <c r="B59" s="15" t="s">
        <v>9</v>
      </c>
      <c r="C59" s="3" t="s">
        <v>94</v>
      </c>
      <c r="D59" s="15" t="s">
        <v>9</v>
      </c>
      <c r="E59" s="15" t="s">
        <v>9</v>
      </c>
      <c r="F59" s="13">
        <v>0</v>
      </c>
      <c r="G59" s="14">
        <v>0</v>
      </c>
      <c r="H59" s="100"/>
    </row>
    <row r="60" spans="1:8" x14ac:dyDescent="0.2">
      <c r="A60" s="15" t="s">
        <v>9</v>
      </c>
      <c r="B60" s="15" t="s">
        <v>9</v>
      </c>
      <c r="C60" s="11" t="s">
        <v>9</v>
      </c>
      <c r="D60" s="15" t="s">
        <v>9</v>
      </c>
      <c r="E60" s="15" t="s">
        <v>9</v>
      </c>
      <c r="F60" s="12" t="s">
        <v>9</v>
      </c>
      <c r="G60" s="12" t="s">
        <v>9</v>
      </c>
      <c r="H60" s="100"/>
    </row>
    <row r="61" spans="1:8" x14ac:dyDescent="0.2">
      <c r="A61" s="15" t="s">
        <v>9</v>
      </c>
      <c r="B61" s="15" t="s">
        <v>9</v>
      </c>
      <c r="C61" s="3" t="s">
        <v>96</v>
      </c>
      <c r="D61" s="15" t="s">
        <v>9</v>
      </c>
      <c r="E61" s="15" t="s">
        <v>9</v>
      </c>
      <c r="F61" s="15" t="s">
        <v>9</v>
      </c>
      <c r="G61" s="15" t="s">
        <v>9</v>
      </c>
      <c r="H61" s="100"/>
    </row>
    <row r="62" spans="1:8" x14ac:dyDescent="0.2">
      <c r="A62" s="15" t="s">
        <v>9</v>
      </c>
      <c r="B62" s="15" t="s">
        <v>9</v>
      </c>
      <c r="C62" s="3" t="s">
        <v>94</v>
      </c>
      <c r="D62" s="15" t="s">
        <v>9</v>
      </c>
      <c r="E62" s="15" t="s">
        <v>9</v>
      </c>
      <c r="F62" s="13">
        <v>0</v>
      </c>
      <c r="G62" s="14">
        <v>0</v>
      </c>
      <c r="H62" s="100"/>
    </row>
    <row r="63" spans="1:8" x14ac:dyDescent="0.2">
      <c r="A63" s="15" t="s">
        <v>9</v>
      </c>
      <c r="B63" s="15" t="s">
        <v>9</v>
      </c>
      <c r="C63" s="11" t="s">
        <v>9</v>
      </c>
      <c r="D63" s="15" t="s">
        <v>9</v>
      </c>
      <c r="E63" s="15" t="s">
        <v>9</v>
      </c>
      <c r="F63" s="12" t="s">
        <v>9</v>
      </c>
      <c r="G63" s="12" t="s">
        <v>9</v>
      </c>
      <c r="H63" s="100"/>
    </row>
    <row r="64" spans="1:8" x14ac:dyDescent="0.2">
      <c r="A64" s="15" t="s">
        <v>9</v>
      </c>
      <c r="B64" s="15" t="s">
        <v>9</v>
      </c>
      <c r="C64" s="3" t="s">
        <v>100</v>
      </c>
      <c r="D64" s="15" t="s">
        <v>9</v>
      </c>
      <c r="E64" s="15" t="s">
        <v>9</v>
      </c>
      <c r="F64" s="15" t="s">
        <v>9</v>
      </c>
      <c r="G64" s="15" t="s">
        <v>9</v>
      </c>
      <c r="H64" s="100"/>
    </row>
    <row r="65" spans="1:8" x14ac:dyDescent="0.2">
      <c r="A65" s="15" t="s">
        <v>9</v>
      </c>
      <c r="B65" s="15" t="s">
        <v>9</v>
      </c>
      <c r="C65" s="3" t="s">
        <v>94</v>
      </c>
      <c r="D65" s="15" t="s">
        <v>9</v>
      </c>
      <c r="E65" s="15" t="s">
        <v>9</v>
      </c>
      <c r="F65" s="13">
        <v>0</v>
      </c>
      <c r="G65" s="14">
        <v>0</v>
      </c>
      <c r="H65" s="100"/>
    </row>
    <row r="66" spans="1:8" x14ac:dyDescent="0.2">
      <c r="A66" s="15" t="s">
        <v>9</v>
      </c>
      <c r="B66" s="15" t="s">
        <v>9</v>
      </c>
      <c r="C66" s="11" t="s">
        <v>9</v>
      </c>
      <c r="D66" s="15" t="s">
        <v>9</v>
      </c>
      <c r="E66" s="15" t="s">
        <v>9</v>
      </c>
      <c r="F66" s="12" t="s">
        <v>9</v>
      </c>
      <c r="G66" s="12" t="s">
        <v>9</v>
      </c>
      <c r="H66" s="100"/>
    </row>
    <row r="67" spans="1:8" x14ac:dyDescent="0.2">
      <c r="A67" s="15" t="s">
        <v>9</v>
      </c>
      <c r="B67" s="15" t="s">
        <v>9</v>
      </c>
      <c r="C67" s="3" t="s">
        <v>101</v>
      </c>
      <c r="D67" s="15" t="s">
        <v>9</v>
      </c>
      <c r="E67" s="15" t="s">
        <v>9</v>
      </c>
      <c r="F67" s="12" t="s">
        <v>9</v>
      </c>
      <c r="G67" s="12" t="s">
        <v>9</v>
      </c>
      <c r="H67" s="100"/>
    </row>
    <row r="68" spans="1:8" x14ac:dyDescent="0.2">
      <c r="A68" s="15" t="s">
        <v>9</v>
      </c>
      <c r="B68" s="15" t="s">
        <v>9</v>
      </c>
      <c r="C68" s="3" t="s">
        <v>94</v>
      </c>
      <c r="D68" s="15" t="s">
        <v>9</v>
      </c>
      <c r="E68" s="15" t="s">
        <v>9</v>
      </c>
      <c r="F68" s="13">
        <v>0</v>
      </c>
      <c r="G68" s="14">
        <v>0</v>
      </c>
      <c r="H68" s="100"/>
    </row>
    <row r="69" spans="1:8" x14ac:dyDescent="0.2">
      <c r="A69" s="15" t="s">
        <v>9</v>
      </c>
      <c r="B69" s="15" t="s">
        <v>9</v>
      </c>
      <c r="C69" s="11" t="s">
        <v>9</v>
      </c>
      <c r="D69" s="15" t="s">
        <v>9</v>
      </c>
      <c r="E69" s="15" t="s">
        <v>9</v>
      </c>
      <c r="F69" s="12" t="s">
        <v>9</v>
      </c>
      <c r="G69" s="12" t="s">
        <v>9</v>
      </c>
      <c r="H69" s="100"/>
    </row>
    <row r="70" spans="1:8" x14ac:dyDescent="0.2">
      <c r="A70" s="15" t="s">
        <v>9</v>
      </c>
      <c r="B70" s="15" t="s">
        <v>9</v>
      </c>
      <c r="C70" s="3" t="s">
        <v>102</v>
      </c>
      <c r="D70" s="15" t="s">
        <v>9</v>
      </c>
      <c r="E70" s="15" t="s">
        <v>9</v>
      </c>
      <c r="F70" s="12" t="s">
        <v>9</v>
      </c>
      <c r="G70" s="12" t="s">
        <v>9</v>
      </c>
      <c r="H70" s="100"/>
    </row>
    <row r="71" spans="1:8" x14ac:dyDescent="0.2">
      <c r="A71" s="15" t="s">
        <v>9</v>
      </c>
      <c r="B71" s="15" t="s">
        <v>9</v>
      </c>
      <c r="C71" s="3" t="s">
        <v>94</v>
      </c>
      <c r="D71" s="15" t="s">
        <v>9</v>
      </c>
      <c r="E71" s="15" t="s">
        <v>9</v>
      </c>
      <c r="F71" s="13">
        <v>0</v>
      </c>
      <c r="G71" s="14">
        <v>0</v>
      </c>
      <c r="H71" s="100"/>
    </row>
    <row r="72" spans="1:8" x14ac:dyDescent="0.2">
      <c r="A72" s="15" t="s">
        <v>9</v>
      </c>
      <c r="B72" s="15" t="s">
        <v>9</v>
      </c>
      <c r="C72" s="11" t="s">
        <v>9</v>
      </c>
      <c r="D72" s="15" t="s">
        <v>9</v>
      </c>
      <c r="E72" s="15" t="s">
        <v>9</v>
      </c>
      <c r="F72" s="12" t="s">
        <v>9</v>
      </c>
      <c r="G72" s="12" t="s">
        <v>9</v>
      </c>
      <c r="H72" s="100"/>
    </row>
    <row r="73" spans="1:8" x14ac:dyDescent="0.2">
      <c r="A73" s="15" t="s">
        <v>9</v>
      </c>
      <c r="B73" s="15" t="s">
        <v>9</v>
      </c>
      <c r="C73" s="3" t="s">
        <v>104</v>
      </c>
      <c r="D73" s="15" t="s">
        <v>9</v>
      </c>
      <c r="E73" s="15" t="s">
        <v>9</v>
      </c>
      <c r="F73" s="9">
        <v>6883.796722</v>
      </c>
      <c r="G73" s="10">
        <v>0.97757406099999999</v>
      </c>
      <c r="H73" s="100"/>
    </row>
    <row r="74" spans="1:8" x14ac:dyDescent="0.2">
      <c r="A74" s="15" t="s">
        <v>9</v>
      </c>
      <c r="B74" s="15" t="s">
        <v>9</v>
      </c>
      <c r="C74" s="11" t="s">
        <v>9</v>
      </c>
      <c r="D74" s="15" t="s">
        <v>9</v>
      </c>
      <c r="E74" s="15" t="s">
        <v>9</v>
      </c>
      <c r="F74" s="12" t="s">
        <v>9</v>
      </c>
      <c r="G74" s="12" t="s">
        <v>9</v>
      </c>
      <c r="H74" s="100"/>
    </row>
    <row r="75" spans="1:8" x14ac:dyDescent="0.2">
      <c r="A75" s="15" t="s">
        <v>9</v>
      </c>
      <c r="B75" s="15" t="s">
        <v>9</v>
      </c>
      <c r="C75" s="3" t="s">
        <v>105</v>
      </c>
      <c r="D75" s="15" t="s">
        <v>9</v>
      </c>
      <c r="E75" s="15" t="s">
        <v>9</v>
      </c>
      <c r="F75" s="12" t="s">
        <v>9</v>
      </c>
      <c r="G75" s="12" t="s">
        <v>9</v>
      </c>
      <c r="H75" s="100"/>
    </row>
    <row r="76" spans="1:8" ht="25.5" x14ac:dyDescent="0.2">
      <c r="A76" s="15" t="s">
        <v>9</v>
      </c>
      <c r="B76" s="15" t="s">
        <v>9</v>
      </c>
      <c r="C76" s="3" t="s">
        <v>11</v>
      </c>
      <c r="D76" s="15" t="s">
        <v>9</v>
      </c>
      <c r="E76" s="15" t="s">
        <v>9</v>
      </c>
      <c r="F76" s="12" t="s">
        <v>9</v>
      </c>
      <c r="G76" s="12" t="s">
        <v>9</v>
      </c>
      <c r="H76" s="100"/>
    </row>
    <row r="77" spans="1:8" x14ac:dyDescent="0.2">
      <c r="A77" s="15" t="s">
        <v>9</v>
      </c>
      <c r="B77" s="15" t="s">
        <v>9</v>
      </c>
      <c r="C77" s="3" t="s">
        <v>94</v>
      </c>
      <c r="D77" s="15" t="s">
        <v>9</v>
      </c>
      <c r="E77" s="15" t="s">
        <v>9</v>
      </c>
      <c r="F77" s="13">
        <v>0</v>
      </c>
      <c r="G77" s="14">
        <v>0</v>
      </c>
      <c r="H77" s="100"/>
    </row>
    <row r="78" spans="1:8" x14ac:dyDescent="0.2">
      <c r="A78" s="15" t="s">
        <v>9</v>
      </c>
      <c r="B78" s="15" t="s">
        <v>9</v>
      </c>
      <c r="C78" s="11" t="s">
        <v>9</v>
      </c>
      <c r="D78" s="15" t="s">
        <v>9</v>
      </c>
      <c r="E78" s="15" t="s">
        <v>9</v>
      </c>
      <c r="F78" s="12" t="s">
        <v>9</v>
      </c>
      <c r="G78" s="12" t="s">
        <v>9</v>
      </c>
      <c r="H78" s="100"/>
    </row>
    <row r="79" spans="1:8" x14ac:dyDescent="0.2">
      <c r="A79" s="15" t="s">
        <v>9</v>
      </c>
      <c r="B79" s="15" t="s">
        <v>9</v>
      </c>
      <c r="C79" s="3" t="s">
        <v>106</v>
      </c>
      <c r="D79" s="15" t="s">
        <v>9</v>
      </c>
      <c r="E79" s="15" t="s">
        <v>9</v>
      </c>
      <c r="F79" s="15" t="s">
        <v>9</v>
      </c>
      <c r="G79" s="15" t="s">
        <v>9</v>
      </c>
      <c r="H79" s="100"/>
    </row>
    <row r="80" spans="1:8" x14ac:dyDescent="0.2">
      <c r="A80" s="15" t="s">
        <v>9</v>
      </c>
      <c r="B80" s="15" t="s">
        <v>9</v>
      </c>
      <c r="C80" s="3" t="s">
        <v>94</v>
      </c>
      <c r="D80" s="15" t="s">
        <v>9</v>
      </c>
      <c r="E80" s="15" t="s">
        <v>9</v>
      </c>
      <c r="F80" s="13">
        <v>0</v>
      </c>
      <c r="G80" s="14">
        <v>0</v>
      </c>
      <c r="H80" s="100"/>
    </row>
    <row r="81" spans="1:8" x14ac:dyDescent="0.2">
      <c r="A81" s="15" t="s">
        <v>9</v>
      </c>
      <c r="B81" s="15" t="s">
        <v>9</v>
      </c>
      <c r="C81" s="11" t="s">
        <v>9</v>
      </c>
      <c r="D81" s="15" t="s">
        <v>9</v>
      </c>
      <c r="E81" s="15" t="s">
        <v>9</v>
      </c>
      <c r="F81" s="12" t="s">
        <v>9</v>
      </c>
      <c r="G81" s="12" t="s">
        <v>9</v>
      </c>
      <c r="H81" s="100"/>
    </row>
    <row r="82" spans="1:8" x14ac:dyDescent="0.2">
      <c r="A82" s="15" t="s">
        <v>9</v>
      </c>
      <c r="B82" s="15" t="s">
        <v>9</v>
      </c>
      <c r="C82" s="3" t="s">
        <v>107</v>
      </c>
      <c r="D82" s="15" t="s">
        <v>9</v>
      </c>
      <c r="E82" s="15" t="s">
        <v>9</v>
      </c>
      <c r="F82" s="15" t="s">
        <v>9</v>
      </c>
      <c r="G82" s="15" t="s">
        <v>9</v>
      </c>
      <c r="H82" s="100"/>
    </row>
    <row r="83" spans="1:8" x14ac:dyDescent="0.2">
      <c r="A83" s="15" t="s">
        <v>9</v>
      </c>
      <c r="B83" s="15" t="s">
        <v>9</v>
      </c>
      <c r="C83" s="3" t="s">
        <v>94</v>
      </c>
      <c r="D83" s="15" t="s">
        <v>9</v>
      </c>
      <c r="E83" s="15" t="s">
        <v>9</v>
      </c>
      <c r="F83" s="13">
        <v>0</v>
      </c>
      <c r="G83" s="14">
        <v>0</v>
      </c>
      <c r="H83" s="100"/>
    </row>
    <row r="84" spans="1:8" x14ac:dyDescent="0.2">
      <c r="A84" s="15" t="s">
        <v>9</v>
      </c>
      <c r="B84" s="15" t="s">
        <v>9</v>
      </c>
      <c r="C84" s="11" t="s">
        <v>9</v>
      </c>
      <c r="D84" s="15" t="s">
        <v>9</v>
      </c>
      <c r="E84" s="15" t="s">
        <v>9</v>
      </c>
      <c r="F84" s="12" t="s">
        <v>9</v>
      </c>
      <c r="G84" s="12" t="s">
        <v>9</v>
      </c>
      <c r="H84" s="100"/>
    </row>
    <row r="85" spans="1:8" x14ac:dyDescent="0.2">
      <c r="A85" s="15" t="s">
        <v>9</v>
      </c>
      <c r="B85" s="15" t="s">
        <v>9</v>
      </c>
      <c r="C85" s="3" t="s">
        <v>108</v>
      </c>
      <c r="D85" s="15" t="s">
        <v>9</v>
      </c>
      <c r="E85" s="15" t="s">
        <v>9</v>
      </c>
      <c r="F85" s="12" t="s">
        <v>9</v>
      </c>
      <c r="G85" s="12" t="s">
        <v>9</v>
      </c>
      <c r="H85" s="100"/>
    </row>
    <row r="86" spans="1:8" x14ac:dyDescent="0.2">
      <c r="A86" s="15" t="s">
        <v>9</v>
      </c>
      <c r="B86" s="15" t="s">
        <v>9</v>
      </c>
      <c r="C86" s="3" t="s">
        <v>94</v>
      </c>
      <c r="D86" s="15" t="s">
        <v>9</v>
      </c>
      <c r="E86" s="15" t="s">
        <v>9</v>
      </c>
      <c r="F86" s="13">
        <v>0</v>
      </c>
      <c r="G86" s="14">
        <v>0</v>
      </c>
      <c r="H86" s="100"/>
    </row>
    <row r="87" spans="1:8" x14ac:dyDescent="0.2">
      <c r="A87" s="15" t="s">
        <v>9</v>
      </c>
      <c r="B87" s="15" t="s">
        <v>9</v>
      </c>
      <c r="C87" s="11" t="s">
        <v>9</v>
      </c>
      <c r="D87" s="15" t="s">
        <v>9</v>
      </c>
      <c r="E87" s="15" t="s">
        <v>9</v>
      </c>
      <c r="F87" s="12" t="s">
        <v>9</v>
      </c>
      <c r="G87" s="12" t="s">
        <v>9</v>
      </c>
      <c r="H87" s="100"/>
    </row>
    <row r="88" spans="1:8" x14ac:dyDescent="0.2">
      <c r="A88" s="15" t="s">
        <v>9</v>
      </c>
      <c r="B88" s="15" t="s">
        <v>9</v>
      </c>
      <c r="C88" s="3" t="s">
        <v>109</v>
      </c>
      <c r="D88" s="15" t="s">
        <v>9</v>
      </c>
      <c r="E88" s="15" t="s">
        <v>9</v>
      </c>
      <c r="F88" s="9">
        <v>0</v>
      </c>
      <c r="G88" s="10">
        <v>0</v>
      </c>
      <c r="H88" s="100"/>
    </row>
    <row r="89" spans="1:8" x14ac:dyDescent="0.2">
      <c r="A89" s="15" t="s">
        <v>9</v>
      </c>
      <c r="B89" s="15" t="s">
        <v>9</v>
      </c>
      <c r="C89" s="11" t="s">
        <v>9</v>
      </c>
      <c r="D89" s="15" t="s">
        <v>9</v>
      </c>
      <c r="E89" s="15" t="s">
        <v>9</v>
      </c>
      <c r="F89" s="12" t="s">
        <v>9</v>
      </c>
      <c r="G89" s="12" t="s">
        <v>9</v>
      </c>
      <c r="H89" s="100"/>
    </row>
    <row r="90" spans="1:8" x14ac:dyDescent="0.2">
      <c r="A90" s="15" t="s">
        <v>9</v>
      </c>
      <c r="B90" s="15" t="s">
        <v>9</v>
      </c>
      <c r="C90" s="3" t="s">
        <v>110</v>
      </c>
      <c r="D90" s="15" t="s">
        <v>9</v>
      </c>
      <c r="E90" s="15" t="s">
        <v>9</v>
      </c>
      <c r="F90" s="12" t="s">
        <v>9</v>
      </c>
      <c r="G90" s="12" t="s">
        <v>9</v>
      </c>
      <c r="H90" s="100"/>
    </row>
    <row r="91" spans="1:8" x14ac:dyDescent="0.2">
      <c r="A91" s="15" t="s">
        <v>9</v>
      </c>
      <c r="B91" s="15" t="s">
        <v>9</v>
      </c>
      <c r="C91" s="3" t="s">
        <v>111</v>
      </c>
      <c r="D91" s="15" t="s">
        <v>9</v>
      </c>
      <c r="E91" s="15" t="s">
        <v>9</v>
      </c>
      <c r="F91" s="12" t="s">
        <v>9</v>
      </c>
      <c r="G91" s="12" t="s">
        <v>9</v>
      </c>
      <c r="H91" s="100"/>
    </row>
    <row r="92" spans="1:8" x14ac:dyDescent="0.2">
      <c r="A92" s="15" t="s">
        <v>9</v>
      </c>
      <c r="B92" s="15" t="s">
        <v>9</v>
      </c>
      <c r="C92" s="3" t="s">
        <v>94</v>
      </c>
      <c r="D92" s="15" t="s">
        <v>9</v>
      </c>
      <c r="E92" s="15" t="s">
        <v>9</v>
      </c>
      <c r="F92" s="13">
        <v>0</v>
      </c>
      <c r="G92" s="14">
        <v>0</v>
      </c>
      <c r="H92" s="100"/>
    </row>
    <row r="93" spans="1:8" x14ac:dyDescent="0.2">
      <c r="A93" s="15" t="s">
        <v>9</v>
      </c>
      <c r="B93" s="15" t="s">
        <v>9</v>
      </c>
      <c r="C93" s="11" t="s">
        <v>9</v>
      </c>
      <c r="D93" s="15" t="s">
        <v>9</v>
      </c>
      <c r="E93" s="15" t="s">
        <v>9</v>
      </c>
      <c r="F93" s="12" t="s">
        <v>9</v>
      </c>
      <c r="G93" s="12" t="s">
        <v>9</v>
      </c>
      <c r="H93" s="100"/>
    </row>
    <row r="94" spans="1:8" x14ac:dyDescent="0.2">
      <c r="A94" s="15" t="s">
        <v>9</v>
      </c>
      <c r="B94" s="15" t="s">
        <v>9</v>
      </c>
      <c r="C94" s="3" t="s">
        <v>112</v>
      </c>
      <c r="D94" s="15" t="s">
        <v>9</v>
      </c>
      <c r="E94" s="15" t="s">
        <v>9</v>
      </c>
      <c r="F94" s="12" t="s">
        <v>9</v>
      </c>
      <c r="G94" s="12" t="s">
        <v>9</v>
      </c>
      <c r="H94" s="100"/>
    </row>
    <row r="95" spans="1:8" x14ac:dyDescent="0.2">
      <c r="A95" s="15" t="s">
        <v>9</v>
      </c>
      <c r="B95" s="15" t="s">
        <v>9</v>
      </c>
      <c r="C95" s="3" t="s">
        <v>94</v>
      </c>
      <c r="D95" s="15" t="s">
        <v>9</v>
      </c>
      <c r="E95" s="15" t="s">
        <v>9</v>
      </c>
      <c r="F95" s="13">
        <v>0</v>
      </c>
      <c r="G95" s="14">
        <v>0</v>
      </c>
      <c r="H95" s="100"/>
    </row>
    <row r="96" spans="1:8" x14ac:dyDescent="0.2">
      <c r="A96" s="15" t="s">
        <v>9</v>
      </c>
      <c r="B96" s="15" t="s">
        <v>9</v>
      </c>
      <c r="C96" s="11" t="s">
        <v>9</v>
      </c>
      <c r="D96" s="15" t="s">
        <v>9</v>
      </c>
      <c r="E96" s="15" t="s">
        <v>9</v>
      </c>
      <c r="F96" s="12" t="s">
        <v>9</v>
      </c>
      <c r="G96" s="12" t="s">
        <v>9</v>
      </c>
      <c r="H96" s="100"/>
    </row>
    <row r="97" spans="1:8" x14ac:dyDescent="0.2">
      <c r="A97" s="15" t="s">
        <v>9</v>
      </c>
      <c r="B97" s="15" t="s">
        <v>9</v>
      </c>
      <c r="C97" s="3" t="s">
        <v>113</v>
      </c>
      <c r="D97" s="15" t="s">
        <v>9</v>
      </c>
      <c r="E97" s="15" t="s">
        <v>9</v>
      </c>
      <c r="F97" s="12" t="s">
        <v>9</v>
      </c>
      <c r="G97" s="12" t="s">
        <v>9</v>
      </c>
      <c r="H97" s="100"/>
    </row>
    <row r="98" spans="1:8" x14ac:dyDescent="0.2">
      <c r="A98" s="15" t="s">
        <v>9</v>
      </c>
      <c r="B98" s="15" t="s">
        <v>9</v>
      </c>
      <c r="C98" s="3" t="s">
        <v>94</v>
      </c>
      <c r="D98" s="15" t="s">
        <v>9</v>
      </c>
      <c r="E98" s="15" t="s">
        <v>9</v>
      </c>
      <c r="F98" s="13">
        <v>0</v>
      </c>
      <c r="G98" s="14">
        <v>0</v>
      </c>
      <c r="H98" s="100"/>
    </row>
    <row r="99" spans="1:8" x14ac:dyDescent="0.2">
      <c r="A99" s="15" t="s">
        <v>9</v>
      </c>
      <c r="B99" s="15" t="s">
        <v>9</v>
      </c>
      <c r="C99" s="11" t="s">
        <v>9</v>
      </c>
      <c r="D99" s="15" t="s">
        <v>9</v>
      </c>
      <c r="E99" s="15" t="s">
        <v>9</v>
      </c>
      <c r="F99" s="12" t="s">
        <v>9</v>
      </c>
      <c r="G99" s="12" t="s">
        <v>9</v>
      </c>
      <c r="H99" s="100"/>
    </row>
    <row r="100" spans="1:8" x14ac:dyDescent="0.2">
      <c r="A100" s="15" t="s">
        <v>9</v>
      </c>
      <c r="B100" s="15" t="s">
        <v>9</v>
      </c>
      <c r="C100" s="3" t="s">
        <v>114</v>
      </c>
      <c r="D100" s="15" t="s">
        <v>9</v>
      </c>
      <c r="E100" s="15" t="s">
        <v>9</v>
      </c>
      <c r="F100" s="12" t="s">
        <v>9</v>
      </c>
      <c r="G100" s="12" t="s">
        <v>9</v>
      </c>
      <c r="H100" s="100"/>
    </row>
    <row r="101" spans="1:8" x14ac:dyDescent="0.2">
      <c r="A101" s="4">
        <v>1</v>
      </c>
      <c r="B101" s="5"/>
      <c r="C101" s="5" t="s">
        <v>115</v>
      </c>
      <c r="D101" s="5"/>
      <c r="E101" s="15" t="s">
        <v>9</v>
      </c>
      <c r="F101" s="7">
        <v>140.937333</v>
      </c>
      <c r="G101" s="8">
        <v>2.0014634999999999E-2</v>
      </c>
      <c r="H101" s="99">
        <v>3.2516689338443991</v>
      </c>
    </row>
    <row r="102" spans="1:8" x14ac:dyDescent="0.2">
      <c r="A102" s="4">
        <v>2</v>
      </c>
      <c r="B102" s="5"/>
      <c r="C102" s="5" t="s">
        <v>116</v>
      </c>
      <c r="D102" s="5"/>
      <c r="E102" s="15" t="s">
        <v>9</v>
      </c>
      <c r="F102" s="7">
        <v>19.3097019</v>
      </c>
      <c r="G102" s="8">
        <v>2.742188E-3</v>
      </c>
      <c r="H102" s="100">
        <v>3.350000000000001</v>
      </c>
    </row>
    <row r="103" spans="1:8" x14ac:dyDescent="0.2">
      <c r="A103" s="15" t="s">
        <v>9</v>
      </c>
      <c r="B103" s="15" t="s">
        <v>9</v>
      </c>
      <c r="C103" s="3" t="s">
        <v>94</v>
      </c>
      <c r="D103" s="15" t="s">
        <v>9</v>
      </c>
      <c r="E103" s="15" t="s">
        <v>9</v>
      </c>
      <c r="F103" s="9">
        <v>160.24703489999999</v>
      </c>
      <c r="G103" s="10">
        <v>2.2756822999999999E-2</v>
      </c>
      <c r="H103" s="100"/>
    </row>
    <row r="104" spans="1:8" x14ac:dyDescent="0.2">
      <c r="A104" s="15" t="s">
        <v>9</v>
      </c>
      <c r="B104" s="15" t="s">
        <v>9</v>
      </c>
      <c r="C104" s="11" t="s">
        <v>9</v>
      </c>
      <c r="D104" s="15" t="s">
        <v>9</v>
      </c>
      <c r="E104" s="15" t="s">
        <v>9</v>
      </c>
      <c r="F104" s="12" t="s">
        <v>9</v>
      </c>
      <c r="G104" s="12" t="s">
        <v>9</v>
      </c>
      <c r="H104" s="100"/>
    </row>
    <row r="105" spans="1:8" x14ac:dyDescent="0.2">
      <c r="A105" s="15" t="s">
        <v>9</v>
      </c>
      <c r="B105" s="15" t="s">
        <v>9</v>
      </c>
      <c r="C105" s="3" t="s">
        <v>117</v>
      </c>
      <c r="D105" s="15" t="s">
        <v>9</v>
      </c>
      <c r="E105" s="15" t="s">
        <v>9</v>
      </c>
      <c r="F105" s="9">
        <v>160.24703489999999</v>
      </c>
      <c r="G105" s="10">
        <v>2.2756822999999999E-2</v>
      </c>
      <c r="H105" s="100"/>
    </row>
    <row r="106" spans="1:8" x14ac:dyDescent="0.2">
      <c r="A106" s="15" t="s">
        <v>9</v>
      </c>
      <c r="B106" s="15" t="s">
        <v>9</v>
      </c>
      <c r="C106" s="12" t="s">
        <v>9</v>
      </c>
      <c r="D106" s="15" t="s">
        <v>9</v>
      </c>
      <c r="E106" s="15" t="s">
        <v>9</v>
      </c>
      <c r="F106" s="15" t="s">
        <v>9</v>
      </c>
      <c r="G106" s="15" t="s">
        <v>9</v>
      </c>
      <c r="H106" s="100"/>
    </row>
    <row r="107" spans="1:8" x14ac:dyDescent="0.2">
      <c r="A107" s="15" t="s">
        <v>9</v>
      </c>
      <c r="B107" s="15" t="s">
        <v>9</v>
      </c>
      <c r="C107" s="3" t="s">
        <v>118</v>
      </c>
      <c r="D107" s="15" t="s">
        <v>9</v>
      </c>
      <c r="E107" s="15" t="s">
        <v>9</v>
      </c>
      <c r="F107" s="15" t="s">
        <v>9</v>
      </c>
      <c r="G107" s="15" t="s">
        <v>9</v>
      </c>
      <c r="H107" s="100"/>
    </row>
    <row r="108" spans="1:8" x14ac:dyDescent="0.2">
      <c r="A108" s="15" t="s">
        <v>9</v>
      </c>
      <c r="B108" s="15" t="s">
        <v>9</v>
      </c>
      <c r="C108" s="3" t="s">
        <v>119</v>
      </c>
      <c r="D108" s="15" t="s">
        <v>9</v>
      </c>
      <c r="E108" s="15" t="s">
        <v>9</v>
      </c>
      <c r="F108" s="15" t="s">
        <v>9</v>
      </c>
      <c r="G108" s="15" t="s">
        <v>9</v>
      </c>
      <c r="H108" s="100"/>
    </row>
    <row r="109" spans="1:8" x14ac:dyDescent="0.2">
      <c r="A109" s="15" t="s">
        <v>9</v>
      </c>
      <c r="B109" s="15" t="s">
        <v>9</v>
      </c>
      <c r="C109" s="3" t="s">
        <v>94</v>
      </c>
      <c r="D109" s="15" t="s">
        <v>9</v>
      </c>
      <c r="E109" s="15" t="s">
        <v>9</v>
      </c>
      <c r="F109" s="13">
        <v>0</v>
      </c>
      <c r="G109" s="14">
        <v>0</v>
      </c>
      <c r="H109" s="100"/>
    </row>
    <row r="110" spans="1:8" x14ac:dyDescent="0.2">
      <c r="A110" s="15" t="s">
        <v>9</v>
      </c>
      <c r="B110" s="15" t="s">
        <v>9</v>
      </c>
      <c r="C110" s="11" t="s">
        <v>9</v>
      </c>
      <c r="D110" s="15" t="s">
        <v>9</v>
      </c>
      <c r="E110" s="15" t="s">
        <v>9</v>
      </c>
      <c r="F110" s="12" t="s">
        <v>9</v>
      </c>
      <c r="G110" s="12" t="s">
        <v>9</v>
      </c>
      <c r="H110" s="100"/>
    </row>
    <row r="111" spans="1:8" x14ac:dyDescent="0.2">
      <c r="A111" s="15" t="s">
        <v>9</v>
      </c>
      <c r="B111" s="15" t="s">
        <v>9</v>
      </c>
      <c r="C111" s="3" t="s">
        <v>120</v>
      </c>
      <c r="D111" s="15" t="s">
        <v>9</v>
      </c>
      <c r="E111" s="15" t="s">
        <v>9</v>
      </c>
      <c r="F111" s="15" t="s">
        <v>9</v>
      </c>
      <c r="G111" s="15" t="s">
        <v>9</v>
      </c>
      <c r="H111" s="100"/>
    </row>
    <row r="112" spans="1:8" x14ac:dyDescent="0.2">
      <c r="A112" s="15" t="s">
        <v>9</v>
      </c>
      <c r="B112" s="15" t="s">
        <v>9</v>
      </c>
      <c r="C112" s="3" t="s">
        <v>121</v>
      </c>
      <c r="D112" s="15" t="s">
        <v>9</v>
      </c>
      <c r="E112" s="15" t="s">
        <v>9</v>
      </c>
      <c r="F112" s="15" t="s">
        <v>9</v>
      </c>
      <c r="G112" s="15" t="s">
        <v>9</v>
      </c>
      <c r="H112" s="100"/>
    </row>
    <row r="113" spans="1:8" x14ac:dyDescent="0.2">
      <c r="A113" s="15" t="s">
        <v>9</v>
      </c>
      <c r="B113" s="15" t="s">
        <v>9</v>
      </c>
      <c r="C113" s="3" t="s">
        <v>94</v>
      </c>
      <c r="D113" s="15" t="s">
        <v>9</v>
      </c>
      <c r="E113" s="15" t="s">
        <v>9</v>
      </c>
      <c r="F113" s="13">
        <v>0</v>
      </c>
      <c r="G113" s="14">
        <v>0</v>
      </c>
      <c r="H113" s="100"/>
    </row>
    <row r="114" spans="1:8" x14ac:dyDescent="0.2">
      <c r="A114" s="15" t="s">
        <v>9</v>
      </c>
      <c r="B114" s="15" t="s">
        <v>9</v>
      </c>
      <c r="C114" s="11" t="s">
        <v>9</v>
      </c>
      <c r="D114" s="15" t="s">
        <v>9</v>
      </c>
      <c r="E114" s="15" t="s">
        <v>9</v>
      </c>
      <c r="F114" s="12" t="s">
        <v>9</v>
      </c>
      <c r="G114" s="12" t="s">
        <v>9</v>
      </c>
      <c r="H114" s="100"/>
    </row>
    <row r="115" spans="1:8" x14ac:dyDescent="0.2">
      <c r="A115" s="15" t="s">
        <v>9</v>
      </c>
      <c r="B115" s="15" t="s">
        <v>9</v>
      </c>
      <c r="C115" s="11" t="s">
        <v>9</v>
      </c>
      <c r="D115" s="15" t="s">
        <v>9</v>
      </c>
      <c r="E115" s="15" t="s">
        <v>9</v>
      </c>
      <c r="F115" s="12" t="s">
        <v>9</v>
      </c>
      <c r="G115" s="12" t="s">
        <v>9</v>
      </c>
      <c r="H115" s="100"/>
    </row>
    <row r="116" spans="1:8" ht="25.5" x14ac:dyDescent="0.2">
      <c r="A116" s="15" t="s">
        <v>9</v>
      </c>
      <c r="B116" s="15" t="s">
        <v>9</v>
      </c>
      <c r="C116" s="3" t="s">
        <v>122</v>
      </c>
      <c r="D116" s="15" t="s">
        <v>9</v>
      </c>
      <c r="E116" s="15" t="s">
        <v>9</v>
      </c>
      <c r="F116" s="12" t="s">
        <v>9</v>
      </c>
      <c r="G116" s="12" t="s">
        <v>9</v>
      </c>
      <c r="H116" s="100"/>
    </row>
    <row r="117" spans="1:8" x14ac:dyDescent="0.2">
      <c r="A117" s="15" t="s">
        <v>9</v>
      </c>
      <c r="B117" s="15" t="s">
        <v>9</v>
      </c>
      <c r="C117" s="3" t="s">
        <v>94</v>
      </c>
      <c r="D117" s="15" t="s">
        <v>9</v>
      </c>
      <c r="E117" s="15" t="s">
        <v>9</v>
      </c>
      <c r="F117" s="13">
        <v>0</v>
      </c>
      <c r="G117" s="14">
        <v>0</v>
      </c>
      <c r="H117" s="100"/>
    </row>
    <row r="118" spans="1:8" x14ac:dyDescent="0.2">
      <c r="A118" s="15" t="s">
        <v>9</v>
      </c>
      <c r="B118" s="15" t="s">
        <v>9</v>
      </c>
      <c r="C118" s="11" t="s">
        <v>9</v>
      </c>
      <c r="D118" s="15" t="s">
        <v>9</v>
      </c>
      <c r="E118" s="15" t="s">
        <v>9</v>
      </c>
      <c r="F118" s="12" t="s">
        <v>9</v>
      </c>
      <c r="G118" s="12" t="s">
        <v>9</v>
      </c>
      <c r="H118" s="100"/>
    </row>
    <row r="119" spans="1:8" x14ac:dyDescent="0.2">
      <c r="A119" s="15" t="s">
        <v>9</v>
      </c>
      <c r="B119" s="5" t="s">
        <v>9</v>
      </c>
      <c r="C119" s="5" t="s">
        <v>9</v>
      </c>
      <c r="D119" s="3" t="s">
        <v>9</v>
      </c>
      <c r="E119" s="15" t="s">
        <v>9</v>
      </c>
      <c r="F119" s="5" t="s">
        <v>9</v>
      </c>
      <c r="G119" s="15" t="s">
        <v>9</v>
      </c>
      <c r="H119" s="100"/>
    </row>
    <row r="120" spans="1:8" x14ac:dyDescent="0.2">
      <c r="A120" s="15" t="s">
        <v>9</v>
      </c>
      <c r="B120" s="5" t="s">
        <v>9</v>
      </c>
      <c r="C120" s="5" t="s">
        <v>124</v>
      </c>
      <c r="D120" s="5" t="s">
        <v>9</v>
      </c>
      <c r="E120" s="15" t="s">
        <v>9</v>
      </c>
      <c r="F120" s="7">
        <v>-2.3299878199999999</v>
      </c>
      <c r="G120" s="8">
        <v>-3.3088399999999998E-4</v>
      </c>
      <c r="H120" s="100"/>
    </row>
    <row r="121" spans="1:8" x14ac:dyDescent="0.2">
      <c r="A121" s="11" t="s">
        <v>9</v>
      </c>
      <c r="B121" s="11" t="s">
        <v>9</v>
      </c>
      <c r="C121" s="3" t="s">
        <v>125</v>
      </c>
      <c r="D121" s="16" t="s">
        <v>9</v>
      </c>
      <c r="E121" s="16" t="s">
        <v>9</v>
      </c>
      <c r="F121" s="9">
        <v>7041.71376908</v>
      </c>
      <c r="G121" s="10">
        <v>1</v>
      </c>
      <c r="H121" s="100"/>
    </row>
    <row r="122" spans="1:8" x14ac:dyDescent="0.2">
      <c r="A122" s="17" t="s">
        <v>9</v>
      </c>
      <c r="B122" s="17" t="s">
        <v>9</v>
      </c>
      <c r="C122" s="17" t="s">
        <v>9</v>
      </c>
      <c r="D122" s="18" t="s">
        <v>9</v>
      </c>
      <c r="E122" s="18" t="s">
        <v>9</v>
      </c>
      <c r="F122" s="18" t="s">
        <v>9</v>
      </c>
      <c r="G122" s="18" t="s">
        <v>9</v>
      </c>
      <c r="H122" s="142"/>
    </row>
    <row r="123" spans="1:8" x14ac:dyDescent="0.2">
      <c r="A123" s="19" t="s">
        <v>9</v>
      </c>
      <c r="B123" s="254" t="s">
        <v>9</v>
      </c>
      <c r="C123" s="254"/>
      <c r="D123" s="254"/>
      <c r="E123" s="254"/>
      <c r="F123" s="254"/>
      <c r="G123" s="20" t="s">
        <v>9</v>
      </c>
      <c r="H123" s="142"/>
    </row>
    <row r="124" spans="1:8" x14ac:dyDescent="0.2">
      <c r="A124" s="19" t="s">
        <v>9</v>
      </c>
      <c r="B124" s="254" t="s">
        <v>126</v>
      </c>
      <c r="C124" s="254"/>
      <c r="D124" s="254"/>
      <c r="E124" s="254"/>
      <c r="F124" s="254"/>
      <c r="G124" s="20" t="s">
        <v>9</v>
      </c>
      <c r="H124" s="142"/>
    </row>
    <row r="125" spans="1:8" x14ac:dyDescent="0.2">
      <c r="A125" s="19" t="s">
        <v>9</v>
      </c>
      <c r="B125" s="19" t="s">
        <v>9</v>
      </c>
      <c r="C125" s="19" t="s">
        <v>9</v>
      </c>
      <c r="D125" s="20" t="s">
        <v>9</v>
      </c>
      <c r="E125" s="20" t="s">
        <v>9</v>
      </c>
      <c r="F125" s="20" t="s">
        <v>9</v>
      </c>
      <c r="G125" s="20" t="s">
        <v>9</v>
      </c>
      <c r="H125" s="142"/>
    </row>
    <row r="126" spans="1:8" x14ac:dyDescent="0.2">
      <c r="A126" s="19" t="s">
        <v>9</v>
      </c>
      <c r="B126" s="247" t="s">
        <v>127</v>
      </c>
      <c r="C126" s="248"/>
      <c r="D126" s="182" t="s">
        <v>9</v>
      </c>
      <c r="E126" s="21" t="s">
        <v>9</v>
      </c>
      <c r="F126" s="20" t="s">
        <v>9</v>
      </c>
      <c r="G126" s="20" t="s">
        <v>9</v>
      </c>
      <c r="H126" s="142"/>
    </row>
    <row r="127" spans="1:8" ht="28.5" customHeight="1" x14ac:dyDescent="0.2">
      <c r="A127" s="19" t="s">
        <v>9</v>
      </c>
      <c r="B127" s="242" t="s">
        <v>128</v>
      </c>
      <c r="C127" s="243"/>
      <c r="D127" s="3" t="s">
        <v>129</v>
      </c>
      <c r="E127" s="21" t="s">
        <v>9</v>
      </c>
      <c r="F127" s="20" t="s">
        <v>9</v>
      </c>
      <c r="G127" s="20" t="s">
        <v>9</v>
      </c>
      <c r="H127" s="142"/>
    </row>
    <row r="128" spans="1:8" x14ac:dyDescent="0.2">
      <c r="A128" s="19" t="s">
        <v>9</v>
      </c>
      <c r="B128" s="240" t="s">
        <v>130</v>
      </c>
      <c r="C128" s="241"/>
      <c r="D128" s="177" t="s">
        <v>129</v>
      </c>
      <c r="E128" s="21" t="s">
        <v>9</v>
      </c>
      <c r="F128" s="20" t="s">
        <v>9</v>
      </c>
      <c r="G128" s="20" t="s">
        <v>9</v>
      </c>
      <c r="H128" s="142"/>
    </row>
    <row r="129" spans="1:8" x14ac:dyDescent="0.2">
      <c r="A129" s="19" t="s">
        <v>9</v>
      </c>
      <c r="B129" s="240" t="s">
        <v>131</v>
      </c>
      <c r="C129" s="241"/>
      <c r="D129" s="182" t="s">
        <v>9</v>
      </c>
      <c r="E129" s="21" t="s">
        <v>9</v>
      </c>
      <c r="F129" s="20" t="s">
        <v>9</v>
      </c>
      <c r="G129" s="20" t="s">
        <v>9</v>
      </c>
      <c r="H129" s="142"/>
    </row>
    <row r="130" spans="1:8" ht="25.5" x14ac:dyDescent="0.2">
      <c r="A130" s="25" t="s">
        <v>9</v>
      </c>
      <c r="B130" s="23" t="s">
        <v>9</v>
      </c>
      <c r="C130" s="23" t="s">
        <v>132</v>
      </c>
      <c r="D130" s="23" t="s">
        <v>133</v>
      </c>
      <c r="E130" s="25" t="s">
        <v>9</v>
      </c>
      <c r="F130" s="25" t="s">
        <v>9</v>
      </c>
      <c r="G130" s="25" t="s">
        <v>9</v>
      </c>
      <c r="H130" s="142"/>
    </row>
    <row r="131" spans="1:8" x14ac:dyDescent="0.2">
      <c r="A131" s="25" t="s">
        <v>9</v>
      </c>
      <c r="B131" s="23" t="s">
        <v>134</v>
      </c>
      <c r="C131" s="23" t="s">
        <v>135</v>
      </c>
      <c r="D131" s="23" t="s">
        <v>136</v>
      </c>
      <c r="E131" s="25" t="s">
        <v>9</v>
      </c>
      <c r="F131" s="25" t="s">
        <v>9</v>
      </c>
      <c r="G131" s="25" t="s">
        <v>9</v>
      </c>
      <c r="H131" s="142"/>
    </row>
    <row r="132" spans="1:8" x14ac:dyDescent="0.2">
      <c r="A132" s="25" t="s">
        <v>9</v>
      </c>
      <c r="B132" s="183" t="s">
        <v>137</v>
      </c>
      <c r="C132" s="184">
        <v>14.0924</v>
      </c>
      <c r="D132" s="184">
        <v>14.1759</v>
      </c>
      <c r="E132" s="25" t="s">
        <v>9</v>
      </c>
      <c r="F132" s="73" t="s">
        <v>9</v>
      </c>
      <c r="G132" s="25" t="s">
        <v>9</v>
      </c>
      <c r="H132" s="142"/>
    </row>
    <row r="133" spans="1:8" x14ac:dyDescent="0.2">
      <c r="A133" s="25" t="s">
        <v>9</v>
      </c>
      <c r="B133" s="183" t="s">
        <v>921</v>
      </c>
      <c r="C133" s="184">
        <v>14.0924</v>
      </c>
      <c r="D133" s="184">
        <v>14.1759</v>
      </c>
      <c r="E133" s="25" t="s">
        <v>9</v>
      </c>
      <c r="F133" s="73" t="s">
        <v>9</v>
      </c>
      <c r="G133" s="25" t="s">
        <v>9</v>
      </c>
      <c r="H133" s="142"/>
    </row>
    <row r="134" spans="1:8" x14ac:dyDescent="0.2">
      <c r="A134" s="25" t="s">
        <v>9</v>
      </c>
      <c r="B134" s="183" t="s">
        <v>138</v>
      </c>
      <c r="C134" s="184">
        <v>13.858000000000001</v>
      </c>
      <c r="D134" s="184">
        <v>13.9337</v>
      </c>
      <c r="E134" s="25" t="s">
        <v>9</v>
      </c>
      <c r="F134" s="73" t="s">
        <v>9</v>
      </c>
      <c r="G134" s="25" t="s">
        <v>9</v>
      </c>
      <c r="H134" s="142"/>
    </row>
    <row r="135" spans="1:8" x14ac:dyDescent="0.2">
      <c r="A135" s="25" t="s">
        <v>9</v>
      </c>
      <c r="B135" s="183" t="s">
        <v>922</v>
      </c>
      <c r="C135" s="184">
        <v>13.8581</v>
      </c>
      <c r="D135" s="184">
        <v>13.9337</v>
      </c>
      <c r="E135" s="25" t="s">
        <v>9</v>
      </c>
      <c r="F135" s="73" t="s">
        <v>9</v>
      </c>
      <c r="G135" s="25" t="s">
        <v>9</v>
      </c>
      <c r="H135" s="142"/>
    </row>
    <row r="136" spans="1:8" x14ac:dyDescent="0.2">
      <c r="A136" s="25" t="s">
        <v>9</v>
      </c>
      <c r="B136" s="22" t="s">
        <v>9</v>
      </c>
      <c r="C136" s="22" t="s">
        <v>9</v>
      </c>
      <c r="D136" s="22" t="s">
        <v>9</v>
      </c>
      <c r="E136" s="25" t="s">
        <v>9</v>
      </c>
      <c r="F136" s="25" t="s">
        <v>9</v>
      </c>
      <c r="G136" s="25" t="s">
        <v>9</v>
      </c>
      <c r="H136" s="142"/>
    </row>
    <row r="137" spans="1:8" x14ac:dyDescent="0.2">
      <c r="A137" s="25" t="s">
        <v>9</v>
      </c>
      <c r="B137" s="240" t="s">
        <v>1012</v>
      </c>
      <c r="C137" s="241"/>
      <c r="D137" s="177" t="s">
        <v>129</v>
      </c>
      <c r="E137" s="25" t="s">
        <v>9</v>
      </c>
      <c r="F137" s="25" t="s">
        <v>9</v>
      </c>
      <c r="G137" s="25" t="s">
        <v>9</v>
      </c>
      <c r="H137" s="142"/>
    </row>
    <row r="138" spans="1:8" x14ac:dyDescent="0.2">
      <c r="A138" s="25" t="s">
        <v>9</v>
      </c>
      <c r="B138" s="98"/>
      <c r="C138" s="98"/>
      <c r="D138" s="26" t="s">
        <v>9</v>
      </c>
      <c r="E138" s="25" t="s">
        <v>9</v>
      </c>
      <c r="F138" s="25" t="s">
        <v>9</v>
      </c>
      <c r="G138" s="25" t="s">
        <v>9</v>
      </c>
      <c r="H138" s="142"/>
    </row>
    <row r="139" spans="1:8" s="238" customFormat="1" ht="12.75" x14ac:dyDescent="0.2">
      <c r="B139" s="246" t="s">
        <v>923</v>
      </c>
      <c r="C139" s="246"/>
      <c r="D139" s="246"/>
      <c r="E139" s="246"/>
      <c r="F139" s="246"/>
    </row>
    <row r="140" spans="1:8" x14ac:dyDescent="0.2">
      <c r="A140" s="25" t="s">
        <v>9</v>
      </c>
      <c r="B140" s="185" t="s">
        <v>9</v>
      </c>
      <c r="C140" s="185" t="s">
        <v>9</v>
      </c>
      <c r="D140" s="22" t="s">
        <v>9</v>
      </c>
      <c r="E140" s="25" t="s">
        <v>9</v>
      </c>
      <c r="F140" s="25" t="s">
        <v>9</v>
      </c>
      <c r="G140" s="25" t="s">
        <v>9</v>
      </c>
      <c r="H140" s="142"/>
    </row>
    <row r="141" spans="1:8" x14ac:dyDescent="0.2">
      <c r="A141" s="25" t="s">
        <v>9</v>
      </c>
      <c r="B141" s="240" t="s">
        <v>139</v>
      </c>
      <c r="C141" s="241"/>
      <c r="D141" s="177" t="s">
        <v>129</v>
      </c>
      <c r="E141" s="25" t="s">
        <v>9</v>
      </c>
      <c r="F141" s="25" t="s">
        <v>9</v>
      </c>
      <c r="G141" s="25" t="s">
        <v>9</v>
      </c>
      <c r="H141" s="142"/>
    </row>
    <row r="142" spans="1:8" x14ac:dyDescent="0.2">
      <c r="A142" s="25" t="s">
        <v>9</v>
      </c>
      <c r="B142" s="240" t="s">
        <v>140</v>
      </c>
      <c r="C142" s="241"/>
      <c r="D142" s="177" t="s">
        <v>129</v>
      </c>
      <c r="E142" s="25" t="s">
        <v>9</v>
      </c>
      <c r="F142" s="25" t="s">
        <v>9</v>
      </c>
      <c r="G142" s="25" t="s">
        <v>9</v>
      </c>
      <c r="H142" s="142"/>
    </row>
    <row r="143" spans="1:8" x14ac:dyDescent="0.2">
      <c r="A143" s="25" t="s">
        <v>9</v>
      </c>
      <c r="B143" s="240" t="s">
        <v>141</v>
      </c>
      <c r="C143" s="241"/>
      <c r="D143" s="186">
        <v>0.34772675135917247</v>
      </c>
      <c r="E143" s="25" t="s">
        <v>9</v>
      </c>
      <c r="F143" s="73" t="s">
        <v>9</v>
      </c>
      <c r="G143" s="25" t="s">
        <v>9</v>
      </c>
      <c r="H143" s="142"/>
    </row>
    <row r="144" spans="1:8" x14ac:dyDescent="0.2">
      <c r="A144" s="25" t="s">
        <v>9</v>
      </c>
      <c r="B144" s="240" t="s">
        <v>142</v>
      </c>
      <c r="C144" s="241"/>
      <c r="D144" s="177" t="s">
        <v>129</v>
      </c>
      <c r="E144" s="25" t="s">
        <v>9</v>
      </c>
      <c r="F144" s="25" t="s">
        <v>9</v>
      </c>
      <c r="G144" s="25" t="s">
        <v>9</v>
      </c>
      <c r="H144" s="142"/>
    </row>
  </sheetData>
  <mergeCells count="15">
    <mergeCell ref="B126:C126"/>
    <mergeCell ref="B123:F123"/>
    <mergeCell ref="B124:F124"/>
    <mergeCell ref="A1:H1"/>
    <mergeCell ref="A2:H2"/>
    <mergeCell ref="A3:H3"/>
    <mergeCell ref="B143:C143"/>
    <mergeCell ref="B144:C144"/>
    <mergeCell ref="B127:C127"/>
    <mergeCell ref="B128:C128"/>
    <mergeCell ref="B129:C129"/>
    <mergeCell ref="B137:C137"/>
    <mergeCell ref="B141:C141"/>
    <mergeCell ref="B142:C142"/>
    <mergeCell ref="B139:F139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outlinePr summaryBelow="0" summaryRight="0"/>
  </sheetPr>
  <dimension ref="A1:H140"/>
  <sheetViews>
    <sheetView showGridLines="0" zoomScaleNormal="100" workbookViewId="0">
      <selection activeCell="J1" sqref="J1"/>
    </sheetView>
  </sheetViews>
  <sheetFormatPr defaultRowHeight="15" x14ac:dyDescent="0.2"/>
  <cols>
    <col min="1" max="1" width="6.85546875" style="155" customWidth="1"/>
    <col min="2" max="2" width="20.5703125" style="155" customWidth="1"/>
    <col min="3" max="3" width="34.28515625" style="155" customWidth="1"/>
    <col min="4" max="4" width="17.85546875" style="155" customWidth="1"/>
    <col min="5" max="6" width="19.140625" style="155" customWidth="1"/>
    <col min="7" max="7" width="16.42578125" style="155" customWidth="1"/>
    <col min="8" max="16384" width="9.140625" style="155"/>
  </cols>
  <sheetData>
    <row r="1" spans="1:8" x14ac:dyDescent="0.2">
      <c r="A1" s="250" t="s">
        <v>0</v>
      </c>
      <c r="B1" s="250"/>
      <c r="C1" s="250"/>
      <c r="D1" s="250"/>
      <c r="E1" s="250"/>
      <c r="F1" s="250"/>
      <c r="G1" s="250"/>
      <c r="H1" s="250"/>
    </row>
    <row r="2" spans="1:8" x14ac:dyDescent="0.2">
      <c r="A2" s="251" t="s">
        <v>431</v>
      </c>
      <c r="B2" s="252"/>
      <c r="C2" s="252"/>
      <c r="D2" s="252"/>
      <c r="E2" s="252"/>
      <c r="F2" s="252"/>
      <c r="G2" s="252"/>
      <c r="H2" s="253"/>
    </row>
    <row r="3" spans="1:8" x14ac:dyDescent="0.2">
      <c r="A3" s="250" t="s">
        <v>1015</v>
      </c>
      <c r="B3" s="250"/>
      <c r="C3" s="250"/>
      <c r="D3" s="250"/>
      <c r="E3" s="250"/>
      <c r="F3" s="250"/>
      <c r="G3" s="250"/>
      <c r="H3" s="250"/>
    </row>
    <row r="4" spans="1:8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60" t="s">
        <v>6</v>
      </c>
      <c r="F4" s="160" t="s">
        <v>7</v>
      </c>
      <c r="G4" s="160" t="s">
        <v>8</v>
      </c>
      <c r="H4" s="161" t="s">
        <v>909</v>
      </c>
    </row>
    <row r="5" spans="1:8" x14ac:dyDescent="0.2">
      <c r="A5" s="15" t="s">
        <v>9</v>
      </c>
      <c r="B5" s="15" t="s">
        <v>9</v>
      </c>
      <c r="C5" s="3" t="s">
        <v>10</v>
      </c>
      <c r="D5" s="15" t="s">
        <v>9</v>
      </c>
      <c r="E5" s="15" t="s">
        <v>9</v>
      </c>
      <c r="F5" s="15" t="s">
        <v>9</v>
      </c>
      <c r="G5" s="15" t="s">
        <v>9</v>
      </c>
      <c r="H5" s="100"/>
    </row>
    <row r="6" spans="1:8" ht="25.5" x14ac:dyDescent="0.2">
      <c r="A6" s="15" t="s">
        <v>9</v>
      </c>
      <c r="B6" s="15" t="s">
        <v>9</v>
      </c>
      <c r="C6" s="3" t="s">
        <v>11</v>
      </c>
      <c r="D6" s="15" t="s">
        <v>9</v>
      </c>
      <c r="E6" s="15" t="s">
        <v>9</v>
      </c>
      <c r="F6" s="15" t="s">
        <v>9</v>
      </c>
      <c r="G6" s="15" t="s">
        <v>9</v>
      </c>
      <c r="H6" s="100"/>
    </row>
    <row r="7" spans="1:8" x14ac:dyDescent="0.2">
      <c r="A7" s="4">
        <v>1</v>
      </c>
      <c r="B7" s="5" t="s">
        <v>393</v>
      </c>
      <c r="C7" s="5" t="s">
        <v>394</v>
      </c>
      <c r="D7" s="5" t="s">
        <v>151</v>
      </c>
      <c r="E7" s="6">
        <v>621607</v>
      </c>
      <c r="F7" s="7">
        <v>8418.7344045000009</v>
      </c>
      <c r="G7" s="8">
        <v>5.7581496000000003E-2</v>
      </c>
      <c r="H7" s="100"/>
    </row>
    <row r="8" spans="1:8" x14ac:dyDescent="0.2">
      <c r="A8" s="4">
        <v>2</v>
      </c>
      <c r="B8" s="5" t="s">
        <v>15</v>
      </c>
      <c r="C8" s="5" t="s">
        <v>16</v>
      </c>
      <c r="D8" s="5" t="s">
        <v>17</v>
      </c>
      <c r="E8" s="6">
        <v>400896</v>
      </c>
      <c r="F8" s="7">
        <v>7995.8707199999999</v>
      </c>
      <c r="G8" s="8">
        <v>5.4689241999999999E-2</v>
      </c>
      <c r="H8" s="100"/>
    </row>
    <row r="9" spans="1:8" x14ac:dyDescent="0.2">
      <c r="A9" s="4">
        <v>3</v>
      </c>
      <c r="B9" s="5" t="s">
        <v>54</v>
      </c>
      <c r="C9" s="5" t="s">
        <v>55</v>
      </c>
      <c r="D9" s="5" t="s">
        <v>22</v>
      </c>
      <c r="E9" s="6">
        <v>447548</v>
      </c>
      <c r="F9" s="7">
        <v>6320.7204039999997</v>
      </c>
      <c r="G9" s="8">
        <v>4.3231739999999998E-2</v>
      </c>
      <c r="H9" s="100"/>
    </row>
    <row r="10" spans="1:8" x14ac:dyDescent="0.2">
      <c r="A10" s="4">
        <v>4</v>
      </c>
      <c r="B10" s="5" t="s">
        <v>20</v>
      </c>
      <c r="C10" s="5" t="s">
        <v>21</v>
      </c>
      <c r="D10" s="5" t="s">
        <v>22</v>
      </c>
      <c r="E10" s="6">
        <v>1019172</v>
      </c>
      <c r="F10" s="7">
        <v>6120.1278599999996</v>
      </c>
      <c r="G10" s="8">
        <v>4.1859750000000001E-2</v>
      </c>
      <c r="H10" s="100"/>
    </row>
    <row r="11" spans="1:8" x14ac:dyDescent="0.2">
      <c r="A11" s="4">
        <v>5</v>
      </c>
      <c r="B11" s="5" t="s">
        <v>12</v>
      </c>
      <c r="C11" s="5" t="s">
        <v>13</v>
      </c>
      <c r="D11" s="5" t="s">
        <v>14</v>
      </c>
      <c r="E11" s="6">
        <v>380598</v>
      </c>
      <c r="F11" s="7">
        <v>5101.725891</v>
      </c>
      <c r="G11" s="8">
        <v>3.4894201E-2</v>
      </c>
      <c r="H11" s="100"/>
    </row>
    <row r="12" spans="1:8" x14ac:dyDescent="0.2">
      <c r="A12" s="4">
        <v>6</v>
      </c>
      <c r="B12" s="5" t="s">
        <v>29</v>
      </c>
      <c r="C12" s="5" t="s">
        <v>30</v>
      </c>
      <c r="D12" s="5" t="s">
        <v>31</v>
      </c>
      <c r="E12" s="6">
        <v>783998</v>
      </c>
      <c r="F12" s="7">
        <v>4208.1092650000001</v>
      </c>
      <c r="G12" s="8">
        <v>2.8782143999999999E-2</v>
      </c>
      <c r="H12" s="100"/>
    </row>
    <row r="13" spans="1:8" x14ac:dyDescent="0.2">
      <c r="A13" s="4">
        <v>7</v>
      </c>
      <c r="B13" s="5" t="s">
        <v>289</v>
      </c>
      <c r="C13" s="5" t="s">
        <v>290</v>
      </c>
      <c r="D13" s="5" t="s">
        <v>1009</v>
      </c>
      <c r="E13" s="6">
        <v>421339</v>
      </c>
      <c r="F13" s="7">
        <v>3774.7761009999999</v>
      </c>
      <c r="G13" s="8">
        <v>2.5818282000000001E-2</v>
      </c>
      <c r="H13" s="100"/>
    </row>
    <row r="14" spans="1:8" ht="25.5" x14ac:dyDescent="0.2">
      <c r="A14" s="4">
        <v>8</v>
      </c>
      <c r="B14" s="5" t="s">
        <v>346</v>
      </c>
      <c r="C14" s="5" t="s">
        <v>939</v>
      </c>
      <c r="D14" s="5" t="s">
        <v>73</v>
      </c>
      <c r="E14" s="6">
        <v>556292</v>
      </c>
      <c r="F14" s="7">
        <v>3724.3749400000002</v>
      </c>
      <c r="G14" s="8">
        <v>2.5473553999999999E-2</v>
      </c>
      <c r="H14" s="100"/>
    </row>
    <row r="15" spans="1:8" x14ac:dyDescent="0.2">
      <c r="A15" s="4">
        <v>9</v>
      </c>
      <c r="B15" s="5" t="s">
        <v>311</v>
      </c>
      <c r="C15" s="5" t="s">
        <v>312</v>
      </c>
      <c r="D15" s="5" t="s">
        <v>313</v>
      </c>
      <c r="E15" s="6">
        <v>145125</v>
      </c>
      <c r="F15" s="7">
        <v>3645.0320624999999</v>
      </c>
      <c r="G15" s="8">
        <v>2.4930872999999999E-2</v>
      </c>
      <c r="H15" s="100"/>
    </row>
    <row r="16" spans="1:8" x14ac:dyDescent="0.2">
      <c r="A16" s="4">
        <v>10</v>
      </c>
      <c r="B16" s="5" t="s">
        <v>399</v>
      </c>
      <c r="C16" s="5" t="s">
        <v>400</v>
      </c>
      <c r="D16" s="5" t="s">
        <v>22</v>
      </c>
      <c r="E16" s="6">
        <v>999651</v>
      </c>
      <c r="F16" s="7">
        <v>3533.7662850000002</v>
      </c>
      <c r="G16" s="8">
        <v>2.416985E-2</v>
      </c>
      <c r="H16" s="100"/>
    </row>
    <row r="17" spans="1:8" x14ac:dyDescent="0.2">
      <c r="A17" s="4">
        <v>11</v>
      </c>
      <c r="B17" s="5" t="s">
        <v>303</v>
      </c>
      <c r="C17" s="5" t="s">
        <v>304</v>
      </c>
      <c r="D17" s="5" t="s">
        <v>22</v>
      </c>
      <c r="E17" s="6">
        <v>351305</v>
      </c>
      <c r="F17" s="7">
        <v>3528.1561150000002</v>
      </c>
      <c r="G17" s="8">
        <v>2.4131479000000001E-2</v>
      </c>
      <c r="H17" s="100"/>
    </row>
    <row r="18" spans="1:8" x14ac:dyDescent="0.2">
      <c r="A18" s="4">
        <v>12</v>
      </c>
      <c r="B18" s="5" t="s">
        <v>295</v>
      </c>
      <c r="C18" s="5" t="s">
        <v>296</v>
      </c>
      <c r="D18" s="5" t="s">
        <v>151</v>
      </c>
      <c r="E18" s="6">
        <v>166467</v>
      </c>
      <c r="F18" s="7">
        <v>3505.79502</v>
      </c>
      <c r="G18" s="8">
        <v>2.3978536000000002E-2</v>
      </c>
      <c r="H18" s="100"/>
    </row>
    <row r="19" spans="1:8" x14ac:dyDescent="0.2">
      <c r="A19" s="4">
        <v>13</v>
      </c>
      <c r="B19" s="5" t="s">
        <v>428</v>
      </c>
      <c r="C19" s="5" t="s">
        <v>429</v>
      </c>
      <c r="D19" s="5" t="s">
        <v>91</v>
      </c>
      <c r="E19" s="6">
        <v>555290</v>
      </c>
      <c r="F19" s="7">
        <v>3503.3246100000001</v>
      </c>
      <c r="G19" s="8">
        <v>2.3961639E-2</v>
      </c>
      <c r="H19" s="100"/>
    </row>
    <row r="20" spans="1:8" x14ac:dyDescent="0.2">
      <c r="A20" s="4">
        <v>14</v>
      </c>
      <c r="B20" s="5" t="s">
        <v>297</v>
      </c>
      <c r="C20" s="5" t="s">
        <v>928</v>
      </c>
      <c r="D20" s="5" t="s">
        <v>22</v>
      </c>
      <c r="E20" s="6">
        <v>4310027</v>
      </c>
      <c r="F20" s="7">
        <v>3452.331627</v>
      </c>
      <c r="G20" s="8">
        <v>2.3612863000000001E-2</v>
      </c>
      <c r="H20" s="100"/>
    </row>
    <row r="21" spans="1:8" ht="25.5" x14ac:dyDescent="0.2">
      <c r="A21" s="4">
        <v>15</v>
      </c>
      <c r="B21" s="5" t="s">
        <v>18</v>
      </c>
      <c r="C21" s="5" t="s">
        <v>19</v>
      </c>
      <c r="D21" s="5" t="s">
        <v>1001</v>
      </c>
      <c r="E21" s="6">
        <v>349400</v>
      </c>
      <c r="F21" s="7">
        <v>3443.337</v>
      </c>
      <c r="G21" s="8">
        <v>2.3551341999999999E-2</v>
      </c>
      <c r="H21" s="100"/>
    </row>
    <row r="22" spans="1:8" x14ac:dyDescent="0.2">
      <c r="A22" s="4">
        <v>16</v>
      </c>
      <c r="B22" s="5" t="s">
        <v>69</v>
      </c>
      <c r="C22" s="5" t="s">
        <v>70</v>
      </c>
      <c r="D22" s="5" t="s">
        <v>17</v>
      </c>
      <c r="E22" s="6">
        <v>802261</v>
      </c>
      <c r="F22" s="7">
        <v>3383.9368979999999</v>
      </c>
      <c r="G22" s="8">
        <v>2.3145064E-2</v>
      </c>
      <c r="H22" s="100"/>
    </row>
    <row r="23" spans="1:8" ht="25.5" x14ac:dyDescent="0.2">
      <c r="A23" s="4">
        <v>17</v>
      </c>
      <c r="B23" s="5" t="s">
        <v>395</v>
      </c>
      <c r="C23" s="5" t="s">
        <v>396</v>
      </c>
      <c r="D23" s="5" t="s">
        <v>156</v>
      </c>
      <c r="E23" s="6">
        <v>139513</v>
      </c>
      <c r="F23" s="7">
        <v>3376.3541129999999</v>
      </c>
      <c r="G23" s="8">
        <v>2.3093201000000001E-2</v>
      </c>
      <c r="H23" s="100"/>
    </row>
    <row r="24" spans="1:8" ht="25.5" x14ac:dyDescent="0.2">
      <c r="A24" s="4">
        <v>18</v>
      </c>
      <c r="B24" s="5" t="s">
        <v>39</v>
      </c>
      <c r="C24" s="5" t="s">
        <v>941</v>
      </c>
      <c r="D24" s="5" t="s">
        <v>1001</v>
      </c>
      <c r="E24" s="6">
        <v>51856</v>
      </c>
      <c r="F24" s="7">
        <v>3256.0123119999998</v>
      </c>
      <c r="G24" s="8">
        <v>2.2270100000000001E-2</v>
      </c>
      <c r="H24" s="100"/>
    </row>
    <row r="25" spans="1:8" x14ac:dyDescent="0.2">
      <c r="A25" s="4">
        <v>19</v>
      </c>
      <c r="B25" s="5" t="s">
        <v>309</v>
      </c>
      <c r="C25" s="5" t="s">
        <v>310</v>
      </c>
      <c r="D25" s="5" t="s">
        <v>58</v>
      </c>
      <c r="E25" s="6">
        <v>143316</v>
      </c>
      <c r="F25" s="7">
        <v>3183.6932820000002</v>
      </c>
      <c r="G25" s="8">
        <v>2.1775460999999999E-2</v>
      </c>
      <c r="H25" s="100"/>
    </row>
    <row r="26" spans="1:8" x14ac:dyDescent="0.2">
      <c r="A26" s="4">
        <v>20</v>
      </c>
      <c r="B26" s="5" t="s">
        <v>397</v>
      </c>
      <c r="C26" s="5" t="s">
        <v>398</v>
      </c>
      <c r="D26" s="5" t="s">
        <v>22</v>
      </c>
      <c r="E26" s="6">
        <v>432749</v>
      </c>
      <c r="F26" s="7">
        <v>3093.7226009999999</v>
      </c>
      <c r="G26" s="8">
        <v>2.1160089999999999E-2</v>
      </c>
      <c r="H26" s="100"/>
    </row>
    <row r="27" spans="1:8" x14ac:dyDescent="0.2">
      <c r="A27" s="4">
        <v>21</v>
      </c>
      <c r="B27" s="5" t="s">
        <v>358</v>
      </c>
      <c r="C27" s="5" t="s">
        <v>359</v>
      </c>
      <c r="D27" s="5" t="s">
        <v>156</v>
      </c>
      <c r="E27" s="6">
        <v>273463</v>
      </c>
      <c r="F27" s="7">
        <v>3082.8851304999998</v>
      </c>
      <c r="G27" s="8">
        <v>2.1085965000000002E-2</v>
      </c>
      <c r="H27" s="100"/>
    </row>
    <row r="28" spans="1:8" ht="25.5" x14ac:dyDescent="0.2">
      <c r="A28" s="4">
        <v>22</v>
      </c>
      <c r="B28" s="5" t="s">
        <v>324</v>
      </c>
      <c r="C28" s="5" t="s">
        <v>325</v>
      </c>
      <c r="D28" s="5" t="s">
        <v>58</v>
      </c>
      <c r="E28" s="6">
        <v>748756</v>
      </c>
      <c r="F28" s="7">
        <v>2881.9618439999999</v>
      </c>
      <c r="G28" s="8">
        <v>1.9711712999999999E-2</v>
      </c>
      <c r="H28" s="100"/>
    </row>
    <row r="29" spans="1:8" x14ac:dyDescent="0.2">
      <c r="A29" s="4">
        <v>23</v>
      </c>
      <c r="B29" s="5" t="s">
        <v>212</v>
      </c>
      <c r="C29" s="5" t="s">
        <v>213</v>
      </c>
      <c r="D29" s="5" t="s">
        <v>38</v>
      </c>
      <c r="E29" s="6">
        <v>398508</v>
      </c>
      <c r="F29" s="7">
        <v>2856.9038519999999</v>
      </c>
      <c r="G29" s="8">
        <v>1.9540324000000001E-2</v>
      </c>
      <c r="H29" s="100"/>
    </row>
    <row r="30" spans="1:8" x14ac:dyDescent="0.2">
      <c r="A30" s="4">
        <v>24</v>
      </c>
      <c r="B30" s="5" t="s">
        <v>356</v>
      </c>
      <c r="C30" s="5" t="s">
        <v>357</v>
      </c>
      <c r="D30" s="5" t="s">
        <v>151</v>
      </c>
      <c r="E30" s="6">
        <v>306733</v>
      </c>
      <c r="F30" s="7">
        <v>2757.3763035000002</v>
      </c>
      <c r="G30" s="8">
        <v>1.8859587000000001E-2</v>
      </c>
      <c r="H30" s="100"/>
    </row>
    <row r="31" spans="1:8" ht="25.5" x14ac:dyDescent="0.2">
      <c r="A31" s="4">
        <v>25</v>
      </c>
      <c r="B31" s="5" t="s">
        <v>326</v>
      </c>
      <c r="C31" s="5" t="s">
        <v>327</v>
      </c>
      <c r="D31" s="5" t="s">
        <v>73</v>
      </c>
      <c r="E31" s="6">
        <v>289894</v>
      </c>
      <c r="F31" s="7">
        <v>2755.5874170000002</v>
      </c>
      <c r="G31" s="8">
        <v>1.8847352000000001E-2</v>
      </c>
      <c r="H31" s="100"/>
    </row>
    <row r="32" spans="1:8" x14ac:dyDescent="0.2">
      <c r="A32" s="4">
        <v>26</v>
      </c>
      <c r="B32" s="5" t="s">
        <v>293</v>
      </c>
      <c r="C32" s="5" t="s">
        <v>294</v>
      </c>
      <c r="D32" s="5" t="s">
        <v>172</v>
      </c>
      <c r="E32" s="6">
        <v>85672</v>
      </c>
      <c r="F32" s="7">
        <v>2739.3622</v>
      </c>
      <c r="G32" s="8">
        <v>1.8736375999999999E-2</v>
      </c>
      <c r="H32" s="100"/>
    </row>
    <row r="33" spans="1:8" x14ac:dyDescent="0.2">
      <c r="A33" s="4">
        <v>27</v>
      </c>
      <c r="B33" s="5" t="s">
        <v>83</v>
      </c>
      <c r="C33" s="5" t="s">
        <v>84</v>
      </c>
      <c r="D33" s="5" t="s">
        <v>28</v>
      </c>
      <c r="E33" s="6">
        <v>286278</v>
      </c>
      <c r="F33" s="7">
        <v>2397.8645280000001</v>
      </c>
      <c r="G33" s="8">
        <v>1.6400639000000002E-2</v>
      </c>
      <c r="H33" s="100"/>
    </row>
    <row r="34" spans="1:8" x14ac:dyDescent="0.2">
      <c r="A34" s="4">
        <v>28</v>
      </c>
      <c r="B34" s="5" t="s">
        <v>378</v>
      </c>
      <c r="C34" s="5" t="s">
        <v>379</v>
      </c>
      <c r="D34" s="5" t="s">
        <v>151</v>
      </c>
      <c r="E34" s="6">
        <v>134132</v>
      </c>
      <c r="F34" s="7">
        <v>2367.1615360000001</v>
      </c>
      <c r="G34" s="8">
        <v>1.6190640999999999E-2</v>
      </c>
      <c r="H34" s="100"/>
    </row>
    <row r="35" spans="1:8" x14ac:dyDescent="0.2">
      <c r="A35" s="4">
        <v>29</v>
      </c>
      <c r="B35" s="5" t="s">
        <v>432</v>
      </c>
      <c r="C35" s="5" t="s">
        <v>956</v>
      </c>
      <c r="D35" s="5" t="s">
        <v>28</v>
      </c>
      <c r="E35" s="6">
        <v>147764</v>
      </c>
      <c r="F35" s="7">
        <v>2333.4152060000001</v>
      </c>
      <c r="G35" s="8">
        <v>1.5959826E-2</v>
      </c>
      <c r="H35" s="100"/>
    </row>
    <row r="36" spans="1:8" x14ac:dyDescent="0.2">
      <c r="A36" s="4">
        <v>30</v>
      </c>
      <c r="B36" s="5" t="s">
        <v>433</v>
      </c>
      <c r="C36" s="5" t="s">
        <v>434</v>
      </c>
      <c r="D36" s="5" t="s">
        <v>193</v>
      </c>
      <c r="E36" s="6">
        <v>242316</v>
      </c>
      <c r="F36" s="7">
        <v>2205.923706</v>
      </c>
      <c r="G36" s="8">
        <v>1.5087824999999999E-2</v>
      </c>
      <c r="H36" s="100"/>
    </row>
    <row r="37" spans="1:8" x14ac:dyDescent="0.2">
      <c r="A37" s="4">
        <v>31</v>
      </c>
      <c r="B37" s="5" t="s">
        <v>417</v>
      </c>
      <c r="C37" s="5" t="s">
        <v>418</v>
      </c>
      <c r="D37" s="5" t="s">
        <v>193</v>
      </c>
      <c r="E37" s="6">
        <v>51253</v>
      </c>
      <c r="F37" s="7">
        <v>2082.0762454999999</v>
      </c>
      <c r="G37" s="8">
        <v>1.4240747E-2</v>
      </c>
      <c r="H37" s="100"/>
    </row>
    <row r="38" spans="1:8" x14ac:dyDescent="0.2">
      <c r="A38" s="4">
        <v>32</v>
      </c>
      <c r="B38" s="5" t="s">
        <v>435</v>
      </c>
      <c r="C38" s="5" t="s">
        <v>942</v>
      </c>
      <c r="D38" s="5" t="s">
        <v>193</v>
      </c>
      <c r="E38" s="6">
        <v>39902</v>
      </c>
      <c r="F38" s="7">
        <v>2060.1801620000001</v>
      </c>
      <c r="G38" s="8">
        <v>1.4090985E-2</v>
      </c>
      <c r="H38" s="100"/>
    </row>
    <row r="39" spans="1:8" ht="25.5" x14ac:dyDescent="0.2">
      <c r="A39" s="4">
        <v>33</v>
      </c>
      <c r="B39" s="5" t="s">
        <v>419</v>
      </c>
      <c r="C39" s="5" t="s">
        <v>420</v>
      </c>
      <c r="D39" s="5" t="s">
        <v>1009</v>
      </c>
      <c r="E39" s="6">
        <v>145259</v>
      </c>
      <c r="F39" s="7">
        <v>2053.9622599999998</v>
      </c>
      <c r="G39" s="8">
        <v>1.4048456000000001E-2</v>
      </c>
      <c r="H39" s="100"/>
    </row>
    <row r="40" spans="1:8" ht="25.5" x14ac:dyDescent="0.2">
      <c r="A40" s="4">
        <v>34</v>
      </c>
      <c r="B40" s="5" t="s">
        <v>370</v>
      </c>
      <c r="C40" s="5" t="s">
        <v>955</v>
      </c>
      <c r="D40" s="5" t="s">
        <v>63</v>
      </c>
      <c r="E40" s="6">
        <v>111832</v>
      </c>
      <c r="F40" s="7">
        <v>2003.358448</v>
      </c>
      <c r="G40" s="8">
        <v>1.3702341999999999E-2</v>
      </c>
      <c r="H40" s="100"/>
    </row>
    <row r="41" spans="1:8" x14ac:dyDescent="0.2">
      <c r="A41" s="4">
        <v>35</v>
      </c>
      <c r="B41" s="5" t="s">
        <v>436</v>
      </c>
      <c r="C41" s="5" t="s">
        <v>437</v>
      </c>
      <c r="D41" s="5" t="s">
        <v>156</v>
      </c>
      <c r="E41" s="6">
        <v>351207</v>
      </c>
      <c r="F41" s="7">
        <v>1995.7337775000001</v>
      </c>
      <c r="G41" s="8">
        <v>1.3650192E-2</v>
      </c>
      <c r="H41" s="100"/>
    </row>
    <row r="42" spans="1:8" x14ac:dyDescent="0.2">
      <c r="A42" s="4">
        <v>36</v>
      </c>
      <c r="B42" s="5" t="s">
        <v>401</v>
      </c>
      <c r="C42" s="5" t="s">
        <v>402</v>
      </c>
      <c r="D42" s="5" t="s">
        <v>91</v>
      </c>
      <c r="E42" s="6">
        <v>257819</v>
      </c>
      <c r="F42" s="7">
        <v>1940.2168845000001</v>
      </c>
      <c r="G42" s="8">
        <v>1.3270473E-2</v>
      </c>
      <c r="H42" s="100"/>
    </row>
    <row r="43" spans="1:8" x14ac:dyDescent="0.2">
      <c r="A43" s="4">
        <v>37</v>
      </c>
      <c r="B43" s="5" t="s">
        <v>338</v>
      </c>
      <c r="C43" s="5" t="s">
        <v>339</v>
      </c>
      <c r="D43" s="5" t="s">
        <v>193</v>
      </c>
      <c r="E43" s="6">
        <v>67954</v>
      </c>
      <c r="F43" s="7">
        <v>1890.174487</v>
      </c>
      <c r="G43" s="8">
        <v>1.2928199E-2</v>
      </c>
      <c r="H43" s="100"/>
    </row>
    <row r="44" spans="1:8" x14ac:dyDescent="0.2">
      <c r="A44" s="4">
        <v>38</v>
      </c>
      <c r="B44" s="5" t="s">
        <v>299</v>
      </c>
      <c r="C44" s="5" t="s">
        <v>300</v>
      </c>
      <c r="D44" s="5" t="s">
        <v>193</v>
      </c>
      <c r="E44" s="6">
        <v>197997</v>
      </c>
      <c r="F44" s="7">
        <v>1774.7461095000001</v>
      </c>
      <c r="G44" s="8">
        <v>1.2138705E-2</v>
      </c>
      <c r="H44" s="100"/>
    </row>
    <row r="45" spans="1:8" x14ac:dyDescent="0.2">
      <c r="A45" s="4">
        <v>39</v>
      </c>
      <c r="B45" s="5" t="s">
        <v>305</v>
      </c>
      <c r="C45" s="5" t="s">
        <v>306</v>
      </c>
      <c r="D45" s="5" t="s">
        <v>1005</v>
      </c>
      <c r="E45" s="6">
        <v>59335</v>
      </c>
      <c r="F45" s="7">
        <v>1715.790195</v>
      </c>
      <c r="G45" s="8">
        <v>1.1735465E-2</v>
      </c>
      <c r="H45" s="100"/>
    </row>
    <row r="46" spans="1:8" x14ac:dyDescent="0.2">
      <c r="A46" s="4">
        <v>40</v>
      </c>
      <c r="B46" s="5" t="s">
        <v>301</v>
      </c>
      <c r="C46" s="5" t="s">
        <v>302</v>
      </c>
      <c r="D46" s="5" t="s">
        <v>58</v>
      </c>
      <c r="E46" s="6">
        <v>177499</v>
      </c>
      <c r="F46" s="7">
        <v>1698.9316785000001</v>
      </c>
      <c r="G46" s="8">
        <v>1.1620159E-2</v>
      </c>
      <c r="H46" s="100"/>
    </row>
    <row r="47" spans="1:8" ht="25.5" x14ac:dyDescent="0.2">
      <c r="A47" s="4">
        <v>41</v>
      </c>
      <c r="B47" s="5" t="s">
        <v>71</v>
      </c>
      <c r="C47" s="5" t="s">
        <v>72</v>
      </c>
      <c r="D47" s="5" t="s">
        <v>73</v>
      </c>
      <c r="E47" s="6">
        <v>300000</v>
      </c>
      <c r="F47" s="7">
        <v>1667.25</v>
      </c>
      <c r="G47" s="8">
        <v>1.1403465999999999E-2</v>
      </c>
      <c r="H47" s="100"/>
    </row>
    <row r="48" spans="1:8" x14ac:dyDescent="0.2">
      <c r="A48" s="4">
        <v>42</v>
      </c>
      <c r="B48" s="5" t="s">
        <v>330</v>
      </c>
      <c r="C48" s="5" t="s">
        <v>331</v>
      </c>
      <c r="D48" s="5" t="s">
        <v>272</v>
      </c>
      <c r="E48" s="6">
        <v>213937</v>
      </c>
      <c r="F48" s="7">
        <v>1661.6486789999999</v>
      </c>
      <c r="G48" s="8">
        <v>1.1365155E-2</v>
      </c>
      <c r="H48" s="100"/>
    </row>
    <row r="49" spans="1:8" x14ac:dyDescent="0.2">
      <c r="A49" s="4">
        <v>43</v>
      </c>
      <c r="B49" s="5" t="s">
        <v>382</v>
      </c>
      <c r="C49" s="5" t="s">
        <v>383</v>
      </c>
      <c r="D49" s="5" t="s">
        <v>1009</v>
      </c>
      <c r="E49" s="6">
        <v>13683</v>
      </c>
      <c r="F49" s="7">
        <v>1510.8289695000001</v>
      </c>
      <c r="G49" s="8">
        <v>1.0333594999999999E-2</v>
      </c>
      <c r="H49" s="100"/>
    </row>
    <row r="50" spans="1:8" x14ac:dyDescent="0.2">
      <c r="A50" s="4">
        <v>44</v>
      </c>
      <c r="B50" s="5" t="s">
        <v>89</v>
      </c>
      <c r="C50" s="5" t="s">
        <v>90</v>
      </c>
      <c r="D50" s="5" t="s">
        <v>91</v>
      </c>
      <c r="E50" s="6">
        <v>1308035</v>
      </c>
      <c r="F50" s="7">
        <v>1474.1554450000001</v>
      </c>
      <c r="G50" s="8">
        <v>1.008276E-2</v>
      </c>
      <c r="H50" s="100"/>
    </row>
    <row r="51" spans="1:8" x14ac:dyDescent="0.2">
      <c r="A51" s="4">
        <v>45</v>
      </c>
      <c r="B51" s="5" t="s">
        <v>438</v>
      </c>
      <c r="C51" s="5" t="s">
        <v>390</v>
      </c>
      <c r="D51" s="5" t="s">
        <v>272</v>
      </c>
      <c r="E51" s="6">
        <v>600000</v>
      </c>
      <c r="F51" s="7">
        <v>1050</v>
      </c>
      <c r="G51" s="8">
        <v>7.1816700000000002E-3</v>
      </c>
      <c r="H51" s="100"/>
    </row>
    <row r="52" spans="1:8" x14ac:dyDescent="0.2">
      <c r="A52" s="15" t="s">
        <v>9</v>
      </c>
      <c r="B52" s="15" t="s">
        <v>9</v>
      </c>
      <c r="C52" s="3" t="s">
        <v>94</v>
      </c>
      <c r="D52" s="15" t="s">
        <v>9</v>
      </c>
      <c r="E52" s="15" t="s">
        <v>9</v>
      </c>
      <c r="F52" s="9">
        <v>139527.39657499999</v>
      </c>
      <c r="G52" s="10">
        <v>0.95432352399999998</v>
      </c>
      <c r="H52" s="100"/>
    </row>
    <row r="53" spans="1:8" x14ac:dyDescent="0.2">
      <c r="A53" s="15" t="s">
        <v>9</v>
      </c>
      <c r="B53" s="15" t="s">
        <v>9</v>
      </c>
      <c r="C53" s="11" t="s">
        <v>9</v>
      </c>
      <c r="D53" s="15" t="s">
        <v>9</v>
      </c>
      <c r="E53" s="15" t="s">
        <v>9</v>
      </c>
      <c r="F53" s="12" t="s">
        <v>9</v>
      </c>
      <c r="G53" s="12" t="s">
        <v>9</v>
      </c>
      <c r="H53" s="100"/>
    </row>
    <row r="54" spans="1:8" x14ac:dyDescent="0.2">
      <c r="A54" s="15" t="s">
        <v>9</v>
      </c>
      <c r="B54" s="15" t="s">
        <v>9</v>
      </c>
      <c r="C54" s="3" t="s">
        <v>95</v>
      </c>
      <c r="D54" s="15" t="s">
        <v>9</v>
      </c>
      <c r="E54" s="15" t="s">
        <v>9</v>
      </c>
      <c r="F54" s="15" t="s">
        <v>9</v>
      </c>
      <c r="G54" s="15" t="s">
        <v>9</v>
      </c>
      <c r="H54" s="100"/>
    </row>
    <row r="55" spans="1:8" x14ac:dyDescent="0.2">
      <c r="A55" s="15" t="s">
        <v>9</v>
      </c>
      <c r="B55" s="15" t="s">
        <v>9</v>
      </c>
      <c r="C55" s="3" t="s">
        <v>94</v>
      </c>
      <c r="D55" s="15" t="s">
        <v>9</v>
      </c>
      <c r="E55" s="15" t="s">
        <v>9</v>
      </c>
      <c r="F55" s="13">
        <v>0</v>
      </c>
      <c r="G55" s="14">
        <v>0</v>
      </c>
      <c r="H55" s="100"/>
    </row>
    <row r="56" spans="1:8" x14ac:dyDescent="0.2">
      <c r="A56" s="15" t="s">
        <v>9</v>
      </c>
      <c r="B56" s="15" t="s">
        <v>9</v>
      </c>
      <c r="C56" s="11" t="s">
        <v>9</v>
      </c>
      <c r="D56" s="15" t="s">
        <v>9</v>
      </c>
      <c r="E56" s="15" t="s">
        <v>9</v>
      </c>
      <c r="F56" s="12" t="s">
        <v>9</v>
      </c>
      <c r="G56" s="12" t="s">
        <v>9</v>
      </c>
      <c r="H56" s="100"/>
    </row>
    <row r="57" spans="1:8" x14ac:dyDescent="0.2">
      <c r="A57" s="15" t="s">
        <v>9</v>
      </c>
      <c r="B57" s="15" t="s">
        <v>9</v>
      </c>
      <c r="C57" s="3" t="s">
        <v>96</v>
      </c>
      <c r="D57" s="15" t="s">
        <v>9</v>
      </c>
      <c r="E57" s="15" t="s">
        <v>9</v>
      </c>
      <c r="F57" s="15" t="s">
        <v>9</v>
      </c>
      <c r="G57" s="15" t="s">
        <v>9</v>
      </c>
      <c r="H57" s="100"/>
    </row>
    <row r="58" spans="1:8" x14ac:dyDescent="0.2">
      <c r="A58" s="15" t="s">
        <v>9</v>
      </c>
      <c r="B58" s="15" t="s">
        <v>9</v>
      </c>
      <c r="C58" s="3" t="s">
        <v>94</v>
      </c>
      <c r="D58" s="15" t="s">
        <v>9</v>
      </c>
      <c r="E58" s="15" t="s">
        <v>9</v>
      </c>
      <c r="F58" s="13">
        <v>0</v>
      </c>
      <c r="G58" s="14">
        <v>0</v>
      </c>
      <c r="H58" s="100"/>
    </row>
    <row r="59" spans="1:8" x14ac:dyDescent="0.2">
      <c r="A59" s="15" t="s">
        <v>9</v>
      </c>
      <c r="B59" s="15" t="s">
        <v>9</v>
      </c>
      <c r="C59" s="11" t="s">
        <v>9</v>
      </c>
      <c r="D59" s="15" t="s">
        <v>9</v>
      </c>
      <c r="E59" s="15" t="s">
        <v>9</v>
      </c>
      <c r="F59" s="12" t="s">
        <v>9</v>
      </c>
      <c r="G59" s="12" t="s">
        <v>9</v>
      </c>
      <c r="H59" s="100"/>
    </row>
    <row r="60" spans="1:8" x14ac:dyDescent="0.2">
      <c r="A60" s="15" t="s">
        <v>9</v>
      </c>
      <c r="B60" s="15" t="s">
        <v>9</v>
      </c>
      <c r="C60" s="3" t="s">
        <v>100</v>
      </c>
      <c r="D60" s="15" t="s">
        <v>9</v>
      </c>
      <c r="E60" s="15" t="s">
        <v>9</v>
      </c>
      <c r="F60" s="15" t="s">
        <v>9</v>
      </c>
      <c r="G60" s="15" t="s">
        <v>9</v>
      </c>
      <c r="H60" s="100"/>
    </row>
    <row r="61" spans="1:8" x14ac:dyDescent="0.2">
      <c r="A61" s="15" t="s">
        <v>9</v>
      </c>
      <c r="B61" s="15" t="s">
        <v>9</v>
      </c>
      <c r="C61" s="3" t="s">
        <v>94</v>
      </c>
      <c r="D61" s="15" t="s">
        <v>9</v>
      </c>
      <c r="E61" s="15" t="s">
        <v>9</v>
      </c>
      <c r="F61" s="13">
        <v>0</v>
      </c>
      <c r="G61" s="14">
        <v>0</v>
      </c>
      <c r="H61" s="100"/>
    </row>
    <row r="62" spans="1:8" x14ac:dyDescent="0.2">
      <c r="A62" s="15" t="s">
        <v>9</v>
      </c>
      <c r="B62" s="15" t="s">
        <v>9</v>
      </c>
      <c r="C62" s="11" t="s">
        <v>9</v>
      </c>
      <c r="D62" s="15" t="s">
        <v>9</v>
      </c>
      <c r="E62" s="15" t="s">
        <v>9</v>
      </c>
      <c r="F62" s="12" t="s">
        <v>9</v>
      </c>
      <c r="G62" s="12" t="s">
        <v>9</v>
      </c>
      <c r="H62" s="100"/>
    </row>
    <row r="63" spans="1:8" x14ac:dyDescent="0.2">
      <c r="A63" s="15" t="s">
        <v>9</v>
      </c>
      <c r="B63" s="15" t="s">
        <v>9</v>
      </c>
      <c r="C63" s="3" t="s">
        <v>101</v>
      </c>
      <c r="D63" s="15" t="s">
        <v>9</v>
      </c>
      <c r="E63" s="15" t="s">
        <v>9</v>
      </c>
      <c r="F63" s="12" t="s">
        <v>9</v>
      </c>
      <c r="G63" s="12" t="s">
        <v>9</v>
      </c>
      <c r="H63" s="100"/>
    </row>
    <row r="64" spans="1:8" x14ac:dyDescent="0.2">
      <c r="A64" s="15" t="s">
        <v>9</v>
      </c>
      <c r="B64" s="15" t="s">
        <v>9</v>
      </c>
      <c r="C64" s="3" t="s">
        <v>94</v>
      </c>
      <c r="D64" s="15" t="s">
        <v>9</v>
      </c>
      <c r="E64" s="15" t="s">
        <v>9</v>
      </c>
      <c r="F64" s="13">
        <v>0</v>
      </c>
      <c r="G64" s="14">
        <v>0</v>
      </c>
      <c r="H64" s="100"/>
    </row>
    <row r="65" spans="1:8" x14ac:dyDescent="0.2">
      <c r="A65" s="15" t="s">
        <v>9</v>
      </c>
      <c r="B65" s="15" t="s">
        <v>9</v>
      </c>
      <c r="C65" s="11" t="s">
        <v>9</v>
      </c>
      <c r="D65" s="15" t="s">
        <v>9</v>
      </c>
      <c r="E65" s="15" t="s">
        <v>9</v>
      </c>
      <c r="F65" s="12" t="s">
        <v>9</v>
      </c>
      <c r="G65" s="12" t="s">
        <v>9</v>
      </c>
      <c r="H65" s="100"/>
    </row>
    <row r="66" spans="1:8" x14ac:dyDescent="0.2">
      <c r="A66" s="15" t="s">
        <v>9</v>
      </c>
      <c r="B66" s="15" t="s">
        <v>9</v>
      </c>
      <c r="C66" s="3" t="s">
        <v>102</v>
      </c>
      <c r="D66" s="15" t="s">
        <v>9</v>
      </c>
      <c r="E66" s="15" t="s">
        <v>9</v>
      </c>
      <c r="F66" s="12" t="s">
        <v>9</v>
      </c>
      <c r="G66" s="12" t="s">
        <v>9</v>
      </c>
      <c r="H66" s="100"/>
    </row>
    <row r="67" spans="1:8" x14ac:dyDescent="0.2">
      <c r="A67" s="15" t="s">
        <v>9</v>
      </c>
      <c r="B67" s="15" t="s">
        <v>9</v>
      </c>
      <c r="C67" s="3" t="s">
        <v>94</v>
      </c>
      <c r="D67" s="15" t="s">
        <v>9</v>
      </c>
      <c r="E67" s="15" t="s">
        <v>9</v>
      </c>
      <c r="F67" s="13">
        <v>0</v>
      </c>
      <c r="G67" s="14">
        <v>0</v>
      </c>
      <c r="H67" s="100"/>
    </row>
    <row r="68" spans="1:8" x14ac:dyDescent="0.2">
      <c r="A68" s="15" t="s">
        <v>9</v>
      </c>
      <c r="B68" s="15" t="s">
        <v>9</v>
      </c>
      <c r="C68" s="11" t="s">
        <v>9</v>
      </c>
      <c r="D68" s="15" t="s">
        <v>9</v>
      </c>
      <c r="E68" s="15" t="s">
        <v>9</v>
      </c>
      <c r="F68" s="12" t="s">
        <v>9</v>
      </c>
      <c r="G68" s="12" t="s">
        <v>9</v>
      </c>
      <c r="H68" s="100"/>
    </row>
    <row r="69" spans="1:8" x14ac:dyDescent="0.2">
      <c r="A69" s="15" t="s">
        <v>9</v>
      </c>
      <c r="B69" s="15" t="s">
        <v>9</v>
      </c>
      <c r="C69" s="3" t="s">
        <v>104</v>
      </c>
      <c r="D69" s="15" t="s">
        <v>9</v>
      </c>
      <c r="E69" s="15" t="s">
        <v>9</v>
      </c>
      <c r="F69" s="9">
        <v>139527.39657499999</v>
      </c>
      <c r="G69" s="10">
        <v>0.95432352399999998</v>
      </c>
      <c r="H69" s="100"/>
    </row>
    <row r="70" spans="1:8" x14ac:dyDescent="0.2">
      <c r="A70" s="15" t="s">
        <v>9</v>
      </c>
      <c r="B70" s="15" t="s">
        <v>9</v>
      </c>
      <c r="C70" s="11" t="s">
        <v>9</v>
      </c>
      <c r="D70" s="15" t="s">
        <v>9</v>
      </c>
      <c r="E70" s="15" t="s">
        <v>9</v>
      </c>
      <c r="F70" s="12" t="s">
        <v>9</v>
      </c>
      <c r="G70" s="12" t="s">
        <v>9</v>
      </c>
      <c r="H70" s="100"/>
    </row>
    <row r="71" spans="1:8" x14ac:dyDescent="0.2">
      <c r="A71" s="15" t="s">
        <v>9</v>
      </c>
      <c r="B71" s="15" t="s">
        <v>9</v>
      </c>
      <c r="C71" s="3" t="s">
        <v>105</v>
      </c>
      <c r="D71" s="15" t="s">
        <v>9</v>
      </c>
      <c r="E71" s="15" t="s">
        <v>9</v>
      </c>
      <c r="F71" s="12" t="s">
        <v>9</v>
      </c>
      <c r="G71" s="12" t="s">
        <v>9</v>
      </c>
      <c r="H71" s="100"/>
    </row>
    <row r="72" spans="1:8" ht="25.5" x14ac:dyDescent="0.2">
      <c r="A72" s="15" t="s">
        <v>9</v>
      </c>
      <c r="B72" s="15" t="s">
        <v>9</v>
      </c>
      <c r="C72" s="3" t="s">
        <v>11</v>
      </c>
      <c r="D72" s="15" t="s">
        <v>9</v>
      </c>
      <c r="E72" s="15" t="s">
        <v>9</v>
      </c>
      <c r="F72" s="12" t="s">
        <v>9</v>
      </c>
      <c r="G72" s="12" t="s">
        <v>9</v>
      </c>
      <c r="H72" s="100"/>
    </row>
    <row r="73" spans="1:8" x14ac:dyDescent="0.2">
      <c r="A73" s="15" t="s">
        <v>9</v>
      </c>
      <c r="B73" s="15" t="s">
        <v>9</v>
      </c>
      <c r="C73" s="3" t="s">
        <v>94</v>
      </c>
      <c r="D73" s="15" t="s">
        <v>9</v>
      </c>
      <c r="E73" s="15" t="s">
        <v>9</v>
      </c>
      <c r="F73" s="13">
        <v>0</v>
      </c>
      <c r="G73" s="14">
        <v>0</v>
      </c>
      <c r="H73" s="100"/>
    </row>
    <row r="74" spans="1:8" x14ac:dyDescent="0.2">
      <c r="A74" s="15" t="s">
        <v>9</v>
      </c>
      <c r="B74" s="15" t="s">
        <v>9</v>
      </c>
      <c r="C74" s="11" t="s">
        <v>9</v>
      </c>
      <c r="D74" s="15" t="s">
        <v>9</v>
      </c>
      <c r="E74" s="15" t="s">
        <v>9</v>
      </c>
      <c r="F74" s="12" t="s">
        <v>9</v>
      </c>
      <c r="G74" s="12" t="s">
        <v>9</v>
      </c>
      <c r="H74" s="100"/>
    </row>
    <row r="75" spans="1:8" x14ac:dyDescent="0.2">
      <c r="A75" s="15" t="s">
        <v>9</v>
      </c>
      <c r="B75" s="15" t="s">
        <v>9</v>
      </c>
      <c r="C75" s="3" t="s">
        <v>106</v>
      </c>
      <c r="D75" s="15" t="s">
        <v>9</v>
      </c>
      <c r="E75" s="15" t="s">
        <v>9</v>
      </c>
      <c r="F75" s="15" t="s">
        <v>9</v>
      </c>
      <c r="G75" s="15" t="s">
        <v>9</v>
      </c>
      <c r="H75" s="100"/>
    </row>
    <row r="76" spans="1:8" x14ac:dyDescent="0.2">
      <c r="A76" s="15" t="s">
        <v>9</v>
      </c>
      <c r="B76" s="15" t="s">
        <v>9</v>
      </c>
      <c r="C76" s="3" t="s">
        <v>94</v>
      </c>
      <c r="D76" s="15" t="s">
        <v>9</v>
      </c>
      <c r="E76" s="15" t="s">
        <v>9</v>
      </c>
      <c r="F76" s="13">
        <v>0</v>
      </c>
      <c r="G76" s="14">
        <v>0</v>
      </c>
      <c r="H76" s="100"/>
    </row>
    <row r="77" spans="1:8" x14ac:dyDescent="0.2">
      <c r="A77" s="15" t="s">
        <v>9</v>
      </c>
      <c r="B77" s="15" t="s">
        <v>9</v>
      </c>
      <c r="C77" s="11" t="s">
        <v>9</v>
      </c>
      <c r="D77" s="15" t="s">
        <v>9</v>
      </c>
      <c r="E77" s="15" t="s">
        <v>9</v>
      </c>
      <c r="F77" s="12" t="s">
        <v>9</v>
      </c>
      <c r="G77" s="12" t="s">
        <v>9</v>
      </c>
      <c r="H77" s="100"/>
    </row>
    <row r="78" spans="1:8" x14ac:dyDescent="0.2">
      <c r="A78" s="15" t="s">
        <v>9</v>
      </c>
      <c r="B78" s="15" t="s">
        <v>9</v>
      </c>
      <c r="C78" s="3" t="s">
        <v>107</v>
      </c>
      <c r="D78" s="15" t="s">
        <v>9</v>
      </c>
      <c r="E78" s="15" t="s">
        <v>9</v>
      </c>
      <c r="F78" s="15" t="s">
        <v>9</v>
      </c>
      <c r="G78" s="15" t="s">
        <v>9</v>
      </c>
      <c r="H78" s="100"/>
    </row>
    <row r="79" spans="1:8" x14ac:dyDescent="0.2">
      <c r="A79" s="15" t="s">
        <v>9</v>
      </c>
      <c r="B79" s="15" t="s">
        <v>9</v>
      </c>
      <c r="C79" s="3" t="s">
        <v>94</v>
      </c>
      <c r="D79" s="15" t="s">
        <v>9</v>
      </c>
      <c r="E79" s="15" t="s">
        <v>9</v>
      </c>
      <c r="F79" s="13">
        <v>0</v>
      </c>
      <c r="G79" s="14">
        <v>0</v>
      </c>
      <c r="H79" s="100"/>
    </row>
    <row r="80" spans="1:8" x14ac:dyDescent="0.2">
      <c r="A80" s="15" t="s">
        <v>9</v>
      </c>
      <c r="B80" s="15" t="s">
        <v>9</v>
      </c>
      <c r="C80" s="11" t="s">
        <v>9</v>
      </c>
      <c r="D80" s="15" t="s">
        <v>9</v>
      </c>
      <c r="E80" s="15" t="s">
        <v>9</v>
      </c>
      <c r="F80" s="12" t="s">
        <v>9</v>
      </c>
      <c r="G80" s="12" t="s">
        <v>9</v>
      </c>
      <c r="H80" s="100"/>
    </row>
    <row r="81" spans="1:8" x14ac:dyDescent="0.2">
      <c r="A81" s="15" t="s">
        <v>9</v>
      </c>
      <c r="B81" s="15" t="s">
        <v>9</v>
      </c>
      <c r="C81" s="3" t="s">
        <v>108</v>
      </c>
      <c r="D81" s="15" t="s">
        <v>9</v>
      </c>
      <c r="E81" s="15" t="s">
        <v>9</v>
      </c>
      <c r="F81" s="12" t="s">
        <v>9</v>
      </c>
      <c r="G81" s="12" t="s">
        <v>9</v>
      </c>
      <c r="H81" s="100"/>
    </row>
    <row r="82" spans="1:8" x14ac:dyDescent="0.2">
      <c r="A82" s="15" t="s">
        <v>9</v>
      </c>
      <c r="B82" s="15" t="s">
        <v>9</v>
      </c>
      <c r="C82" s="3" t="s">
        <v>94</v>
      </c>
      <c r="D82" s="15" t="s">
        <v>9</v>
      </c>
      <c r="E82" s="15" t="s">
        <v>9</v>
      </c>
      <c r="F82" s="13">
        <v>0</v>
      </c>
      <c r="G82" s="14">
        <v>0</v>
      </c>
      <c r="H82" s="100"/>
    </row>
    <row r="83" spans="1:8" x14ac:dyDescent="0.2">
      <c r="A83" s="15" t="s">
        <v>9</v>
      </c>
      <c r="B83" s="15" t="s">
        <v>9</v>
      </c>
      <c r="C83" s="11" t="s">
        <v>9</v>
      </c>
      <c r="D83" s="15" t="s">
        <v>9</v>
      </c>
      <c r="E83" s="15" t="s">
        <v>9</v>
      </c>
      <c r="F83" s="12" t="s">
        <v>9</v>
      </c>
      <c r="G83" s="12" t="s">
        <v>9</v>
      </c>
      <c r="H83" s="100"/>
    </row>
    <row r="84" spans="1:8" x14ac:dyDescent="0.2">
      <c r="A84" s="15" t="s">
        <v>9</v>
      </c>
      <c r="B84" s="15" t="s">
        <v>9</v>
      </c>
      <c r="C84" s="3" t="s">
        <v>109</v>
      </c>
      <c r="D84" s="15" t="s">
        <v>9</v>
      </c>
      <c r="E84" s="15" t="s">
        <v>9</v>
      </c>
      <c r="F84" s="9">
        <v>0</v>
      </c>
      <c r="G84" s="10">
        <v>0</v>
      </c>
      <c r="H84" s="100"/>
    </row>
    <row r="85" spans="1:8" x14ac:dyDescent="0.2">
      <c r="A85" s="15" t="s">
        <v>9</v>
      </c>
      <c r="B85" s="15" t="s">
        <v>9</v>
      </c>
      <c r="C85" s="11" t="s">
        <v>9</v>
      </c>
      <c r="D85" s="15" t="s">
        <v>9</v>
      </c>
      <c r="E85" s="15" t="s">
        <v>9</v>
      </c>
      <c r="F85" s="12" t="s">
        <v>9</v>
      </c>
      <c r="G85" s="12" t="s">
        <v>9</v>
      </c>
      <c r="H85" s="100"/>
    </row>
    <row r="86" spans="1:8" x14ac:dyDescent="0.2">
      <c r="A86" s="15" t="s">
        <v>9</v>
      </c>
      <c r="B86" s="15" t="s">
        <v>9</v>
      </c>
      <c r="C86" s="3" t="s">
        <v>110</v>
      </c>
      <c r="D86" s="15" t="s">
        <v>9</v>
      </c>
      <c r="E86" s="15" t="s">
        <v>9</v>
      </c>
      <c r="F86" s="12" t="s">
        <v>9</v>
      </c>
      <c r="G86" s="12" t="s">
        <v>9</v>
      </c>
      <c r="H86" s="100"/>
    </row>
    <row r="87" spans="1:8" x14ac:dyDescent="0.2">
      <c r="A87" s="15" t="s">
        <v>9</v>
      </c>
      <c r="B87" s="15" t="s">
        <v>9</v>
      </c>
      <c r="C87" s="3" t="s">
        <v>111</v>
      </c>
      <c r="D87" s="15" t="s">
        <v>9</v>
      </c>
      <c r="E87" s="15" t="s">
        <v>9</v>
      </c>
      <c r="F87" s="12" t="s">
        <v>9</v>
      </c>
      <c r="G87" s="12" t="s">
        <v>9</v>
      </c>
      <c r="H87" s="100"/>
    </row>
    <row r="88" spans="1:8" x14ac:dyDescent="0.2">
      <c r="A88" s="15" t="s">
        <v>9</v>
      </c>
      <c r="B88" s="15" t="s">
        <v>9</v>
      </c>
      <c r="C88" s="3" t="s">
        <v>94</v>
      </c>
      <c r="D88" s="15" t="s">
        <v>9</v>
      </c>
      <c r="E88" s="15" t="s">
        <v>9</v>
      </c>
      <c r="F88" s="13">
        <v>0</v>
      </c>
      <c r="G88" s="14">
        <v>0</v>
      </c>
      <c r="H88" s="100"/>
    </row>
    <row r="89" spans="1:8" x14ac:dyDescent="0.2">
      <c r="A89" s="15" t="s">
        <v>9</v>
      </c>
      <c r="B89" s="15" t="s">
        <v>9</v>
      </c>
      <c r="C89" s="11" t="s">
        <v>9</v>
      </c>
      <c r="D89" s="15" t="s">
        <v>9</v>
      </c>
      <c r="E89" s="15" t="s">
        <v>9</v>
      </c>
      <c r="F89" s="12" t="s">
        <v>9</v>
      </c>
      <c r="G89" s="12" t="s">
        <v>9</v>
      </c>
      <c r="H89" s="100"/>
    </row>
    <row r="90" spans="1:8" x14ac:dyDescent="0.2">
      <c r="A90" s="15" t="s">
        <v>9</v>
      </c>
      <c r="B90" s="15" t="s">
        <v>9</v>
      </c>
      <c r="C90" s="3" t="s">
        <v>112</v>
      </c>
      <c r="D90" s="15" t="s">
        <v>9</v>
      </c>
      <c r="E90" s="15" t="s">
        <v>9</v>
      </c>
      <c r="F90" s="12" t="s">
        <v>9</v>
      </c>
      <c r="G90" s="12" t="s">
        <v>9</v>
      </c>
      <c r="H90" s="100"/>
    </row>
    <row r="91" spans="1:8" x14ac:dyDescent="0.2">
      <c r="A91" s="15" t="s">
        <v>9</v>
      </c>
      <c r="B91" s="15" t="s">
        <v>9</v>
      </c>
      <c r="C91" s="3" t="s">
        <v>94</v>
      </c>
      <c r="D91" s="15" t="s">
        <v>9</v>
      </c>
      <c r="E91" s="15" t="s">
        <v>9</v>
      </c>
      <c r="F91" s="13">
        <v>0</v>
      </c>
      <c r="G91" s="14">
        <v>0</v>
      </c>
      <c r="H91" s="100"/>
    </row>
    <row r="92" spans="1:8" x14ac:dyDescent="0.2">
      <c r="A92" s="15" t="s">
        <v>9</v>
      </c>
      <c r="B92" s="15" t="s">
        <v>9</v>
      </c>
      <c r="C92" s="11" t="s">
        <v>9</v>
      </c>
      <c r="D92" s="15" t="s">
        <v>9</v>
      </c>
      <c r="E92" s="15" t="s">
        <v>9</v>
      </c>
      <c r="F92" s="12" t="s">
        <v>9</v>
      </c>
      <c r="G92" s="12" t="s">
        <v>9</v>
      </c>
      <c r="H92" s="100"/>
    </row>
    <row r="93" spans="1:8" x14ac:dyDescent="0.2">
      <c r="A93" s="15" t="s">
        <v>9</v>
      </c>
      <c r="B93" s="15" t="s">
        <v>9</v>
      </c>
      <c r="C93" s="3" t="s">
        <v>113</v>
      </c>
      <c r="D93" s="15" t="s">
        <v>9</v>
      </c>
      <c r="E93" s="15" t="s">
        <v>9</v>
      </c>
      <c r="F93" s="12" t="s">
        <v>9</v>
      </c>
      <c r="G93" s="12" t="s">
        <v>9</v>
      </c>
      <c r="H93" s="100"/>
    </row>
    <row r="94" spans="1:8" x14ac:dyDescent="0.2">
      <c r="A94" s="15" t="s">
        <v>9</v>
      </c>
      <c r="B94" s="15" t="s">
        <v>9</v>
      </c>
      <c r="C94" s="3" t="s">
        <v>94</v>
      </c>
      <c r="D94" s="15" t="s">
        <v>9</v>
      </c>
      <c r="E94" s="15" t="s">
        <v>9</v>
      </c>
      <c r="F94" s="13">
        <v>0</v>
      </c>
      <c r="G94" s="14">
        <v>0</v>
      </c>
      <c r="H94" s="100"/>
    </row>
    <row r="95" spans="1:8" x14ac:dyDescent="0.2">
      <c r="A95" s="15" t="s">
        <v>9</v>
      </c>
      <c r="B95" s="15" t="s">
        <v>9</v>
      </c>
      <c r="C95" s="11" t="s">
        <v>9</v>
      </c>
      <c r="D95" s="15" t="s">
        <v>9</v>
      </c>
      <c r="E95" s="15" t="s">
        <v>9</v>
      </c>
      <c r="F95" s="12" t="s">
        <v>9</v>
      </c>
      <c r="G95" s="12" t="s">
        <v>9</v>
      </c>
      <c r="H95" s="100"/>
    </row>
    <row r="96" spans="1:8" x14ac:dyDescent="0.2">
      <c r="A96" s="15" t="s">
        <v>9</v>
      </c>
      <c r="B96" s="15" t="s">
        <v>9</v>
      </c>
      <c r="C96" s="3" t="s">
        <v>114</v>
      </c>
      <c r="D96" s="15" t="s">
        <v>9</v>
      </c>
      <c r="E96" s="15" t="s">
        <v>9</v>
      </c>
      <c r="F96" s="12" t="s">
        <v>9</v>
      </c>
      <c r="G96" s="12" t="s">
        <v>9</v>
      </c>
      <c r="H96" s="100"/>
    </row>
    <row r="97" spans="1:8" x14ac:dyDescent="0.2">
      <c r="A97" s="4">
        <v>1</v>
      </c>
      <c r="B97" s="5"/>
      <c r="C97" s="5" t="s">
        <v>115</v>
      </c>
      <c r="D97" s="5"/>
      <c r="E97" s="15" t="s">
        <v>9</v>
      </c>
      <c r="F97" s="7">
        <v>4926.6710953000002</v>
      </c>
      <c r="G97" s="8">
        <v>3.3696880999999998E-2</v>
      </c>
      <c r="H97" s="99">
        <v>3.2516689338443991</v>
      </c>
    </row>
    <row r="98" spans="1:8" x14ac:dyDescent="0.2">
      <c r="A98" s="4">
        <v>2</v>
      </c>
      <c r="B98" s="5"/>
      <c r="C98" s="5" t="s">
        <v>116</v>
      </c>
      <c r="D98" s="5"/>
      <c r="E98" s="15" t="s">
        <v>9</v>
      </c>
      <c r="F98" s="7">
        <v>674.99892939999995</v>
      </c>
      <c r="G98" s="8">
        <v>4.61678E-3</v>
      </c>
      <c r="H98" s="100">
        <v>3.350000000000001</v>
      </c>
    </row>
    <row r="99" spans="1:8" x14ac:dyDescent="0.2">
      <c r="A99" s="15" t="s">
        <v>9</v>
      </c>
      <c r="B99" s="15" t="s">
        <v>9</v>
      </c>
      <c r="C99" s="3" t="s">
        <v>94</v>
      </c>
      <c r="D99" s="15" t="s">
        <v>9</v>
      </c>
      <c r="E99" s="15" t="s">
        <v>9</v>
      </c>
      <c r="F99" s="9">
        <v>5601.6700246999999</v>
      </c>
      <c r="G99" s="10">
        <v>3.8313660999999999E-2</v>
      </c>
      <c r="H99" s="100"/>
    </row>
    <row r="100" spans="1:8" x14ac:dyDescent="0.2">
      <c r="A100" s="15" t="s">
        <v>9</v>
      </c>
      <c r="B100" s="15" t="s">
        <v>9</v>
      </c>
      <c r="C100" s="11" t="s">
        <v>9</v>
      </c>
      <c r="D100" s="15" t="s">
        <v>9</v>
      </c>
      <c r="E100" s="15" t="s">
        <v>9</v>
      </c>
      <c r="F100" s="12" t="s">
        <v>9</v>
      </c>
      <c r="G100" s="12" t="s">
        <v>9</v>
      </c>
      <c r="H100" s="100"/>
    </row>
    <row r="101" spans="1:8" x14ac:dyDescent="0.2">
      <c r="A101" s="15" t="s">
        <v>9</v>
      </c>
      <c r="B101" s="15" t="s">
        <v>9</v>
      </c>
      <c r="C101" s="3" t="s">
        <v>117</v>
      </c>
      <c r="D101" s="15" t="s">
        <v>9</v>
      </c>
      <c r="E101" s="15" t="s">
        <v>9</v>
      </c>
      <c r="F101" s="9">
        <v>5601.6700246999999</v>
      </c>
      <c r="G101" s="10">
        <v>3.8313660999999999E-2</v>
      </c>
      <c r="H101" s="100"/>
    </row>
    <row r="102" spans="1:8" x14ac:dyDescent="0.2">
      <c r="A102" s="15" t="s">
        <v>9</v>
      </c>
      <c r="B102" s="15" t="s">
        <v>9</v>
      </c>
      <c r="C102" s="12" t="s">
        <v>9</v>
      </c>
      <c r="D102" s="15" t="s">
        <v>9</v>
      </c>
      <c r="E102" s="15" t="s">
        <v>9</v>
      </c>
      <c r="F102" s="15" t="s">
        <v>9</v>
      </c>
      <c r="G102" s="15" t="s">
        <v>9</v>
      </c>
      <c r="H102" s="100"/>
    </row>
    <row r="103" spans="1:8" x14ac:dyDescent="0.2">
      <c r="A103" s="15" t="s">
        <v>9</v>
      </c>
      <c r="B103" s="15" t="s">
        <v>9</v>
      </c>
      <c r="C103" s="3" t="s">
        <v>118</v>
      </c>
      <c r="D103" s="15" t="s">
        <v>9</v>
      </c>
      <c r="E103" s="15" t="s">
        <v>9</v>
      </c>
      <c r="F103" s="15" t="s">
        <v>9</v>
      </c>
      <c r="G103" s="15" t="s">
        <v>9</v>
      </c>
      <c r="H103" s="100"/>
    </row>
    <row r="104" spans="1:8" x14ac:dyDescent="0.2">
      <c r="A104" s="15" t="s">
        <v>9</v>
      </c>
      <c r="B104" s="15" t="s">
        <v>9</v>
      </c>
      <c r="C104" s="3" t="s">
        <v>119</v>
      </c>
      <c r="D104" s="15" t="s">
        <v>9</v>
      </c>
      <c r="E104" s="15" t="s">
        <v>9</v>
      </c>
      <c r="F104" s="15" t="s">
        <v>9</v>
      </c>
      <c r="G104" s="15" t="s">
        <v>9</v>
      </c>
      <c r="H104" s="100"/>
    </row>
    <row r="105" spans="1:8" x14ac:dyDescent="0.2">
      <c r="A105" s="15" t="s">
        <v>9</v>
      </c>
      <c r="B105" s="15" t="s">
        <v>9</v>
      </c>
      <c r="C105" s="3" t="s">
        <v>94</v>
      </c>
      <c r="D105" s="15" t="s">
        <v>9</v>
      </c>
      <c r="E105" s="15" t="s">
        <v>9</v>
      </c>
      <c r="F105" s="13">
        <v>0</v>
      </c>
      <c r="G105" s="14">
        <v>0</v>
      </c>
      <c r="H105" s="100"/>
    </row>
    <row r="106" spans="1:8" x14ac:dyDescent="0.2">
      <c r="A106" s="15" t="s">
        <v>9</v>
      </c>
      <c r="B106" s="15" t="s">
        <v>9</v>
      </c>
      <c r="C106" s="11" t="s">
        <v>9</v>
      </c>
      <c r="D106" s="15" t="s">
        <v>9</v>
      </c>
      <c r="E106" s="15" t="s">
        <v>9</v>
      </c>
      <c r="F106" s="12" t="s">
        <v>9</v>
      </c>
      <c r="G106" s="12" t="s">
        <v>9</v>
      </c>
      <c r="H106" s="100"/>
    </row>
    <row r="107" spans="1:8" x14ac:dyDescent="0.2">
      <c r="A107" s="15" t="s">
        <v>9</v>
      </c>
      <c r="B107" s="15" t="s">
        <v>9</v>
      </c>
      <c r="C107" s="3" t="s">
        <v>120</v>
      </c>
      <c r="D107" s="15" t="s">
        <v>9</v>
      </c>
      <c r="E107" s="15" t="s">
        <v>9</v>
      </c>
      <c r="F107" s="15" t="s">
        <v>9</v>
      </c>
      <c r="G107" s="15" t="s">
        <v>9</v>
      </c>
      <c r="H107" s="100"/>
    </row>
    <row r="108" spans="1:8" x14ac:dyDescent="0.2">
      <c r="A108" s="15" t="s">
        <v>9</v>
      </c>
      <c r="B108" s="15" t="s">
        <v>9</v>
      </c>
      <c r="C108" s="3" t="s">
        <v>121</v>
      </c>
      <c r="D108" s="15" t="s">
        <v>9</v>
      </c>
      <c r="E108" s="15" t="s">
        <v>9</v>
      </c>
      <c r="F108" s="15" t="s">
        <v>9</v>
      </c>
      <c r="G108" s="15" t="s">
        <v>9</v>
      </c>
      <c r="H108" s="100"/>
    </row>
    <row r="109" spans="1:8" x14ac:dyDescent="0.2">
      <c r="A109" s="15" t="s">
        <v>9</v>
      </c>
      <c r="B109" s="15" t="s">
        <v>9</v>
      </c>
      <c r="C109" s="3" t="s">
        <v>94</v>
      </c>
      <c r="D109" s="15" t="s">
        <v>9</v>
      </c>
      <c r="E109" s="15" t="s">
        <v>9</v>
      </c>
      <c r="F109" s="13">
        <v>0</v>
      </c>
      <c r="G109" s="14">
        <v>0</v>
      </c>
      <c r="H109" s="100"/>
    </row>
    <row r="110" spans="1:8" x14ac:dyDescent="0.2">
      <c r="A110" s="15" t="s">
        <v>9</v>
      </c>
      <c r="B110" s="15" t="s">
        <v>9</v>
      </c>
      <c r="C110" s="11" t="s">
        <v>9</v>
      </c>
      <c r="D110" s="15" t="s">
        <v>9</v>
      </c>
      <c r="E110" s="15" t="s">
        <v>9</v>
      </c>
      <c r="F110" s="12" t="s">
        <v>9</v>
      </c>
      <c r="G110" s="12" t="s">
        <v>9</v>
      </c>
      <c r="H110" s="100"/>
    </row>
    <row r="111" spans="1:8" x14ac:dyDescent="0.2">
      <c r="A111" s="15" t="s">
        <v>9</v>
      </c>
      <c r="B111" s="15" t="s">
        <v>9</v>
      </c>
      <c r="C111" s="11" t="s">
        <v>9</v>
      </c>
      <c r="D111" s="15" t="s">
        <v>9</v>
      </c>
      <c r="E111" s="15" t="s">
        <v>9</v>
      </c>
      <c r="F111" s="12" t="s">
        <v>9</v>
      </c>
      <c r="G111" s="12" t="s">
        <v>9</v>
      </c>
      <c r="H111" s="100"/>
    </row>
    <row r="112" spans="1:8" ht="25.5" x14ac:dyDescent="0.2">
      <c r="A112" s="15" t="s">
        <v>9</v>
      </c>
      <c r="B112" s="15" t="s">
        <v>9</v>
      </c>
      <c r="C112" s="3" t="s">
        <v>122</v>
      </c>
      <c r="D112" s="15" t="s">
        <v>9</v>
      </c>
      <c r="E112" s="15" t="s">
        <v>9</v>
      </c>
      <c r="F112" s="12" t="s">
        <v>9</v>
      </c>
      <c r="G112" s="12" t="s">
        <v>9</v>
      </c>
      <c r="H112" s="100"/>
    </row>
    <row r="113" spans="1:8" x14ac:dyDescent="0.2">
      <c r="A113" s="15" t="s">
        <v>9</v>
      </c>
      <c r="B113" s="15" t="s">
        <v>9</v>
      </c>
      <c r="C113" s="3" t="s">
        <v>94</v>
      </c>
      <c r="D113" s="15" t="s">
        <v>9</v>
      </c>
      <c r="E113" s="15" t="s">
        <v>9</v>
      </c>
      <c r="F113" s="13">
        <v>0</v>
      </c>
      <c r="G113" s="14">
        <v>0</v>
      </c>
      <c r="H113" s="100"/>
    </row>
    <row r="114" spans="1:8" x14ac:dyDescent="0.2">
      <c r="A114" s="15" t="s">
        <v>9</v>
      </c>
      <c r="B114" s="15" t="s">
        <v>9</v>
      </c>
      <c r="C114" s="11" t="s">
        <v>9</v>
      </c>
      <c r="D114" s="15" t="s">
        <v>9</v>
      </c>
      <c r="E114" s="15" t="s">
        <v>9</v>
      </c>
      <c r="F114" s="12" t="s">
        <v>9</v>
      </c>
      <c r="G114" s="12" t="s">
        <v>9</v>
      </c>
      <c r="H114" s="100"/>
    </row>
    <row r="115" spans="1:8" x14ac:dyDescent="0.2">
      <c r="A115" s="15" t="s">
        <v>9</v>
      </c>
      <c r="B115" s="5" t="s">
        <v>9</v>
      </c>
      <c r="C115" s="5" t="s">
        <v>9</v>
      </c>
      <c r="D115" s="3" t="s">
        <v>9</v>
      </c>
      <c r="E115" s="15" t="s">
        <v>9</v>
      </c>
      <c r="F115" s="5" t="s">
        <v>9</v>
      </c>
      <c r="G115" s="15" t="s">
        <v>9</v>
      </c>
      <c r="H115" s="100"/>
    </row>
    <row r="116" spans="1:8" x14ac:dyDescent="0.2">
      <c r="A116" s="15" t="s">
        <v>9</v>
      </c>
      <c r="B116" s="5" t="s">
        <v>9</v>
      </c>
      <c r="C116" s="5" t="s">
        <v>124</v>
      </c>
      <c r="D116" s="5" t="s">
        <v>9</v>
      </c>
      <c r="E116" s="15" t="s">
        <v>9</v>
      </c>
      <c r="F116" s="7">
        <v>1076.4843624</v>
      </c>
      <c r="G116" s="8">
        <v>7.362815E-3</v>
      </c>
      <c r="H116" s="100"/>
    </row>
    <row r="117" spans="1:8" x14ac:dyDescent="0.2">
      <c r="A117" s="11" t="s">
        <v>9</v>
      </c>
      <c r="B117" s="11" t="s">
        <v>9</v>
      </c>
      <c r="C117" s="3" t="s">
        <v>125</v>
      </c>
      <c r="D117" s="16" t="s">
        <v>9</v>
      </c>
      <c r="E117" s="16" t="s">
        <v>9</v>
      </c>
      <c r="F117" s="9">
        <v>146205.5509646</v>
      </c>
      <c r="G117" s="10">
        <v>1</v>
      </c>
      <c r="H117" s="100"/>
    </row>
    <row r="118" spans="1:8" x14ac:dyDescent="0.2">
      <c r="A118" s="17" t="s">
        <v>9</v>
      </c>
      <c r="B118" s="17" t="s">
        <v>9</v>
      </c>
      <c r="C118" s="17" t="s">
        <v>9</v>
      </c>
      <c r="D118" s="18" t="s">
        <v>9</v>
      </c>
      <c r="E118" s="18" t="s">
        <v>9</v>
      </c>
      <c r="F118" s="18" t="s">
        <v>9</v>
      </c>
      <c r="G118" s="18" t="s">
        <v>9</v>
      </c>
      <c r="H118" s="142"/>
    </row>
    <row r="119" spans="1:8" x14ac:dyDescent="0.2">
      <c r="A119" s="19" t="s">
        <v>9</v>
      </c>
      <c r="B119" s="254" t="s">
        <v>9</v>
      </c>
      <c r="C119" s="254"/>
      <c r="D119" s="254"/>
      <c r="E119" s="254"/>
      <c r="F119" s="254"/>
      <c r="G119" s="20" t="s">
        <v>9</v>
      </c>
      <c r="H119" s="142"/>
    </row>
    <row r="120" spans="1:8" x14ac:dyDescent="0.2">
      <c r="A120" s="19" t="s">
        <v>9</v>
      </c>
      <c r="B120" s="254" t="s">
        <v>9</v>
      </c>
      <c r="C120" s="254"/>
      <c r="D120" s="254"/>
      <c r="E120" s="254"/>
      <c r="F120" s="254"/>
      <c r="G120" s="20" t="s">
        <v>9</v>
      </c>
      <c r="H120" s="142"/>
    </row>
    <row r="121" spans="1:8" x14ac:dyDescent="0.2">
      <c r="A121" s="19" t="s">
        <v>9</v>
      </c>
      <c r="B121" s="176" t="s">
        <v>9</v>
      </c>
      <c r="C121" s="176" t="s">
        <v>9</v>
      </c>
      <c r="D121" s="179" t="s">
        <v>9</v>
      </c>
      <c r="E121" s="179" t="s">
        <v>9</v>
      </c>
      <c r="F121" s="20" t="s">
        <v>9</v>
      </c>
      <c r="G121" s="20" t="s">
        <v>9</v>
      </c>
      <c r="H121" s="142"/>
    </row>
    <row r="122" spans="1:8" x14ac:dyDescent="0.2">
      <c r="A122" s="19" t="s">
        <v>9</v>
      </c>
      <c r="B122" s="247" t="s">
        <v>127</v>
      </c>
      <c r="C122" s="248"/>
      <c r="D122" s="182" t="s">
        <v>9</v>
      </c>
      <c r="E122" s="178" t="s">
        <v>9</v>
      </c>
      <c r="F122" s="20" t="s">
        <v>9</v>
      </c>
      <c r="G122" s="20" t="s">
        <v>9</v>
      </c>
      <c r="H122" s="142"/>
    </row>
    <row r="123" spans="1:8" ht="28.5" customHeight="1" x14ac:dyDescent="0.2">
      <c r="A123" s="19" t="s">
        <v>9</v>
      </c>
      <c r="B123" s="242" t="s">
        <v>128</v>
      </c>
      <c r="C123" s="243"/>
      <c r="D123" s="3" t="s">
        <v>129</v>
      </c>
      <c r="E123" s="21" t="s">
        <v>9</v>
      </c>
      <c r="F123" s="20" t="s">
        <v>9</v>
      </c>
      <c r="G123" s="20" t="s">
        <v>9</v>
      </c>
      <c r="H123" s="142"/>
    </row>
    <row r="124" spans="1:8" x14ac:dyDescent="0.2">
      <c r="A124" s="19" t="s">
        <v>9</v>
      </c>
      <c r="B124" s="240" t="s">
        <v>130</v>
      </c>
      <c r="C124" s="241"/>
      <c r="D124" s="177" t="s">
        <v>129</v>
      </c>
      <c r="E124" s="178" t="s">
        <v>9</v>
      </c>
      <c r="F124" s="20" t="s">
        <v>9</v>
      </c>
      <c r="G124" s="20" t="s">
        <v>9</v>
      </c>
      <c r="H124" s="142"/>
    </row>
    <row r="125" spans="1:8" x14ac:dyDescent="0.2">
      <c r="A125" s="19" t="s">
        <v>9</v>
      </c>
      <c r="B125" s="240" t="s">
        <v>131</v>
      </c>
      <c r="C125" s="241"/>
      <c r="D125" s="182" t="s">
        <v>9</v>
      </c>
      <c r="E125" s="178" t="s">
        <v>9</v>
      </c>
      <c r="F125" s="20" t="s">
        <v>9</v>
      </c>
      <c r="G125" s="20" t="s">
        <v>9</v>
      </c>
      <c r="H125" s="142"/>
    </row>
    <row r="126" spans="1:8" ht="25.5" x14ac:dyDescent="0.2">
      <c r="A126" s="25" t="s">
        <v>9</v>
      </c>
      <c r="B126" s="23" t="s">
        <v>9</v>
      </c>
      <c r="C126" s="23" t="s">
        <v>132</v>
      </c>
      <c r="D126" s="23" t="s">
        <v>133</v>
      </c>
      <c r="E126" s="22" t="s">
        <v>9</v>
      </c>
      <c r="F126" s="25" t="s">
        <v>9</v>
      </c>
      <c r="G126" s="25" t="s">
        <v>9</v>
      </c>
      <c r="H126" s="142"/>
    </row>
    <row r="127" spans="1:8" x14ac:dyDescent="0.2">
      <c r="A127" s="25" t="s">
        <v>9</v>
      </c>
      <c r="B127" s="23" t="s">
        <v>134</v>
      </c>
      <c r="C127" s="23" t="s">
        <v>135</v>
      </c>
      <c r="D127" s="23" t="s">
        <v>136</v>
      </c>
      <c r="E127" s="22" t="s">
        <v>9</v>
      </c>
      <c r="F127" s="25" t="s">
        <v>9</v>
      </c>
      <c r="G127" s="25" t="s">
        <v>9</v>
      </c>
      <c r="H127" s="142"/>
    </row>
    <row r="128" spans="1:8" x14ac:dyDescent="0.2">
      <c r="A128" s="25" t="s">
        <v>9</v>
      </c>
      <c r="B128" s="183" t="s">
        <v>137</v>
      </c>
      <c r="C128" s="184">
        <v>46.936799999999998</v>
      </c>
      <c r="D128" s="184">
        <v>46.381399999999999</v>
      </c>
      <c r="E128" s="22" t="s">
        <v>9</v>
      </c>
      <c r="F128" s="73" t="s">
        <v>9</v>
      </c>
      <c r="G128" s="25" t="s">
        <v>9</v>
      </c>
      <c r="H128" s="142"/>
    </row>
    <row r="129" spans="1:8" x14ac:dyDescent="0.2">
      <c r="A129" s="25" t="s">
        <v>9</v>
      </c>
      <c r="B129" s="183" t="s">
        <v>921</v>
      </c>
      <c r="C129" s="184">
        <v>23.322600000000001</v>
      </c>
      <c r="D129" s="184">
        <v>23.0472</v>
      </c>
      <c r="E129" s="22" t="s">
        <v>9</v>
      </c>
      <c r="F129" s="73" t="s">
        <v>9</v>
      </c>
      <c r="G129" s="25" t="s">
        <v>9</v>
      </c>
      <c r="H129" s="142"/>
    </row>
    <row r="130" spans="1:8" x14ac:dyDescent="0.2">
      <c r="A130" s="25" t="s">
        <v>9</v>
      </c>
      <c r="B130" s="183" t="s">
        <v>138</v>
      </c>
      <c r="C130" s="184">
        <v>43.819099999999999</v>
      </c>
      <c r="D130" s="184">
        <v>43.255499999999998</v>
      </c>
      <c r="E130" s="22" t="s">
        <v>9</v>
      </c>
      <c r="F130" s="73" t="s">
        <v>9</v>
      </c>
      <c r="G130" s="25" t="s">
        <v>9</v>
      </c>
      <c r="H130" s="142"/>
    </row>
    <row r="131" spans="1:8" x14ac:dyDescent="0.2">
      <c r="A131" s="25" t="s">
        <v>9</v>
      </c>
      <c r="B131" s="183" t="s">
        <v>922</v>
      </c>
      <c r="C131" s="184">
        <v>21.3155</v>
      </c>
      <c r="D131" s="184">
        <v>21.042100000000001</v>
      </c>
      <c r="E131" s="22" t="s">
        <v>9</v>
      </c>
      <c r="F131" s="73" t="s">
        <v>9</v>
      </c>
      <c r="G131" s="25" t="s">
        <v>9</v>
      </c>
      <c r="H131" s="142"/>
    </row>
    <row r="132" spans="1:8" x14ac:dyDescent="0.2">
      <c r="A132" s="25" t="s">
        <v>9</v>
      </c>
      <c r="B132" s="22" t="s">
        <v>9</v>
      </c>
      <c r="C132" s="22" t="s">
        <v>9</v>
      </c>
      <c r="D132" s="22" t="s">
        <v>9</v>
      </c>
      <c r="E132" s="22" t="s">
        <v>9</v>
      </c>
      <c r="F132" s="25" t="s">
        <v>9</v>
      </c>
      <c r="G132" s="25" t="s">
        <v>9</v>
      </c>
      <c r="H132" s="142"/>
    </row>
    <row r="133" spans="1:8" x14ac:dyDescent="0.2">
      <c r="A133" s="25" t="s">
        <v>9</v>
      </c>
      <c r="B133" s="240" t="s">
        <v>1012</v>
      </c>
      <c r="C133" s="241"/>
      <c r="D133" s="177" t="s">
        <v>129</v>
      </c>
      <c r="E133" s="22" t="s">
        <v>9</v>
      </c>
      <c r="F133" s="25" t="s">
        <v>9</v>
      </c>
      <c r="G133" s="25" t="s">
        <v>9</v>
      </c>
      <c r="H133" s="142"/>
    </row>
    <row r="134" spans="1:8" x14ac:dyDescent="0.2">
      <c r="A134" s="25" t="s">
        <v>9</v>
      </c>
      <c r="B134" s="98"/>
      <c r="C134" s="98"/>
      <c r="D134" s="26" t="s">
        <v>9</v>
      </c>
      <c r="E134" s="22" t="s">
        <v>9</v>
      </c>
      <c r="F134" s="25" t="s">
        <v>9</v>
      </c>
      <c r="G134" s="25" t="s">
        <v>9</v>
      </c>
      <c r="H134" s="142"/>
    </row>
    <row r="135" spans="1:8" s="238" customFormat="1" ht="12.75" x14ac:dyDescent="0.2">
      <c r="B135" s="246" t="s">
        <v>923</v>
      </c>
      <c r="C135" s="246"/>
      <c r="D135" s="246"/>
      <c r="E135" s="246"/>
      <c r="F135" s="246"/>
    </row>
    <row r="136" spans="1:8" x14ac:dyDescent="0.2">
      <c r="A136" s="25" t="s">
        <v>9</v>
      </c>
      <c r="B136" s="185" t="s">
        <v>9</v>
      </c>
      <c r="C136" s="185" t="s">
        <v>9</v>
      </c>
      <c r="D136" s="22" t="s">
        <v>9</v>
      </c>
      <c r="E136" s="22" t="s">
        <v>9</v>
      </c>
      <c r="F136" s="25" t="s">
        <v>9</v>
      </c>
      <c r="G136" s="25" t="s">
        <v>9</v>
      </c>
      <c r="H136" s="142"/>
    </row>
    <row r="137" spans="1:8" x14ac:dyDescent="0.2">
      <c r="A137" s="25" t="s">
        <v>9</v>
      </c>
      <c r="B137" s="240" t="s">
        <v>139</v>
      </c>
      <c r="C137" s="241"/>
      <c r="D137" s="177" t="s">
        <v>129</v>
      </c>
      <c r="E137" s="22" t="s">
        <v>9</v>
      </c>
      <c r="F137" s="25" t="s">
        <v>9</v>
      </c>
      <c r="G137" s="25" t="s">
        <v>9</v>
      </c>
      <c r="H137" s="142"/>
    </row>
    <row r="138" spans="1:8" x14ac:dyDescent="0.2">
      <c r="A138" s="25" t="s">
        <v>9</v>
      </c>
      <c r="B138" s="240" t="s">
        <v>140</v>
      </c>
      <c r="C138" s="241"/>
      <c r="D138" s="177" t="s">
        <v>129</v>
      </c>
      <c r="E138" s="22" t="s">
        <v>9</v>
      </c>
      <c r="F138" s="25" t="s">
        <v>9</v>
      </c>
      <c r="G138" s="25" t="s">
        <v>9</v>
      </c>
      <c r="H138" s="142"/>
    </row>
    <row r="139" spans="1:8" x14ac:dyDescent="0.2">
      <c r="A139" s="25" t="s">
        <v>9</v>
      </c>
      <c r="B139" s="240" t="s">
        <v>141</v>
      </c>
      <c r="C139" s="241"/>
      <c r="D139" s="186">
        <v>0.9469085154831135</v>
      </c>
      <c r="E139" s="22" t="s">
        <v>9</v>
      </c>
      <c r="F139" s="73" t="s">
        <v>9</v>
      </c>
      <c r="G139" s="25" t="s">
        <v>9</v>
      </c>
      <c r="H139" s="142"/>
    </row>
    <row r="140" spans="1:8" x14ac:dyDescent="0.2">
      <c r="A140" s="25" t="s">
        <v>9</v>
      </c>
      <c r="B140" s="240" t="s">
        <v>142</v>
      </c>
      <c r="C140" s="241"/>
      <c r="D140" s="177" t="s">
        <v>129</v>
      </c>
      <c r="E140" s="22" t="s">
        <v>9</v>
      </c>
      <c r="F140" s="25" t="s">
        <v>9</v>
      </c>
      <c r="G140" s="25" t="s">
        <v>9</v>
      </c>
      <c r="H140" s="142"/>
    </row>
  </sheetData>
  <mergeCells count="15">
    <mergeCell ref="B122:C122"/>
    <mergeCell ref="B119:F119"/>
    <mergeCell ref="B120:F120"/>
    <mergeCell ref="A1:H1"/>
    <mergeCell ref="A2:H2"/>
    <mergeCell ref="A3:H3"/>
    <mergeCell ref="B139:C139"/>
    <mergeCell ref="B140:C140"/>
    <mergeCell ref="B123:C123"/>
    <mergeCell ref="B124:C124"/>
    <mergeCell ref="B125:C125"/>
    <mergeCell ref="B133:C133"/>
    <mergeCell ref="B137:C137"/>
    <mergeCell ref="B138:C138"/>
    <mergeCell ref="B135:F135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outlinePr summaryBelow="0" summaryRight="0"/>
  </sheetPr>
  <dimension ref="A1:H167"/>
  <sheetViews>
    <sheetView showGridLines="0" workbookViewId="0">
      <selection activeCell="J1" sqref="J1"/>
    </sheetView>
  </sheetViews>
  <sheetFormatPr defaultRowHeight="15" x14ac:dyDescent="0.2"/>
  <cols>
    <col min="1" max="1" width="6.85546875" style="155" customWidth="1"/>
    <col min="2" max="2" width="20.5703125" style="155" customWidth="1"/>
    <col min="3" max="3" width="34.28515625" style="155" customWidth="1"/>
    <col min="4" max="4" width="17.85546875" style="155" customWidth="1"/>
    <col min="5" max="6" width="19.140625" style="155" customWidth="1"/>
    <col min="7" max="7" width="16.42578125" style="155" customWidth="1"/>
    <col min="8" max="16384" width="9.140625" style="155"/>
  </cols>
  <sheetData>
    <row r="1" spans="1:8" x14ac:dyDescent="0.2">
      <c r="A1" s="250" t="s">
        <v>0</v>
      </c>
      <c r="B1" s="250"/>
      <c r="C1" s="250"/>
      <c r="D1" s="250"/>
      <c r="E1" s="250"/>
      <c r="F1" s="250"/>
      <c r="G1" s="250"/>
      <c r="H1" s="250"/>
    </row>
    <row r="2" spans="1:8" x14ac:dyDescent="0.2">
      <c r="A2" s="251" t="s">
        <v>439</v>
      </c>
      <c r="B2" s="252"/>
      <c r="C2" s="252"/>
      <c r="D2" s="252"/>
      <c r="E2" s="252"/>
      <c r="F2" s="252"/>
      <c r="G2" s="252"/>
      <c r="H2" s="253"/>
    </row>
    <row r="3" spans="1:8" x14ac:dyDescent="0.2">
      <c r="A3" s="250" t="s">
        <v>1015</v>
      </c>
      <c r="B3" s="250"/>
      <c r="C3" s="250"/>
      <c r="D3" s="250"/>
      <c r="E3" s="250"/>
      <c r="F3" s="250"/>
      <c r="G3" s="250"/>
      <c r="H3" s="250"/>
    </row>
    <row r="4" spans="1:8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60" t="s">
        <v>6</v>
      </c>
      <c r="F4" s="160" t="s">
        <v>7</v>
      </c>
      <c r="G4" s="160" t="s">
        <v>8</v>
      </c>
      <c r="H4" s="161" t="s">
        <v>909</v>
      </c>
    </row>
    <row r="5" spans="1:8" x14ac:dyDescent="0.2">
      <c r="A5" s="15" t="s">
        <v>9</v>
      </c>
      <c r="B5" s="15" t="s">
        <v>9</v>
      </c>
      <c r="C5" s="3" t="s">
        <v>10</v>
      </c>
      <c r="D5" s="15" t="s">
        <v>9</v>
      </c>
      <c r="E5" s="15" t="s">
        <v>9</v>
      </c>
      <c r="F5" s="15" t="s">
        <v>9</v>
      </c>
      <c r="G5" s="15" t="s">
        <v>9</v>
      </c>
      <c r="H5" s="100"/>
    </row>
    <row r="6" spans="1:8" ht="25.5" x14ac:dyDescent="0.2">
      <c r="A6" s="15" t="s">
        <v>9</v>
      </c>
      <c r="B6" s="15" t="s">
        <v>9</v>
      </c>
      <c r="C6" s="3" t="s">
        <v>11</v>
      </c>
      <c r="D6" s="15" t="s">
        <v>9</v>
      </c>
      <c r="E6" s="15" t="s">
        <v>9</v>
      </c>
      <c r="F6" s="15" t="s">
        <v>9</v>
      </c>
      <c r="G6" s="15" t="s">
        <v>9</v>
      </c>
      <c r="H6" s="100"/>
    </row>
    <row r="7" spans="1:8" x14ac:dyDescent="0.2">
      <c r="A7" s="4">
        <v>1</v>
      </c>
      <c r="B7" s="5" t="s">
        <v>144</v>
      </c>
      <c r="C7" s="5" t="s">
        <v>145</v>
      </c>
      <c r="D7" s="5" t="s">
        <v>146</v>
      </c>
      <c r="E7" s="6">
        <v>23314</v>
      </c>
      <c r="F7" s="7">
        <v>799.25054799999998</v>
      </c>
      <c r="G7" s="8">
        <v>3.9501371E-2</v>
      </c>
      <c r="H7" s="100"/>
    </row>
    <row r="8" spans="1:8" x14ac:dyDescent="0.2">
      <c r="A8" s="4">
        <v>2</v>
      </c>
      <c r="B8" s="5" t="s">
        <v>26</v>
      </c>
      <c r="C8" s="5" t="s">
        <v>27</v>
      </c>
      <c r="D8" s="5" t="s">
        <v>28</v>
      </c>
      <c r="E8" s="6">
        <v>73931</v>
      </c>
      <c r="F8" s="7">
        <v>677.13402900000006</v>
      </c>
      <c r="G8" s="8">
        <v>3.3466005E-2</v>
      </c>
      <c r="H8" s="100"/>
    </row>
    <row r="9" spans="1:8" x14ac:dyDescent="0.2">
      <c r="A9" s="4">
        <v>3</v>
      </c>
      <c r="B9" s="5" t="s">
        <v>147</v>
      </c>
      <c r="C9" s="5" t="s">
        <v>148</v>
      </c>
      <c r="D9" s="5" t="s">
        <v>146</v>
      </c>
      <c r="E9" s="6">
        <v>44471</v>
      </c>
      <c r="F9" s="7">
        <v>552.99688500000002</v>
      </c>
      <c r="G9" s="8">
        <v>2.7330772999999999E-2</v>
      </c>
      <c r="H9" s="100"/>
    </row>
    <row r="10" spans="1:8" ht="25.5" x14ac:dyDescent="0.2">
      <c r="A10" s="4">
        <v>4</v>
      </c>
      <c r="B10" s="5" t="s">
        <v>34</v>
      </c>
      <c r="C10" s="5" t="s">
        <v>35</v>
      </c>
      <c r="D10" s="5" t="s">
        <v>1001</v>
      </c>
      <c r="E10" s="6">
        <v>18912</v>
      </c>
      <c r="F10" s="7">
        <v>530.74636799999996</v>
      </c>
      <c r="G10" s="8">
        <v>2.6231085000000001E-2</v>
      </c>
      <c r="H10" s="100"/>
    </row>
    <row r="11" spans="1:8" x14ac:dyDescent="0.2">
      <c r="A11" s="4">
        <v>5</v>
      </c>
      <c r="B11" s="5" t="s">
        <v>50</v>
      </c>
      <c r="C11" s="5" t="s">
        <v>51</v>
      </c>
      <c r="D11" s="5" t="s">
        <v>28</v>
      </c>
      <c r="E11" s="6">
        <v>51448</v>
      </c>
      <c r="F11" s="7">
        <v>455.031836</v>
      </c>
      <c r="G11" s="8">
        <v>2.2489044999999999E-2</v>
      </c>
      <c r="H11" s="100"/>
    </row>
    <row r="12" spans="1:8" x14ac:dyDescent="0.2">
      <c r="A12" s="4">
        <v>6</v>
      </c>
      <c r="B12" s="5" t="s">
        <v>440</v>
      </c>
      <c r="C12" s="5" t="s">
        <v>441</v>
      </c>
      <c r="D12" s="5" t="s">
        <v>58</v>
      </c>
      <c r="E12" s="6">
        <v>161016</v>
      </c>
      <c r="F12" s="7">
        <v>434.26015200000001</v>
      </c>
      <c r="G12" s="8">
        <v>2.1462446E-2</v>
      </c>
      <c r="H12" s="100"/>
    </row>
    <row r="13" spans="1:8" x14ac:dyDescent="0.2">
      <c r="A13" s="4">
        <v>7</v>
      </c>
      <c r="B13" s="5" t="s">
        <v>154</v>
      </c>
      <c r="C13" s="5" t="s">
        <v>155</v>
      </c>
      <c r="D13" s="5" t="s">
        <v>156</v>
      </c>
      <c r="E13" s="6">
        <v>509319</v>
      </c>
      <c r="F13" s="7">
        <v>412.54838999999998</v>
      </c>
      <c r="G13" s="8">
        <v>2.0389384999999999E-2</v>
      </c>
      <c r="H13" s="100"/>
    </row>
    <row r="14" spans="1:8" x14ac:dyDescent="0.2">
      <c r="A14" s="4">
        <v>8</v>
      </c>
      <c r="B14" s="5" t="s">
        <v>149</v>
      </c>
      <c r="C14" s="5" t="s">
        <v>150</v>
      </c>
      <c r="D14" s="5" t="s">
        <v>151</v>
      </c>
      <c r="E14" s="6">
        <v>7438</v>
      </c>
      <c r="F14" s="7">
        <v>410.79702099999997</v>
      </c>
      <c r="G14" s="8">
        <v>2.0302826999999999E-2</v>
      </c>
      <c r="H14" s="100"/>
    </row>
    <row r="15" spans="1:8" x14ac:dyDescent="0.2">
      <c r="A15" s="4">
        <v>9</v>
      </c>
      <c r="B15" s="5" t="s">
        <v>159</v>
      </c>
      <c r="C15" s="5" t="s">
        <v>160</v>
      </c>
      <c r="D15" s="5" t="s">
        <v>58</v>
      </c>
      <c r="E15" s="6">
        <v>116159</v>
      </c>
      <c r="F15" s="7">
        <v>406.55650000000003</v>
      </c>
      <c r="G15" s="8">
        <v>2.0093248000000001E-2</v>
      </c>
      <c r="H15" s="100"/>
    </row>
    <row r="16" spans="1:8" x14ac:dyDescent="0.2">
      <c r="A16" s="4">
        <v>10</v>
      </c>
      <c r="B16" s="5" t="s">
        <v>157</v>
      </c>
      <c r="C16" s="5" t="s">
        <v>158</v>
      </c>
      <c r="D16" s="5" t="s">
        <v>28</v>
      </c>
      <c r="E16" s="6">
        <v>76859</v>
      </c>
      <c r="F16" s="7">
        <v>400.35853100000003</v>
      </c>
      <c r="G16" s="8">
        <v>1.9786925E-2</v>
      </c>
      <c r="H16" s="100"/>
    </row>
    <row r="17" spans="1:8" x14ac:dyDescent="0.2">
      <c r="A17" s="4">
        <v>11</v>
      </c>
      <c r="B17" s="5" t="s">
        <v>161</v>
      </c>
      <c r="C17" s="5" t="s">
        <v>162</v>
      </c>
      <c r="D17" s="5" t="s">
        <v>163</v>
      </c>
      <c r="E17" s="6">
        <v>31765</v>
      </c>
      <c r="F17" s="7">
        <v>392.20245499999999</v>
      </c>
      <c r="G17" s="8">
        <v>1.9383827999999999E-2</v>
      </c>
      <c r="H17" s="100"/>
    </row>
    <row r="18" spans="1:8" ht="25.5" x14ac:dyDescent="0.2">
      <c r="A18" s="4">
        <v>12</v>
      </c>
      <c r="B18" s="5" t="s">
        <v>152</v>
      </c>
      <c r="C18" s="5" t="s">
        <v>153</v>
      </c>
      <c r="D18" s="5" t="s">
        <v>1001</v>
      </c>
      <c r="E18" s="6">
        <v>240000</v>
      </c>
      <c r="F18" s="7">
        <v>391.68</v>
      </c>
      <c r="G18" s="8">
        <v>1.9358006000000001E-2</v>
      </c>
      <c r="H18" s="100"/>
    </row>
    <row r="19" spans="1:8" ht="25.5" x14ac:dyDescent="0.2">
      <c r="A19" s="4">
        <v>13</v>
      </c>
      <c r="B19" s="5" t="s">
        <v>166</v>
      </c>
      <c r="C19" s="5" t="s">
        <v>948</v>
      </c>
      <c r="D19" s="5" t="s">
        <v>1001</v>
      </c>
      <c r="E19" s="6">
        <v>162516</v>
      </c>
      <c r="F19" s="7">
        <v>385.32543600000002</v>
      </c>
      <c r="G19" s="8">
        <v>1.9043945E-2</v>
      </c>
      <c r="H19" s="100"/>
    </row>
    <row r="20" spans="1:8" x14ac:dyDescent="0.2">
      <c r="A20" s="4">
        <v>14</v>
      </c>
      <c r="B20" s="5" t="s">
        <v>168</v>
      </c>
      <c r="C20" s="5" t="s">
        <v>169</v>
      </c>
      <c r="D20" s="5" t="s">
        <v>151</v>
      </c>
      <c r="E20" s="6">
        <v>193164</v>
      </c>
      <c r="F20" s="7">
        <v>381.01598999999999</v>
      </c>
      <c r="G20" s="8">
        <v>1.8830959000000001E-2</v>
      </c>
      <c r="H20" s="100"/>
    </row>
    <row r="21" spans="1:8" x14ac:dyDescent="0.2">
      <c r="A21" s="4">
        <v>15</v>
      </c>
      <c r="B21" s="5" t="s">
        <v>48</v>
      </c>
      <c r="C21" s="5" t="s">
        <v>49</v>
      </c>
      <c r="D21" s="5" t="s">
        <v>28</v>
      </c>
      <c r="E21" s="6">
        <v>26040</v>
      </c>
      <c r="F21" s="7">
        <v>365.64066000000003</v>
      </c>
      <c r="G21" s="8">
        <v>1.8071064000000001E-2</v>
      </c>
      <c r="H21" s="100"/>
    </row>
    <row r="22" spans="1:8" x14ac:dyDescent="0.2">
      <c r="A22" s="4">
        <v>16</v>
      </c>
      <c r="B22" s="5" t="s">
        <v>291</v>
      </c>
      <c r="C22" s="5" t="s">
        <v>292</v>
      </c>
      <c r="D22" s="5" t="s">
        <v>163</v>
      </c>
      <c r="E22" s="6">
        <v>11524</v>
      </c>
      <c r="F22" s="7">
        <v>360.44191000000001</v>
      </c>
      <c r="G22" s="8">
        <v>1.7814126E-2</v>
      </c>
      <c r="H22" s="100"/>
    </row>
    <row r="23" spans="1:8" x14ac:dyDescent="0.2">
      <c r="A23" s="4">
        <v>17</v>
      </c>
      <c r="B23" s="5" t="s">
        <v>173</v>
      </c>
      <c r="C23" s="5" t="s">
        <v>949</v>
      </c>
      <c r="D23" s="5" t="s">
        <v>28</v>
      </c>
      <c r="E23" s="6">
        <v>77404</v>
      </c>
      <c r="F23" s="7">
        <v>345.68626399999999</v>
      </c>
      <c r="G23" s="8">
        <v>1.7084856999999998E-2</v>
      </c>
      <c r="H23" s="100"/>
    </row>
    <row r="24" spans="1:8" x14ac:dyDescent="0.2">
      <c r="A24" s="4">
        <v>18</v>
      </c>
      <c r="B24" s="5" t="s">
        <v>282</v>
      </c>
      <c r="C24" s="5" t="s">
        <v>283</v>
      </c>
      <c r="D24" s="5" t="s">
        <v>28</v>
      </c>
      <c r="E24" s="6">
        <v>89666</v>
      </c>
      <c r="F24" s="7">
        <v>342.21028899999999</v>
      </c>
      <c r="G24" s="8">
        <v>1.6913063999999998E-2</v>
      </c>
      <c r="H24" s="100"/>
    </row>
    <row r="25" spans="1:8" x14ac:dyDescent="0.2">
      <c r="A25" s="4">
        <v>19</v>
      </c>
      <c r="B25" s="5" t="s">
        <v>170</v>
      </c>
      <c r="C25" s="5" t="s">
        <v>171</v>
      </c>
      <c r="D25" s="5" t="s">
        <v>172</v>
      </c>
      <c r="E25" s="6">
        <v>33170</v>
      </c>
      <c r="F25" s="7">
        <v>340.02566999999999</v>
      </c>
      <c r="G25" s="8">
        <v>1.6805094E-2</v>
      </c>
      <c r="H25" s="100"/>
    </row>
    <row r="26" spans="1:8" ht="25.5" x14ac:dyDescent="0.2">
      <c r="A26" s="4">
        <v>20</v>
      </c>
      <c r="B26" s="5" t="s">
        <v>180</v>
      </c>
      <c r="C26" s="5" t="s">
        <v>934</v>
      </c>
      <c r="D26" s="5" t="s">
        <v>146</v>
      </c>
      <c r="E26" s="6">
        <v>91962</v>
      </c>
      <c r="F26" s="7">
        <v>332.76449700000001</v>
      </c>
      <c r="G26" s="8">
        <v>1.6446224999999998E-2</v>
      </c>
      <c r="H26" s="100"/>
    </row>
    <row r="27" spans="1:8" x14ac:dyDescent="0.2">
      <c r="A27" s="4">
        <v>21</v>
      </c>
      <c r="B27" s="5" t="s">
        <v>184</v>
      </c>
      <c r="C27" s="5" t="s">
        <v>185</v>
      </c>
      <c r="D27" s="5" t="s">
        <v>172</v>
      </c>
      <c r="E27" s="6">
        <v>178406</v>
      </c>
      <c r="F27" s="7">
        <v>316.84905600000002</v>
      </c>
      <c r="G27" s="8">
        <v>1.5659635000000002E-2</v>
      </c>
      <c r="H27" s="100"/>
    </row>
    <row r="28" spans="1:8" ht="25.5" x14ac:dyDescent="0.2">
      <c r="A28" s="4">
        <v>22</v>
      </c>
      <c r="B28" s="5" t="s">
        <v>442</v>
      </c>
      <c r="C28" s="5" t="s">
        <v>443</v>
      </c>
      <c r="D28" s="5" t="s">
        <v>25</v>
      </c>
      <c r="E28" s="6">
        <v>29564</v>
      </c>
      <c r="F28" s="7">
        <v>310.06723199999999</v>
      </c>
      <c r="G28" s="8">
        <v>1.5324457E-2</v>
      </c>
      <c r="H28" s="100"/>
    </row>
    <row r="29" spans="1:8" x14ac:dyDescent="0.2">
      <c r="A29" s="4">
        <v>23</v>
      </c>
      <c r="B29" s="5" t="s">
        <v>189</v>
      </c>
      <c r="C29" s="5" t="s">
        <v>190</v>
      </c>
      <c r="D29" s="5" t="s">
        <v>151</v>
      </c>
      <c r="E29" s="6">
        <v>14600</v>
      </c>
      <c r="F29" s="7">
        <v>297.59179999999998</v>
      </c>
      <c r="G29" s="8">
        <v>1.4707883999999999E-2</v>
      </c>
      <c r="H29" s="100"/>
    </row>
    <row r="30" spans="1:8" ht="25.5" x14ac:dyDescent="0.2">
      <c r="A30" s="4">
        <v>24</v>
      </c>
      <c r="B30" s="5" t="s">
        <v>194</v>
      </c>
      <c r="C30" s="5" t="s">
        <v>195</v>
      </c>
      <c r="D30" s="5" t="s">
        <v>73</v>
      </c>
      <c r="E30" s="6">
        <v>79781</v>
      </c>
      <c r="F30" s="7">
        <v>292.9957225</v>
      </c>
      <c r="G30" s="8">
        <v>1.4480732E-2</v>
      </c>
      <c r="H30" s="100"/>
    </row>
    <row r="31" spans="1:8" x14ac:dyDescent="0.2">
      <c r="A31" s="4">
        <v>25</v>
      </c>
      <c r="B31" s="5" t="s">
        <v>191</v>
      </c>
      <c r="C31" s="5" t="s">
        <v>192</v>
      </c>
      <c r="D31" s="5" t="s">
        <v>193</v>
      </c>
      <c r="E31" s="6">
        <v>88782</v>
      </c>
      <c r="F31" s="7">
        <v>291.64886999999999</v>
      </c>
      <c r="G31" s="8">
        <v>1.4414166000000001E-2</v>
      </c>
      <c r="H31" s="100"/>
    </row>
    <row r="32" spans="1:8" x14ac:dyDescent="0.2">
      <c r="A32" s="4">
        <v>26</v>
      </c>
      <c r="B32" s="5" t="s">
        <v>444</v>
      </c>
      <c r="C32" s="5" t="s">
        <v>445</v>
      </c>
      <c r="D32" s="5" t="s">
        <v>58</v>
      </c>
      <c r="E32" s="6">
        <v>34343</v>
      </c>
      <c r="F32" s="7">
        <v>290.37006500000001</v>
      </c>
      <c r="G32" s="8">
        <v>1.4350964000000001E-2</v>
      </c>
      <c r="H32" s="100"/>
    </row>
    <row r="33" spans="1:8" ht="25.5" x14ac:dyDescent="0.2">
      <c r="A33" s="4">
        <v>27</v>
      </c>
      <c r="B33" s="5" t="s">
        <v>182</v>
      </c>
      <c r="C33" s="5" t="s">
        <v>944</v>
      </c>
      <c r="D33" s="5" t="s">
        <v>58</v>
      </c>
      <c r="E33" s="6">
        <v>12284</v>
      </c>
      <c r="F33" s="7">
        <v>286.874394</v>
      </c>
      <c r="G33" s="8">
        <v>1.4178197E-2</v>
      </c>
      <c r="H33" s="100"/>
    </row>
    <row r="34" spans="1:8" x14ac:dyDescent="0.2">
      <c r="A34" s="4">
        <v>28</v>
      </c>
      <c r="B34" s="5" t="s">
        <v>196</v>
      </c>
      <c r="C34" s="5" t="s">
        <v>197</v>
      </c>
      <c r="D34" s="5" t="s">
        <v>151</v>
      </c>
      <c r="E34" s="6">
        <v>38730</v>
      </c>
      <c r="F34" s="7">
        <v>285.45946500000002</v>
      </c>
      <c r="G34" s="8">
        <v>1.4108267000000001E-2</v>
      </c>
      <c r="H34" s="100"/>
    </row>
    <row r="35" spans="1:8" x14ac:dyDescent="0.2">
      <c r="A35" s="4">
        <v>29</v>
      </c>
      <c r="B35" s="5" t="s">
        <v>175</v>
      </c>
      <c r="C35" s="5" t="s">
        <v>176</v>
      </c>
      <c r="D35" s="5" t="s">
        <v>53</v>
      </c>
      <c r="E35" s="6">
        <v>76646</v>
      </c>
      <c r="F35" s="7">
        <v>282.55547899999999</v>
      </c>
      <c r="G35" s="8">
        <v>1.3964743E-2</v>
      </c>
      <c r="H35" s="100"/>
    </row>
    <row r="36" spans="1:8" x14ac:dyDescent="0.2">
      <c r="A36" s="4">
        <v>30</v>
      </c>
      <c r="B36" s="5" t="s">
        <v>177</v>
      </c>
      <c r="C36" s="5" t="s">
        <v>178</v>
      </c>
      <c r="D36" s="5" t="s">
        <v>47</v>
      </c>
      <c r="E36" s="6">
        <v>26655</v>
      </c>
      <c r="F36" s="7">
        <v>281.39683500000001</v>
      </c>
      <c r="G36" s="8">
        <v>1.390748E-2</v>
      </c>
      <c r="H36" s="100"/>
    </row>
    <row r="37" spans="1:8" x14ac:dyDescent="0.2">
      <c r="A37" s="4">
        <v>31</v>
      </c>
      <c r="B37" s="5" t="s">
        <v>446</v>
      </c>
      <c r="C37" s="5" t="s">
        <v>447</v>
      </c>
      <c r="D37" s="5" t="s">
        <v>156</v>
      </c>
      <c r="E37" s="6">
        <v>92049</v>
      </c>
      <c r="F37" s="7">
        <v>279.78293550000001</v>
      </c>
      <c r="G37" s="8">
        <v>1.3827716E-2</v>
      </c>
      <c r="H37" s="100"/>
    </row>
    <row r="38" spans="1:8" x14ac:dyDescent="0.2">
      <c r="A38" s="4">
        <v>32</v>
      </c>
      <c r="B38" s="5" t="s">
        <v>36</v>
      </c>
      <c r="C38" s="5" t="s">
        <v>37</v>
      </c>
      <c r="D38" s="5" t="s">
        <v>38</v>
      </c>
      <c r="E38" s="6">
        <v>108670</v>
      </c>
      <c r="F38" s="7">
        <v>272.10968000000003</v>
      </c>
      <c r="G38" s="8">
        <v>1.3448481E-2</v>
      </c>
      <c r="H38" s="100"/>
    </row>
    <row r="39" spans="1:8" x14ac:dyDescent="0.2">
      <c r="A39" s="4">
        <v>33</v>
      </c>
      <c r="B39" s="5" t="s">
        <v>200</v>
      </c>
      <c r="C39" s="5" t="s">
        <v>201</v>
      </c>
      <c r="D39" s="5" t="s">
        <v>1003</v>
      </c>
      <c r="E39" s="6">
        <v>42000</v>
      </c>
      <c r="F39" s="7">
        <v>263.88600000000002</v>
      </c>
      <c r="G39" s="8">
        <v>1.3042042E-2</v>
      </c>
      <c r="H39" s="100"/>
    </row>
    <row r="40" spans="1:8" x14ac:dyDescent="0.2">
      <c r="A40" s="4">
        <v>34</v>
      </c>
      <c r="B40" s="5" t="s">
        <v>198</v>
      </c>
      <c r="C40" s="5" t="s">
        <v>199</v>
      </c>
      <c r="D40" s="5" t="s">
        <v>156</v>
      </c>
      <c r="E40" s="6">
        <v>497258</v>
      </c>
      <c r="F40" s="7">
        <v>263.54674</v>
      </c>
      <c r="G40" s="8">
        <v>1.3025274E-2</v>
      </c>
      <c r="H40" s="100"/>
    </row>
    <row r="41" spans="1:8" x14ac:dyDescent="0.2">
      <c r="A41" s="4">
        <v>35</v>
      </c>
      <c r="B41" s="5" t="s">
        <v>43</v>
      </c>
      <c r="C41" s="5" t="s">
        <v>44</v>
      </c>
      <c r="D41" s="5" t="s">
        <v>28</v>
      </c>
      <c r="E41" s="6">
        <v>14565</v>
      </c>
      <c r="F41" s="7">
        <v>259.4973225</v>
      </c>
      <c r="G41" s="8">
        <v>1.282514E-2</v>
      </c>
      <c r="H41" s="100"/>
    </row>
    <row r="42" spans="1:8" x14ac:dyDescent="0.2">
      <c r="A42" s="4">
        <v>36</v>
      </c>
      <c r="B42" s="5" t="s">
        <v>278</v>
      </c>
      <c r="C42" s="5" t="s">
        <v>279</v>
      </c>
      <c r="D42" s="5" t="s">
        <v>28</v>
      </c>
      <c r="E42" s="6">
        <v>24303</v>
      </c>
      <c r="F42" s="7">
        <v>257.19864899999999</v>
      </c>
      <c r="G42" s="8">
        <v>1.2711533000000001E-2</v>
      </c>
      <c r="H42" s="100"/>
    </row>
    <row r="43" spans="1:8" x14ac:dyDescent="0.2">
      <c r="A43" s="4">
        <v>37</v>
      </c>
      <c r="B43" s="5" t="s">
        <v>202</v>
      </c>
      <c r="C43" s="5" t="s">
        <v>203</v>
      </c>
      <c r="D43" s="5" t="s">
        <v>38</v>
      </c>
      <c r="E43" s="6">
        <v>307287</v>
      </c>
      <c r="F43" s="7">
        <v>253.66541849999999</v>
      </c>
      <c r="G43" s="8">
        <v>1.253691E-2</v>
      </c>
      <c r="H43" s="100"/>
    </row>
    <row r="44" spans="1:8" x14ac:dyDescent="0.2">
      <c r="A44" s="4">
        <v>38</v>
      </c>
      <c r="B44" s="5" t="s">
        <v>204</v>
      </c>
      <c r="C44" s="5" t="s">
        <v>205</v>
      </c>
      <c r="D44" s="5" t="s">
        <v>1004</v>
      </c>
      <c r="E44" s="6">
        <v>92808</v>
      </c>
      <c r="F44" s="7">
        <v>252.34495200000001</v>
      </c>
      <c r="G44" s="8">
        <v>1.2471648E-2</v>
      </c>
      <c r="H44" s="100"/>
    </row>
    <row r="45" spans="1:8" x14ac:dyDescent="0.2">
      <c r="A45" s="4">
        <v>39</v>
      </c>
      <c r="B45" s="5" t="s">
        <v>208</v>
      </c>
      <c r="C45" s="5" t="s">
        <v>209</v>
      </c>
      <c r="D45" s="5" t="s">
        <v>163</v>
      </c>
      <c r="E45" s="6">
        <v>68046</v>
      </c>
      <c r="F45" s="7">
        <v>249.72882000000001</v>
      </c>
      <c r="G45" s="8">
        <v>1.2342351E-2</v>
      </c>
      <c r="H45" s="100"/>
    </row>
    <row r="46" spans="1:8" x14ac:dyDescent="0.2">
      <c r="A46" s="4">
        <v>40</v>
      </c>
      <c r="B46" s="5" t="s">
        <v>164</v>
      </c>
      <c r="C46" s="5" t="s">
        <v>947</v>
      </c>
      <c r="D46" s="5" t="s">
        <v>151</v>
      </c>
      <c r="E46" s="6">
        <v>33897</v>
      </c>
      <c r="F46" s="7">
        <v>245.56681649999999</v>
      </c>
      <c r="G46" s="8">
        <v>1.2136652E-2</v>
      </c>
      <c r="H46" s="100"/>
    </row>
    <row r="47" spans="1:8" x14ac:dyDescent="0.2">
      <c r="A47" s="4">
        <v>41</v>
      </c>
      <c r="B47" s="5" t="s">
        <v>210</v>
      </c>
      <c r="C47" s="5" t="s">
        <v>211</v>
      </c>
      <c r="D47" s="5" t="s">
        <v>193</v>
      </c>
      <c r="E47" s="6">
        <v>53835</v>
      </c>
      <c r="F47" s="7">
        <v>243.73796250000001</v>
      </c>
      <c r="G47" s="8">
        <v>1.2046265E-2</v>
      </c>
      <c r="H47" s="100"/>
    </row>
    <row r="48" spans="1:8" ht="25.5" x14ac:dyDescent="0.2">
      <c r="A48" s="4">
        <v>42</v>
      </c>
      <c r="B48" s="5" t="s">
        <v>214</v>
      </c>
      <c r="C48" s="5" t="s">
        <v>215</v>
      </c>
      <c r="D48" s="5" t="s">
        <v>25</v>
      </c>
      <c r="E48" s="6">
        <v>348703</v>
      </c>
      <c r="F48" s="7">
        <v>242.69728799999999</v>
      </c>
      <c r="G48" s="8">
        <v>1.1994832E-2</v>
      </c>
      <c r="H48" s="100"/>
    </row>
    <row r="49" spans="1:8" x14ac:dyDescent="0.2">
      <c r="A49" s="4">
        <v>43</v>
      </c>
      <c r="B49" s="5" t="s">
        <v>218</v>
      </c>
      <c r="C49" s="5" t="s">
        <v>219</v>
      </c>
      <c r="D49" s="5" t="s">
        <v>156</v>
      </c>
      <c r="E49" s="6">
        <v>39288</v>
      </c>
      <c r="F49" s="7">
        <v>228.440076</v>
      </c>
      <c r="G49" s="8">
        <v>1.1290197E-2</v>
      </c>
      <c r="H49" s="100"/>
    </row>
    <row r="50" spans="1:8" x14ac:dyDescent="0.2">
      <c r="A50" s="4">
        <v>44</v>
      </c>
      <c r="B50" s="5" t="s">
        <v>212</v>
      </c>
      <c r="C50" s="5" t="s">
        <v>213</v>
      </c>
      <c r="D50" s="5" t="s">
        <v>38</v>
      </c>
      <c r="E50" s="6">
        <v>31488</v>
      </c>
      <c r="F50" s="7">
        <v>225.737472</v>
      </c>
      <c r="G50" s="8">
        <v>1.1156625999999999E-2</v>
      </c>
      <c r="H50" s="100"/>
    </row>
    <row r="51" spans="1:8" x14ac:dyDescent="0.2">
      <c r="A51" s="4">
        <v>45</v>
      </c>
      <c r="B51" s="5" t="s">
        <v>448</v>
      </c>
      <c r="C51" s="5" t="s">
        <v>957</v>
      </c>
      <c r="D51" s="5" t="s">
        <v>228</v>
      </c>
      <c r="E51" s="6">
        <v>45800</v>
      </c>
      <c r="F51" s="7">
        <v>221.7407</v>
      </c>
      <c r="G51" s="8">
        <v>1.0959094000000001E-2</v>
      </c>
      <c r="H51" s="100"/>
    </row>
    <row r="52" spans="1:8" x14ac:dyDescent="0.2">
      <c r="A52" s="4">
        <v>46</v>
      </c>
      <c r="B52" s="5" t="s">
        <v>222</v>
      </c>
      <c r="C52" s="5" t="s">
        <v>950</v>
      </c>
      <c r="D52" s="5" t="s">
        <v>28</v>
      </c>
      <c r="E52" s="6">
        <v>201299</v>
      </c>
      <c r="F52" s="7">
        <v>216.6983735</v>
      </c>
      <c r="G52" s="8">
        <v>1.0709887E-2</v>
      </c>
      <c r="H52" s="100"/>
    </row>
    <row r="53" spans="1:8" x14ac:dyDescent="0.2">
      <c r="A53" s="4">
        <v>47</v>
      </c>
      <c r="B53" s="5" t="s">
        <v>229</v>
      </c>
      <c r="C53" s="5" t="s">
        <v>230</v>
      </c>
      <c r="D53" s="5" t="s">
        <v>193</v>
      </c>
      <c r="E53" s="6">
        <v>15127</v>
      </c>
      <c r="F53" s="7">
        <v>211.07459449999999</v>
      </c>
      <c r="G53" s="8">
        <v>1.0431943000000001E-2</v>
      </c>
      <c r="H53" s="100"/>
    </row>
    <row r="54" spans="1:8" x14ac:dyDescent="0.2">
      <c r="A54" s="4">
        <v>48</v>
      </c>
      <c r="B54" s="5" t="s">
        <v>231</v>
      </c>
      <c r="C54" s="5" t="s">
        <v>935</v>
      </c>
      <c r="D54" s="5" t="s">
        <v>156</v>
      </c>
      <c r="E54" s="6">
        <v>41645</v>
      </c>
      <c r="F54" s="7">
        <v>207.26716500000001</v>
      </c>
      <c r="G54" s="8">
        <v>1.0243768E-2</v>
      </c>
      <c r="H54" s="100"/>
    </row>
    <row r="55" spans="1:8" x14ac:dyDescent="0.2">
      <c r="A55" s="4">
        <v>49</v>
      </c>
      <c r="B55" s="5" t="s">
        <v>449</v>
      </c>
      <c r="C55" s="5" t="s">
        <v>450</v>
      </c>
      <c r="D55" s="5" t="s">
        <v>28</v>
      </c>
      <c r="E55" s="6">
        <v>37025</v>
      </c>
      <c r="F55" s="7">
        <v>202.84146250000001</v>
      </c>
      <c r="G55" s="8">
        <v>1.0025037000000001E-2</v>
      </c>
      <c r="H55" s="100"/>
    </row>
    <row r="56" spans="1:8" x14ac:dyDescent="0.2">
      <c r="A56" s="4">
        <v>50</v>
      </c>
      <c r="B56" s="5" t="s">
        <v>226</v>
      </c>
      <c r="C56" s="5" t="s">
        <v>227</v>
      </c>
      <c r="D56" s="5" t="s">
        <v>228</v>
      </c>
      <c r="E56" s="6">
        <v>129053</v>
      </c>
      <c r="F56" s="7">
        <v>202.03247150000001</v>
      </c>
      <c r="G56" s="8">
        <v>9.9850540000000002E-3</v>
      </c>
      <c r="H56" s="100"/>
    </row>
    <row r="57" spans="1:8" x14ac:dyDescent="0.2">
      <c r="A57" s="4">
        <v>51</v>
      </c>
      <c r="B57" s="5" t="s">
        <v>186</v>
      </c>
      <c r="C57" s="5" t="s">
        <v>187</v>
      </c>
      <c r="D57" s="5" t="s">
        <v>188</v>
      </c>
      <c r="E57" s="6">
        <v>26884</v>
      </c>
      <c r="F57" s="7">
        <v>195.59454199999999</v>
      </c>
      <c r="G57" s="8">
        <v>9.666872E-3</v>
      </c>
      <c r="H57" s="100"/>
    </row>
    <row r="58" spans="1:8" x14ac:dyDescent="0.2">
      <c r="A58" s="4">
        <v>52</v>
      </c>
      <c r="B58" s="5" t="s">
        <v>235</v>
      </c>
      <c r="C58" s="5" t="s">
        <v>236</v>
      </c>
      <c r="D58" s="5" t="s">
        <v>1005</v>
      </c>
      <c r="E58" s="6">
        <v>44268</v>
      </c>
      <c r="F58" s="7">
        <v>193.517562</v>
      </c>
      <c r="G58" s="8">
        <v>9.5642209999999995E-3</v>
      </c>
      <c r="H58" s="100"/>
    </row>
    <row r="59" spans="1:8" x14ac:dyDescent="0.2">
      <c r="A59" s="4">
        <v>53</v>
      </c>
      <c r="B59" s="5" t="s">
        <v>239</v>
      </c>
      <c r="C59" s="5" t="s">
        <v>240</v>
      </c>
      <c r="D59" s="5" t="s">
        <v>58</v>
      </c>
      <c r="E59" s="6">
        <v>41610</v>
      </c>
      <c r="F59" s="7">
        <v>190.22011499999999</v>
      </c>
      <c r="G59" s="8">
        <v>9.4012509999999994E-3</v>
      </c>
      <c r="H59" s="100"/>
    </row>
    <row r="60" spans="1:8" x14ac:dyDescent="0.2">
      <c r="A60" s="4">
        <v>54</v>
      </c>
      <c r="B60" s="5" t="s">
        <v>241</v>
      </c>
      <c r="C60" s="5" t="s">
        <v>242</v>
      </c>
      <c r="D60" s="5" t="s">
        <v>163</v>
      </c>
      <c r="E60" s="6">
        <v>31011</v>
      </c>
      <c r="F60" s="7">
        <v>184.701516</v>
      </c>
      <c r="G60" s="8">
        <v>9.1285059999999998E-3</v>
      </c>
      <c r="H60" s="100"/>
    </row>
    <row r="61" spans="1:8" x14ac:dyDescent="0.2">
      <c r="A61" s="4">
        <v>55</v>
      </c>
      <c r="B61" s="5" t="s">
        <v>245</v>
      </c>
      <c r="C61" s="5" t="s">
        <v>246</v>
      </c>
      <c r="D61" s="5" t="s">
        <v>22</v>
      </c>
      <c r="E61" s="6">
        <v>201808</v>
      </c>
      <c r="F61" s="7">
        <v>182.938952</v>
      </c>
      <c r="G61" s="8">
        <v>9.0413939999999995E-3</v>
      </c>
      <c r="H61" s="100"/>
    </row>
    <row r="62" spans="1:8" x14ac:dyDescent="0.2">
      <c r="A62" s="4">
        <v>56</v>
      </c>
      <c r="B62" s="5" t="s">
        <v>451</v>
      </c>
      <c r="C62" s="5" t="s">
        <v>452</v>
      </c>
      <c r="D62" s="5" t="s">
        <v>63</v>
      </c>
      <c r="E62" s="6">
        <v>68578</v>
      </c>
      <c r="F62" s="7">
        <v>181.38881000000001</v>
      </c>
      <c r="G62" s="8">
        <v>8.9647819999999993E-3</v>
      </c>
      <c r="H62" s="100"/>
    </row>
    <row r="63" spans="1:8" ht="25.5" x14ac:dyDescent="0.2">
      <c r="A63" s="4">
        <v>57</v>
      </c>
      <c r="B63" s="5" t="s">
        <v>243</v>
      </c>
      <c r="C63" s="5" t="s">
        <v>244</v>
      </c>
      <c r="D63" s="5" t="s">
        <v>1007</v>
      </c>
      <c r="E63" s="6">
        <v>233182</v>
      </c>
      <c r="F63" s="7">
        <v>173.95377199999999</v>
      </c>
      <c r="G63" s="8">
        <v>8.5973200000000003E-3</v>
      </c>
      <c r="H63" s="100"/>
    </row>
    <row r="64" spans="1:8" x14ac:dyDescent="0.2">
      <c r="A64" s="4">
        <v>58</v>
      </c>
      <c r="B64" s="5" t="s">
        <v>249</v>
      </c>
      <c r="C64" s="5" t="s">
        <v>952</v>
      </c>
      <c r="D64" s="5" t="s">
        <v>251</v>
      </c>
      <c r="E64" s="6">
        <v>74288</v>
      </c>
      <c r="F64" s="7">
        <v>157.37912800000001</v>
      </c>
      <c r="G64" s="8">
        <v>7.7781509999999996E-3</v>
      </c>
      <c r="H64" s="100"/>
    </row>
    <row r="65" spans="1:8" x14ac:dyDescent="0.2">
      <c r="A65" s="4">
        <v>59</v>
      </c>
      <c r="B65" s="5" t="s">
        <v>247</v>
      </c>
      <c r="C65" s="5" t="s">
        <v>248</v>
      </c>
      <c r="D65" s="5" t="s">
        <v>1005</v>
      </c>
      <c r="E65" s="6">
        <v>83087</v>
      </c>
      <c r="F65" s="7">
        <v>155.705038</v>
      </c>
      <c r="G65" s="8">
        <v>7.6954120000000004E-3</v>
      </c>
      <c r="H65" s="100"/>
    </row>
    <row r="66" spans="1:8" x14ac:dyDescent="0.2">
      <c r="A66" s="4">
        <v>60</v>
      </c>
      <c r="B66" s="5" t="s">
        <v>453</v>
      </c>
      <c r="C66" s="5" t="s">
        <v>454</v>
      </c>
      <c r="D66" s="5" t="s">
        <v>156</v>
      </c>
      <c r="E66" s="6">
        <v>25528</v>
      </c>
      <c r="F66" s="7">
        <v>151.99371199999999</v>
      </c>
      <c r="G66" s="8">
        <v>7.5119870000000004E-3</v>
      </c>
      <c r="H66" s="100"/>
    </row>
    <row r="67" spans="1:8" x14ac:dyDescent="0.2">
      <c r="A67" s="4">
        <v>61</v>
      </c>
      <c r="B67" s="5" t="s">
        <v>254</v>
      </c>
      <c r="C67" s="5" t="s">
        <v>255</v>
      </c>
      <c r="D67" s="5" t="s">
        <v>58</v>
      </c>
      <c r="E67" s="6">
        <v>102433</v>
      </c>
      <c r="F67" s="7">
        <v>142.22822049999999</v>
      </c>
      <c r="G67" s="8">
        <v>7.029347E-3</v>
      </c>
      <c r="H67" s="100"/>
    </row>
    <row r="68" spans="1:8" x14ac:dyDescent="0.2">
      <c r="A68" s="4">
        <v>62</v>
      </c>
      <c r="B68" s="5" t="s">
        <v>262</v>
      </c>
      <c r="C68" s="5" t="s">
        <v>263</v>
      </c>
      <c r="D68" s="5" t="s">
        <v>146</v>
      </c>
      <c r="E68" s="6">
        <v>9154</v>
      </c>
      <c r="F68" s="7">
        <v>141.644419</v>
      </c>
      <c r="G68" s="8">
        <v>7.0004940000000003E-3</v>
      </c>
      <c r="H68" s="100"/>
    </row>
    <row r="69" spans="1:8" x14ac:dyDescent="0.2">
      <c r="A69" s="4">
        <v>63</v>
      </c>
      <c r="B69" s="5" t="s">
        <v>258</v>
      </c>
      <c r="C69" s="5" t="s">
        <v>259</v>
      </c>
      <c r="D69" s="5" t="s">
        <v>1006</v>
      </c>
      <c r="E69" s="6">
        <v>9296</v>
      </c>
      <c r="F69" s="7">
        <v>137.23220000000001</v>
      </c>
      <c r="G69" s="8">
        <v>6.7824290000000004E-3</v>
      </c>
      <c r="H69" s="100"/>
    </row>
    <row r="70" spans="1:8" x14ac:dyDescent="0.2">
      <c r="A70" s="4">
        <v>64</v>
      </c>
      <c r="B70" s="5" t="s">
        <v>224</v>
      </c>
      <c r="C70" s="5" t="s">
        <v>225</v>
      </c>
      <c r="D70" s="5" t="s">
        <v>58</v>
      </c>
      <c r="E70" s="6">
        <v>21214</v>
      </c>
      <c r="F70" s="7">
        <v>131.452551</v>
      </c>
      <c r="G70" s="8">
        <v>6.4967810000000001E-3</v>
      </c>
      <c r="H70" s="100"/>
    </row>
    <row r="71" spans="1:8" x14ac:dyDescent="0.2">
      <c r="A71" s="4">
        <v>65</v>
      </c>
      <c r="B71" s="5" t="s">
        <v>455</v>
      </c>
      <c r="C71" s="5" t="s">
        <v>456</v>
      </c>
      <c r="D71" s="5" t="s">
        <v>1006</v>
      </c>
      <c r="E71" s="6">
        <v>249507</v>
      </c>
      <c r="F71" s="7">
        <v>130.36740750000001</v>
      </c>
      <c r="G71" s="8">
        <v>6.4431499999999999E-3</v>
      </c>
      <c r="H71" s="100"/>
    </row>
    <row r="72" spans="1:8" x14ac:dyDescent="0.2">
      <c r="A72" s="4">
        <v>66</v>
      </c>
      <c r="B72" s="5" t="s">
        <v>264</v>
      </c>
      <c r="C72" s="5" t="s">
        <v>265</v>
      </c>
      <c r="D72" s="5" t="s">
        <v>193</v>
      </c>
      <c r="E72" s="6">
        <v>13166</v>
      </c>
      <c r="F72" s="7">
        <v>129.77726200000001</v>
      </c>
      <c r="G72" s="8">
        <v>6.4139829999999998E-3</v>
      </c>
      <c r="H72" s="100"/>
    </row>
    <row r="73" spans="1:8" x14ac:dyDescent="0.2">
      <c r="A73" s="4">
        <v>67</v>
      </c>
      <c r="B73" s="5" t="s">
        <v>206</v>
      </c>
      <c r="C73" s="5" t="s">
        <v>207</v>
      </c>
      <c r="D73" s="5" t="s">
        <v>163</v>
      </c>
      <c r="E73" s="6">
        <v>32954</v>
      </c>
      <c r="F73" s="7">
        <v>125.933711</v>
      </c>
      <c r="G73" s="8">
        <v>6.2240239999999999E-3</v>
      </c>
      <c r="H73" s="100"/>
    </row>
    <row r="74" spans="1:8" x14ac:dyDescent="0.2">
      <c r="A74" s="4">
        <v>68</v>
      </c>
      <c r="B74" s="5" t="s">
        <v>284</v>
      </c>
      <c r="C74" s="5" t="s">
        <v>285</v>
      </c>
      <c r="D74" s="5" t="s">
        <v>1005</v>
      </c>
      <c r="E74" s="6">
        <v>379760</v>
      </c>
      <c r="F74" s="7">
        <v>95.319760000000002</v>
      </c>
      <c r="G74" s="8">
        <v>4.71099E-3</v>
      </c>
      <c r="H74" s="100"/>
    </row>
    <row r="75" spans="1:8" x14ac:dyDescent="0.2">
      <c r="A75" s="4">
        <v>69</v>
      </c>
      <c r="B75" s="5" t="s">
        <v>268</v>
      </c>
      <c r="C75" s="5" t="s">
        <v>269</v>
      </c>
      <c r="D75" s="5" t="s">
        <v>1005</v>
      </c>
      <c r="E75" s="6">
        <v>204161</v>
      </c>
      <c r="F75" s="7">
        <v>72.272993999999997</v>
      </c>
      <c r="G75" s="8">
        <v>3.571949E-3</v>
      </c>
      <c r="H75" s="100"/>
    </row>
    <row r="76" spans="1:8" ht="25.5" x14ac:dyDescent="0.2">
      <c r="A76" s="4">
        <v>70</v>
      </c>
      <c r="B76" s="5" t="s">
        <v>457</v>
      </c>
      <c r="C76" s="5" t="s">
        <v>458</v>
      </c>
      <c r="D76" s="5" t="s">
        <v>25</v>
      </c>
      <c r="E76" s="6">
        <v>50817</v>
      </c>
      <c r="F76" s="7">
        <v>60.954991499999998</v>
      </c>
      <c r="G76" s="8">
        <v>3.012579E-3</v>
      </c>
      <c r="H76" s="100"/>
    </row>
    <row r="77" spans="1:8" x14ac:dyDescent="0.2">
      <c r="A77" s="4">
        <v>71</v>
      </c>
      <c r="B77" s="5" t="s">
        <v>270</v>
      </c>
      <c r="C77" s="5" t="s">
        <v>271</v>
      </c>
      <c r="D77" s="5" t="s">
        <v>272</v>
      </c>
      <c r="E77" s="6">
        <v>45408</v>
      </c>
      <c r="F77" s="7">
        <v>59.189328000000003</v>
      </c>
      <c r="G77" s="8">
        <v>2.9253149999999999E-3</v>
      </c>
      <c r="H77" s="100"/>
    </row>
    <row r="78" spans="1:8" x14ac:dyDescent="0.2">
      <c r="A78" s="15" t="s">
        <v>9</v>
      </c>
      <c r="B78" s="15" t="s">
        <v>9</v>
      </c>
      <c r="C78" s="3" t="s">
        <v>94</v>
      </c>
      <c r="D78" s="15" t="s">
        <v>9</v>
      </c>
      <c r="E78" s="15" t="s">
        <v>9</v>
      </c>
      <c r="F78" s="9">
        <v>19445.843240499999</v>
      </c>
      <c r="G78" s="10">
        <v>0.96107218999999999</v>
      </c>
      <c r="H78" s="100"/>
    </row>
    <row r="79" spans="1:8" x14ac:dyDescent="0.2">
      <c r="A79" s="15" t="s">
        <v>9</v>
      </c>
      <c r="B79" s="15" t="s">
        <v>9</v>
      </c>
      <c r="C79" s="11" t="s">
        <v>9</v>
      </c>
      <c r="D79" s="15" t="s">
        <v>9</v>
      </c>
      <c r="E79" s="15" t="s">
        <v>9</v>
      </c>
      <c r="F79" s="12" t="s">
        <v>9</v>
      </c>
      <c r="G79" s="12" t="s">
        <v>9</v>
      </c>
      <c r="H79" s="100"/>
    </row>
    <row r="80" spans="1:8" x14ac:dyDescent="0.2">
      <c r="A80" s="15" t="s">
        <v>9</v>
      </c>
      <c r="B80" s="15" t="s">
        <v>9</v>
      </c>
      <c r="C80" s="3" t="s">
        <v>95</v>
      </c>
      <c r="D80" s="15" t="s">
        <v>9</v>
      </c>
      <c r="E80" s="15" t="s">
        <v>9</v>
      </c>
      <c r="F80" s="15" t="s">
        <v>9</v>
      </c>
      <c r="G80" s="15" t="s">
        <v>9</v>
      </c>
      <c r="H80" s="100"/>
    </row>
    <row r="81" spans="1:8" x14ac:dyDescent="0.2">
      <c r="A81" s="15" t="s">
        <v>9</v>
      </c>
      <c r="B81" s="15" t="s">
        <v>9</v>
      </c>
      <c r="C81" s="3" t="s">
        <v>94</v>
      </c>
      <c r="D81" s="15" t="s">
        <v>9</v>
      </c>
      <c r="E81" s="15" t="s">
        <v>9</v>
      </c>
      <c r="F81" s="13">
        <v>0</v>
      </c>
      <c r="G81" s="14">
        <v>0</v>
      </c>
      <c r="H81" s="100"/>
    </row>
    <row r="82" spans="1:8" x14ac:dyDescent="0.2">
      <c r="A82" s="15" t="s">
        <v>9</v>
      </c>
      <c r="B82" s="15" t="s">
        <v>9</v>
      </c>
      <c r="C82" s="11" t="s">
        <v>9</v>
      </c>
      <c r="D82" s="15" t="s">
        <v>9</v>
      </c>
      <c r="E82" s="15" t="s">
        <v>9</v>
      </c>
      <c r="F82" s="12" t="s">
        <v>9</v>
      </c>
      <c r="G82" s="12" t="s">
        <v>9</v>
      </c>
      <c r="H82" s="100"/>
    </row>
    <row r="83" spans="1:8" x14ac:dyDescent="0.2">
      <c r="A83" s="15" t="s">
        <v>9</v>
      </c>
      <c r="B83" s="15" t="s">
        <v>9</v>
      </c>
      <c r="C83" s="3" t="s">
        <v>96</v>
      </c>
      <c r="D83" s="15" t="s">
        <v>9</v>
      </c>
      <c r="E83" s="15" t="s">
        <v>9</v>
      </c>
      <c r="F83" s="15" t="s">
        <v>9</v>
      </c>
      <c r="G83" s="15" t="s">
        <v>9</v>
      </c>
      <c r="H83" s="100"/>
    </row>
    <row r="84" spans="1:8" x14ac:dyDescent="0.2">
      <c r="A84" s="15" t="s">
        <v>9</v>
      </c>
      <c r="B84" s="15" t="s">
        <v>9</v>
      </c>
      <c r="C84" s="3" t="s">
        <v>94</v>
      </c>
      <c r="D84" s="15" t="s">
        <v>9</v>
      </c>
      <c r="E84" s="15" t="s">
        <v>9</v>
      </c>
      <c r="F84" s="13">
        <v>0</v>
      </c>
      <c r="G84" s="14">
        <v>0</v>
      </c>
      <c r="H84" s="100"/>
    </row>
    <row r="85" spans="1:8" x14ac:dyDescent="0.2">
      <c r="A85" s="15" t="s">
        <v>9</v>
      </c>
      <c r="B85" s="15" t="s">
        <v>9</v>
      </c>
      <c r="C85" s="11" t="s">
        <v>9</v>
      </c>
      <c r="D85" s="15" t="s">
        <v>9</v>
      </c>
      <c r="E85" s="15" t="s">
        <v>9</v>
      </c>
      <c r="F85" s="12" t="s">
        <v>9</v>
      </c>
      <c r="G85" s="12" t="s">
        <v>9</v>
      </c>
      <c r="H85" s="100"/>
    </row>
    <row r="86" spans="1:8" x14ac:dyDescent="0.2">
      <c r="A86" s="15" t="s">
        <v>9</v>
      </c>
      <c r="B86" s="15" t="s">
        <v>9</v>
      </c>
      <c r="C86" s="3" t="s">
        <v>100</v>
      </c>
      <c r="D86" s="15" t="s">
        <v>9</v>
      </c>
      <c r="E86" s="15" t="s">
        <v>9</v>
      </c>
      <c r="F86" s="15" t="s">
        <v>9</v>
      </c>
      <c r="G86" s="15" t="s">
        <v>9</v>
      </c>
      <c r="H86" s="100"/>
    </row>
    <row r="87" spans="1:8" x14ac:dyDescent="0.2">
      <c r="A87" s="15" t="s">
        <v>9</v>
      </c>
      <c r="B87" s="15" t="s">
        <v>9</v>
      </c>
      <c r="C87" s="3" t="s">
        <v>94</v>
      </c>
      <c r="D87" s="15" t="s">
        <v>9</v>
      </c>
      <c r="E87" s="15" t="s">
        <v>9</v>
      </c>
      <c r="F87" s="13">
        <v>0</v>
      </c>
      <c r="G87" s="14">
        <v>0</v>
      </c>
      <c r="H87" s="100"/>
    </row>
    <row r="88" spans="1:8" x14ac:dyDescent="0.2">
      <c r="A88" s="15" t="s">
        <v>9</v>
      </c>
      <c r="B88" s="15" t="s">
        <v>9</v>
      </c>
      <c r="C88" s="11" t="s">
        <v>9</v>
      </c>
      <c r="D88" s="15" t="s">
        <v>9</v>
      </c>
      <c r="E88" s="15" t="s">
        <v>9</v>
      </c>
      <c r="F88" s="12" t="s">
        <v>9</v>
      </c>
      <c r="G88" s="12" t="s">
        <v>9</v>
      </c>
      <c r="H88" s="100"/>
    </row>
    <row r="89" spans="1:8" x14ac:dyDescent="0.2">
      <c r="A89" s="15" t="s">
        <v>9</v>
      </c>
      <c r="B89" s="15" t="s">
        <v>9</v>
      </c>
      <c r="C89" s="3" t="s">
        <v>101</v>
      </c>
      <c r="D89" s="15" t="s">
        <v>9</v>
      </c>
      <c r="E89" s="15" t="s">
        <v>9</v>
      </c>
      <c r="F89" s="12" t="s">
        <v>9</v>
      </c>
      <c r="G89" s="12" t="s">
        <v>9</v>
      </c>
      <c r="H89" s="100"/>
    </row>
    <row r="90" spans="1:8" x14ac:dyDescent="0.2">
      <c r="A90" s="15" t="s">
        <v>9</v>
      </c>
      <c r="B90" s="15" t="s">
        <v>9</v>
      </c>
      <c r="C90" s="3" t="s">
        <v>94</v>
      </c>
      <c r="D90" s="15" t="s">
        <v>9</v>
      </c>
      <c r="E90" s="15" t="s">
        <v>9</v>
      </c>
      <c r="F90" s="13">
        <v>0</v>
      </c>
      <c r="G90" s="14">
        <v>0</v>
      </c>
      <c r="H90" s="100"/>
    </row>
    <row r="91" spans="1:8" x14ac:dyDescent="0.2">
      <c r="A91" s="15" t="s">
        <v>9</v>
      </c>
      <c r="B91" s="15" t="s">
        <v>9</v>
      </c>
      <c r="C91" s="11" t="s">
        <v>9</v>
      </c>
      <c r="D91" s="15" t="s">
        <v>9</v>
      </c>
      <c r="E91" s="15" t="s">
        <v>9</v>
      </c>
      <c r="F91" s="12" t="s">
        <v>9</v>
      </c>
      <c r="G91" s="12" t="s">
        <v>9</v>
      </c>
      <c r="H91" s="100"/>
    </row>
    <row r="92" spans="1:8" x14ac:dyDescent="0.2">
      <c r="A92" s="15" t="s">
        <v>9</v>
      </c>
      <c r="B92" s="15" t="s">
        <v>9</v>
      </c>
      <c r="C92" s="3" t="s">
        <v>102</v>
      </c>
      <c r="D92" s="15" t="s">
        <v>9</v>
      </c>
      <c r="E92" s="15" t="s">
        <v>9</v>
      </c>
      <c r="F92" s="12" t="s">
        <v>9</v>
      </c>
      <c r="G92" s="12" t="s">
        <v>9</v>
      </c>
      <c r="H92" s="100"/>
    </row>
    <row r="93" spans="1:8" x14ac:dyDescent="0.2">
      <c r="A93" s="15" t="s">
        <v>9</v>
      </c>
      <c r="B93" s="15" t="s">
        <v>9</v>
      </c>
      <c r="C93" s="3" t="s">
        <v>94</v>
      </c>
      <c r="D93" s="15" t="s">
        <v>9</v>
      </c>
      <c r="E93" s="15" t="s">
        <v>9</v>
      </c>
      <c r="F93" s="13">
        <v>0</v>
      </c>
      <c r="G93" s="14">
        <v>0</v>
      </c>
      <c r="H93" s="100"/>
    </row>
    <row r="94" spans="1:8" x14ac:dyDescent="0.2">
      <c r="A94" s="15" t="s">
        <v>9</v>
      </c>
      <c r="B94" s="15" t="s">
        <v>9</v>
      </c>
      <c r="C94" s="11" t="s">
        <v>9</v>
      </c>
      <c r="D94" s="15" t="s">
        <v>9</v>
      </c>
      <c r="E94" s="15" t="s">
        <v>9</v>
      </c>
      <c r="F94" s="12" t="s">
        <v>9</v>
      </c>
      <c r="G94" s="12" t="s">
        <v>9</v>
      </c>
      <c r="H94" s="100"/>
    </row>
    <row r="95" spans="1:8" x14ac:dyDescent="0.2">
      <c r="A95" s="15" t="s">
        <v>9</v>
      </c>
      <c r="B95" s="15" t="s">
        <v>9</v>
      </c>
      <c r="C95" s="3" t="s">
        <v>104</v>
      </c>
      <c r="D95" s="15" t="s">
        <v>9</v>
      </c>
      <c r="E95" s="15" t="s">
        <v>9</v>
      </c>
      <c r="F95" s="9">
        <v>19445.843240499999</v>
      </c>
      <c r="G95" s="10">
        <v>0.96107218999999999</v>
      </c>
      <c r="H95" s="100"/>
    </row>
    <row r="96" spans="1:8" x14ac:dyDescent="0.2">
      <c r="A96" s="15" t="s">
        <v>9</v>
      </c>
      <c r="B96" s="15" t="s">
        <v>9</v>
      </c>
      <c r="C96" s="11" t="s">
        <v>9</v>
      </c>
      <c r="D96" s="15" t="s">
        <v>9</v>
      </c>
      <c r="E96" s="15" t="s">
        <v>9</v>
      </c>
      <c r="F96" s="12" t="s">
        <v>9</v>
      </c>
      <c r="G96" s="12" t="s">
        <v>9</v>
      </c>
      <c r="H96" s="100"/>
    </row>
    <row r="97" spans="1:8" x14ac:dyDescent="0.2">
      <c r="A97" s="15" t="s">
        <v>9</v>
      </c>
      <c r="B97" s="15" t="s">
        <v>9</v>
      </c>
      <c r="C97" s="3" t="s">
        <v>105</v>
      </c>
      <c r="D97" s="15" t="s">
        <v>9</v>
      </c>
      <c r="E97" s="15" t="s">
        <v>9</v>
      </c>
      <c r="F97" s="12" t="s">
        <v>9</v>
      </c>
      <c r="G97" s="12" t="s">
        <v>9</v>
      </c>
      <c r="H97" s="100"/>
    </row>
    <row r="98" spans="1:8" ht="25.5" x14ac:dyDescent="0.2">
      <c r="A98" s="15" t="s">
        <v>9</v>
      </c>
      <c r="B98" s="15" t="s">
        <v>9</v>
      </c>
      <c r="C98" s="3" t="s">
        <v>11</v>
      </c>
      <c r="D98" s="15" t="s">
        <v>9</v>
      </c>
      <c r="E98" s="15" t="s">
        <v>9</v>
      </c>
      <c r="F98" s="12" t="s">
        <v>9</v>
      </c>
      <c r="G98" s="12" t="s">
        <v>9</v>
      </c>
      <c r="H98" s="100"/>
    </row>
    <row r="99" spans="1:8" x14ac:dyDescent="0.2">
      <c r="A99" s="15" t="s">
        <v>9</v>
      </c>
      <c r="B99" s="15" t="s">
        <v>9</v>
      </c>
      <c r="C99" s="3" t="s">
        <v>94</v>
      </c>
      <c r="D99" s="15" t="s">
        <v>9</v>
      </c>
      <c r="E99" s="15" t="s">
        <v>9</v>
      </c>
      <c r="F99" s="13">
        <v>0</v>
      </c>
      <c r="G99" s="14">
        <v>0</v>
      </c>
      <c r="H99" s="100"/>
    </row>
    <row r="100" spans="1:8" x14ac:dyDescent="0.2">
      <c r="A100" s="15" t="s">
        <v>9</v>
      </c>
      <c r="B100" s="15" t="s">
        <v>9</v>
      </c>
      <c r="C100" s="11" t="s">
        <v>9</v>
      </c>
      <c r="D100" s="15" t="s">
        <v>9</v>
      </c>
      <c r="E100" s="15" t="s">
        <v>9</v>
      </c>
      <c r="F100" s="12" t="s">
        <v>9</v>
      </c>
      <c r="G100" s="12" t="s">
        <v>9</v>
      </c>
      <c r="H100" s="100"/>
    </row>
    <row r="101" spans="1:8" x14ac:dyDescent="0.2">
      <c r="A101" s="15" t="s">
        <v>9</v>
      </c>
      <c r="B101" s="15" t="s">
        <v>9</v>
      </c>
      <c r="C101" s="3" t="s">
        <v>106</v>
      </c>
      <c r="D101" s="15" t="s">
        <v>9</v>
      </c>
      <c r="E101" s="15" t="s">
        <v>9</v>
      </c>
      <c r="F101" s="15" t="s">
        <v>9</v>
      </c>
      <c r="G101" s="15" t="s">
        <v>9</v>
      </c>
      <c r="H101" s="100"/>
    </row>
    <row r="102" spans="1:8" x14ac:dyDescent="0.2">
      <c r="A102" s="15" t="s">
        <v>9</v>
      </c>
      <c r="B102" s="15" t="s">
        <v>9</v>
      </c>
      <c r="C102" s="3" t="s">
        <v>94</v>
      </c>
      <c r="D102" s="15" t="s">
        <v>9</v>
      </c>
      <c r="E102" s="15" t="s">
        <v>9</v>
      </c>
      <c r="F102" s="13">
        <v>0</v>
      </c>
      <c r="G102" s="14">
        <v>0</v>
      </c>
      <c r="H102" s="100"/>
    </row>
    <row r="103" spans="1:8" x14ac:dyDescent="0.2">
      <c r="A103" s="15" t="s">
        <v>9</v>
      </c>
      <c r="B103" s="15" t="s">
        <v>9</v>
      </c>
      <c r="C103" s="11" t="s">
        <v>9</v>
      </c>
      <c r="D103" s="15" t="s">
        <v>9</v>
      </c>
      <c r="E103" s="15" t="s">
        <v>9</v>
      </c>
      <c r="F103" s="12" t="s">
        <v>9</v>
      </c>
      <c r="G103" s="12" t="s">
        <v>9</v>
      </c>
      <c r="H103" s="100"/>
    </row>
    <row r="104" spans="1:8" x14ac:dyDescent="0.2">
      <c r="A104" s="15" t="s">
        <v>9</v>
      </c>
      <c r="B104" s="15" t="s">
        <v>9</v>
      </c>
      <c r="C104" s="3" t="s">
        <v>107</v>
      </c>
      <c r="D104" s="15" t="s">
        <v>9</v>
      </c>
      <c r="E104" s="15" t="s">
        <v>9</v>
      </c>
      <c r="F104" s="15" t="s">
        <v>9</v>
      </c>
      <c r="G104" s="15" t="s">
        <v>9</v>
      </c>
      <c r="H104" s="100"/>
    </row>
    <row r="105" spans="1:8" x14ac:dyDescent="0.2">
      <c r="A105" s="15" t="s">
        <v>9</v>
      </c>
      <c r="B105" s="15" t="s">
        <v>9</v>
      </c>
      <c r="C105" s="3" t="s">
        <v>94</v>
      </c>
      <c r="D105" s="15" t="s">
        <v>9</v>
      </c>
      <c r="E105" s="15" t="s">
        <v>9</v>
      </c>
      <c r="F105" s="13">
        <v>0</v>
      </c>
      <c r="G105" s="14">
        <v>0</v>
      </c>
      <c r="H105" s="100"/>
    </row>
    <row r="106" spans="1:8" x14ac:dyDescent="0.2">
      <c r="A106" s="15" t="s">
        <v>9</v>
      </c>
      <c r="B106" s="15" t="s">
        <v>9</v>
      </c>
      <c r="C106" s="11" t="s">
        <v>9</v>
      </c>
      <c r="D106" s="15" t="s">
        <v>9</v>
      </c>
      <c r="E106" s="15" t="s">
        <v>9</v>
      </c>
      <c r="F106" s="12" t="s">
        <v>9</v>
      </c>
      <c r="G106" s="12" t="s">
        <v>9</v>
      </c>
      <c r="H106" s="100"/>
    </row>
    <row r="107" spans="1:8" x14ac:dyDescent="0.2">
      <c r="A107" s="15" t="s">
        <v>9</v>
      </c>
      <c r="B107" s="15" t="s">
        <v>9</v>
      </c>
      <c r="C107" s="3" t="s">
        <v>108</v>
      </c>
      <c r="D107" s="15" t="s">
        <v>9</v>
      </c>
      <c r="E107" s="15" t="s">
        <v>9</v>
      </c>
      <c r="F107" s="12" t="s">
        <v>9</v>
      </c>
      <c r="G107" s="12" t="s">
        <v>9</v>
      </c>
      <c r="H107" s="100"/>
    </row>
    <row r="108" spans="1:8" x14ac:dyDescent="0.2">
      <c r="A108" s="15" t="s">
        <v>9</v>
      </c>
      <c r="B108" s="15" t="s">
        <v>9</v>
      </c>
      <c r="C108" s="3" t="s">
        <v>94</v>
      </c>
      <c r="D108" s="15" t="s">
        <v>9</v>
      </c>
      <c r="E108" s="15" t="s">
        <v>9</v>
      </c>
      <c r="F108" s="13">
        <v>0</v>
      </c>
      <c r="G108" s="14">
        <v>0</v>
      </c>
      <c r="H108" s="100"/>
    </row>
    <row r="109" spans="1:8" x14ac:dyDescent="0.2">
      <c r="A109" s="15" t="s">
        <v>9</v>
      </c>
      <c r="B109" s="15" t="s">
        <v>9</v>
      </c>
      <c r="C109" s="11" t="s">
        <v>9</v>
      </c>
      <c r="D109" s="15" t="s">
        <v>9</v>
      </c>
      <c r="E109" s="15" t="s">
        <v>9</v>
      </c>
      <c r="F109" s="12" t="s">
        <v>9</v>
      </c>
      <c r="G109" s="12" t="s">
        <v>9</v>
      </c>
      <c r="H109" s="100"/>
    </row>
    <row r="110" spans="1:8" x14ac:dyDescent="0.2">
      <c r="A110" s="15" t="s">
        <v>9</v>
      </c>
      <c r="B110" s="15" t="s">
        <v>9</v>
      </c>
      <c r="C110" s="3" t="s">
        <v>109</v>
      </c>
      <c r="D110" s="15" t="s">
        <v>9</v>
      </c>
      <c r="E110" s="15" t="s">
        <v>9</v>
      </c>
      <c r="F110" s="9">
        <v>0</v>
      </c>
      <c r="G110" s="10">
        <v>0</v>
      </c>
      <c r="H110" s="100"/>
    </row>
    <row r="111" spans="1:8" x14ac:dyDescent="0.2">
      <c r="A111" s="15" t="s">
        <v>9</v>
      </c>
      <c r="B111" s="15" t="s">
        <v>9</v>
      </c>
      <c r="C111" s="11" t="s">
        <v>9</v>
      </c>
      <c r="D111" s="15" t="s">
        <v>9</v>
      </c>
      <c r="E111" s="15" t="s">
        <v>9</v>
      </c>
      <c r="F111" s="12" t="s">
        <v>9</v>
      </c>
      <c r="G111" s="12" t="s">
        <v>9</v>
      </c>
      <c r="H111" s="100"/>
    </row>
    <row r="112" spans="1:8" x14ac:dyDescent="0.2">
      <c r="A112" s="15" t="s">
        <v>9</v>
      </c>
      <c r="B112" s="15" t="s">
        <v>9</v>
      </c>
      <c r="C112" s="3" t="s">
        <v>110</v>
      </c>
      <c r="D112" s="15" t="s">
        <v>9</v>
      </c>
      <c r="E112" s="15" t="s">
        <v>9</v>
      </c>
      <c r="F112" s="12" t="s">
        <v>9</v>
      </c>
      <c r="G112" s="12" t="s">
        <v>9</v>
      </c>
      <c r="H112" s="100"/>
    </row>
    <row r="113" spans="1:8" x14ac:dyDescent="0.2">
      <c r="A113" s="15" t="s">
        <v>9</v>
      </c>
      <c r="B113" s="15" t="s">
        <v>9</v>
      </c>
      <c r="C113" s="3" t="s">
        <v>111</v>
      </c>
      <c r="D113" s="15" t="s">
        <v>9</v>
      </c>
      <c r="E113" s="15" t="s">
        <v>9</v>
      </c>
      <c r="F113" s="12" t="s">
        <v>9</v>
      </c>
      <c r="G113" s="12" t="s">
        <v>9</v>
      </c>
      <c r="H113" s="100"/>
    </row>
    <row r="114" spans="1:8" x14ac:dyDescent="0.2">
      <c r="A114" s="15" t="s">
        <v>9</v>
      </c>
      <c r="B114" s="15" t="s">
        <v>9</v>
      </c>
      <c r="C114" s="3" t="s">
        <v>94</v>
      </c>
      <c r="D114" s="15" t="s">
        <v>9</v>
      </c>
      <c r="E114" s="15" t="s">
        <v>9</v>
      </c>
      <c r="F114" s="13">
        <v>0</v>
      </c>
      <c r="G114" s="14">
        <v>0</v>
      </c>
      <c r="H114" s="100"/>
    </row>
    <row r="115" spans="1:8" x14ac:dyDescent="0.2">
      <c r="A115" s="15" t="s">
        <v>9</v>
      </c>
      <c r="B115" s="15" t="s">
        <v>9</v>
      </c>
      <c r="C115" s="11" t="s">
        <v>9</v>
      </c>
      <c r="D115" s="15" t="s">
        <v>9</v>
      </c>
      <c r="E115" s="15" t="s">
        <v>9</v>
      </c>
      <c r="F115" s="12" t="s">
        <v>9</v>
      </c>
      <c r="G115" s="12" t="s">
        <v>9</v>
      </c>
      <c r="H115" s="100"/>
    </row>
    <row r="116" spans="1:8" x14ac:dyDescent="0.2">
      <c r="A116" s="15" t="s">
        <v>9</v>
      </c>
      <c r="B116" s="15" t="s">
        <v>9</v>
      </c>
      <c r="C116" s="3" t="s">
        <v>112</v>
      </c>
      <c r="D116" s="15" t="s">
        <v>9</v>
      </c>
      <c r="E116" s="15" t="s">
        <v>9</v>
      </c>
      <c r="F116" s="12" t="s">
        <v>9</v>
      </c>
      <c r="G116" s="12" t="s">
        <v>9</v>
      </c>
      <c r="H116" s="100"/>
    </row>
    <row r="117" spans="1:8" x14ac:dyDescent="0.2">
      <c r="A117" s="15" t="s">
        <v>9</v>
      </c>
      <c r="B117" s="15" t="s">
        <v>9</v>
      </c>
      <c r="C117" s="3" t="s">
        <v>94</v>
      </c>
      <c r="D117" s="15" t="s">
        <v>9</v>
      </c>
      <c r="E117" s="15" t="s">
        <v>9</v>
      </c>
      <c r="F117" s="13">
        <v>0</v>
      </c>
      <c r="G117" s="14">
        <v>0</v>
      </c>
      <c r="H117" s="100"/>
    </row>
    <row r="118" spans="1:8" x14ac:dyDescent="0.2">
      <c r="A118" s="15" t="s">
        <v>9</v>
      </c>
      <c r="B118" s="15" t="s">
        <v>9</v>
      </c>
      <c r="C118" s="11" t="s">
        <v>9</v>
      </c>
      <c r="D118" s="15" t="s">
        <v>9</v>
      </c>
      <c r="E118" s="15" t="s">
        <v>9</v>
      </c>
      <c r="F118" s="12" t="s">
        <v>9</v>
      </c>
      <c r="G118" s="12" t="s">
        <v>9</v>
      </c>
      <c r="H118" s="100"/>
    </row>
    <row r="119" spans="1:8" x14ac:dyDescent="0.2">
      <c r="A119" s="15" t="s">
        <v>9</v>
      </c>
      <c r="B119" s="15" t="s">
        <v>9</v>
      </c>
      <c r="C119" s="3" t="s">
        <v>113</v>
      </c>
      <c r="D119" s="15" t="s">
        <v>9</v>
      </c>
      <c r="E119" s="15" t="s">
        <v>9</v>
      </c>
      <c r="F119" s="12" t="s">
        <v>9</v>
      </c>
      <c r="G119" s="12" t="s">
        <v>9</v>
      </c>
      <c r="H119" s="100"/>
    </row>
    <row r="120" spans="1:8" x14ac:dyDescent="0.2">
      <c r="A120" s="15" t="s">
        <v>9</v>
      </c>
      <c r="B120" s="15" t="s">
        <v>9</v>
      </c>
      <c r="C120" s="3" t="s">
        <v>94</v>
      </c>
      <c r="D120" s="15" t="s">
        <v>9</v>
      </c>
      <c r="E120" s="15" t="s">
        <v>9</v>
      </c>
      <c r="F120" s="13">
        <v>0</v>
      </c>
      <c r="G120" s="14">
        <v>0</v>
      </c>
      <c r="H120" s="100"/>
    </row>
    <row r="121" spans="1:8" x14ac:dyDescent="0.2">
      <c r="A121" s="15" t="s">
        <v>9</v>
      </c>
      <c r="B121" s="15" t="s">
        <v>9</v>
      </c>
      <c r="C121" s="11" t="s">
        <v>9</v>
      </c>
      <c r="D121" s="15" t="s">
        <v>9</v>
      </c>
      <c r="E121" s="15" t="s">
        <v>9</v>
      </c>
      <c r="F121" s="12" t="s">
        <v>9</v>
      </c>
      <c r="G121" s="12" t="s">
        <v>9</v>
      </c>
      <c r="H121" s="100"/>
    </row>
    <row r="122" spans="1:8" x14ac:dyDescent="0.2">
      <c r="A122" s="15" t="s">
        <v>9</v>
      </c>
      <c r="B122" s="15" t="s">
        <v>9</v>
      </c>
      <c r="C122" s="3" t="s">
        <v>114</v>
      </c>
      <c r="D122" s="15" t="s">
        <v>9</v>
      </c>
      <c r="E122" s="15" t="s">
        <v>9</v>
      </c>
      <c r="F122" s="12" t="s">
        <v>9</v>
      </c>
      <c r="G122" s="12" t="s">
        <v>9</v>
      </c>
      <c r="H122" s="100"/>
    </row>
    <row r="123" spans="1:8" x14ac:dyDescent="0.2">
      <c r="A123" s="4">
        <v>1</v>
      </c>
      <c r="B123" s="5"/>
      <c r="C123" s="5" t="s">
        <v>115</v>
      </c>
      <c r="D123" s="5"/>
      <c r="E123" s="15" t="s">
        <v>9</v>
      </c>
      <c r="F123" s="7">
        <v>597.78503590000003</v>
      </c>
      <c r="G123" s="8">
        <v>2.9544338E-2</v>
      </c>
      <c r="H123" s="99">
        <v>3.2516689338443991</v>
      </c>
    </row>
    <row r="124" spans="1:8" x14ac:dyDescent="0.2">
      <c r="A124" s="4">
        <v>2</v>
      </c>
      <c r="B124" s="5"/>
      <c r="C124" s="5" t="s">
        <v>116</v>
      </c>
      <c r="D124" s="5"/>
      <c r="E124" s="15" t="s">
        <v>9</v>
      </c>
      <c r="F124" s="7">
        <v>81.902015300000002</v>
      </c>
      <c r="G124" s="8">
        <v>4.0478440000000001E-3</v>
      </c>
      <c r="H124" s="100">
        <v>3.350000000000001</v>
      </c>
    </row>
    <row r="125" spans="1:8" x14ac:dyDescent="0.2">
      <c r="A125" s="15" t="s">
        <v>9</v>
      </c>
      <c r="B125" s="15" t="s">
        <v>9</v>
      </c>
      <c r="C125" s="3" t="s">
        <v>94</v>
      </c>
      <c r="D125" s="15" t="s">
        <v>9</v>
      </c>
      <c r="E125" s="15" t="s">
        <v>9</v>
      </c>
      <c r="F125" s="9">
        <v>679.68705120000004</v>
      </c>
      <c r="G125" s="10">
        <v>3.3592181999999998E-2</v>
      </c>
      <c r="H125" s="100"/>
    </row>
    <row r="126" spans="1:8" x14ac:dyDescent="0.2">
      <c r="A126" s="15" t="s">
        <v>9</v>
      </c>
      <c r="B126" s="15" t="s">
        <v>9</v>
      </c>
      <c r="C126" s="11" t="s">
        <v>9</v>
      </c>
      <c r="D126" s="15" t="s">
        <v>9</v>
      </c>
      <c r="E126" s="15" t="s">
        <v>9</v>
      </c>
      <c r="F126" s="12" t="s">
        <v>9</v>
      </c>
      <c r="G126" s="12" t="s">
        <v>9</v>
      </c>
      <c r="H126" s="100"/>
    </row>
    <row r="127" spans="1:8" x14ac:dyDescent="0.2">
      <c r="A127" s="15" t="s">
        <v>9</v>
      </c>
      <c r="B127" s="15" t="s">
        <v>9</v>
      </c>
      <c r="C127" s="3" t="s">
        <v>117</v>
      </c>
      <c r="D127" s="15" t="s">
        <v>9</v>
      </c>
      <c r="E127" s="15" t="s">
        <v>9</v>
      </c>
      <c r="F127" s="9">
        <v>679.68705120000004</v>
      </c>
      <c r="G127" s="10">
        <v>3.3592181999999998E-2</v>
      </c>
      <c r="H127" s="100"/>
    </row>
    <row r="128" spans="1:8" x14ac:dyDescent="0.2">
      <c r="A128" s="15" t="s">
        <v>9</v>
      </c>
      <c r="B128" s="15" t="s">
        <v>9</v>
      </c>
      <c r="C128" s="12" t="s">
        <v>9</v>
      </c>
      <c r="D128" s="15" t="s">
        <v>9</v>
      </c>
      <c r="E128" s="15" t="s">
        <v>9</v>
      </c>
      <c r="F128" s="15" t="s">
        <v>9</v>
      </c>
      <c r="G128" s="15" t="s">
        <v>9</v>
      </c>
      <c r="H128" s="100"/>
    </row>
    <row r="129" spans="1:8" x14ac:dyDescent="0.2">
      <c r="A129" s="15" t="s">
        <v>9</v>
      </c>
      <c r="B129" s="15" t="s">
        <v>9</v>
      </c>
      <c r="C129" s="3" t="s">
        <v>118</v>
      </c>
      <c r="D129" s="15" t="s">
        <v>9</v>
      </c>
      <c r="E129" s="15" t="s">
        <v>9</v>
      </c>
      <c r="F129" s="15" t="s">
        <v>9</v>
      </c>
      <c r="G129" s="15" t="s">
        <v>9</v>
      </c>
      <c r="H129" s="100"/>
    </row>
    <row r="130" spans="1:8" x14ac:dyDescent="0.2">
      <c r="A130" s="15" t="s">
        <v>9</v>
      </c>
      <c r="B130" s="15" t="s">
        <v>9</v>
      </c>
      <c r="C130" s="3" t="s">
        <v>119</v>
      </c>
      <c r="D130" s="15" t="s">
        <v>9</v>
      </c>
      <c r="E130" s="15" t="s">
        <v>9</v>
      </c>
      <c r="F130" s="15" t="s">
        <v>9</v>
      </c>
      <c r="G130" s="15" t="s">
        <v>9</v>
      </c>
      <c r="H130" s="100"/>
    </row>
    <row r="131" spans="1:8" x14ac:dyDescent="0.2">
      <c r="A131" s="15" t="s">
        <v>9</v>
      </c>
      <c r="B131" s="15" t="s">
        <v>9</v>
      </c>
      <c r="C131" s="3" t="s">
        <v>94</v>
      </c>
      <c r="D131" s="15" t="s">
        <v>9</v>
      </c>
      <c r="E131" s="15" t="s">
        <v>9</v>
      </c>
      <c r="F131" s="13">
        <v>0</v>
      </c>
      <c r="G131" s="14">
        <v>0</v>
      </c>
      <c r="H131" s="100"/>
    </row>
    <row r="132" spans="1:8" x14ac:dyDescent="0.2">
      <c r="A132" s="15" t="s">
        <v>9</v>
      </c>
      <c r="B132" s="15" t="s">
        <v>9</v>
      </c>
      <c r="C132" s="11" t="s">
        <v>9</v>
      </c>
      <c r="D132" s="15" t="s">
        <v>9</v>
      </c>
      <c r="E132" s="15" t="s">
        <v>9</v>
      </c>
      <c r="F132" s="12" t="s">
        <v>9</v>
      </c>
      <c r="G132" s="12" t="s">
        <v>9</v>
      </c>
      <c r="H132" s="100"/>
    </row>
    <row r="133" spans="1:8" x14ac:dyDescent="0.2">
      <c r="A133" s="15" t="s">
        <v>9</v>
      </c>
      <c r="B133" s="15" t="s">
        <v>9</v>
      </c>
      <c r="C133" s="3" t="s">
        <v>120</v>
      </c>
      <c r="D133" s="15" t="s">
        <v>9</v>
      </c>
      <c r="E133" s="15" t="s">
        <v>9</v>
      </c>
      <c r="F133" s="15" t="s">
        <v>9</v>
      </c>
      <c r="G133" s="15" t="s">
        <v>9</v>
      </c>
      <c r="H133" s="100"/>
    </row>
    <row r="134" spans="1:8" x14ac:dyDescent="0.2">
      <c r="A134" s="15" t="s">
        <v>9</v>
      </c>
      <c r="B134" s="15" t="s">
        <v>9</v>
      </c>
      <c r="C134" s="3" t="s">
        <v>121</v>
      </c>
      <c r="D134" s="15" t="s">
        <v>9</v>
      </c>
      <c r="E134" s="15" t="s">
        <v>9</v>
      </c>
      <c r="F134" s="15" t="s">
        <v>9</v>
      </c>
      <c r="G134" s="15" t="s">
        <v>9</v>
      </c>
      <c r="H134" s="100"/>
    </row>
    <row r="135" spans="1:8" x14ac:dyDescent="0.2">
      <c r="A135" s="15" t="s">
        <v>9</v>
      </c>
      <c r="B135" s="15" t="s">
        <v>9</v>
      </c>
      <c r="C135" s="3" t="s">
        <v>94</v>
      </c>
      <c r="D135" s="15" t="s">
        <v>9</v>
      </c>
      <c r="E135" s="15" t="s">
        <v>9</v>
      </c>
      <c r="F135" s="13">
        <v>0</v>
      </c>
      <c r="G135" s="14">
        <v>0</v>
      </c>
      <c r="H135" s="100"/>
    </row>
    <row r="136" spans="1:8" x14ac:dyDescent="0.2">
      <c r="A136" s="15" t="s">
        <v>9</v>
      </c>
      <c r="B136" s="15" t="s">
        <v>9</v>
      </c>
      <c r="C136" s="11" t="s">
        <v>9</v>
      </c>
      <c r="D136" s="15" t="s">
        <v>9</v>
      </c>
      <c r="E136" s="15" t="s">
        <v>9</v>
      </c>
      <c r="F136" s="12" t="s">
        <v>9</v>
      </c>
      <c r="G136" s="12" t="s">
        <v>9</v>
      </c>
      <c r="H136" s="100"/>
    </row>
    <row r="137" spans="1:8" x14ac:dyDescent="0.2">
      <c r="A137" s="15" t="s">
        <v>9</v>
      </c>
      <c r="B137" s="15" t="s">
        <v>9</v>
      </c>
      <c r="C137" s="11" t="s">
        <v>9</v>
      </c>
      <c r="D137" s="15" t="s">
        <v>9</v>
      </c>
      <c r="E137" s="15" t="s">
        <v>9</v>
      </c>
      <c r="F137" s="12" t="s">
        <v>9</v>
      </c>
      <c r="G137" s="12" t="s">
        <v>9</v>
      </c>
      <c r="H137" s="100"/>
    </row>
    <row r="138" spans="1:8" ht="25.5" x14ac:dyDescent="0.2">
      <c r="A138" s="15" t="s">
        <v>9</v>
      </c>
      <c r="B138" s="15" t="s">
        <v>9</v>
      </c>
      <c r="C138" s="3" t="s">
        <v>122</v>
      </c>
      <c r="D138" s="15" t="s">
        <v>9</v>
      </c>
      <c r="E138" s="15" t="s">
        <v>9</v>
      </c>
      <c r="F138" s="12" t="s">
        <v>9</v>
      </c>
      <c r="G138" s="12" t="s">
        <v>9</v>
      </c>
      <c r="H138" s="100"/>
    </row>
    <row r="139" spans="1:8" x14ac:dyDescent="0.2">
      <c r="A139" s="15" t="s">
        <v>9</v>
      </c>
      <c r="B139" s="15" t="s">
        <v>9</v>
      </c>
      <c r="C139" s="3" t="s">
        <v>94</v>
      </c>
      <c r="D139" s="15" t="s">
        <v>9</v>
      </c>
      <c r="E139" s="15" t="s">
        <v>9</v>
      </c>
      <c r="F139" s="13">
        <v>0</v>
      </c>
      <c r="G139" s="14">
        <v>0</v>
      </c>
      <c r="H139" s="100"/>
    </row>
    <row r="140" spans="1:8" x14ac:dyDescent="0.2">
      <c r="A140" s="15" t="s">
        <v>9</v>
      </c>
      <c r="B140" s="15" t="s">
        <v>9</v>
      </c>
      <c r="C140" s="11" t="s">
        <v>9</v>
      </c>
      <c r="D140" s="15" t="s">
        <v>9</v>
      </c>
      <c r="E140" s="15" t="s">
        <v>9</v>
      </c>
      <c r="F140" s="12" t="s">
        <v>9</v>
      </c>
      <c r="G140" s="12" t="s">
        <v>9</v>
      </c>
      <c r="H140" s="100"/>
    </row>
    <row r="141" spans="1:8" x14ac:dyDescent="0.2">
      <c r="A141" s="15" t="s">
        <v>9</v>
      </c>
      <c r="B141" s="5" t="s">
        <v>9</v>
      </c>
      <c r="C141" s="5" t="s">
        <v>9</v>
      </c>
      <c r="D141" s="3" t="s">
        <v>9</v>
      </c>
      <c r="E141" s="15" t="s">
        <v>9</v>
      </c>
      <c r="F141" s="5" t="s">
        <v>9</v>
      </c>
      <c r="G141" s="15" t="s">
        <v>9</v>
      </c>
      <c r="H141" s="100"/>
    </row>
    <row r="142" spans="1:8" x14ac:dyDescent="0.2">
      <c r="A142" s="15" t="s">
        <v>9</v>
      </c>
      <c r="B142" s="5" t="s">
        <v>9</v>
      </c>
      <c r="C142" s="5" t="s">
        <v>124</v>
      </c>
      <c r="D142" s="5" t="s">
        <v>9</v>
      </c>
      <c r="E142" s="15" t="s">
        <v>9</v>
      </c>
      <c r="F142" s="7">
        <v>107.95835458000001</v>
      </c>
      <c r="G142" s="8">
        <v>5.3356269999999999E-3</v>
      </c>
      <c r="H142" s="100"/>
    </row>
    <row r="143" spans="1:8" x14ac:dyDescent="0.2">
      <c r="A143" s="11" t="s">
        <v>9</v>
      </c>
      <c r="B143" s="11" t="s">
        <v>9</v>
      </c>
      <c r="C143" s="3" t="s">
        <v>125</v>
      </c>
      <c r="D143" s="16" t="s">
        <v>9</v>
      </c>
      <c r="E143" s="16" t="s">
        <v>9</v>
      </c>
      <c r="F143" s="9">
        <v>20233.488646279999</v>
      </c>
      <c r="G143" s="10">
        <v>0.99999999900000003</v>
      </c>
      <c r="H143" s="100"/>
    </row>
    <row r="144" spans="1:8" x14ac:dyDescent="0.2">
      <c r="A144" s="17" t="s">
        <v>9</v>
      </c>
      <c r="B144" s="17" t="s">
        <v>9</v>
      </c>
      <c r="C144" s="17" t="s">
        <v>9</v>
      </c>
      <c r="D144" s="18" t="s">
        <v>9</v>
      </c>
      <c r="E144" s="18" t="s">
        <v>9</v>
      </c>
      <c r="F144" s="18" t="s">
        <v>9</v>
      </c>
      <c r="G144" s="18" t="s">
        <v>9</v>
      </c>
      <c r="H144" s="142"/>
    </row>
    <row r="145" spans="1:8" x14ac:dyDescent="0.2">
      <c r="A145" s="19" t="s">
        <v>9</v>
      </c>
      <c r="B145" s="254" t="s">
        <v>9</v>
      </c>
      <c r="C145" s="254"/>
      <c r="D145" s="254"/>
      <c r="E145" s="254"/>
      <c r="F145" s="254"/>
      <c r="G145" s="20" t="s">
        <v>9</v>
      </c>
      <c r="H145" s="142"/>
    </row>
    <row r="146" spans="1:8" x14ac:dyDescent="0.2">
      <c r="A146" s="19" t="s">
        <v>9</v>
      </c>
      <c r="B146" s="254" t="s">
        <v>9</v>
      </c>
      <c r="C146" s="254"/>
      <c r="D146" s="254"/>
      <c r="E146" s="254"/>
      <c r="F146" s="254"/>
      <c r="G146" s="20" t="s">
        <v>9</v>
      </c>
      <c r="H146" s="142"/>
    </row>
    <row r="147" spans="1:8" x14ac:dyDescent="0.2">
      <c r="A147" s="19" t="s">
        <v>9</v>
      </c>
      <c r="B147" s="19" t="s">
        <v>9</v>
      </c>
      <c r="C147" s="19" t="s">
        <v>9</v>
      </c>
      <c r="D147" s="20" t="s">
        <v>9</v>
      </c>
      <c r="E147" s="20" t="s">
        <v>9</v>
      </c>
      <c r="F147" s="20" t="s">
        <v>9</v>
      </c>
      <c r="G147" s="20" t="s">
        <v>9</v>
      </c>
      <c r="H147" s="142"/>
    </row>
    <row r="148" spans="1:8" x14ac:dyDescent="0.2">
      <c r="A148" s="176" t="s">
        <v>9</v>
      </c>
      <c r="B148" s="247" t="s">
        <v>127</v>
      </c>
      <c r="C148" s="248"/>
      <c r="D148" s="182" t="s">
        <v>9</v>
      </c>
      <c r="E148" s="21" t="s">
        <v>9</v>
      </c>
      <c r="F148" s="20" t="s">
        <v>9</v>
      </c>
      <c r="G148" s="20" t="s">
        <v>9</v>
      </c>
      <c r="H148" s="142"/>
    </row>
    <row r="149" spans="1:8" ht="28.5" customHeight="1" x14ac:dyDescent="0.2">
      <c r="A149" s="19" t="s">
        <v>9</v>
      </c>
      <c r="B149" s="242" t="s">
        <v>128</v>
      </c>
      <c r="C149" s="243"/>
      <c r="D149" s="3" t="s">
        <v>129</v>
      </c>
      <c r="E149" s="21" t="s">
        <v>9</v>
      </c>
      <c r="F149" s="20" t="s">
        <v>9</v>
      </c>
      <c r="G149" s="20" t="s">
        <v>9</v>
      </c>
      <c r="H149" s="142"/>
    </row>
    <row r="150" spans="1:8" x14ac:dyDescent="0.2">
      <c r="A150" s="176" t="s">
        <v>9</v>
      </c>
      <c r="B150" s="240" t="s">
        <v>130</v>
      </c>
      <c r="C150" s="241"/>
      <c r="D150" s="177" t="s">
        <v>129</v>
      </c>
      <c r="E150" s="21" t="s">
        <v>9</v>
      </c>
      <c r="F150" s="20" t="s">
        <v>9</v>
      </c>
      <c r="G150" s="20" t="s">
        <v>9</v>
      </c>
      <c r="H150" s="142"/>
    </row>
    <row r="151" spans="1:8" x14ac:dyDescent="0.2">
      <c r="A151" s="176" t="s">
        <v>9</v>
      </c>
      <c r="B151" s="240" t="s">
        <v>131</v>
      </c>
      <c r="C151" s="241"/>
      <c r="D151" s="182" t="s">
        <v>9</v>
      </c>
      <c r="E151" s="21" t="s">
        <v>9</v>
      </c>
      <c r="F151" s="20" t="s">
        <v>9</v>
      </c>
      <c r="G151" s="20" t="s">
        <v>9</v>
      </c>
      <c r="H151" s="142"/>
    </row>
    <row r="152" spans="1:8" ht="25.5" x14ac:dyDescent="0.2">
      <c r="A152" s="22" t="s">
        <v>9</v>
      </c>
      <c r="B152" s="23" t="s">
        <v>9</v>
      </c>
      <c r="C152" s="23" t="s">
        <v>132</v>
      </c>
      <c r="D152" s="23" t="s">
        <v>133</v>
      </c>
      <c r="E152" s="25" t="s">
        <v>9</v>
      </c>
      <c r="F152" s="25" t="s">
        <v>9</v>
      </c>
      <c r="G152" s="25" t="s">
        <v>9</v>
      </c>
      <c r="H152" s="142"/>
    </row>
    <row r="153" spans="1:8" x14ac:dyDescent="0.2">
      <c r="A153" s="22" t="s">
        <v>9</v>
      </c>
      <c r="B153" s="23" t="s">
        <v>134</v>
      </c>
      <c r="C153" s="23" t="s">
        <v>135</v>
      </c>
      <c r="D153" s="23" t="s">
        <v>136</v>
      </c>
      <c r="E153" s="25" t="s">
        <v>9</v>
      </c>
      <c r="F153" s="25" t="s">
        <v>9</v>
      </c>
      <c r="G153" s="25" t="s">
        <v>9</v>
      </c>
      <c r="H153" s="142"/>
    </row>
    <row r="154" spans="1:8" x14ac:dyDescent="0.2">
      <c r="A154" s="22" t="s">
        <v>9</v>
      </c>
      <c r="B154" s="183" t="s">
        <v>137</v>
      </c>
      <c r="C154" s="184">
        <v>10.8758</v>
      </c>
      <c r="D154" s="184">
        <v>11.1633</v>
      </c>
      <c r="E154" s="25" t="s">
        <v>9</v>
      </c>
      <c r="F154" s="73" t="s">
        <v>9</v>
      </c>
      <c r="G154" s="25" t="s">
        <v>9</v>
      </c>
      <c r="H154" s="142"/>
    </row>
    <row r="155" spans="1:8" x14ac:dyDescent="0.2">
      <c r="A155" s="22" t="s">
        <v>9</v>
      </c>
      <c r="B155" s="183" t="s">
        <v>921</v>
      </c>
      <c r="C155" s="184">
        <v>10.8758</v>
      </c>
      <c r="D155" s="184">
        <v>11.1633</v>
      </c>
      <c r="E155" s="25" t="s">
        <v>9</v>
      </c>
      <c r="F155" s="73" t="s">
        <v>9</v>
      </c>
      <c r="G155" s="25" t="s">
        <v>9</v>
      </c>
      <c r="H155" s="142"/>
    </row>
    <row r="156" spans="1:8" x14ac:dyDescent="0.2">
      <c r="A156" s="22" t="s">
        <v>9</v>
      </c>
      <c r="B156" s="183" t="s">
        <v>138</v>
      </c>
      <c r="C156" s="184">
        <v>10.627000000000001</v>
      </c>
      <c r="D156" s="184">
        <v>10.9039</v>
      </c>
      <c r="E156" s="25" t="s">
        <v>9</v>
      </c>
      <c r="F156" s="73" t="s">
        <v>9</v>
      </c>
      <c r="G156" s="25" t="s">
        <v>9</v>
      </c>
      <c r="H156" s="142"/>
    </row>
    <row r="157" spans="1:8" x14ac:dyDescent="0.2">
      <c r="A157" s="22" t="s">
        <v>9</v>
      </c>
      <c r="B157" s="183" t="s">
        <v>922</v>
      </c>
      <c r="C157" s="184">
        <v>10.627000000000001</v>
      </c>
      <c r="D157" s="184">
        <v>10.9039</v>
      </c>
      <c r="E157" s="25" t="s">
        <v>9</v>
      </c>
      <c r="F157" s="73" t="s">
        <v>9</v>
      </c>
      <c r="G157" s="25" t="s">
        <v>9</v>
      </c>
      <c r="H157" s="142"/>
    </row>
    <row r="158" spans="1:8" x14ac:dyDescent="0.2">
      <c r="A158" s="22" t="s">
        <v>9</v>
      </c>
      <c r="B158" s="22" t="s">
        <v>9</v>
      </c>
      <c r="C158" s="22" t="s">
        <v>9</v>
      </c>
      <c r="D158" s="22" t="s">
        <v>9</v>
      </c>
      <c r="E158" s="25" t="s">
        <v>9</v>
      </c>
      <c r="F158" s="25" t="s">
        <v>9</v>
      </c>
      <c r="G158" s="25" t="s">
        <v>9</v>
      </c>
      <c r="H158" s="142"/>
    </row>
    <row r="159" spans="1:8" x14ac:dyDescent="0.2">
      <c r="A159" s="22" t="s">
        <v>9</v>
      </c>
      <c r="B159" s="240" t="s">
        <v>1012</v>
      </c>
      <c r="C159" s="241"/>
      <c r="D159" s="177" t="s">
        <v>129</v>
      </c>
      <c r="E159" s="25" t="s">
        <v>9</v>
      </c>
      <c r="F159" s="25" t="s">
        <v>9</v>
      </c>
      <c r="G159" s="25" t="s">
        <v>9</v>
      </c>
      <c r="H159" s="142"/>
    </row>
    <row r="160" spans="1:8" x14ac:dyDescent="0.2">
      <c r="A160" s="22" t="s">
        <v>9</v>
      </c>
      <c r="B160" s="98"/>
      <c r="C160" s="98"/>
      <c r="D160" s="26" t="s">
        <v>9</v>
      </c>
      <c r="E160" s="25" t="s">
        <v>9</v>
      </c>
      <c r="F160" s="25" t="s">
        <v>9</v>
      </c>
      <c r="G160" s="25" t="s">
        <v>9</v>
      </c>
      <c r="H160" s="142"/>
    </row>
    <row r="161" spans="1:8" s="238" customFormat="1" ht="12.75" x14ac:dyDescent="0.2">
      <c r="B161" s="246" t="s">
        <v>923</v>
      </c>
      <c r="C161" s="246"/>
      <c r="D161" s="246"/>
      <c r="E161" s="246"/>
      <c r="F161" s="246"/>
    </row>
    <row r="162" spans="1:8" x14ac:dyDescent="0.2">
      <c r="A162" s="22" t="s">
        <v>9</v>
      </c>
      <c r="B162" s="185" t="s">
        <v>9</v>
      </c>
      <c r="C162" s="185" t="s">
        <v>9</v>
      </c>
      <c r="D162" s="22" t="s">
        <v>9</v>
      </c>
      <c r="E162" s="25" t="s">
        <v>9</v>
      </c>
      <c r="F162" s="25" t="s">
        <v>9</v>
      </c>
      <c r="G162" s="25" t="s">
        <v>9</v>
      </c>
      <c r="H162" s="142"/>
    </row>
    <row r="163" spans="1:8" x14ac:dyDescent="0.2">
      <c r="A163" s="22" t="s">
        <v>9</v>
      </c>
      <c r="B163" s="240" t="s">
        <v>139</v>
      </c>
      <c r="C163" s="241"/>
      <c r="D163" s="177" t="s">
        <v>129</v>
      </c>
      <c r="E163" s="25" t="s">
        <v>9</v>
      </c>
      <c r="F163" s="25" t="s">
        <v>9</v>
      </c>
      <c r="G163" s="25" t="s">
        <v>9</v>
      </c>
      <c r="H163" s="142"/>
    </row>
    <row r="164" spans="1:8" x14ac:dyDescent="0.2">
      <c r="A164" s="22" t="s">
        <v>9</v>
      </c>
      <c r="B164" s="240" t="s">
        <v>140</v>
      </c>
      <c r="C164" s="241"/>
      <c r="D164" s="177" t="s">
        <v>129</v>
      </c>
      <c r="E164" s="25" t="s">
        <v>9</v>
      </c>
      <c r="F164" s="25" t="s">
        <v>9</v>
      </c>
      <c r="G164" s="25" t="s">
        <v>9</v>
      </c>
      <c r="H164" s="142"/>
    </row>
    <row r="165" spans="1:8" x14ac:dyDescent="0.2">
      <c r="A165" s="22" t="s">
        <v>9</v>
      </c>
      <c r="B165" s="240" t="s">
        <v>141</v>
      </c>
      <c r="C165" s="241"/>
      <c r="D165" s="186">
        <v>0.43184556936510654</v>
      </c>
      <c r="E165" s="25" t="s">
        <v>9</v>
      </c>
      <c r="F165" s="73" t="s">
        <v>9</v>
      </c>
      <c r="G165" s="25" t="s">
        <v>9</v>
      </c>
      <c r="H165" s="142"/>
    </row>
    <row r="166" spans="1:8" x14ac:dyDescent="0.2">
      <c r="A166" s="22" t="s">
        <v>9</v>
      </c>
      <c r="B166" s="240" t="s">
        <v>142</v>
      </c>
      <c r="C166" s="241"/>
      <c r="D166" s="177" t="s">
        <v>129</v>
      </c>
      <c r="E166" s="25" t="s">
        <v>9</v>
      </c>
      <c r="F166" s="25" t="s">
        <v>9</v>
      </c>
      <c r="G166" s="25" t="s">
        <v>9</v>
      </c>
      <c r="H166" s="142"/>
    </row>
    <row r="167" spans="1:8" x14ac:dyDescent="0.2">
      <c r="A167" s="142"/>
      <c r="B167" s="142"/>
      <c r="C167" s="142"/>
      <c r="D167" s="142"/>
      <c r="E167" s="142"/>
      <c r="F167" s="142"/>
      <c r="G167" s="142"/>
      <c r="H167" s="142"/>
    </row>
  </sheetData>
  <mergeCells count="15">
    <mergeCell ref="B148:C148"/>
    <mergeCell ref="B145:F145"/>
    <mergeCell ref="B146:F146"/>
    <mergeCell ref="A1:H1"/>
    <mergeCell ref="A2:H2"/>
    <mergeCell ref="A3:H3"/>
    <mergeCell ref="B165:C165"/>
    <mergeCell ref="B166:C166"/>
    <mergeCell ref="B149:C149"/>
    <mergeCell ref="B150:C150"/>
    <mergeCell ref="B151:C151"/>
    <mergeCell ref="B159:C159"/>
    <mergeCell ref="B163:C163"/>
    <mergeCell ref="B164:C164"/>
    <mergeCell ref="B161:F161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outlinePr summaryBelow="0" summaryRight="0"/>
  </sheetPr>
  <dimension ref="A1:H166"/>
  <sheetViews>
    <sheetView showGridLines="0" workbookViewId="0">
      <selection activeCell="J1" sqref="J1"/>
    </sheetView>
  </sheetViews>
  <sheetFormatPr defaultRowHeight="15" x14ac:dyDescent="0.2"/>
  <cols>
    <col min="1" max="1" width="6.85546875" style="155" customWidth="1"/>
    <col min="2" max="2" width="20.5703125" style="155" customWidth="1"/>
    <col min="3" max="3" width="34.28515625" style="155" customWidth="1"/>
    <col min="4" max="4" width="17.85546875" style="155" customWidth="1"/>
    <col min="5" max="6" width="19.140625" style="155" customWidth="1"/>
    <col min="7" max="7" width="16.42578125" style="155" customWidth="1"/>
    <col min="8" max="16384" width="9.140625" style="155"/>
  </cols>
  <sheetData>
    <row r="1" spans="1:8" x14ac:dyDescent="0.2">
      <c r="A1" s="250" t="s">
        <v>0</v>
      </c>
      <c r="B1" s="250"/>
      <c r="C1" s="250"/>
      <c r="D1" s="250"/>
      <c r="E1" s="250"/>
      <c r="F1" s="250"/>
      <c r="G1" s="250"/>
      <c r="H1" s="250"/>
    </row>
    <row r="2" spans="1:8" x14ac:dyDescent="0.2">
      <c r="A2" s="251" t="s">
        <v>459</v>
      </c>
      <c r="B2" s="252"/>
      <c r="C2" s="252"/>
      <c r="D2" s="252"/>
      <c r="E2" s="252"/>
      <c r="F2" s="252"/>
      <c r="G2" s="252"/>
      <c r="H2" s="253"/>
    </row>
    <row r="3" spans="1:8" x14ac:dyDescent="0.2">
      <c r="A3" s="250" t="s">
        <v>1015</v>
      </c>
      <c r="B3" s="250"/>
      <c r="C3" s="250"/>
      <c r="D3" s="250"/>
      <c r="E3" s="250"/>
      <c r="F3" s="250"/>
      <c r="G3" s="250"/>
      <c r="H3" s="250"/>
    </row>
    <row r="4" spans="1:8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60" t="s">
        <v>6</v>
      </c>
      <c r="F4" s="160" t="s">
        <v>7</v>
      </c>
      <c r="G4" s="160" t="s">
        <v>8</v>
      </c>
      <c r="H4" s="161" t="s">
        <v>909</v>
      </c>
    </row>
    <row r="5" spans="1:8" x14ac:dyDescent="0.2">
      <c r="A5" s="15" t="s">
        <v>9</v>
      </c>
      <c r="B5" s="15" t="s">
        <v>9</v>
      </c>
      <c r="C5" s="3" t="s">
        <v>10</v>
      </c>
      <c r="D5" s="15" t="s">
        <v>9</v>
      </c>
      <c r="E5" s="15" t="s">
        <v>9</v>
      </c>
      <c r="F5" s="15" t="s">
        <v>9</v>
      </c>
      <c r="G5" s="15" t="s">
        <v>9</v>
      </c>
      <c r="H5" s="100"/>
    </row>
    <row r="6" spans="1:8" ht="25.5" x14ac:dyDescent="0.2">
      <c r="A6" s="15" t="s">
        <v>9</v>
      </c>
      <c r="B6" s="15" t="s">
        <v>9</v>
      </c>
      <c r="C6" s="3" t="s">
        <v>11</v>
      </c>
      <c r="D6" s="15" t="s">
        <v>9</v>
      </c>
      <c r="E6" s="15" t="s">
        <v>9</v>
      </c>
      <c r="F6" s="15" t="s">
        <v>9</v>
      </c>
      <c r="G6" s="15" t="s">
        <v>9</v>
      </c>
      <c r="H6" s="100"/>
    </row>
    <row r="7" spans="1:8" x14ac:dyDescent="0.2">
      <c r="A7" s="4">
        <v>1</v>
      </c>
      <c r="B7" s="5" t="s">
        <v>144</v>
      </c>
      <c r="C7" s="5" t="s">
        <v>145</v>
      </c>
      <c r="D7" s="5" t="s">
        <v>146</v>
      </c>
      <c r="E7" s="6">
        <v>25278</v>
      </c>
      <c r="F7" s="7">
        <v>866.58039599999995</v>
      </c>
      <c r="G7" s="8">
        <v>3.9540234E-2</v>
      </c>
      <c r="H7" s="100"/>
    </row>
    <row r="8" spans="1:8" x14ac:dyDescent="0.2">
      <c r="A8" s="4">
        <v>2</v>
      </c>
      <c r="B8" s="5" t="s">
        <v>26</v>
      </c>
      <c r="C8" s="5" t="s">
        <v>27</v>
      </c>
      <c r="D8" s="5" t="s">
        <v>28</v>
      </c>
      <c r="E8" s="6">
        <v>80325</v>
      </c>
      <c r="F8" s="7">
        <v>735.69667500000003</v>
      </c>
      <c r="G8" s="8">
        <v>3.3568286000000003E-2</v>
      </c>
      <c r="H8" s="100"/>
    </row>
    <row r="9" spans="1:8" ht="25.5" x14ac:dyDescent="0.2">
      <c r="A9" s="4">
        <v>3</v>
      </c>
      <c r="B9" s="5" t="s">
        <v>34</v>
      </c>
      <c r="C9" s="5" t="s">
        <v>35</v>
      </c>
      <c r="D9" s="5" t="s">
        <v>1001</v>
      </c>
      <c r="E9" s="6">
        <v>20510</v>
      </c>
      <c r="F9" s="7">
        <v>575.59263999999996</v>
      </c>
      <c r="G9" s="8">
        <v>2.6263076999999999E-2</v>
      </c>
      <c r="H9" s="100"/>
    </row>
    <row r="10" spans="1:8" x14ac:dyDescent="0.2">
      <c r="A10" s="4">
        <v>4</v>
      </c>
      <c r="B10" s="5" t="s">
        <v>50</v>
      </c>
      <c r="C10" s="5" t="s">
        <v>51</v>
      </c>
      <c r="D10" s="5" t="s">
        <v>28</v>
      </c>
      <c r="E10" s="6">
        <v>55216</v>
      </c>
      <c r="F10" s="7">
        <v>488.357912</v>
      </c>
      <c r="G10" s="8">
        <v>2.2282740999999998E-2</v>
      </c>
      <c r="H10" s="100"/>
    </row>
    <row r="11" spans="1:8" ht="25.5" x14ac:dyDescent="0.2">
      <c r="A11" s="4">
        <v>5</v>
      </c>
      <c r="B11" s="5" t="s">
        <v>152</v>
      </c>
      <c r="C11" s="5" t="s">
        <v>153</v>
      </c>
      <c r="D11" s="5" t="s">
        <v>1001</v>
      </c>
      <c r="E11" s="6">
        <v>293868</v>
      </c>
      <c r="F11" s="7">
        <v>479.59257600000001</v>
      </c>
      <c r="G11" s="8">
        <v>2.1882796999999999E-2</v>
      </c>
      <c r="H11" s="100"/>
    </row>
    <row r="12" spans="1:8" x14ac:dyDescent="0.2">
      <c r="A12" s="4">
        <v>6</v>
      </c>
      <c r="B12" s="5" t="s">
        <v>440</v>
      </c>
      <c r="C12" s="5" t="s">
        <v>441</v>
      </c>
      <c r="D12" s="5" t="s">
        <v>58</v>
      </c>
      <c r="E12" s="6">
        <v>175415</v>
      </c>
      <c r="F12" s="7">
        <v>473.09425499999998</v>
      </c>
      <c r="G12" s="8">
        <v>2.1586292E-2</v>
      </c>
      <c r="H12" s="100"/>
    </row>
    <row r="13" spans="1:8" x14ac:dyDescent="0.2">
      <c r="A13" s="4">
        <v>7</v>
      </c>
      <c r="B13" s="5" t="s">
        <v>154</v>
      </c>
      <c r="C13" s="5" t="s">
        <v>155</v>
      </c>
      <c r="D13" s="5" t="s">
        <v>156</v>
      </c>
      <c r="E13" s="6">
        <v>552391</v>
      </c>
      <c r="F13" s="7">
        <v>447.43671000000001</v>
      </c>
      <c r="G13" s="8">
        <v>2.0415592999999999E-2</v>
      </c>
      <c r="H13" s="100"/>
    </row>
    <row r="14" spans="1:8" x14ac:dyDescent="0.2">
      <c r="A14" s="4">
        <v>8</v>
      </c>
      <c r="B14" s="5" t="s">
        <v>149</v>
      </c>
      <c r="C14" s="5" t="s">
        <v>150</v>
      </c>
      <c r="D14" s="5" t="s">
        <v>151</v>
      </c>
      <c r="E14" s="6">
        <v>8065</v>
      </c>
      <c r="F14" s="7">
        <v>445.42591750000003</v>
      </c>
      <c r="G14" s="8">
        <v>2.0323844000000001E-2</v>
      </c>
      <c r="H14" s="100"/>
    </row>
    <row r="15" spans="1:8" x14ac:dyDescent="0.2">
      <c r="A15" s="4">
        <v>9</v>
      </c>
      <c r="B15" s="5" t="s">
        <v>159</v>
      </c>
      <c r="C15" s="5" t="s">
        <v>160</v>
      </c>
      <c r="D15" s="5" t="s">
        <v>58</v>
      </c>
      <c r="E15" s="6">
        <v>126176</v>
      </c>
      <c r="F15" s="7">
        <v>441.61599999999999</v>
      </c>
      <c r="G15" s="8">
        <v>2.0150006000000002E-2</v>
      </c>
      <c r="H15" s="100"/>
    </row>
    <row r="16" spans="1:8" x14ac:dyDescent="0.2">
      <c r="A16" s="4">
        <v>10</v>
      </c>
      <c r="B16" s="5" t="s">
        <v>157</v>
      </c>
      <c r="C16" s="5" t="s">
        <v>158</v>
      </c>
      <c r="D16" s="5" t="s">
        <v>28</v>
      </c>
      <c r="E16" s="6">
        <v>84041</v>
      </c>
      <c r="F16" s="7">
        <v>437.76956899999999</v>
      </c>
      <c r="G16" s="8">
        <v>1.9974500999999999E-2</v>
      </c>
      <c r="H16" s="100"/>
    </row>
    <row r="17" spans="1:8" x14ac:dyDescent="0.2">
      <c r="A17" s="4">
        <v>11</v>
      </c>
      <c r="B17" s="5" t="s">
        <v>161</v>
      </c>
      <c r="C17" s="5" t="s">
        <v>162</v>
      </c>
      <c r="D17" s="5" t="s">
        <v>163</v>
      </c>
      <c r="E17" s="6">
        <v>34302</v>
      </c>
      <c r="F17" s="7">
        <v>423.526794</v>
      </c>
      <c r="G17" s="8">
        <v>1.9324634E-2</v>
      </c>
      <c r="H17" s="100"/>
    </row>
    <row r="18" spans="1:8" ht="25.5" x14ac:dyDescent="0.2">
      <c r="A18" s="4">
        <v>12</v>
      </c>
      <c r="B18" s="5" t="s">
        <v>166</v>
      </c>
      <c r="C18" s="5" t="s">
        <v>948</v>
      </c>
      <c r="D18" s="5" t="s">
        <v>1001</v>
      </c>
      <c r="E18" s="6">
        <v>174815</v>
      </c>
      <c r="F18" s="7">
        <v>414.48636499999998</v>
      </c>
      <c r="G18" s="8">
        <v>1.8912137999999998E-2</v>
      </c>
      <c r="H18" s="100"/>
    </row>
    <row r="19" spans="1:8" x14ac:dyDescent="0.2">
      <c r="A19" s="4">
        <v>13</v>
      </c>
      <c r="B19" s="5" t="s">
        <v>168</v>
      </c>
      <c r="C19" s="5" t="s">
        <v>169</v>
      </c>
      <c r="D19" s="5" t="s">
        <v>151</v>
      </c>
      <c r="E19" s="6">
        <v>209761</v>
      </c>
      <c r="F19" s="7">
        <v>413.75357250000002</v>
      </c>
      <c r="G19" s="8">
        <v>1.8878702000000001E-2</v>
      </c>
      <c r="H19" s="100"/>
    </row>
    <row r="20" spans="1:8" x14ac:dyDescent="0.2">
      <c r="A20" s="4">
        <v>14</v>
      </c>
      <c r="B20" s="5" t="s">
        <v>173</v>
      </c>
      <c r="C20" s="5" t="s">
        <v>949</v>
      </c>
      <c r="D20" s="5" t="s">
        <v>28</v>
      </c>
      <c r="E20" s="6">
        <v>90886</v>
      </c>
      <c r="F20" s="7">
        <v>405.89687600000002</v>
      </c>
      <c r="G20" s="8">
        <v>1.8520218000000001E-2</v>
      </c>
      <c r="H20" s="100"/>
    </row>
    <row r="21" spans="1:8" x14ac:dyDescent="0.2">
      <c r="A21" s="4">
        <v>15</v>
      </c>
      <c r="B21" s="5" t="s">
        <v>48</v>
      </c>
      <c r="C21" s="5" t="s">
        <v>49</v>
      </c>
      <c r="D21" s="5" t="s">
        <v>28</v>
      </c>
      <c r="E21" s="6">
        <v>28215</v>
      </c>
      <c r="F21" s="7">
        <v>396.18092250000001</v>
      </c>
      <c r="G21" s="8">
        <v>1.8076899E-2</v>
      </c>
      <c r="H21" s="100"/>
    </row>
    <row r="22" spans="1:8" x14ac:dyDescent="0.2">
      <c r="A22" s="4">
        <v>16</v>
      </c>
      <c r="B22" s="5" t="s">
        <v>291</v>
      </c>
      <c r="C22" s="5" t="s">
        <v>292</v>
      </c>
      <c r="D22" s="5" t="s">
        <v>163</v>
      </c>
      <c r="E22" s="6">
        <v>12356</v>
      </c>
      <c r="F22" s="7">
        <v>386.46478999999999</v>
      </c>
      <c r="G22" s="8">
        <v>1.7633573E-2</v>
      </c>
      <c r="H22" s="100"/>
    </row>
    <row r="23" spans="1:8" x14ac:dyDescent="0.2">
      <c r="A23" s="4">
        <v>17</v>
      </c>
      <c r="B23" s="5" t="s">
        <v>282</v>
      </c>
      <c r="C23" s="5" t="s">
        <v>283</v>
      </c>
      <c r="D23" s="5" t="s">
        <v>28</v>
      </c>
      <c r="E23" s="6">
        <v>98456</v>
      </c>
      <c r="F23" s="7">
        <v>375.75732399999998</v>
      </c>
      <c r="G23" s="8">
        <v>1.7145014E-2</v>
      </c>
      <c r="H23" s="100"/>
    </row>
    <row r="24" spans="1:8" x14ac:dyDescent="0.2">
      <c r="A24" s="4">
        <v>18</v>
      </c>
      <c r="B24" s="5" t="s">
        <v>170</v>
      </c>
      <c r="C24" s="5" t="s">
        <v>171</v>
      </c>
      <c r="D24" s="5" t="s">
        <v>172</v>
      </c>
      <c r="E24" s="6">
        <v>36097</v>
      </c>
      <c r="F24" s="7">
        <v>370.03034700000001</v>
      </c>
      <c r="G24" s="8">
        <v>1.6883703999999999E-2</v>
      </c>
      <c r="H24" s="100"/>
    </row>
    <row r="25" spans="1:8" ht="25.5" x14ac:dyDescent="0.2">
      <c r="A25" s="4">
        <v>19</v>
      </c>
      <c r="B25" s="5" t="s">
        <v>180</v>
      </c>
      <c r="C25" s="5" t="s">
        <v>934</v>
      </c>
      <c r="D25" s="5" t="s">
        <v>146</v>
      </c>
      <c r="E25" s="6">
        <v>99839</v>
      </c>
      <c r="F25" s="7">
        <v>361.26742150000001</v>
      </c>
      <c r="G25" s="8">
        <v>1.6483870000000001E-2</v>
      </c>
      <c r="H25" s="100"/>
    </row>
    <row r="26" spans="1:8" x14ac:dyDescent="0.2">
      <c r="A26" s="4">
        <v>20</v>
      </c>
      <c r="B26" s="5" t="s">
        <v>184</v>
      </c>
      <c r="C26" s="5" t="s">
        <v>185</v>
      </c>
      <c r="D26" s="5" t="s">
        <v>172</v>
      </c>
      <c r="E26" s="6">
        <v>194334</v>
      </c>
      <c r="F26" s="7">
        <v>345.13718399999999</v>
      </c>
      <c r="G26" s="8">
        <v>1.5747880999999998E-2</v>
      </c>
      <c r="H26" s="100"/>
    </row>
    <row r="27" spans="1:8" x14ac:dyDescent="0.2">
      <c r="A27" s="4">
        <v>21</v>
      </c>
      <c r="B27" s="5" t="s">
        <v>189</v>
      </c>
      <c r="C27" s="5" t="s">
        <v>190</v>
      </c>
      <c r="D27" s="5" t="s">
        <v>151</v>
      </c>
      <c r="E27" s="6">
        <v>15854</v>
      </c>
      <c r="F27" s="7">
        <v>323.15208200000001</v>
      </c>
      <c r="G27" s="8">
        <v>1.4744747000000001E-2</v>
      </c>
      <c r="H27" s="100"/>
    </row>
    <row r="28" spans="1:8" ht="25.5" x14ac:dyDescent="0.2">
      <c r="A28" s="4">
        <v>22</v>
      </c>
      <c r="B28" s="5" t="s">
        <v>194</v>
      </c>
      <c r="C28" s="5" t="s">
        <v>195</v>
      </c>
      <c r="D28" s="5" t="s">
        <v>73</v>
      </c>
      <c r="E28" s="6">
        <v>86680</v>
      </c>
      <c r="F28" s="7">
        <v>318.33229999999998</v>
      </c>
      <c r="G28" s="8">
        <v>1.4524831E-2</v>
      </c>
      <c r="H28" s="100"/>
    </row>
    <row r="29" spans="1:8" x14ac:dyDescent="0.2">
      <c r="A29" s="4">
        <v>23</v>
      </c>
      <c r="B29" s="5" t="s">
        <v>191</v>
      </c>
      <c r="C29" s="5" t="s">
        <v>192</v>
      </c>
      <c r="D29" s="5" t="s">
        <v>193</v>
      </c>
      <c r="E29" s="6">
        <v>96348</v>
      </c>
      <c r="F29" s="7">
        <v>316.50317999999999</v>
      </c>
      <c r="G29" s="8">
        <v>1.4441371999999999E-2</v>
      </c>
      <c r="H29" s="100"/>
    </row>
    <row r="30" spans="1:8" x14ac:dyDescent="0.2">
      <c r="A30" s="4">
        <v>24</v>
      </c>
      <c r="B30" s="5" t="s">
        <v>36</v>
      </c>
      <c r="C30" s="5" t="s">
        <v>37</v>
      </c>
      <c r="D30" s="5" t="s">
        <v>38</v>
      </c>
      <c r="E30" s="6">
        <v>125724</v>
      </c>
      <c r="F30" s="7">
        <v>314.81289600000002</v>
      </c>
      <c r="G30" s="8">
        <v>1.4364248E-2</v>
      </c>
      <c r="H30" s="100"/>
    </row>
    <row r="31" spans="1:8" x14ac:dyDescent="0.2">
      <c r="A31" s="4">
        <v>25</v>
      </c>
      <c r="B31" s="5" t="s">
        <v>444</v>
      </c>
      <c r="C31" s="5" t="s">
        <v>445</v>
      </c>
      <c r="D31" s="5" t="s">
        <v>58</v>
      </c>
      <c r="E31" s="6">
        <v>37170</v>
      </c>
      <c r="F31" s="7">
        <v>314.27235000000002</v>
      </c>
      <c r="G31" s="8">
        <v>1.4339584000000001E-2</v>
      </c>
      <c r="H31" s="100"/>
    </row>
    <row r="32" spans="1:8" x14ac:dyDescent="0.2">
      <c r="A32" s="4">
        <v>26</v>
      </c>
      <c r="B32" s="5" t="s">
        <v>196</v>
      </c>
      <c r="C32" s="5" t="s">
        <v>197</v>
      </c>
      <c r="D32" s="5" t="s">
        <v>151</v>
      </c>
      <c r="E32" s="6">
        <v>42130</v>
      </c>
      <c r="F32" s="7">
        <v>310.51916499999999</v>
      </c>
      <c r="G32" s="8">
        <v>1.4168333999999999E-2</v>
      </c>
      <c r="H32" s="100"/>
    </row>
    <row r="33" spans="1:8" x14ac:dyDescent="0.2">
      <c r="A33" s="4">
        <v>27</v>
      </c>
      <c r="B33" s="5" t="s">
        <v>147</v>
      </c>
      <c r="C33" s="5" t="s">
        <v>148</v>
      </c>
      <c r="D33" s="5" t="s">
        <v>146</v>
      </c>
      <c r="E33" s="6">
        <v>24941</v>
      </c>
      <c r="F33" s="7">
        <v>310.14133500000003</v>
      </c>
      <c r="G33" s="8">
        <v>1.4151093999999999E-2</v>
      </c>
      <c r="H33" s="100"/>
    </row>
    <row r="34" spans="1:8" x14ac:dyDescent="0.2">
      <c r="A34" s="4">
        <v>28</v>
      </c>
      <c r="B34" s="5" t="s">
        <v>177</v>
      </c>
      <c r="C34" s="5" t="s">
        <v>178</v>
      </c>
      <c r="D34" s="5" t="s">
        <v>47</v>
      </c>
      <c r="E34" s="6">
        <v>29009</v>
      </c>
      <c r="F34" s="7">
        <v>306.24801300000001</v>
      </c>
      <c r="G34" s="8">
        <v>1.397345E-2</v>
      </c>
      <c r="H34" s="100"/>
    </row>
    <row r="35" spans="1:8" x14ac:dyDescent="0.2">
      <c r="A35" s="4">
        <v>29</v>
      </c>
      <c r="B35" s="5" t="s">
        <v>175</v>
      </c>
      <c r="C35" s="5" t="s">
        <v>176</v>
      </c>
      <c r="D35" s="5" t="s">
        <v>53</v>
      </c>
      <c r="E35" s="6">
        <v>81720</v>
      </c>
      <c r="F35" s="7">
        <v>301.26078000000001</v>
      </c>
      <c r="G35" s="8">
        <v>1.3745894E-2</v>
      </c>
      <c r="H35" s="100"/>
    </row>
    <row r="36" spans="1:8" x14ac:dyDescent="0.2">
      <c r="A36" s="4">
        <v>30</v>
      </c>
      <c r="B36" s="5" t="s">
        <v>446</v>
      </c>
      <c r="C36" s="5" t="s">
        <v>447</v>
      </c>
      <c r="D36" s="5" t="s">
        <v>156</v>
      </c>
      <c r="E36" s="6">
        <v>95977</v>
      </c>
      <c r="F36" s="7">
        <v>291.72209149999998</v>
      </c>
      <c r="G36" s="8">
        <v>1.3310663E-2</v>
      </c>
      <c r="H36" s="100"/>
    </row>
    <row r="37" spans="1:8" x14ac:dyDescent="0.2">
      <c r="A37" s="4">
        <v>31</v>
      </c>
      <c r="B37" s="5" t="s">
        <v>200</v>
      </c>
      <c r="C37" s="5" t="s">
        <v>201</v>
      </c>
      <c r="D37" s="5" t="s">
        <v>1003</v>
      </c>
      <c r="E37" s="6">
        <v>46000</v>
      </c>
      <c r="F37" s="7">
        <v>289.01799999999997</v>
      </c>
      <c r="G37" s="8">
        <v>1.3187281E-2</v>
      </c>
      <c r="H37" s="100"/>
    </row>
    <row r="38" spans="1:8" x14ac:dyDescent="0.2">
      <c r="A38" s="4">
        <v>32</v>
      </c>
      <c r="B38" s="5" t="s">
        <v>198</v>
      </c>
      <c r="C38" s="5" t="s">
        <v>199</v>
      </c>
      <c r="D38" s="5" t="s">
        <v>156</v>
      </c>
      <c r="E38" s="6">
        <v>539678</v>
      </c>
      <c r="F38" s="7">
        <v>286.02933999999999</v>
      </c>
      <c r="G38" s="8">
        <v>1.3050915E-2</v>
      </c>
      <c r="H38" s="100"/>
    </row>
    <row r="39" spans="1:8" x14ac:dyDescent="0.2">
      <c r="A39" s="4">
        <v>33</v>
      </c>
      <c r="B39" s="5" t="s">
        <v>43</v>
      </c>
      <c r="C39" s="5" t="s">
        <v>44</v>
      </c>
      <c r="D39" s="5" t="s">
        <v>28</v>
      </c>
      <c r="E39" s="6">
        <v>15903</v>
      </c>
      <c r="F39" s="7">
        <v>283.33579950000001</v>
      </c>
      <c r="G39" s="8">
        <v>1.2928014E-2</v>
      </c>
      <c r="H39" s="100"/>
    </row>
    <row r="40" spans="1:8" x14ac:dyDescent="0.2">
      <c r="A40" s="4">
        <v>34</v>
      </c>
      <c r="B40" s="5" t="s">
        <v>278</v>
      </c>
      <c r="C40" s="5" t="s">
        <v>279</v>
      </c>
      <c r="D40" s="5" t="s">
        <v>28</v>
      </c>
      <c r="E40" s="6">
        <v>26607</v>
      </c>
      <c r="F40" s="7">
        <v>281.58188100000001</v>
      </c>
      <c r="G40" s="8">
        <v>1.2847987E-2</v>
      </c>
      <c r="H40" s="100"/>
    </row>
    <row r="41" spans="1:8" ht="25.5" x14ac:dyDescent="0.2">
      <c r="A41" s="4">
        <v>35</v>
      </c>
      <c r="B41" s="5" t="s">
        <v>442</v>
      </c>
      <c r="C41" s="5" t="s">
        <v>443</v>
      </c>
      <c r="D41" s="5" t="s">
        <v>25</v>
      </c>
      <c r="E41" s="6">
        <v>26488</v>
      </c>
      <c r="F41" s="7">
        <v>277.80614400000002</v>
      </c>
      <c r="G41" s="8">
        <v>1.2675708000000001E-2</v>
      </c>
      <c r="H41" s="100"/>
    </row>
    <row r="42" spans="1:8" x14ac:dyDescent="0.2">
      <c r="A42" s="4">
        <v>36</v>
      </c>
      <c r="B42" s="5" t="s">
        <v>202</v>
      </c>
      <c r="C42" s="5" t="s">
        <v>203</v>
      </c>
      <c r="D42" s="5" t="s">
        <v>38</v>
      </c>
      <c r="E42" s="6">
        <v>332221</v>
      </c>
      <c r="F42" s="7">
        <v>274.24843550000003</v>
      </c>
      <c r="G42" s="8">
        <v>1.2513376999999999E-2</v>
      </c>
      <c r="H42" s="100"/>
    </row>
    <row r="43" spans="1:8" x14ac:dyDescent="0.2">
      <c r="A43" s="4">
        <v>37</v>
      </c>
      <c r="B43" s="5" t="s">
        <v>204</v>
      </c>
      <c r="C43" s="5" t="s">
        <v>205</v>
      </c>
      <c r="D43" s="5" t="s">
        <v>1004</v>
      </c>
      <c r="E43" s="6">
        <v>100751</v>
      </c>
      <c r="F43" s="7">
        <v>273.94196899999997</v>
      </c>
      <c r="G43" s="8">
        <v>1.2499394E-2</v>
      </c>
      <c r="H43" s="100"/>
    </row>
    <row r="44" spans="1:8" x14ac:dyDescent="0.2">
      <c r="A44" s="4">
        <v>38</v>
      </c>
      <c r="B44" s="5" t="s">
        <v>208</v>
      </c>
      <c r="C44" s="5" t="s">
        <v>209</v>
      </c>
      <c r="D44" s="5" t="s">
        <v>163</v>
      </c>
      <c r="E44" s="6">
        <v>73821</v>
      </c>
      <c r="F44" s="7">
        <v>270.92307</v>
      </c>
      <c r="G44" s="8">
        <v>1.2361647999999999E-2</v>
      </c>
      <c r="H44" s="100"/>
    </row>
    <row r="45" spans="1:8" x14ac:dyDescent="0.2">
      <c r="A45" s="4">
        <v>39</v>
      </c>
      <c r="B45" s="5" t="s">
        <v>164</v>
      </c>
      <c r="C45" s="5" t="s">
        <v>947</v>
      </c>
      <c r="D45" s="5" t="s">
        <v>151</v>
      </c>
      <c r="E45" s="6">
        <v>36870</v>
      </c>
      <c r="F45" s="7">
        <v>267.104715</v>
      </c>
      <c r="G45" s="8">
        <v>1.2187424000000001E-2</v>
      </c>
      <c r="H45" s="100"/>
    </row>
    <row r="46" spans="1:8" x14ac:dyDescent="0.2">
      <c r="A46" s="4">
        <v>40</v>
      </c>
      <c r="B46" s="5" t="s">
        <v>210</v>
      </c>
      <c r="C46" s="5" t="s">
        <v>211</v>
      </c>
      <c r="D46" s="5" t="s">
        <v>193</v>
      </c>
      <c r="E46" s="6">
        <v>58282</v>
      </c>
      <c r="F46" s="7">
        <v>263.87175500000001</v>
      </c>
      <c r="G46" s="8">
        <v>1.2039911E-2</v>
      </c>
      <c r="H46" s="100"/>
    </row>
    <row r="47" spans="1:8" ht="25.5" x14ac:dyDescent="0.2">
      <c r="A47" s="4">
        <v>41</v>
      </c>
      <c r="B47" s="5" t="s">
        <v>214</v>
      </c>
      <c r="C47" s="5" t="s">
        <v>215</v>
      </c>
      <c r="D47" s="5" t="s">
        <v>25</v>
      </c>
      <c r="E47" s="6">
        <v>378656</v>
      </c>
      <c r="F47" s="7">
        <v>263.54457600000001</v>
      </c>
      <c r="G47" s="8">
        <v>1.2024983E-2</v>
      </c>
      <c r="H47" s="100"/>
    </row>
    <row r="48" spans="1:8" x14ac:dyDescent="0.2">
      <c r="A48" s="4">
        <v>42</v>
      </c>
      <c r="B48" s="5" t="s">
        <v>218</v>
      </c>
      <c r="C48" s="5" t="s">
        <v>219</v>
      </c>
      <c r="D48" s="5" t="s">
        <v>156</v>
      </c>
      <c r="E48" s="6">
        <v>42740</v>
      </c>
      <c r="F48" s="7">
        <v>248.51173</v>
      </c>
      <c r="G48" s="8">
        <v>1.1339066E-2</v>
      </c>
      <c r="H48" s="100"/>
    </row>
    <row r="49" spans="1:8" x14ac:dyDescent="0.2">
      <c r="A49" s="4">
        <v>43</v>
      </c>
      <c r="B49" s="5" t="s">
        <v>212</v>
      </c>
      <c r="C49" s="5" t="s">
        <v>213</v>
      </c>
      <c r="D49" s="5" t="s">
        <v>38</v>
      </c>
      <c r="E49" s="6">
        <v>34149</v>
      </c>
      <c r="F49" s="7">
        <v>244.81418099999999</v>
      </c>
      <c r="G49" s="8">
        <v>1.1170354E-2</v>
      </c>
      <c r="H49" s="100"/>
    </row>
    <row r="50" spans="1:8" x14ac:dyDescent="0.2">
      <c r="A50" s="4">
        <v>44</v>
      </c>
      <c r="B50" s="5" t="s">
        <v>448</v>
      </c>
      <c r="C50" s="5" t="s">
        <v>957</v>
      </c>
      <c r="D50" s="5" t="s">
        <v>228</v>
      </c>
      <c r="E50" s="6">
        <v>50258</v>
      </c>
      <c r="F50" s="7">
        <v>243.324107</v>
      </c>
      <c r="G50" s="8">
        <v>1.1102364999999999E-2</v>
      </c>
      <c r="H50" s="100"/>
    </row>
    <row r="51" spans="1:8" x14ac:dyDescent="0.2">
      <c r="A51" s="4">
        <v>45</v>
      </c>
      <c r="B51" s="5" t="s">
        <v>222</v>
      </c>
      <c r="C51" s="5" t="s">
        <v>950</v>
      </c>
      <c r="D51" s="5" t="s">
        <v>28</v>
      </c>
      <c r="E51" s="6">
        <v>218442</v>
      </c>
      <c r="F51" s="7">
        <v>235.15281300000001</v>
      </c>
      <c r="G51" s="8">
        <v>1.0729527000000001E-2</v>
      </c>
      <c r="H51" s="100"/>
    </row>
    <row r="52" spans="1:8" x14ac:dyDescent="0.2">
      <c r="A52" s="4">
        <v>46</v>
      </c>
      <c r="B52" s="5" t="s">
        <v>229</v>
      </c>
      <c r="C52" s="5" t="s">
        <v>230</v>
      </c>
      <c r="D52" s="5" t="s">
        <v>193</v>
      </c>
      <c r="E52" s="6">
        <v>16433</v>
      </c>
      <c r="F52" s="7">
        <v>229.2978655</v>
      </c>
      <c r="G52" s="8">
        <v>1.0462378E-2</v>
      </c>
      <c r="H52" s="100"/>
    </row>
    <row r="53" spans="1:8" x14ac:dyDescent="0.2">
      <c r="A53" s="4">
        <v>47</v>
      </c>
      <c r="B53" s="5" t="s">
        <v>186</v>
      </c>
      <c r="C53" s="5" t="s">
        <v>187</v>
      </c>
      <c r="D53" s="5" t="s">
        <v>188</v>
      </c>
      <c r="E53" s="6">
        <v>31437</v>
      </c>
      <c r="F53" s="7">
        <v>228.71989350000001</v>
      </c>
      <c r="G53" s="8">
        <v>1.0436005999999999E-2</v>
      </c>
      <c r="H53" s="100"/>
    </row>
    <row r="54" spans="1:8" ht="25.5" x14ac:dyDescent="0.2">
      <c r="A54" s="4">
        <v>48</v>
      </c>
      <c r="B54" s="5" t="s">
        <v>182</v>
      </c>
      <c r="C54" s="5" t="s">
        <v>944</v>
      </c>
      <c r="D54" s="5" t="s">
        <v>58</v>
      </c>
      <c r="E54" s="6">
        <v>9707</v>
      </c>
      <c r="F54" s="7">
        <v>226.69242449999999</v>
      </c>
      <c r="G54" s="8">
        <v>1.0343497E-2</v>
      </c>
      <c r="H54" s="100"/>
    </row>
    <row r="55" spans="1:8" x14ac:dyDescent="0.2">
      <c r="A55" s="4">
        <v>49</v>
      </c>
      <c r="B55" s="5" t="s">
        <v>231</v>
      </c>
      <c r="C55" s="5" t="s">
        <v>935</v>
      </c>
      <c r="D55" s="5" t="s">
        <v>156</v>
      </c>
      <c r="E55" s="6">
        <v>45162</v>
      </c>
      <c r="F55" s="7">
        <v>224.77127400000001</v>
      </c>
      <c r="G55" s="8">
        <v>1.0255838999999999E-2</v>
      </c>
      <c r="H55" s="100"/>
    </row>
    <row r="56" spans="1:8" x14ac:dyDescent="0.2">
      <c r="A56" s="4">
        <v>50</v>
      </c>
      <c r="B56" s="5" t="s">
        <v>449</v>
      </c>
      <c r="C56" s="5" t="s">
        <v>450</v>
      </c>
      <c r="D56" s="5" t="s">
        <v>28</v>
      </c>
      <c r="E56" s="6">
        <v>40294</v>
      </c>
      <c r="F56" s="7">
        <v>220.75067899999999</v>
      </c>
      <c r="G56" s="8">
        <v>1.0072388E-2</v>
      </c>
      <c r="H56" s="100"/>
    </row>
    <row r="57" spans="1:8" x14ac:dyDescent="0.2">
      <c r="A57" s="4">
        <v>51</v>
      </c>
      <c r="B57" s="5" t="s">
        <v>226</v>
      </c>
      <c r="C57" s="5" t="s">
        <v>227</v>
      </c>
      <c r="D57" s="5" t="s">
        <v>228</v>
      </c>
      <c r="E57" s="6">
        <v>140250</v>
      </c>
      <c r="F57" s="7">
        <v>219.561375</v>
      </c>
      <c r="G57" s="8">
        <v>1.0018122000000001E-2</v>
      </c>
      <c r="H57" s="100"/>
    </row>
    <row r="58" spans="1:8" x14ac:dyDescent="0.2">
      <c r="A58" s="4">
        <v>52</v>
      </c>
      <c r="B58" s="5" t="s">
        <v>235</v>
      </c>
      <c r="C58" s="5" t="s">
        <v>236</v>
      </c>
      <c r="D58" s="5" t="s">
        <v>1005</v>
      </c>
      <c r="E58" s="6">
        <v>48094</v>
      </c>
      <c r="F58" s="7">
        <v>210.242921</v>
      </c>
      <c r="G58" s="8">
        <v>9.5929410000000007E-3</v>
      </c>
      <c r="H58" s="100"/>
    </row>
    <row r="59" spans="1:8" x14ac:dyDescent="0.2">
      <c r="A59" s="4">
        <v>53</v>
      </c>
      <c r="B59" s="5" t="s">
        <v>206</v>
      </c>
      <c r="C59" s="5" t="s">
        <v>207</v>
      </c>
      <c r="D59" s="5" t="s">
        <v>163</v>
      </c>
      <c r="E59" s="6">
        <v>54815</v>
      </c>
      <c r="F59" s="7">
        <v>209.47552250000001</v>
      </c>
      <c r="G59" s="8">
        <v>9.5579259999999996E-3</v>
      </c>
      <c r="H59" s="100"/>
    </row>
    <row r="60" spans="1:8" x14ac:dyDescent="0.2">
      <c r="A60" s="4">
        <v>54</v>
      </c>
      <c r="B60" s="5" t="s">
        <v>239</v>
      </c>
      <c r="C60" s="5" t="s">
        <v>240</v>
      </c>
      <c r="D60" s="5" t="s">
        <v>58</v>
      </c>
      <c r="E60" s="6">
        <v>45220</v>
      </c>
      <c r="F60" s="7">
        <v>206.72323</v>
      </c>
      <c r="G60" s="8">
        <v>9.432345E-3</v>
      </c>
      <c r="H60" s="100"/>
    </row>
    <row r="61" spans="1:8" x14ac:dyDescent="0.2">
      <c r="A61" s="4">
        <v>55</v>
      </c>
      <c r="B61" s="5" t="s">
        <v>241</v>
      </c>
      <c r="C61" s="5" t="s">
        <v>242</v>
      </c>
      <c r="D61" s="5" t="s">
        <v>163</v>
      </c>
      <c r="E61" s="6">
        <v>33763</v>
      </c>
      <c r="F61" s="7">
        <v>201.09242800000001</v>
      </c>
      <c r="G61" s="8">
        <v>9.1754230000000003E-3</v>
      </c>
      <c r="H61" s="100"/>
    </row>
    <row r="62" spans="1:8" x14ac:dyDescent="0.2">
      <c r="A62" s="4">
        <v>56</v>
      </c>
      <c r="B62" s="5" t="s">
        <v>451</v>
      </c>
      <c r="C62" s="5" t="s">
        <v>452</v>
      </c>
      <c r="D62" s="5" t="s">
        <v>63</v>
      </c>
      <c r="E62" s="6">
        <v>75234</v>
      </c>
      <c r="F62" s="7">
        <v>198.99393000000001</v>
      </c>
      <c r="G62" s="8">
        <v>9.0796729999999999E-3</v>
      </c>
      <c r="H62" s="100"/>
    </row>
    <row r="63" spans="1:8" x14ac:dyDescent="0.2">
      <c r="A63" s="4">
        <v>57</v>
      </c>
      <c r="B63" s="5" t="s">
        <v>245</v>
      </c>
      <c r="C63" s="5" t="s">
        <v>246</v>
      </c>
      <c r="D63" s="5" t="s">
        <v>22</v>
      </c>
      <c r="E63" s="6">
        <v>216684</v>
      </c>
      <c r="F63" s="7">
        <v>196.424046</v>
      </c>
      <c r="G63" s="8">
        <v>8.9624149999999996E-3</v>
      </c>
      <c r="H63" s="100"/>
    </row>
    <row r="64" spans="1:8" x14ac:dyDescent="0.2">
      <c r="A64" s="4">
        <v>58</v>
      </c>
      <c r="B64" s="5" t="s">
        <v>453</v>
      </c>
      <c r="C64" s="5" t="s">
        <v>454</v>
      </c>
      <c r="D64" s="5" t="s">
        <v>156</v>
      </c>
      <c r="E64" s="6">
        <v>30109</v>
      </c>
      <c r="F64" s="7">
        <v>179.26898600000001</v>
      </c>
      <c r="G64" s="8">
        <v>8.1796649999999992E-3</v>
      </c>
      <c r="H64" s="100"/>
    </row>
    <row r="65" spans="1:8" x14ac:dyDescent="0.2">
      <c r="A65" s="4">
        <v>59</v>
      </c>
      <c r="B65" s="5" t="s">
        <v>249</v>
      </c>
      <c r="C65" s="5" t="s">
        <v>952</v>
      </c>
      <c r="D65" s="5" t="s">
        <v>251</v>
      </c>
      <c r="E65" s="6">
        <v>80466</v>
      </c>
      <c r="F65" s="7">
        <v>170.467221</v>
      </c>
      <c r="G65" s="8">
        <v>7.7780590000000004E-3</v>
      </c>
      <c r="H65" s="100"/>
    </row>
    <row r="66" spans="1:8" x14ac:dyDescent="0.2">
      <c r="A66" s="4">
        <v>60</v>
      </c>
      <c r="B66" s="5" t="s">
        <v>247</v>
      </c>
      <c r="C66" s="5" t="s">
        <v>248</v>
      </c>
      <c r="D66" s="5" t="s">
        <v>1005</v>
      </c>
      <c r="E66" s="6">
        <v>90127</v>
      </c>
      <c r="F66" s="7">
        <v>168.897998</v>
      </c>
      <c r="G66" s="8">
        <v>7.7064589999999997E-3</v>
      </c>
      <c r="H66" s="100"/>
    </row>
    <row r="67" spans="1:8" x14ac:dyDescent="0.2">
      <c r="A67" s="4">
        <v>61</v>
      </c>
      <c r="B67" s="5" t="s">
        <v>254</v>
      </c>
      <c r="C67" s="5" t="s">
        <v>255</v>
      </c>
      <c r="D67" s="5" t="s">
        <v>58</v>
      </c>
      <c r="E67" s="6">
        <v>111421</v>
      </c>
      <c r="F67" s="7">
        <v>154.70805849999999</v>
      </c>
      <c r="G67" s="8">
        <v>7.059002E-3</v>
      </c>
      <c r="H67" s="100"/>
    </row>
    <row r="68" spans="1:8" ht="25.5" x14ac:dyDescent="0.2">
      <c r="A68" s="4">
        <v>62</v>
      </c>
      <c r="B68" s="5" t="s">
        <v>243</v>
      </c>
      <c r="C68" s="5" t="s">
        <v>244</v>
      </c>
      <c r="D68" s="5" t="s">
        <v>1007</v>
      </c>
      <c r="E68" s="6">
        <v>201630</v>
      </c>
      <c r="F68" s="7">
        <v>150.41597999999999</v>
      </c>
      <c r="G68" s="8">
        <v>6.8631639999999997E-3</v>
      </c>
      <c r="H68" s="100"/>
    </row>
    <row r="69" spans="1:8" x14ac:dyDescent="0.2">
      <c r="A69" s="4">
        <v>63</v>
      </c>
      <c r="B69" s="5" t="s">
        <v>262</v>
      </c>
      <c r="C69" s="5" t="s">
        <v>263</v>
      </c>
      <c r="D69" s="5" t="s">
        <v>146</v>
      </c>
      <c r="E69" s="6">
        <v>9638</v>
      </c>
      <c r="F69" s="7">
        <v>149.13359299999999</v>
      </c>
      <c r="G69" s="8">
        <v>6.8046510000000001E-3</v>
      </c>
      <c r="H69" s="100"/>
    </row>
    <row r="70" spans="1:8" x14ac:dyDescent="0.2">
      <c r="A70" s="4">
        <v>64</v>
      </c>
      <c r="B70" s="5" t="s">
        <v>258</v>
      </c>
      <c r="C70" s="5" t="s">
        <v>259</v>
      </c>
      <c r="D70" s="5" t="s">
        <v>1006</v>
      </c>
      <c r="E70" s="6">
        <v>10084</v>
      </c>
      <c r="F70" s="7">
        <v>148.86505</v>
      </c>
      <c r="G70" s="8">
        <v>6.7923979999999998E-3</v>
      </c>
      <c r="H70" s="100"/>
    </row>
    <row r="71" spans="1:8" x14ac:dyDescent="0.2">
      <c r="A71" s="4">
        <v>65</v>
      </c>
      <c r="B71" s="5" t="s">
        <v>224</v>
      </c>
      <c r="C71" s="5" t="s">
        <v>225</v>
      </c>
      <c r="D71" s="5" t="s">
        <v>58</v>
      </c>
      <c r="E71" s="6">
        <v>23054</v>
      </c>
      <c r="F71" s="7">
        <v>142.85411099999999</v>
      </c>
      <c r="G71" s="8">
        <v>6.5181320000000003E-3</v>
      </c>
      <c r="H71" s="100"/>
    </row>
    <row r="72" spans="1:8" x14ac:dyDescent="0.2">
      <c r="A72" s="4">
        <v>66</v>
      </c>
      <c r="B72" s="5" t="s">
        <v>264</v>
      </c>
      <c r="C72" s="5" t="s">
        <v>265</v>
      </c>
      <c r="D72" s="5" t="s">
        <v>193</v>
      </c>
      <c r="E72" s="6">
        <v>14230</v>
      </c>
      <c r="F72" s="7">
        <v>140.26510999999999</v>
      </c>
      <c r="G72" s="8">
        <v>6.4000009999999998E-3</v>
      </c>
      <c r="H72" s="100"/>
    </row>
    <row r="73" spans="1:8" x14ac:dyDescent="0.2">
      <c r="A73" s="4">
        <v>67</v>
      </c>
      <c r="B73" s="5" t="s">
        <v>455</v>
      </c>
      <c r="C73" s="5" t="s">
        <v>456</v>
      </c>
      <c r="D73" s="5" t="s">
        <v>1006</v>
      </c>
      <c r="E73" s="6">
        <v>266331</v>
      </c>
      <c r="F73" s="7">
        <v>139.15794750000001</v>
      </c>
      <c r="G73" s="8">
        <v>6.3494830000000004E-3</v>
      </c>
      <c r="H73" s="100"/>
    </row>
    <row r="74" spans="1:8" x14ac:dyDescent="0.2">
      <c r="A74" s="4">
        <v>68</v>
      </c>
      <c r="B74" s="5" t="s">
        <v>284</v>
      </c>
      <c r="C74" s="5" t="s">
        <v>285</v>
      </c>
      <c r="D74" s="5" t="s">
        <v>1005</v>
      </c>
      <c r="E74" s="6">
        <v>402399</v>
      </c>
      <c r="F74" s="7">
        <v>101.002149</v>
      </c>
      <c r="G74" s="8">
        <v>4.6085149999999997E-3</v>
      </c>
      <c r="H74" s="100"/>
    </row>
    <row r="75" spans="1:8" x14ac:dyDescent="0.2">
      <c r="A75" s="4">
        <v>69</v>
      </c>
      <c r="B75" s="5" t="s">
        <v>268</v>
      </c>
      <c r="C75" s="5" t="s">
        <v>269</v>
      </c>
      <c r="D75" s="5" t="s">
        <v>1005</v>
      </c>
      <c r="E75" s="6">
        <v>222135</v>
      </c>
      <c r="F75" s="7">
        <v>78.63579</v>
      </c>
      <c r="G75" s="8">
        <v>3.5879850000000001E-3</v>
      </c>
      <c r="H75" s="100"/>
    </row>
    <row r="76" spans="1:8" ht="25.5" x14ac:dyDescent="0.2">
      <c r="A76" s="4">
        <v>70</v>
      </c>
      <c r="B76" s="5" t="s">
        <v>457</v>
      </c>
      <c r="C76" s="5" t="s">
        <v>458</v>
      </c>
      <c r="D76" s="5" t="s">
        <v>25</v>
      </c>
      <c r="E76" s="6">
        <v>55139</v>
      </c>
      <c r="F76" s="7">
        <v>66.139230499999996</v>
      </c>
      <c r="G76" s="8">
        <v>3.017793E-3</v>
      </c>
      <c r="H76" s="100"/>
    </row>
    <row r="77" spans="1:8" x14ac:dyDescent="0.2">
      <c r="A77" s="4">
        <v>71</v>
      </c>
      <c r="B77" s="5" t="s">
        <v>270</v>
      </c>
      <c r="C77" s="5" t="s">
        <v>271</v>
      </c>
      <c r="D77" s="5" t="s">
        <v>272</v>
      </c>
      <c r="E77" s="6">
        <v>49166</v>
      </c>
      <c r="F77" s="7">
        <v>64.087880999999996</v>
      </c>
      <c r="G77" s="8">
        <v>2.9241950000000001E-3</v>
      </c>
      <c r="H77" s="100"/>
    </row>
    <row r="78" spans="1:8" x14ac:dyDescent="0.2">
      <c r="A78" s="15" t="s">
        <v>9</v>
      </c>
      <c r="B78" s="15" t="s">
        <v>9</v>
      </c>
      <c r="C78" s="3" t="s">
        <v>94</v>
      </c>
      <c r="D78" s="15" t="s">
        <v>9</v>
      </c>
      <c r="E78" s="15" t="s">
        <v>9</v>
      </c>
      <c r="F78" s="9">
        <v>20820.481650000002</v>
      </c>
      <c r="G78" s="10">
        <v>0.94999462999999995</v>
      </c>
      <c r="H78" s="100"/>
    </row>
    <row r="79" spans="1:8" x14ac:dyDescent="0.2">
      <c r="A79" s="15" t="s">
        <v>9</v>
      </c>
      <c r="B79" s="15" t="s">
        <v>9</v>
      </c>
      <c r="C79" s="11" t="s">
        <v>9</v>
      </c>
      <c r="D79" s="15" t="s">
        <v>9</v>
      </c>
      <c r="E79" s="15" t="s">
        <v>9</v>
      </c>
      <c r="F79" s="12" t="s">
        <v>9</v>
      </c>
      <c r="G79" s="12" t="s">
        <v>9</v>
      </c>
      <c r="H79" s="100"/>
    </row>
    <row r="80" spans="1:8" x14ac:dyDescent="0.2">
      <c r="A80" s="15" t="s">
        <v>9</v>
      </c>
      <c r="B80" s="15" t="s">
        <v>9</v>
      </c>
      <c r="C80" s="3" t="s">
        <v>95</v>
      </c>
      <c r="D80" s="15" t="s">
        <v>9</v>
      </c>
      <c r="E80" s="15" t="s">
        <v>9</v>
      </c>
      <c r="F80" s="15" t="s">
        <v>9</v>
      </c>
      <c r="G80" s="15" t="s">
        <v>9</v>
      </c>
      <c r="H80" s="100"/>
    </row>
    <row r="81" spans="1:8" x14ac:dyDescent="0.2">
      <c r="A81" s="15" t="s">
        <v>9</v>
      </c>
      <c r="B81" s="15" t="s">
        <v>9</v>
      </c>
      <c r="C81" s="3" t="s">
        <v>94</v>
      </c>
      <c r="D81" s="15" t="s">
        <v>9</v>
      </c>
      <c r="E81" s="15" t="s">
        <v>9</v>
      </c>
      <c r="F81" s="13">
        <v>0</v>
      </c>
      <c r="G81" s="14">
        <v>0</v>
      </c>
      <c r="H81" s="100"/>
    </row>
    <row r="82" spans="1:8" x14ac:dyDescent="0.2">
      <c r="A82" s="15" t="s">
        <v>9</v>
      </c>
      <c r="B82" s="15" t="s">
        <v>9</v>
      </c>
      <c r="C82" s="11" t="s">
        <v>9</v>
      </c>
      <c r="D82" s="15" t="s">
        <v>9</v>
      </c>
      <c r="E82" s="15" t="s">
        <v>9</v>
      </c>
      <c r="F82" s="12" t="s">
        <v>9</v>
      </c>
      <c r="G82" s="12" t="s">
        <v>9</v>
      </c>
      <c r="H82" s="100"/>
    </row>
    <row r="83" spans="1:8" x14ac:dyDescent="0.2">
      <c r="A83" s="15" t="s">
        <v>9</v>
      </c>
      <c r="B83" s="15" t="s">
        <v>9</v>
      </c>
      <c r="C83" s="3" t="s">
        <v>96</v>
      </c>
      <c r="D83" s="15" t="s">
        <v>9</v>
      </c>
      <c r="E83" s="15" t="s">
        <v>9</v>
      </c>
      <c r="F83" s="15" t="s">
        <v>9</v>
      </c>
      <c r="G83" s="15" t="s">
        <v>9</v>
      </c>
      <c r="H83" s="100"/>
    </row>
    <row r="84" spans="1:8" x14ac:dyDescent="0.2">
      <c r="A84" s="15" t="s">
        <v>9</v>
      </c>
      <c r="B84" s="15" t="s">
        <v>9</v>
      </c>
      <c r="C84" s="3" t="s">
        <v>94</v>
      </c>
      <c r="D84" s="15" t="s">
        <v>9</v>
      </c>
      <c r="E84" s="15" t="s">
        <v>9</v>
      </c>
      <c r="F84" s="13">
        <v>0</v>
      </c>
      <c r="G84" s="14">
        <v>0</v>
      </c>
      <c r="H84" s="100"/>
    </row>
    <row r="85" spans="1:8" x14ac:dyDescent="0.2">
      <c r="A85" s="15" t="s">
        <v>9</v>
      </c>
      <c r="B85" s="15" t="s">
        <v>9</v>
      </c>
      <c r="C85" s="11" t="s">
        <v>9</v>
      </c>
      <c r="D85" s="15" t="s">
        <v>9</v>
      </c>
      <c r="E85" s="15" t="s">
        <v>9</v>
      </c>
      <c r="F85" s="12" t="s">
        <v>9</v>
      </c>
      <c r="G85" s="12" t="s">
        <v>9</v>
      </c>
      <c r="H85" s="100"/>
    </row>
    <row r="86" spans="1:8" x14ac:dyDescent="0.2">
      <c r="A86" s="15" t="s">
        <v>9</v>
      </c>
      <c r="B86" s="15" t="s">
        <v>9</v>
      </c>
      <c r="C86" s="3" t="s">
        <v>100</v>
      </c>
      <c r="D86" s="15" t="s">
        <v>9</v>
      </c>
      <c r="E86" s="15" t="s">
        <v>9</v>
      </c>
      <c r="F86" s="15" t="s">
        <v>9</v>
      </c>
      <c r="G86" s="15" t="s">
        <v>9</v>
      </c>
      <c r="H86" s="100"/>
    </row>
    <row r="87" spans="1:8" x14ac:dyDescent="0.2">
      <c r="A87" s="15" t="s">
        <v>9</v>
      </c>
      <c r="B87" s="15" t="s">
        <v>9</v>
      </c>
      <c r="C87" s="3" t="s">
        <v>94</v>
      </c>
      <c r="D87" s="15" t="s">
        <v>9</v>
      </c>
      <c r="E87" s="15" t="s">
        <v>9</v>
      </c>
      <c r="F87" s="13">
        <v>0</v>
      </c>
      <c r="G87" s="14">
        <v>0</v>
      </c>
      <c r="H87" s="100"/>
    </row>
    <row r="88" spans="1:8" x14ac:dyDescent="0.2">
      <c r="A88" s="15" t="s">
        <v>9</v>
      </c>
      <c r="B88" s="15" t="s">
        <v>9</v>
      </c>
      <c r="C88" s="11" t="s">
        <v>9</v>
      </c>
      <c r="D88" s="15" t="s">
        <v>9</v>
      </c>
      <c r="E88" s="15" t="s">
        <v>9</v>
      </c>
      <c r="F88" s="12" t="s">
        <v>9</v>
      </c>
      <c r="G88" s="12" t="s">
        <v>9</v>
      </c>
      <c r="H88" s="100"/>
    </row>
    <row r="89" spans="1:8" x14ac:dyDescent="0.2">
      <c r="A89" s="15" t="s">
        <v>9</v>
      </c>
      <c r="B89" s="15" t="s">
        <v>9</v>
      </c>
      <c r="C89" s="3" t="s">
        <v>101</v>
      </c>
      <c r="D89" s="15" t="s">
        <v>9</v>
      </c>
      <c r="E89" s="15" t="s">
        <v>9</v>
      </c>
      <c r="F89" s="12" t="s">
        <v>9</v>
      </c>
      <c r="G89" s="12" t="s">
        <v>9</v>
      </c>
      <c r="H89" s="100"/>
    </row>
    <row r="90" spans="1:8" x14ac:dyDescent="0.2">
      <c r="A90" s="15" t="s">
        <v>9</v>
      </c>
      <c r="B90" s="15" t="s">
        <v>9</v>
      </c>
      <c r="C90" s="3" t="s">
        <v>94</v>
      </c>
      <c r="D90" s="15" t="s">
        <v>9</v>
      </c>
      <c r="E90" s="15" t="s">
        <v>9</v>
      </c>
      <c r="F90" s="13">
        <v>0</v>
      </c>
      <c r="G90" s="14">
        <v>0</v>
      </c>
      <c r="H90" s="100"/>
    </row>
    <row r="91" spans="1:8" x14ac:dyDescent="0.2">
      <c r="A91" s="15" t="s">
        <v>9</v>
      </c>
      <c r="B91" s="15" t="s">
        <v>9</v>
      </c>
      <c r="C91" s="11" t="s">
        <v>9</v>
      </c>
      <c r="D91" s="15" t="s">
        <v>9</v>
      </c>
      <c r="E91" s="15" t="s">
        <v>9</v>
      </c>
      <c r="F91" s="12" t="s">
        <v>9</v>
      </c>
      <c r="G91" s="12" t="s">
        <v>9</v>
      </c>
      <c r="H91" s="100"/>
    </row>
    <row r="92" spans="1:8" x14ac:dyDescent="0.2">
      <c r="A92" s="15" t="s">
        <v>9</v>
      </c>
      <c r="B92" s="15" t="s">
        <v>9</v>
      </c>
      <c r="C92" s="3" t="s">
        <v>102</v>
      </c>
      <c r="D92" s="15" t="s">
        <v>9</v>
      </c>
      <c r="E92" s="15" t="s">
        <v>9</v>
      </c>
      <c r="F92" s="12" t="s">
        <v>9</v>
      </c>
      <c r="G92" s="12" t="s">
        <v>9</v>
      </c>
      <c r="H92" s="100"/>
    </row>
    <row r="93" spans="1:8" x14ac:dyDescent="0.2">
      <c r="A93" s="15" t="s">
        <v>9</v>
      </c>
      <c r="B93" s="15" t="s">
        <v>9</v>
      </c>
      <c r="C93" s="3" t="s">
        <v>94</v>
      </c>
      <c r="D93" s="15" t="s">
        <v>9</v>
      </c>
      <c r="E93" s="15" t="s">
        <v>9</v>
      </c>
      <c r="F93" s="13">
        <v>0</v>
      </c>
      <c r="G93" s="14">
        <v>0</v>
      </c>
      <c r="H93" s="100"/>
    </row>
    <row r="94" spans="1:8" x14ac:dyDescent="0.2">
      <c r="A94" s="15" t="s">
        <v>9</v>
      </c>
      <c r="B94" s="15" t="s">
        <v>9</v>
      </c>
      <c r="C94" s="11" t="s">
        <v>9</v>
      </c>
      <c r="D94" s="15" t="s">
        <v>9</v>
      </c>
      <c r="E94" s="15" t="s">
        <v>9</v>
      </c>
      <c r="F94" s="12" t="s">
        <v>9</v>
      </c>
      <c r="G94" s="12" t="s">
        <v>9</v>
      </c>
      <c r="H94" s="100"/>
    </row>
    <row r="95" spans="1:8" x14ac:dyDescent="0.2">
      <c r="A95" s="15" t="s">
        <v>9</v>
      </c>
      <c r="B95" s="15" t="s">
        <v>9</v>
      </c>
      <c r="C95" s="3" t="s">
        <v>104</v>
      </c>
      <c r="D95" s="15" t="s">
        <v>9</v>
      </c>
      <c r="E95" s="15" t="s">
        <v>9</v>
      </c>
      <c r="F95" s="9">
        <v>20820.481650000002</v>
      </c>
      <c r="G95" s="10">
        <v>0.94999462999999995</v>
      </c>
      <c r="H95" s="100"/>
    </row>
    <row r="96" spans="1:8" x14ac:dyDescent="0.2">
      <c r="A96" s="15" t="s">
        <v>9</v>
      </c>
      <c r="B96" s="15" t="s">
        <v>9</v>
      </c>
      <c r="C96" s="11" t="s">
        <v>9</v>
      </c>
      <c r="D96" s="15" t="s">
        <v>9</v>
      </c>
      <c r="E96" s="15" t="s">
        <v>9</v>
      </c>
      <c r="F96" s="12" t="s">
        <v>9</v>
      </c>
      <c r="G96" s="12" t="s">
        <v>9</v>
      </c>
      <c r="H96" s="100"/>
    </row>
    <row r="97" spans="1:8" x14ac:dyDescent="0.2">
      <c r="A97" s="15" t="s">
        <v>9</v>
      </c>
      <c r="B97" s="15" t="s">
        <v>9</v>
      </c>
      <c r="C97" s="3" t="s">
        <v>105</v>
      </c>
      <c r="D97" s="15" t="s">
        <v>9</v>
      </c>
      <c r="E97" s="15" t="s">
        <v>9</v>
      </c>
      <c r="F97" s="12" t="s">
        <v>9</v>
      </c>
      <c r="G97" s="12" t="s">
        <v>9</v>
      </c>
      <c r="H97" s="100"/>
    </row>
    <row r="98" spans="1:8" ht="25.5" x14ac:dyDescent="0.2">
      <c r="A98" s="15" t="s">
        <v>9</v>
      </c>
      <c r="B98" s="15" t="s">
        <v>9</v>
      </c>
      <c r="C98" s="3" t="s">
        <v>11</v>
      </c>
      <c r="D98" s="15" t="s">
        <v>9</v>
      </c>
      <c r="E98" s="15" t="s">
        <v>9</v>
      </c>
      <c r="F98" s="12" t="s">
        <v>9</v>
      </c>
      <c r="G98" s="12" t="s">
        <v>9</v>
      </c>
      <c r="H98" s="100"/>
    </row>
    <row r="99" spans="1:8" x14ac:dyDescent="0.2">
      <c r="A99" s="15" t="s">
        <v>9</v>
      </c>
      <c r="B99" s="15" t="s">
        <v>9</v>
      </c>
      <c r="C99" s="3" t="s">
        <v>94</v>
      </c>
      <c r="D99" s="15" t="s">
        <v>9</v>
      </c>
      <c r="E99" s="15" t="s">
        <v>9</v>
      </c>
      <c r="F99" s="13">
        <v>0</v>
      </c>
      <c r="G99" s="14">
        <v>0</v>
      </c>
      <c r="H99" s="100"/>
    </row>
    <row r="100" spans="1:8" x14ac:dyDescent="0.2">
      <c r="A100" s="15" t="s">
        <v>9</v>
      </c>
      <c r="B100" s="15" t="s">
        <v>9</v>
      </c>
      <c r="C100" s="11" t="s">
        <v>9</v>
      </c>
      <c r="D100" s="15" t="s">
        <v>9</v>
      </c>
      <c r="E100" s="15" t="s">
        <v>9</v>
      </c>
      <c r="F100" s="12" t="s">
        <v>9</v>
      </c>
      <c r="G100" s="12" t="s">
        <v>9</v>
      </c>
      <c r="H100" s="100"/>
    </row>
    <row r="101" spans="1:8" x14ac:dyDescent="0.2">
      <c r="A101" s="15" t="s">
        <v>9</v>
      </c>
      <c r="B101" s="15" t="s">
        <v>9</v>
      </c>
      <c r="C101" s="3" t="s">
        <v>106</v>
      </c>
      <c r="D101" s="15" t="s">
        <v>9</v>
      </c>
      <c r="E101" s="15" t="s">
        <v>9</v>
      </c>
      <c r="F101" s="15" t="s">
        <v>9</v>
      </c>
      <c r="G101" s="15" t="s">
        <v>9</v>
      </c>
      <c r="H101" s="100"/>
    </row>
    <row r="102" spans="1:8" x14ac:dyDescent="0.2">
      <c r="A102" s="15" t="s">
        <v>9</v>
      </c>
      <c r="B102" s="15" t="s">
        <v>9</v>
      </c>
      <c r="C102" s="3" t="s">
        <v>94</v>
      </c>
      <c r="D102" s="15" t="s">
        <v>9</v>
      </c>
      <c r="E102" s="15" t="s">
        <v>9</v>
      </c>
      <c r="F102" s="13">
        <v>0</v>
      </c>
      <c r="G102" s="14">
        <v>0</v>
      </c>
      <c r="H102" s="100"/>
    </row>
    <row r="103" spans="1:8" x14ac:dyDescent="0.2">
      <c r="A103" s="15" t="s">
        <v>9</v>
      </c>
      <c r="B103" s="15" t="s">
        <v>9</v>
      </c>
      <c r="C103" s="11" t="s">
        <v>9</v>
      </c>
      <c r="D103" s="15" t="s">
        <v>9</v>
      </c>
      <c r="E103" s="15" t="s">
        <v>9</v>
      </c>
      <c r="F103" s="12" t="s">
        <v>9</v>
      </c>
      <c r="G103" s="12" t="s">
        <v>9</v>
      </c>
      <c r="H103" s="100"/>
    </row>
    <row r="104" spans="1:8" x14ac:dyDescent="0.2">
      <c r="A104" s="15" t="s">
        <v>9</v>
      </c>
      <c r="B104" s="15" t="s">
        <v>9</v>
      </c>
      <c r="C104" s="3" t="s">
        <v>107</v>
      </c>
      <c r="D104" s="15" t="s">
        <v>9</v>
      </c>
      <c r="E104" s="15" t="s">
        <v>9</v>
      </c>
      <c r="F104" s="15" t="s">
        <v>9</v>
      </c>
      <c r="G104" s="15" t="s">
        <v>9</v>
      </c>
      <c r="H104" s="100"/>
    </row>
    <row r="105" spans="1:8" x14ac:dyDescent="0.2">
      <c r="A105" s="15" t="s">
        <v>9</v>
      </c>
      <c r="B105" s="15" t="s">
        <v>9</v>
      </c>
      <c r="C105" s="3" t="s">
        <v>94</v>
      </c>
      <c r="D105" s="15" t="s">
        <v>9</v>
      </c>
      <c r="E105" s="15" t="s">
        <v>9</v>
      </c>
      <c r="F105" s="13">
        <v>0</v>
      </c>
      <c r="G105" s="14">
        <v>0</v>
      </c>
      <c r="H105" s="100"/>
    </row>
    <row r="106" spans="1:8" x14ac:dyDescent="0.2">
      <c r="A106" s="15" t="s">
        <v>9</v>
      </c>
      <c r="B106" s="15" t="s">
        <v>9</v>
      </c>
      <c r="C106" s="11" t="s">
        <v>9</v>
      </c>
      <c r="D106" s="15" t="s">
        <v>9</v>
      </c>
      <c r="E106" s="15" t="s">
        <v>9</v>
      </c>
      <c r="F106" s="12" t="s">
        <v>9</v>
      </c>
      <c r="G106" s="12" t="s">
        <v>9</v>
      </c>
      <c r="H106" s="100"/>
    </row>
    <row r="107" spans="1:8" x14ac:dyDescent="0.2">
      <c r="A107" s="15" t="s">
        <v>9</v>
      </c>
      <c r="B107" s="15" t="s">
        <v>9</v>
      </c>
      <c r="C107" s="3" t="s">
        <v>108</v>
      </c>
      <c r="D107" s="15" t="s">
        <v>9</v>
      </c>
      <c r="E107" s="15" t="s">
        <v>9</v>
      </c>
      <c r="F107" s="12" t="s">
        <v>9</v>
      </c>
      <c r="G107" s="12" t="s">
        <v>9</v>
      </c>
      <c r="H107" s="100"/>
    </row>
    <row r="108" spans="1:8" x14ac:dyDescent="0.2">
      <c r="A108" s="15" t="s">
        <v>9</v>
      </c>
      <c r="B108" s="15" t="s">
        <v>9</v>
      </c>
      <c r="C108" s="3" t="s">
        <v>94</v>
      </c>
      <c r="D108" s="15" t="s">
        <v>9</v>
      </c>
      <c r="E108" s="15" t="s">
        <v>9</v>
      </c>
      <c r="F108" s="13">
        <v>0</v>
      </c>
      <c r="G108" s="14">
        <v>0</v>
      </c>
      <c r="H108" s="100"/>
    </row>
    <row r="109" spans="1:8" x14ac:dyDescent="0.2">
      <c r="A109" s="15" t="s">
        <v>9</v>
      </c>
      <c r="B109" s="15" t="s">
        <v>9</v>
      </c>
      <c r="C109" s="11" t="s">
        <v>9</v>
      </c>
      <c r="D109" s="15" t="s">
        <v>9</v>
      </c>
      <c r="E109" s="15" t="s">
        <v>9</v>
      </c>
      <c r="F109" s="12" t="s">
        <v>9</v>
      </c>
      <c r="G109" s="12" t="s">
        <v>9</v>
      </c>
      <c r="H109" s="100"/>
    </row>
    <row r="110" spans="1:8" x14ac:dyDescent="0.2">
      <c r="A110" s="15" t="s">
        <v>9</v>
      </c>
      <c r="B110" s="15" t="s">
        <v>9</v>
      </c>
      <c r="C110" s="3" t="s">
        <v>109</v>
      </c>
      <c r="D110" s="15" t="s">
        <v>9</v>
      </c>
      <c r="E110" s="15" t="s">
        <v>9</v>
      </c>
      <c r="F110" s="9">
        <v>0</v>
      </c>
      <c r="G110" s="10">
        <v>0</v>
      </c>
      <c r="H110" s="100"/>
    </row>
    <row r="111" spans="1:8" x14ac:dyDescent="0.2">
      <c r="A111" s="15" t="s">
        <v>9</v>
      </c>
      <c r="B111" s="15" t="s">
        <v>9</v>
      </c>
      <c r="C111" s="11" t="s">
        <v>9</v>
      </c>
      <c r="D111" s="15" t="s">
        <v>9</v>
      </c>
      <c r="E111" s="15" t="s">
        <v>9</v>
      </c>
      <c r="F111" s="12" t="s">
        <v>9</v>
      </c>
      <c r="G111" s="12" t="s">
        <v>9</v>
      </c>
      <c r="H111" s="100"/>
    </row>
    <row r="112" spans="1:8" x14ac:dyDescent="0.2">
      <c r="A112" s="15" t="s">
        <v>9</v>
      </c>
      <c r="B112" s="15" t="s">
        <v>9</v>
      </c>
      <c r="C112" s="3" t="s">
        <v>110</v>
      </c>
      <c r="D112" s="15" t="s">
        <v>9</v>
      </c>
      <c r="E112" s="15" t="s">
        <v>9</v>
      </c>
      <c r="F112" s="12" t="s">
        <v>9</v>
      </c>
      <c r="G112" s="12" t="s">
        <v>9</v>
      </c>
      <c r="H112" s="100"/>
    </row>
    <row r="113" spans="1:8" x14ac:dyDescent="0.2">
      <c r="A113" s="15" t="s">
        <v>9</v>
      </c>
      <c r="B113" s="15" t="s">
        <v>9</v>
      </c>
      <c r="C113" s="3" t="s">
        <v>111</v>
      </c>
      <c r="D113" s="15" t="s">
        <v>9</v>
      </c>
      <c r="E113" s="15" t="s">
        <v>9</v>
      </c>
      <c r="F113" s="12" t="s">
        <v>9</v>
      </c>
      <c r="G113" s="12" t="s">
        <v>9</v>
      </c>
      <c r="H113" s="100"/>
    </row>
    <row r="114" spans="1:8" x14ac:dyDescent="0.2">
      <c r="A114" s="15" t="s">
        <v>9</v>
      </c>
      <c r="B114" s="15" t="s">
        <v>9</v>
      </c>
      <c r="C114" s="3" t="s">
        <v>94</v>
      </c>
      <c r="D114" s="15" t="s">
        <v>9</v>
      </c>
      <c r="E114" s="15" t="s">
        <v>9</v>
      </c>
      <c r="F114" s="13">
        <v>0</v>
      </c>
      <c r="G114" s="14">
        <v>0</v>
      </c>
      <c r="H114" s="100"/>
    </row>
    <row r="115" spans="1:8" x14ac:dyDescent="0.2">
      <c r="A115" s="15" t="s">
        <v>9</v>
      </c>
      <c r="B115" s="15" t="s">
        <v>9</v>
      </c>
      <c r="C115" s="11" t="s">
        <v>9</v>
      </c>
      <c r="D115" s="15" t="s">
        <v>9</v>
      </c>
      <c r="E115" s="15" t="s">
        <v>9</v>
      </c>
      <c r="F115" s="12" t="s">
        <v>9</v>
      </c>
      <c r="G115" s="12" t="s">
        <v>9</v>
      </c>
      <c r="H115" s="100"/>
    </row>
    <row r="116" spans="1:8" x14ac:dyDescent="0.2">
      <c r="A116" s="15" t="s">
        <v>9</v>
      </c>
      <c r="B116" s="15" t="s">
        <v>9</v>
      </c>
      <c r="C116" s="3" t="s">
        <v>112</v>
      </c>
      <c r="D116" s="15" t="s">
        <v>9</v>
      </c>
      <c r="E116" s="15" t="s">
        <v>9</v>
      </c>
      <c r="F116" s="12" t="s">
        <v>9</v>
      </c>
      <c r="G116" s="12" t="s">
        <v>9</v>
      </c>
      <c r="H116" s="100"/>
    </row>
    <row r="117" spans="1:8" x14ac:dyDescent="0.2">
      <c r="A117" s="15" t="s">
        <v>9</v>
      </c>
      <c r="B117" s="15" t="s">
        <v>9</v>
      </c>
      <c r="C117" s="3" t="s">
        <v>94</v>
      </c>
      <c r="D117" s="15" t="s">
        <v>9</v>
      </c>
      <c r="E117" s="15" t="s">
        <v>9</v>
      </c>
      <c r="F117" s="13">
        <v>0</v>
      </c>
      <c r="G117" s="14">
        <v>0</v>
      </c>
      <c r="H117" s="100"/>
    </row>
    <row r="118" spans="1:8" x14ac:dyDescent="0.2">
      <c r="A118" s="15" t="s">
        <v>9</v>
      </c>
      <c r="B118" s="15" t="s">
        <v>9</v>
      </c>
      <c r="C118" s="11" t="s">
        <v>9</v>
      </c>
      <c r="D118" s="15" t="s">
        <v>9</v>
      </c>
      <c r="E118" s="15" t="s">
        <v>9</v>
      </c>
      <c r="F118" s="12" t="s">
        <v>9</v>
      </c>
      <c r="G118" s="12" t="s">
        <v>9</v>
      </c>
      <c r="H118" s="100"/>
    </row>
    <row r="119" spans="1:8" x14ac:dyDescent="0.2">
      <c r="A119" s="15" t="s">
        <v>9</v>
      </c>
      <c r="B119" s="15" t="s">
        <v>9</v>
      </c>
      <c r="C119" s="3" t="s">
        <v>113</v>
      </c>
      <c r="D119" s="15" t="s">
        <v>9</v>
      </c>
      <c r="E119" s="15" t="s">
        <v>9</v>
      </c>
      <c r="F119" s="12" t="s">
        <v>9</v>
      </c>
      <c r="G119" s="12" t="s">
        <v>9</v>
      </c>
      <c r="H119" s="100"/>
    </row>
    <row r="120" spans="1:8" x14ac:dyDescent="0.2">
      <c r="A120" s="15" t="s">
        <v>9</v>
      </c>
      <c r="B120" s="15" t="s">
        <v>9</v>
      </c>
      <c r="C120" s="3" t="s">
        <v>94</v>
      </c>
      <c r="D120" s="15" t="s">
        <v>9</v>
      </c>
      <c r="E120" s="15" t="s">
        <v>9</v>
      </c>
      <c r="F120" s="13">
        <v>0</v>
      </c>
      <c r="G120" s="14">
        <v>0</v>
      </c>
      <c r="H120" s="100"/>
    </row>
    <row r="121" spans="1:8" x14ac:dyDescent="0.2">
      <c r="A121" s="15" t="s">
        <v>9</v>
      </c>
      <c r="B121" s="15" t="s">
        <v>9</v>
      </c>
      <c r="C121" s="11" t="s">
        <v>9</v>
      </c>
      <c r="D121" s="15" t="s">
        <v>9</v>
      </c>
      <c r="E121" s="15" t="s">
        <v>9</v>
      </c>
      <c r="F121" s="12" t="s">
        <v>9</v>
      </c>
      <c r="G121" s="12" t="s">
        <v>9</v>
      </c>
      <c r="H121" s="100"/>
    </row>
    <row r="122" spans="1:8" x14ac:dyDescent="0.2">
      <c r="A122" s="15" t="s">
        <v>9</v>
      </c>
      <c r="B122" s="15" t="s">
        <v>9</v>
      </c>
      <c r="C122" s="3" t="s">
        <v>114</v>
      </c>
      <c r="D122" s="15" t="s">
        <v>9</v>
      </c>
      <c r="E122" s="15" t="s">
        <v>9</v>
      </c>
      <c r="F122" s="12" t="s">
        <v>9</v>
      </c>
      <c r="G122" s="12" t="s">
        <v>9</v>
      </c>
      <c r="H122" s="100"/>
    </row>
    <row r="123" spans="1:8" x14ac:dyDescent="0.2">
      <c r="A123" s="4">
        <v>1</v>
      </c>
      <c r="B123" s="5"/>
      <c r="C123" s="5" t="s">
        <v>115</v>
      </c>
      <c r="D123" s="5"/>
      <c r="E123" s="15" t="s">
        <v>9</v>
      </c>
      <c r="F123" s="7">
        <v>857.19260640000005</v>
      </c>
      <c r="G123" s="8">
        <v>3.9111888999999997E-2</v>
      </c>
      <c r="H123" s="99">
        <v>3.2516689338443991</v>
      </c>
    </row>
    <row r="124" spans="1:8" x14ac:dyDescent="0.2">
      <c r="A124" s="4">
        <v>2</v>
      </c>
      <c r="B124" s="5"/>
      <c r="C124" s="5" t="s">
        <v>116</v>
      </c>
      <c r="D124" s="5"/>
      <c r="E124" s="15" t="s">
        <v>9</v>
      </c>
      <c r="F124" s="7">
        <v>117.4432209</v>
      </c>
      <c r="G124" s="8">
        <v>5.3586859999999997E-3</v>
      </c>
      <c r="H124" s="100">
        <v>3.350000000000001</v>
      </c>
    </row>
    <row r="125" spans="1:8" x14ac:dyDescent="0.2">
      <c r="A125" s="15" t="s">
        <v>9</v>
      </c>
      <c r="B125" s="15" t="s">
        <v>9</v>
      </c>
      <c r="C125" s="3" t="s">
        <v>94</v>
      </c>
      <c r="D125" s="15" t="s">
        <v>9</v>
      </c>
      <c r="E125" s="15" t="s">
        <v>9</v>
      </c>
      <c r="F125" s="9">
        <v>974.63582729999996</v>
      </c>
      <c r="G125" s="10">
        <v>4.4470574999999998E-2</v>
      </c>
      <c r="H125" s="100"/>
    </row>
    <row r="126" spans="1:8" x14ac:dyDescent="0.2">
      <c r="A126" s="15" t="s">
        <v>9</v>
      </c>
      <c r="B126" s="15" t="s">
        <v>9</v>
      </c>
      <c r="C126" s="11" t="s">
        <v>9</v>
      </c>
      <c r="D126" s="15" t="s">
        <v>9</v>
      </c>
      <c r="E126" s="15" t="s">
        <v>9</v>
      </c>
      <c r="F126" s="12" t="s">
        <v>9</v>
      </c>
      <c r="G126" s="12" t="s">
        <v>9</v>
      </c>
      <c r="H126" s="100"/>
    </row>
    <row r="127" spans="1:8" x14ac:dyDescent="0.2">
      <c r="A127" s="15" t="s">
        <v>9</v>
      </c>
      <c r="B127" s="15" t="s">
        <v>9</v>
      </c>
      <c r="C127" s="3" t="s">
        <v>117</v>
      </c>
      <c r="D127" s="15" t="s">
        <v>9</v>
      </c>
      <c r="E127" s="15" t="s">
        <v>9</v>
      </c>
      <c r="F127" s="9">
        <v>974.63582729999996</v>
      </c>
      <c r="G127" s="10">
        <v>4.4470574999999998E-2</v>
      </c>
      <c r="H127" s="100"/>
    </row>
    <row r="128" spans="1:8" x14ac:dyDescent="0.2">
      <c r="A128" s="15" t="s">
        <v>9</v>
      </c>
      <c r="B128" s="15" t="s">
        <v>9</v>
      </c>
      <c r="C128" s="12" t="s">
        <v>9</v>
      </c>
      <c r="D128" s="15" t="s">
        <v>9</v>
      </c>
      <c r="E128" s="15" t="s">
        <v>9</v>
      </c>
      <c r="F128" s="15" t="s">
        <v>9</v>
      </c>
      <c r="G128" s="15" t="s">
        <v>9</v>
      </c>
      <c r="H128" s="100"/>
    </row>
    <row r="129" spans="1:8" x14ac:dyDescent="0.2">
      <c r="A129" s="15" t="s">
        <v>9</v>
      </c>
      <c r="B129" s="15" t="s">
        <v>9</v>
      </c>
      <c r="C129" s="3" t="s">
        <v>118</v>
      </c>
      <c r="D129" s="15" t="s">
        <v>9</v>
      </c>
      <c r="E129" s="15" t="s">
        <v>9</v>
      </c>
      <c r="F129" s="15" t="s">
        <v>9</v>
      </c>
      <c r="G129" s="15" t="s">
        <v>9</v>
      </c>
      <c r="H129" s="100"/>
    </row>
    <row r="130" spans="1:8" x14ac:dyDescent="0.2">
      <c r="A130" s="15" t="s">
        <v>9</v>
      </c>
      <c r="B130" s="15" t="s">
        <v>9</v>
      </c>
      <c r="C130" s="3" t="s">
        <v>119</v>
      </c>
      <c r="D130" s="15" t="s">
        <v>9</v>
      </c>
      <c r="E130" s="15" t="s">
        <v>9</v>
      </c>
      <c r="F130" s="15" t="s">
        <v>9</v>
      </c>
      <c r="G130" s="15" t="s">
        <v>9</v>
      </c>
      <c r="H130" s="100"/>
    </row>
    <row r="131" spans="1:8" x14ac:dyDescent="0.2">
      <c r="A131" s="15" t="s">
        <v>9</v>
      </c>
      <c r="B131" s="15" t="s">
        <v>9</v>
      </c>
      <c r="C131" s="3" t="s">
        <v>94</v>
      </c>
      <c r="D131" s="15" t="s">
        <v>9</v>
      </c>
      <c r="E131" s="15" t="s">
        <v>9</v>
      </c>
      <c r="F131" s="13">
        <v>0</v>
      </c>
      <c r="G131" s="14">
        <v>0</v>
      </c>
      <c r="H131" s="100"/>
    </row>
    <row r="132" spans="1:8" x14ac:dyDescent="0.2">
      <c r="A132" s="15" t="s">
        <v>9</v>
      </c>
      <c r="B132" s="15" t="s">
        <v>9</v>
      </c>
      <c r="C132" s="11" t="s">
        <v>9</v>
      </c>
      <c r="D132" s="15" t="s">
        <v>9</v>
      </c>
      <c r="E132" s="15" t="s">
        <v>9</v>
      </c>
      <c r="F132" s="12" t="s">
        <v>9</v>
      </c>
      <c r="G132" s="12" t="s">
        <v>9</v>
      </c>
      <c r="H132" s="100"/>
    </row>
    <row r="133" spans="1:8" x14ac:dyDescent="0.2">
      <c r="A133" s="15" t="s">
        <v>9</v>
      </c>
      <c r="B133" s="15" t="s">
        <v>9</v>
      </c>
      <c r="C133" s="3" t="s">
        <v>120</v>
      </c>
      <c r="D133" s="15" t="s">
        <v>9</v>
      </c>
      <c r="E133" s="15" t="s">
        <v>9</v>
      </c>
      <c r="F133" s="15" t="s">
        <v>9</v>
      </c>
      <c r="G133" s="15" t="s">
        <v>9</v>
      </c>
      <c r="H133" s="100"/>
    </row>
    <row r="134" spans="1:8" x14ac:dyDescent="0.2">
      <c r="A134" s="15" t="s">
        <v>9</v>
      </c>
      <c r="B134" s="15" t="s">
        <v>9</v>
      </c>
      <c r="C134" s="3" t="s">
        <v>121</v>
      </c>
      <c r="D134" s="15" t="s">
        <v>9</v>
      </c>
      <c r="E134" s="15" t="s">
        <v>9</v>
      </c>
      <c r="F134" s="15" t="s">
        <v>9</v>
      </c>
      <c r="G134" s="15" t="s">
        <v>9</v>
      </c>
      <c r="H134" s="100"/>
    </row>
    <row r="135" spans="1:8" x14ac:dyDescent="0.2">
      <c r="A135" s="15" t="s">
        <v>9</v>
      </c>
      <c r="B135" s="15" t="s">
        <v>9</v>
      </c>
      <c r="C135" s="3" t="s">
        <v>94</v>
      </c>
      <c r="D135" s="15" t="s">
        <v>9</v>
      </c>
      <c r="E135" s="15" t="s">
        <v>9</v>
      </c>
      <c r="F135" s="13">
        <v>0</v>
      </c>
      <c r="G135" s="14">
        <v>0</v>
      </c>
      <c r="H135" s="100"/>
    </row>
    <row r="136" spans="1:8" x14ac:dyDescent="0.2">
      <c r="A136" s="15" t="s">
        <v>9</v>
      </c>
      <c r="B136" s="15" t="s">
        <v>9</v>
      </c>
      <c r="C136" s="11" t="s">
        <v>9</v>
      </c>
      <c r="D136" s="15" t="s">
        <v>9</v>
      </c>
      <c r="E136" s="15" t="s">
        <v>9</v>
      </c>
      <c r="F136" s="12" t="s">
        <v>9</v>
      </c>
      <c r="G136" s="12" t="s">
        <v>9</v>
      </c>
      <c r="H136" s="100"/>
    </row>
    <row r="137" spans="1:8" x14ac:dyDescent="0.2">
      <c r="A137" s="15" t="s">
        <v>9</v>
      </c>
      <c r="B137" s="15" t="s">
        <v>9</v>
      </c>
      <c r="C137" s="11" t="s">
        <v>9</v>
      </c>
      <c r="D137" s="15" t="s">
        <v>9</v>
      </c>
      <c r="E137" s="15" t="s">
        <v>9</v>
      </c>
      <c r="F137" s="12" t="s">
        <v>9</v>
      </c>
      <c r="G137" s="12" t="s">
        <v>9</v>
      </c>
      <c r="H137" s="100"/>
    </row>
    <row r="138" spans="1:8" ht="25.5" x14ac:dyDescent="0.2">
      <c r="A138" s="15" t="s">
        <v>9</v>
      </c>
      <c r="B138" s="15" t="s">
        <v>9</v>
      </c>
      <c r="C138" s="3" t="s">
        <v>122</v>
      </c>
      <c r="D138" s="15" t="s">
        <v>9</v>
      </c>
      <c r="E138" s="15" t="s">
        <v>9</v>
      </c>
      <c r="F138" s="12" t="s">
        <v>9</v>
      </c>
      <c r="G138" s="12" t="s">
        <v>9</v>
      </c>
      <c r="H138" s="100"/>
    </row>
    <row r="139" spans="1:8" x14ac:dyDescent="0.2">
      <c r="A139" s="15" t="s">
        <v>9</v>
      </c>
      <c r="B139" s="15" t="s">
        <v>9</v>
      </c>
      <c r="C139" s="3" t="s">
        <v>94</v>
      </c>
      <c r="D139" s="15" t="s">
        <v>9</v>
      </c>
      <c r="E139" s="15" t="s">
        <v>9</v>
      </c>
      <c r="F139" s="13">
        <v>0</v>
      </c>
      <c r="G139" s="14">
        <v>0</v>
      </c>
      <c r="H139" s="100"/>
    </row>
    <row r="140" spans="1:8" x14ac:dyDescent="0.2">
      <c r="A140" s="15" t="s">
        <v>9</v>
      </c>
      <c r="B140" s="15" t="s">
        <v>9</v>
      </c>
      <c r="C140" s="11" t="s">
        <v>9</v>
      </c>
      <c r="D140" s="15" t="s">
        <v>9</v>
      </c>
      <c r="E140" s="15" t="s">
        <v>9</v>
      </c>
      <c r="F140" s="12" t="s">
        <v>9</v>
      </c>
      <c r="G140" s="12" t="s">
        <v>9</v>
      </c>
      <c r="H140" s="100"/>
    </row>
    <row r="141" spans="1:8" x14ac:dyDescent="0.2">
      <c r="A141" s="15" t="s">
        <v>9</v>
      </c>
      <c r="B141" s="5" t="s">
        <v>9</v>
      </c>
      <c r="C141" s="5" t="s">
        <v>9</v>
      </c>
      <c r="D141" s="3" t="s">
        <v>9</v>
      </c>
      <c r="E141" s="15" t="s">
        <v>9</v>
      </c>
      <c r="F141" s="5" t="s">
        <v>9</v>
      </c>
      <c r="G141" s="15" t="s">
        <v>9</v>
      </c>
      <c r="H141" s="100"/>
    </row>
    <row r="142" spans="1:8" x14ac:dyDescent="0.2">
      <c r="A142" s="15" t="s">
        <v>9</v>
      </c>
      <c r="B142" s="5" t="s">
        <v>9</v>
      </c>
      <c r="C142" s="5" t="s">
        <v>124</v>
      </c>
      <c r="D142" s="5" t="s">
        <v>9</v>
      </c>
      <c r="E142" s="15" t="s">
        <v>9</v>
      </c>
      <c r="F142" s="7">
        <v>121.3028468</v>
      </c>
      <c r="G142" s="8">
        <v>5.5347929999999997E-3</v>
      </c>
      <c r="H142" s="100"/>
    </row>
    <row r="143" spans="1:8" x14ac:dyDescent="0.2">
      <c r="A143" s="11" t="s">
        <v>9</v>
      </c>
      <c r="B143" s="11" t="s">
        <v>9</v>
      </c>
      <c r="C143" s="3" t="s">
        <v>125</v>
      </c>
      <c r="D143" s="16" t="s">
        <v>9</v>
      </c>
      <c r="E143" s="16" t="s">
        <v>9</v>
      </c>
      <c r="F143" s="9">
        <v>21916.4203241</v>
      </c>
      <c r="G143" s="10">
        <v>0.99999999799999995</v>
      </c>
      <c r="H143" s="100"/>
    </row>
    <row r="144" spans="1:8" x14ac:dyDescent="0.2">
      <c r="A144" s="17" t="s">
        <v>9</v>
      </c>
      <c r="B144" s="17" t="s">
        <v>9</v>
      </c>
      <c r="C144" s="17" t="s">
        <v>9</v>
      </c>
      <c r="D144" s="18" t="s">
        <v>9</v>
      </c>
      <c r="E144" s="18" t="s">
        <v>9</v>
      </c>
      <c r="F144" s="18" t="s">
        <v>9</v>
      </c>
      <c r="G144" s="18" t="s">
        <v>9</v>
      </c>
      <c r="H144" s="142"/>
    </row>
    <row r="145" spans="1:8" x14ac:dyDescent="0.2">
      <c r="A145" s="19" t="s">
        <v>9</v>
      </c>
      <c r="B145" s="254" t="s">
        <v>9</v>
      </c>
      <c r="C145" s="254"/>
      <c r="D145" s="254"/>
      <c r="E145" s="254"/>
      <c r="F145" s="254"/>
      <c r="G145" s="20" t="s">
        <v>9</v>
      </c>
      <c r="H145" s="142"/>
    </row>
    <row r="146" spans="1:8" x14ac:dyDescent="0.2">
      <c r="A146" s="19" t="s">
        <v>9</v>
      </c>
      <c r="B146" s="254" t="s">
        <v>9</v>
      </c>
      <c r="C146" s="254"/>
      <c r="D146" s="254"/>
      <c r="E146" s="254"/>
      <c r="F146" s="254"/>
      <c r="G146" s="20" t="s">
        <v>9</v>
      </c>
      <c r="H146" s="142"/>
    </row>
    <row r="147" spans="1:8" x14ac:dyDescent="0.2">
      <c r="A147" s="19" t="s">
        <v>9</v>
      </c>
      <c r="B147" s="176" t="s">
        <v>9</v>
      </c>
      <c r="C147" s="176" t="s">
        <v>9</v>
      </c>
      <c r="D147" s="179" t="s">
        <v>9</v>
      </c>
      <c r="E147" s="179" t="s">
        <v>9</v>
      </c>
      <c r="F147" s="179" t="s">
        <v>9</v>
      </c>
      <c r="G147" s="20" t="s">
        <v>9</v>
      </c>
      <c r="H147" s="142"/>
    </row>
    <row r="148" spans="1:8" x14ac:dyDescent="0.2">
      <c r="A148" s="19" t="s">
        <v>9</v>
      </c>
      <c r="B148" s="247" t="s">
        <v>127</v>
      </c>
      <c r="C148" s="248"/>
      <c r="D148" s="182" t="s">
        <v>9</v>
      </c>
      <c r="E148" s="178" t="s">
        <v>9</v>
      </c>
      <c r="F148" s="179" t="s">
        <v>9</v>
      </c>
      <c r="G148" s="20" t="s">
        <v>9</v>
      </c>
      <c r="H148" s="142"/>
    </row>
    <row r="149" spans="1:8" ht="28.5" customHeight="1" x14ac:dyDescent="0.2">
      <c r="A149" s="19" t="s">
        <v>9</v>
      </c>
      <c r="B149" s="242" t="s">
        <v>128</v>
      </c>
      <c r="C149" s="243"/>
      <c r="D149" s="3" t="s">
        <v>129</v>
      </c>
      <c r="E149" s="21" t="s">
        <v>9</v>
      </c>
      <c r="F149" s="20" t="s">
        <v>9</v>
      </c>
      <c r="G149" s="20" t="s">
        <v>9</v>
      </c>
      <c r="H149" s="142"/>
    </row>
    <row r="150" spans="1:8" x14ac:dyDescent="0.2">
      <c r="A150" s="19" t="s">
        <v>9</v>
      </c>
      <c r="B150" s="240" t="s">
        <v>130</v>
      </c>
      <c r="C150" s="241"/>
      <c r="D150" s="177" t="s">
        <v>129</v>
      </c>
      <c r="E150" s="178" t="s">
        <v>9</v>
      </c>
      <c r="F150" s="179" t="s">
        <v>9</v>
      </c>
      <c r="G150" s="20" t="s">
        <v>9</v>
      </c>
      <c r="H150" s="142"/>
    </row>
    <row r="151" spans="1:8" x14ac:dyDescent="0.2">
      <c r="A151" s="19" t="s">
        <v>9</v>
      </c>
      <c r="B151" s="240" t="s">
        <v>131</v>
      </c>
      <c r="C151" s="241"/>
      <c r="D151" s="182" t="s">
        <v>9</v>
      </c>
      <c r="E151" s="178" t="s">
        <v>9</v>
      </c>
      <c r="F151" s="179" t="s">
        <v>9</v>
      </c>
      <c r="G151" s="20" t="s">
        <v>9</v>
      </c>
      <c r="H151" s="142"/>
    </row>
    <row r="152" spans="1:8" ht="25.5" x14ac:dyDescent="0.2">
      <c r="A152" s="25" t="s">
        <v>9</v>
      </c>
      <c r="B152" s="23" t="s">
        <v>9</v>
      </c>
      <c r="C152" s="23" t="s">
        <v>132</v>
      </c>
      <c r="D152" s="23" t="s">
        <v>133</v>
      </c>
      <c r="E152" s="22" t="s">
        <v>9</v>
      </c>
      <c r="F152" s="22" t="s">
        <v>9</v>
      </c>
      <c r="G152" s="25" t="s">
        <v>9</v>
      </c>
      <c r="H152" s="142"/>
    </row>
    <row r="153" spans="1:8" x14ac:dyDescent="0.2">
      <c r="A153" s="25" t="s">
        <v>9</v>
      </c>
      <c r="B153" s="23" t="s">
        <v>134</v>
      </c>
      <c r="C153" s="23" t="s">
        <v>135</v>
      </c>
      <c r="D153" s="23" t="s">
        <v>136</v>
      </c>
      <c r="E153" s="22" t="s">
        <v>9</v>
      </c>
      <c r="F153" s="22" t="s">
        <v>9</v>
      </c>
      <c r="G153" s="25" t="s">
        <v>9</v>
      </c>
      <c r="H153" s="142"/>
    </row>
    <row r="154" spans="1:8" x14ac:dyDescent="0.2">
      <c r="A154" s="25" t="s">
        <v>9</v>
      </c>
      <c r="B154" s="183" t="s">
        <v>137</v>
      </c>
      <c r="C154" s="184">
        <v>11.263400000000001</v>
      </c>
      <c r="D154" s="184">
        <v>11.5481</v>
      </c>
      <c r="E154" s="22" t="s">
        <v>9</v>
      </c>
      <c r="F154" s="185" t="s">
        <v>9</v>
      </c>
      <c r="G154" s="25" t="s">
        <v>9</v>
      </c>
      <c r="H154" s="142"/>
    </row>
    <row r="155" spans="1:8" x14ac:dyDescent="0.2">
      <c r="A155" s="25" t="s">
        <v>9</v>
      </c>
      <c r="B155" s="183" t="s">
        <v>921</v>
      </c>
      <c r="C155" s="184">
        <v>11.263400000000001</v>
      </c>
      <c r="D155" s="184">
        <v>11.5481</v>
      </c>
      <c r="E155" s="22" t="s">
        <v>9</v>
      </c>
      <c r="F155" s="185" t="s">
        <v>9</v>
      </c>
      <c r="G155" s="25" t="s">
        <v>9</v>
      </c>
      <c r="H155" s="142"/>
    </row>
    <row r="156" spans="1:8" x14ac:dyDescent="0.2">
      <c r="A156" s="25" t="s">
        <v>9</v>
      </c>
      <c r="B156" s="183" t="s">
        <v>138</v>
      </c>
      <c r="C156" s="184">
        <v>10.916600000000001</v>
      </c>
      <c r="D156" s="184">
        <v>11.1854</v>
      </c>
      <c r="E156" s="22" t="s">
        <v>9</v>
      </c>
      <c r="F156" s="185" t="s">
        <v>9</v>
      </c>
      <c r="G156" s="25" t="s">
        <v>9</v>
      </c>
      <c r="H156" s="142"/>
    </row>
    <row r="157" spans="1:8" x14ac:dyDescent="0.2">
      <c r="A157" s="25" t="s">
        <v>9</v>
      </c>
      <c r="B157" s="183" t="s">
        <v>922</v>
      </c>
      <c r="C157" s="184">
        <v>10.916600000000001</v>
      </c>
      <c r="D157" s="184">
        <v>11.1854</v>
      </c>
      <c r="E157" s="22" t="s">
        <v>9</v>
      </c>
      <c r="F157" s="185" t="s">
        <v>9</v>
      </c>
      <c r="G157" s="25" t="s">
        <v>9</v>
      </c>
      <c r="H157" s="142"/>
    </row>
    <row r="158" spans="1:8" x14ac:dyDescent="0.2">
      <c r="A158" s="25" t="s">
        <v>9</v>
      </c>
      <c r="B158" s="22" t="s">
        <v>9</v>
      </c>
      <c r="C158" s="22" t="s">
        <v>9</v>
      </c>
      <c r="D158" s="22" t="s">
        <v>9</v>
      </c>
      <c r="E158" s="22" t="s">
        <v>9</v>
      </c>
      <c r="F158" s="22" t="s">
        <v>9</v>
      </c>
      <c r="G158" s="25" t="s">
        <v>9</v>
      </c>
      <c r="H158" s="142"/>
    </row>
    <row r="159" spans="1:8" x14ac:dyDescent="0.2">
      <c r="A159" s="25" t="s">
        <v>9</v>
      </c>
      <c r="B159" s="240" t="s">
        <v>1012</v>
      </c>
      <c r="C159" s="241"/>
      <c r="D159" s="177" t="s">
        <v>129</v>
      </c>
      <c r="E159" s="22" t="s">
        <v>9</v>
      </c>
      <c r="F159" s="22" t="s">
        <v>9</v>
      </c>
      <c r="G159" s="25" t="s">
        <v>9</v>
      </c>
      <c r="H159" s="142"/>
    </row>
    <row r="160" spans="1:8" x14ac:dyDescent="0.2">
      <c r="A160" s="25" t="s">
        <v>9</v>
      </c>
      <c r="B160" s="98"/>
      <c r="C160" s="98"/>
      <c r="D160" s="26" t="s">
        <v>9</v>
      </c>
      <c r="E160" s="22" t="s">
        <v>9</v>
      </c>
      <c r="F160" s="22" t="s">
        <v>9</v>
      </c>
      <c r="G160" s="25" t="s">
        <v>9</v>
      </c>
      <c r="H160" s="142"/>
    </row>
    <row r="161" spans="1:8" s="238" customFormat="1" ht="12.75" x14ac:dyDescent="0.2">
      <c r="B161" s="246" t="s">
        <v>923</v>
      </c>
      <c r="C161" s="246"/>
      <c r="D161" s="246"/>
      <c r="E161" s="246"/>
      <c r="F161" s="246"/>
    </row>
    <row r="162" spans="1:8" x14ac:dyDescent="0.2">
      <c r="A162" s="25" t="s">
        <v>9</v>
      </c>
      <c r="B162" s="185" t="s">
        <v>9</v>
      </c>
      <c r="C162" s="185" t="s">
        <v>9</v>
      </c>
      <c r="D162" s="22" t="s">
        <v>9</v>
      </c>
      <c r="E162" s="22" t="s">
        <v>9</v>
      </c>
      <c r="F162" s="22" t="s">
        <v>9</v>
      </c>
      <c r="G162" s="25" t="s">
        <v>9</v>
      </c>
      <c r="H162" s="142"/>
    </row>
    <row r="163" spans="1:8" x14ac:dyDescent="0.2">
      <c r="A163" s="25" t="s">
        <v>9</v>
      </c>
      <c r="B163" s="240" t="s">
        <v>139</v>
      </c>
      <c r="C163" s="241"/>
      <c r="D163" s="177" t="s">
        <v>129</v>
      </c>
      <c r="E163" s="22" t="s">
        <v>9</v>
      </c>
      <c r="F163" s="22" t="s">
        <v>9</v>
      </c>
      <c r="G163" s="25" t="s">
        <v>9</v>
      </c>
      <c r="H163" s="142"/>
    </row>
    <row r="164" spans="1:8" x14ac:dyDescent="0.2">
      <c r="A164" s="25" t="s">
        <v>9</v>
      </c>
      <c r="B164" s="240" t="s">
        <v>140</v>
      </c>
      <c r="C164" s="241"/>
      <c r="D164" s="177" t="s">
        <v>129</v>
      </c>
      <c r="E164" s="22" t="s">
        <v>9</v>
      </c>
      <c r="F164" s="22" t="s">
        <v>9</v>
      </c>
      <c r="G164" s="25" t="s">
        <v>9</v>
      </c>
      <c r="H164" s="142"/>
    </row>
    <row r="165" spans="1:8" x14ac:dyDescent="0.2">
      <c r="A165" s="25" t="s">
        <v>9</v>
      </c>
      <c r="B165" s="240" t="s">
        <v>141</v>
      </c>
      <c r="C165" s="241"/>
      <c r="D165" s="186">
        <v>0.42848202019881304</v>
      </c>
      <c r="E165" s="22" t="s">
        <v>9</v>
      </c>
      <c r="F165" s="185" t="s">
        <v>9</v>
      </c>
      <c r="G165" s="25" t="s">
        <v>9</v>
      </c>
      <c r="H165" s="142"/>
    </row>
    <row r="166" spans="1:8" x14ac:dyDescent="0.2">
      <c r="A166" s="25" t="s">
        <v>9</v>
      </c>
      <c r="B166" s="240" t="s">
        <v>142</v>
      </c>
      <c r="C166" s="241"/>
      <c r="D166" s="177" t="s">
        <v>129</v>
      </c>
      <c r="E166" s="22" t="s">
        <v>9</v>
      </c>
      <c r="F166" s="22" t="s">
        <v>9</v>
      </c>
      <c r="G166" s="25" t="s">
        <v>9</v>
      </c>
      <c r="H166" s="142"/>
    </row>
  </sheetData>
  <mergeCells count="15">
    <mergeCell ref="B148:C148"/>
    <mergeCell ref="B145:F145"/>
    <mergeCell ref="B146:F146"/>
    <mergeCell ref="A1:H1"/>
    <mergeCell ref="A2:H2"/>
    <mergeCell ref="A3:H3"/>
    <mergeCell ref="B165:C165"/>
    <mergeCell ref="B166:C166"/>
    <mergeCell ref="B149:C149"/>
    <mergeCell ref="B150:C150"/>
    <mergeCell ref="B151:C151"/>
    <mergeCell ref="B159:C159"/>
    <mergeCell ref="B163:C163"/>
    <mergeCell ref="B164:C164"/>
    <mergeCell ref="B161:F161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outlinePr summaryBelow="0" summaryRight="0"/>
  </sheetPr>
  <dimension ref="A1:H166"/>
  <sheetViews>
    <sheetView showGridLines="0" workbookViewId="0">
      <selection activeCell="J1" sqref="J1"/>
    </sheetView>
  </sheetViews>
  <sheetFormatPr defaultRowHeight="15" x14ac:dyDescent="0.2"/>
  <cols>
    <col min="1" max="1" width="6.85546875" style="155" customWidth="1"/>
    <col min="2" max="2" width="20.5703125" style="155" customWidth="1"/>
    <col min="3" max="3" width="34.28515625" style="155" customWidth="1"/>
    <col min="4" max="4" width="17.85546875" style="155" customWidth="1"/>
    <col min="5" max="6" width="19.140625" style="155" customWidth="1"/>
    <col min="7" max="7" width="16.42578125" style="155" customWidth="1"/>
    <col min="8" max="16384" width="9.140625" style="155"/>
  </cols>
  <sheetData>
    <row r="1" spans="1:8" x14ac:dyDescent="0.2">
      <c r="A1" s="250" t="s">
        <v>0</v>
      </c>
      <c r="B1" s="250"/>
      <c r="C1" s="250"/>
      <c r="D1" s="250"/>
      <c r="E1" s="250"/>
      <c r="F1" s="250"/>
      <c r="G1" s="250"/>
      <c r="H1" s="250"/>
    </row>
    <row r="2" spans="1:8" x14ac:dyDescent="0.2">
      <c r="A2" s="251" t="s">
        <v>460</v>
      </c>
      <c r="B2" s="252"/>
      <c r="C2" s="252"/>
      <c r="D2" s="252"/>
      <c r="E2" s="252"/>
      <c r="F2" s="252"/>
      <c r="G2" s="252"/>
      <c r="H2" s="253"/>
    </row>
    <row r="3" spans="1:8" x14ac:dyDescent="0.2">
      <c r="A3" s="250" t="s">
        <v>1015</v>
      </c>
      <c r="B3" s="250"/>
      <c r="C3" s="250"/>
      <c r="D3" s="250"/>
      <c r="E3" s="250"/>
      <c r="F3" s="250"/>
      <c r="G3" s="250"/>
      <c r="H3" s="250"/>
    </row>
    <row r="4" spans="1:8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60" t="s">
        <v>6</v>
      </c>
      <c r="F4" s="160" t="s">
        <v>7</v>
      </c>
      <c r="G4" s="160" t="s">
        <v>8</v>
      </c>
      <c r="H4" s="161" t="s">
        <v>909</v>
      </c>
    </row>
    <row r="5" spans="1:8" x14ac:dyDescent="0.2">
      <c r="A5" s="15" t="s">
        <v>9</v>
      </c>
      <c r="B5" s="15" t="s">
        <v>9</v>
      </c>
      <c r="C5" s="3" t="s">
        <v>10</v>
      </c>
      <c r="D5" s="15" t="s">
        <v>9</v>
      </c>
      <c r="E5" s="15" t="s">
        <v>9</v>
      </c>
      <c r="F5" s="15" t="s">
        <v>9</v>
      </c>
      <c r="G5" s="15" t="s">
        <v>9</v>
      </c>
      <c r="H5" s="100"/>
    </row>
    <row r="6" spans="1:8" ht="25.5" x14ac:dyDescent="0.2">
      <c r="A6" s="15" t="s">
        <v>9</v>
      </c>
      <c r="B6" s="15" t="s">
        <v>9</v>
      </c>
      <c r="C6" s="3" t="s">
        <v>11</v>
      </c>
      <c r="D6" s="15" t="s">
        <v>9</v>
      </c>
      <c r="E6" s="15" t="s">
        <v>9</v>
      </c>
      <c r="F6" s="15" t="s">
        <v>9</v>
      </c>
      <c r="G6" s="15" t="s">
        <v>9</v>
      </c>
      <c r="H6" s="100"/>
    </row>
    <row r="7" spans="1:8" x14ac:dyDescent="0.2">
      <c r="A7" s="4">
        <v>1</v>
      </c>
      <c r="B7" s="5" t="s">
        <v>144</v>
      </c>
      <c r="C7" s="5" t="s">
        <v>145</v>
      </c>
      <c r="D7" s="5" t="s">
        <v>146</v>
      </c>
      <c r="E7" s="6">
        <v>22417</v>
      </c>
      <c r="F7" s="7">
        <v>768.499594</v>
      </c>
      <c r="G7" s="8">
        <v>3.9504884999999997E-2</v>
      </c>
      <c r="H7" s="100"/>
    </row>
    <row r="8" spans="1:8" x14ac:dyDescent="0.2">
      <c r="A8" s="4">
        <v>2</v>
      </c>
      <c r="B8" s="5" t="s">
        <v>26</v>
      </c>
      <c r="C8" s="5" t="s">
        <v>27</v>
      </c>
      <c r="D8" s="5" t="s">
        <v>28</v>
      </c>
      <c r="E8" s="6">
        <v>70954</v>
      </c>
      <c r="F8" s="7">
        <v>649.86768600000005</v>
      </c>
      <c r="G8" s="8">
        <v>3.3406587000000001E-2</v>
      </c>
      <c r="H8" s="100"/>
    </row>
    <row r="9" spans="1:8" ht="25.5" x14ac:dyDescent="0.2">
      <c r="A9" s="4">
        <v>3</v>
      </c>
      <c r="B9" s="5" t="s">
        <v>34</v>
      </c>
      <c r="C9" s="5" t="s">
        <v>35</v>
      </c>
      <c r="D9" s="5" t="s">
        <v>1001</v>
      </c>
      <c r="E9" s="6">
        <v>18110</v>
      </c>
      <c r="F9" s="7">
        <v>508.23903999999999</v>
      </c>
      <c r="G9" s="8">
        <v>2.6126136000000001E-2</v>
      </c>
      <c r="H9" s="100"/>
    </row>
    <row r="10" spans="1:8" x14ac:dyDescent="0.2">
      <c r="A10" s="4">
        <v>4</v>
      </c>
      <c r="B10" s="5" t="s">
        <v>161</v>
      </c>
      <c r="C10" s="5" t="s">
        <v>162</v>
      </c>
      <c r="D10" s="5" t="s">
        <v>163</v>
      </c>
      <c r="E10" s="6">
        <v>39769</v>
      </c>
      <c r="F10" s="7">
        <v>491.02784300000002</v>
      </c>
      <c r="G10" s="8">
        <v>2.5241390999999998E-2</v>
      </c>
      <c r="H10" s="100"/>
    </row>
    <row r="11" spans="1:8" x14ac:dyDescent="0.2">
      <c r="A11" s="4">
        <v>5</v>
      </c>
      <c r="B11" s="5" t="s">
        <v>440</v>
      </c>
      <c r="C11" s="5" t="s">
        <v>441</v>
      </c>
      <c r="D11" s="5" t="s">
        <v>58</v>
      </c>
      <c r="E11" s="6">
        <v>164997</v>
      </c>
      <c r="F11" s="7">
        <v>444.99690900000002</v>
      </c>
      <c r="G11" s="8">
        <v>2.2875161000000001E-2</v>
      </c>
      <c r="H11" s="100"/>
    </row>
    <row r="12" spans="1:8" x14ac:dyDescent="0.2">
      <c r="A12" s="4">
        <v>6</v>
      </c>
      <c r="B12" s="5" t="s">
        <v>50</v>
      </c>
      <c r="C12" s="5" t="s">
        <v>51</v>
      </c>
      <c r="D12" s="5" t="s">
        <v>28</v>
      </c>
      <c r="E12" s="6">
        <v>48732</v>
      </c>
      <c r="F12" s="7">
        <v>431.01017400000001</v>
      </c>
      <c r="G12" s="8">
        <v>2.2156169999999999E-2</v>
      </c>
      <c r="H12" s="100"/>
    </row>
    <row r="13" spans="1:8" x14ac:dyDescent="0.2">
      <c r="A13" s="4">
        <v>7</v>
      </c>
      <c r="B13" s="5" t="s">
        <v>154</v>
      </c>
      <c r="C13" s="5" t="s">
        <v>155</v>
      </c>
      <c r="D13" s="5" t="s">
        <v>156</v>
      </c>
      <c r="E13" s="6">
        <v>488235</v>
      </c>
      <c r="F13" s="7">
        <v>395.47035</v>
      </c>
      <c r="G13" s="8">
        <v>2.0329237E-2</v>
      </c>
      <c r="H13" s="100"/>
    </row>
    <row r="14" spans="1:8" x14ac:dyDescent="0.2">
      <c r="A14" s="4">
        <v>8</v>
      </c>
      <c r="B14" s="5" t="s">
        <v>149</v>
      </c>
      <c r="C14" s="5" t="s">
        <v>150</v>
      </c>
      <c r="D14" s="5" t="s">
        <v>151</v>
      </c>
      <c r="E14" s="6">
        <v>7143</v>
      </c>
      <c r="F14" s="7">
        <v>394.50431850000001</v>
      </c>
      <c r="G14" s="8">
        <v>2.0279577999999999E-2</v>
      </c>
      <c r="H14" s="100"/>
    </row>
    <row r="15" spans="1:8" x14ac:dyDescent="0.2">
      <c r="A15" s="4">
        <v>9</v>
      </c>
      <c r="B15" s="5" t="s">
        <v>159</v>
      </c>
      <c r="C15" s="5" t="s">
        <v>160</v>
      </c>
      <c r="D15" s="5" t="s">
        <v>58</v>
      </c>
      <c r="E15" s="6">
        <v>111247</v>
      </c>
      <c r="F15" s="7">
        <v>389.36450000000002</v>
      </c>
      <c r="G15" s="8">
        <v>2.0015365E-2</v>
      </c>
      <c r="H15" s="100"/>
    </row>
    <row r="16" spans="1:8" x14ac:dyDescent="0.2">
      <c r="A16" s="4">
        <v>10</v>
      </c>
      <c r="B16" s="5" t="s">
        <v>157</v>
      </c>
      <c r="C16" s="5" t="s">
        <v>158</v>
      </c>
      <c r="D16" s="5" t="s">
        <v>28</v>
      </c>
      <c r="E16" s="6">
        <v>73643</v>
      </c>
      <c r="F16" s="7">
        <v>383.60638699999998</v>
      </c>
      <c r="G16" s="8">
        <v>1.9719368000000001E-2</v>
      </c>
      <c r="H16" s="100"/>
    </row>
    <row r="17" spans="1:8" x14ac:dyDescent="0.2">
      <c r="A17" s="4">
        <v>11</v>
      </c>
      <c r="B17" s="5" t="s">
        <v>282</v>
      </c>
      <c r="C17" s="5" t="s">
        <v>283</v>
      </c>
      <c r="D17" s="5" t="s">
        <v>28</v>
      </c>
      <c r="E17" s="6">
        <v>97000</v>
      </c>
      <c r="F17" s="7">
        <v>370.20049999999998</v>
      </c>
      <c r="G17" s="8">
        <v>1.9030235E-2</v>
      </c>
      <c r="H17" s="100"/>
    </row>
    <row r="18" spans="1:8" x14ac:dyDescent="0.2">
      <c r="A18" s="4">
        <v>12</v>
      </c>
      <c r="B18" s="5" t="s">
        <v>168</v>
      </c>
      <c r="C18" s="5" t="s">
        <v>169</v>
      </c>
      <c r="D18" s="5" t="s">
        <v>151</v>
      </c>
      <c r="E18" s="6">
        <v>184729</v>
      </c>
      <c r="F18" s="7">
        <v>364.37795249999999</v>
      </c>
      <c r="G18" s="8">
        <v>1.8730925999999998E-2</v>
      </c>
      <c r="H18" s="100"/>
    </row>
    <row r="19" spans="1:8" ht="25.5" x14ac:dyDescent="0.2">
      <c r="A19" s="4">
        <v>13</v>
      </c>
      <c r="B19" s="5" t="s">
        <v>166</v>
      </c>
      <c r="C19" s="5" t="s">
        <v>948</v>
      </c>
      <c r="D19" s="5" t="s">
        <v>1001</v>
      </c>
      <c r="E19" s="6">
        <v>151609</v>
      </c>
      <c r="F19" s="7">
        <v>359.46493900000002</v>
      </c>
      <c r="G19" s="8">
        <v>1.8478372E-2</v>
      </c>
      <c r="H19" s="100"/>
    </row>
    <row r="20" spans="1:8" x14ac:dyDescent="0.2">
      <c r="A20" s="4">
        <v>14</v>
      </c>
      <c r="B20" s="5" t="s">
        <v>48</v>
      </c>
      <c r="C20" s="5" t="s">
        <v>49</v>
      </c>
      <c r="D20" s="5" t="s">
        <v>28</v>
      </c>
      <c r="E20" s="6">
        <v>24848</v>
      </c>
      <c r="F20" s="7">
        <v>348.90319199999999</v>
      </c>
      <c r="G20" s="8">
        <v>1.7935442999999999E-2</v>
      </c>
      <c r="H20" s="100"/>
    </row>
    <row r="21" spans="1:8" x14ac:dyDescent="0.2">
      <c r="A21" s="4">
        <v>15</v>
      </c>
      <c r="B21" s="5" t="s">
        <v>173</v>
      </c>
      <c r="C21" s="5" t="s">
        <v>949</v>
      </c>
      <c r="D21" s="5" t="s">
        <v>28</v>
      </c>
      <c r="E21" s="6">
        <v>74492</v>
      </c>
      <c r="F21" s="7">
        <v>332.68127199999998</v>
      </c>
      <c r="G21" s="8">
        <v>1.7101551999999999E-2</v>
      </c>
      <c r="H21" s="100"/>
    </row>
    <row r="22" spans="1:8" x14ac:dyDescent="0.2">
      <c r="A22" s="4">
        <v>16</v>
      </c>
      <c r="B22" s="5" t="s">
        <v>170</v>
      </c>
      <c r="C22" s="5" t="s">
        <v>171</v>
      </c>
      <c r="D22" s="5" t="s">
        <v>172</v>
      </c>
      <c r="E22" s="6">
        <v>31899</v>
      </c>
      <c r="F22" s="7">
        <v>326.99664899999999</v>
      </c>
      <c r="G22" s="8">
        <v>1.6809332E-2</v>
      </c>
      <c r="H22" s="100"/>
    </row>
    <row r="23" spans="1:8" x14ac:dyDescent="0.2">
      <c r="A23" s="4">
        <v>17</v>
      </c>
      <c r="B23" s="5" t="s">
        <v>164</v>
      </c>
      <c r="C23" s="5" t="s">
        <v>947</v>
      </c>
      <c r="D23" s="5" t="s">
        <v>151</v>
      </c>
      <c r="E23" s="6">
        <v>45016</v>
      </c>
      <c r="F23" s="7">
        <v>326.11841199999998</v>
      </c>
      <c r="G23" s="8">
        <v>1.6764186E-2</v>
      </c>
      <c r="H23" s="100"/>
    </row>
    <row r="24" spans="1:8" x14ac:dyDescent="0.2">
      <c r="A24" s="4">
        <v>18</v>
      </c>
      <c r="B24" s="5" t="s">
        <v>291</v>
      </c>
      <c r="C24" s="5" t="s">
        <v>292</v>
      </c>
      <c r="D24" s="5" t="s">
        <v>163</v>
      </c>
      <c r="E24" s="6">
        <v>10312</v>
      </c>
      <c r="F24" s="7">
        <v>322.53357999999997</v>
      </c>
      <c r="G24" s="8">
        <v>1.6579907000000001E-2</v>
      </c>
      <c r="H24" s="100"/>
    </row>
    <row r="25" spans="1:8" ht="25.5" x14ac:dyDescent="0.2">
      <c r="A25" s="4">
        <v>19</v>
      </c>
      <c r="B25" s="5" t="s">
        <v>180</v>
      </c>
      <c r="C25" s="5" t="s">
        <v>934</v>
      </c>
      <c r="D25" s="5" t="s">
        <v>146</v>
      </c>
      <c r="E25" s="6">
        <v>88251</v>
      </c>
      <c r="F25" s="7">
        <v>319.33624350000002</v>
      </c>
      <c r="G25" s="8">
        <v>1.6415546999999999E-2</v>
      </c>
      <c r="H25" s="100"/>
    </row>
    <row r="26" spans="1:8" x14ac:dyDescent="0.2">
      <c r="A26" s="4">
        <v>20</v>
      </c>
      <c r="B26" s="5" t="s">
        <v>36</v>
      </c>
      <c r="C26" s="5" t="s">
        <v>37</v>
      </c>
      <c r="D26" s="5" t="s">
        <v>38</v>
      </c>
      <c r="E26" s="6">
        <v>125414</v>
      </c>
      <c r="F26" s="7">
        <v>314.03665599999999</v>
      </c>
      <c r="G26" s="8">
        <v>1.6143121E-2</v>
      </c>
      <c r="H26" s="100"/>
    </row>
    <row r="27" spans="1:8" x14ac:dyDescent="0.2">
      <c r="A27" s="4">
        <v>21</v>
      </c>
      <c r="B27" s="5" t="s">
        <v>184</v>
      </c>
      <c r="C27" s="5" t="s">
        <v>185</v>
      </c>
      <c r="D27" s="5" t="s">
        <v>172</v>
      </c>
      <c r="E27" s="6">
        <v>171020</v>
      </c>
      <c r="F27" s="7">
        <v>303.73151999999999</v>
      </c>
      <c r="G27" s="8">
        <v>1.5613383E-2</v>
      </c>
      <c r="H27" s="100"/>
    </row>
    <row r="28" spans="1:8" x14ac:dyDescent="0.2">
      <c r="A28" s="4">
        <v>22</v>
      </c>
      <c r="B28" s="5" t="s">
        <v>448</v>
      </c>
      <c r="C28" s="5" t="s">
        <v>957</v>
      </c>
      <c r="D28" s="5" t="s">
        <v>228</v>
      </c>
      <c r="E28" s="6">
        <v>59631</v>
      </c>
      <c r="F28" s="7">
        <v>288.7034865</v>
      </c>
      <c r="G28" s="8">
        <v>1.4840864E-2</v>
      </c>
      <c r="H28" s="100"/>
    </row>
    <row r="29" spans="1:8" x14ac:dyDescent="0.2">
      <c r="A29" s="4">
        <v>23</v>
      </c>
      <c r="B29" s="5" t="s">
        <v>189</v>
      </c>
      <c r="C29" s="5" t="s">
        <v>190</v>
      </c>
      <c r="D29" s="5" t="s">
        <v>151</v>
      </c>
      <c r="E29" s="6">
        <v>13964</v>
      </c>
      <c r="F29" s="7">
        <v>284.62821200000002</v>
      </c>
      <c r="G29" s="8">
        <v>1.4631374000000001E-2</v>
      </c>
      <c r="H29" s="100"/>
    </row>
    <row r="30" spans="1:8" ht="25.5" x14ac:dyDescent="0.2">
      <c r="A30" s="4">
        <v>24</v>
      </c>
      <c r="B30" s="5" t="s">
        <v>194</v>
      </c>
      <c r="C30" s="5" t="s">
        <v>195</v>
      </c>
      <c r="D30" s="5" t="s">
        <v>73</v>
      </c>
      <c r="E30" s="6">
        <v>76500</v>
      </c>
      <c r="F30" s="7">
        <v>280.94625000000002</v>
      </c>
      <c r="G30" s="8">
        <v>1.4442102E-2</v>
      </c>
      <c r="H30" s="100"/>
    </row>
    <row r="31" spans="1:8" x14ac:dyDescent="0.2">
      <c r="A31" s="4">
        <v>25</v>
      </c>
      <c r="B31" s="5" t="s">
        <v>191</v>
      </c>
      <c r="C31" s="5" t="s">
        <v>192</v>
      </c>
      <c r="D31" s="5" t="s">
        <v>193</v>
      </c>
      <c r="E31" s="6">
        <v>84682</v>
      </c>
      <c r="F31" s="7">
        <v>278.18036999999998</v>
      </c>
      <c r="G31" s="8">
        <v>1.4299921E-2</v>
      </c>
      <c r="H31" s="100"/>
    </row>
    <row r="32" spans="1:8" x14ac:dyDescent="0.2">
      <c r="A32" s="4">
        <v>26</v>
      </c>
      <c r="B32" s="5" t="s">
        <v>196</v>
      </c>
      <c r="C32" s="5" t="s">
        <v>197</v>
      </c>
      <c r="D32" s="5" t="s">
        <v>151</v>
      </c>
      <c r="E32" s="6">
        <v>37221</v>
      </c>
      <c r="F32" s="7">
        <v>274.33738049999999</v>
      </c>
      <c r="G32" s="8">
        <v>1.4102371000000001E-2</v>
      </c>
      <c r="H32" s="100"/>
    </row>
    <row r="33" spans="1:8" x14ac:dyDescent="0.2">
      <c r="A33" s="4">
        <v>27</v>
      </c>
      <c r="B33" s="5" t="s">
        <v>444</v>
      </c>
      <c r="C33" s="5" t="s">
        <v>445</v>
      </c>
      <c r="D33" s="5" t="s">
        <v>58</v>
      </c>
      <c r="E33" s="6">
        <v>32427</v>
      </c>
      <c r="F33" s="7">
        <v>274.17028499999998</v>
      </c>
      <c r="G33" s="8">
        <v>1.4093781999999999E-2</v>
      </c>
      <c r="H33" s="100"/>
    </row>
    <row r="34" spans="1:8" x14ac:dyDescent="0.2">
      <c r="A34" s="4">
        <v>28</v>
      </c>
      <c r="B34" s="5" t="s">
        <v>177</v>
      </c>
      <c r="C34" s="5" t="s">
        <v>178</v>
      </c>
      <c r="D34" s="5" t="s">
        <v>47</v>
      </c>
      <c r="E34" s="6">
        <v>25386</v>
      </c>
      <c r="F34" s="7">
        <v>268.00000199999999</v>
      </c>
      <c r="G34" s="8">
        <v>1.3776597E-2</v>
      </c>
      <c r="H34" s="100"/>
    </row>
    <row r="35" spans="1:8" x14ac:dyDescent="0.2">
      <c r="A35" s="4">
        <v>29</v>
      </c>
      <c r="B35" s="5" t="s">
        <v>212</v>
      </c>
      <c r="C35" s="5" t="s">
        <v>213</v>
      </c>
      <c r="D35" s="5" t="s">
        <v>38</v>
      </c>
      <c r="E35" s="6">
        <v>36572</v>
      </c>
      <c r="F35" s="7">
        <v>262.18466799999999</v>
      </c>
      <c r="G35" s="8">
        <v>1.3477658999999999E-2</v>
      </c>
      <c r="H35" s="100"/>
    </row>
    <row r="36" spans="1:8" x14ac:dyDescent="0.2">
      <c r="A36" s="4">
        <v>30</v>
      </c>
      <c r="B36" s="5" t="s">
        <v>278</v>
      </c>
      <c r="C36" s="5" t="s">
        <v>279</v>
      </c>
      <c r="D36" s="5" t="s">
        <v>28</v>
      </c>
      <c r="E36" s="6">
        <v>24065</v>
      </c>
      <c r="F36" s="7">
        <v>254.67989499999999</v>
      </c>
      <c r="G36" s="8">
        <v>1.3091874E-2</v>
      </c>
      <c r="H36" s="100"/>
    </row>
    <row r="37" spans="1:8" x14ac:dyDescent="0.2">
      <c r="A37" s="4">
        <v>31</v>
      </c>
      <c r="B37" s="5" t="s">
        <v>198</v>
      </c>
      <c r="C37" s="5" t="s">
        <v>199</v>
      </c>
      <c r="D37" s="5" t="s">
        <v>156</v>
      </c>
      <c r="E37" s="6">
        <v>476454</v>
      </c>
      <c r="F37" s="7">
        <v>252.52062000000001</v>
      </c>
      <c r="G37" s="8">
        <v>1.2980876000000001E-2</v>
      </c>
      <c r="H37" s="100"/>
    </row>
    <row r="38" spans="1:8" x14ac:dyDescent="0.2">
      <c r="A38" s="4">
        <v>32</v>
      </c>
      <c r="B38" s="5" t="s">
        <v>200</v>
      </c>
      <c r="C38" s="5" t="s">
        <v>201</v>
      </c>
      <c r="D38" s="5" t="s">
        <v>1003</v>
      </c>
      <c r="E38" s="6">
        <v>40169</v>
      </c>
      <c r="F38" s="7">
        <v>252.38182699999999</v>
      </c>
      <c r="G38" s="8">
        <v>1.2973741E-2</v>
      </c>
      <c r="H38" s="100"/>
    </row>
    <row r="39" spans="1:8" ht="25.5" x14ac:dyDescent="0.2">
      <c r="A39" s="4">
        <v>33</v>
      </c>
      <c r="B39" s="5" t="s">
        <v>442</v>
      </c>
      <c r="C39" s="5" t="s">
        <v>443</v>
      </c>
      <c r="D39" s="5" t="s">
        <v>25</v>
      </c>
      <c r="E39" s="6">
        <v>23869</v>
      </c>
      <c r="F39" s="7">
        <v>250.33807200000001</v>
      </c>
      <c r="G39" s="8">
        <v>1.2868681999999999E-2</v>
      </c>
      <c r="H39" s="100"/>
    </row>
    <row r="40" spans="1:8" x14ac:dyDescent="0.2">
      <c r="A40" s="4">
        <v>34</v>
      </c>
      <c r="B40" s="5" t="s">
        <v>43</v>
      </c>
      <c r="C40" s="5" t="s">
        <v>44</v>
      </c>
      <c r="D40" s="5" t="s">
        <v>28</v>
      </c>
      <c r="E40" s="6">
        <v>13819</v>
      </c>
      <c r="F40" s="7">
        <v>246.20621349999999</v>
      </c>
      <c r="G40" s="8">
        <v>1.2656283000000001E-2</v>
      </c>
      <c r="H40" s="100"/>
    </row>
    <row r="41" spans="1:8" x14ac:dyDescent="0.2">
      <c r="A41" s="4">
        <v>35</v>
      </c>
      <c r="B41" s="5" t="s">
        <v>204</v>
      </c>
      <c r="C41" s="5" t="s">
        <v>205</v>
      </c>
      <c r="D41" s="5" t="s">
        <v>1004</v>
      </c>
      <c r="E41" s="6">
        <v>89462</v>
      </c>
      <c r="F41" s="7">
        <v>243.24717799999999</v>
      </c>
      <c r="G41" s="8">
        <v>1.2504173E-2</v>
      </c>
      <c r="H41" s="100"/>
    </row>
    <row r="42" spans="1:8" x14ac:dyDescent="0.2">
      <c r="A42" s="4">
        <v>36</v>
      </c>
      <c r="B42" s="5" t="s">
        <v>208</v>
      </c>
      <c r="C42" s="5" t="s">
        <v>209</v>
      </c>
      <c r="D42" s="5" t="s">
        <v>163</v>
      </c>
      <c r="E42" s="6">
        <v>65216</v>
      </c>
      <c r="F42" s="7">
        <v>239.34272000000001</v>
      </c>
      <c r="G42" s="8">
        <v>1.2303463000000001E-2</v>
      </c>
      <c r="H42" s="100"/>
    </row>
    <row r="43" spans="1:8" x14ac:dyDescent="0.2">
      <c r="A43" s="4">
        <v>37</v>
      </c>
      <c r="B43" s="5" t="s">
        <v>202</v>
      </c>
      <c r="C43" s="5" t="s">
        <v>203</v>
      </c>
      <c r="D43" s="5" t="s">
        <v>38</v>
      </c>
      <c r="E43" s="6">
        <v>288303</v>
      </c>
      <c r="F43" s="7">
        <v>237.99412649999999</v>
      </c>
      <c r="G43" s="8">
        <v>1.2234139E-2</v>
      </c>
      <c r="H43" s="100"/>
    </row>
    <row r="44" spans="1:8" ht="25.5" x14ac:dyDescent="0.2">
      <c r="A44" s="4">
        <v>38</v>
      </c>
      <c r="B44" s="5" t="s">
        <v>214</v>
      </c>
      <c r="C44" s="5" t="s">
        <v>215</v>
      </c>
      <c r="D44" s="5" t="s">
        <v>25</v>
      </c>
      <c r="E44" s="6">
        <v>334561</v>
      </c>
      <c r="F44" s="7">
        <v>232.854456</v>
      </c>
      <c r="G44" s="8">
        <v>1.1969933E-2</v>
      </c>
      <c r="H44" s="100"/>
    </row>
    <row r="45" spans="1:8" x14ac:dyDescent="0.2">
      <c r="A45" s="4">
        <v>39</v>
      </c>
      <c r="B45" s="5" t="s">
        <v>210</v>
      </c>
      <c r="C45" s="5" t="s">
        <v>211</v>
      </c>
      <c r="D45" s="5" t="s">
        <v>193</v>
      </c>
      <c r="E45" s="6">
        <v>51431</v>
      </c>
      <c r="F45" s="7">
        <v>232.85385249999999</v>
      </c>
      <c r="G45" s="8">
        <v>1.1969901999999999E-2</v>
      </c>
      <c r="H45" s="100"/>
    </row>
    <row r="46" spans="1:8" x14ac:dyDescent="0.2">
      <c r="A46" s="4">
        <v>40</v>
      </c>
      <c r="B46" s="5" t="s">
        <v>461</v>
      </c>
      <c r="C46" s="5" t="s">
        <v>462</v>
      </c>
      <c r="D46" s="5" t="s">
        <v>193</v>
      </c>
      <c r="E46" s="6">
        <v>84664</v>
      </c>
      <c r="F46" s="7">
        <v>224.48659599999999</v>
      </c>
      <c r="G46" s="8">
        <v>1.1539781000000001E-2</v>
      </c>
      <c r="H46" s="100"/>
    </row>
    <row r="47" spans="1:8" x14ac:dyDescent="0.2">
      <c r="A47" s="4">
        <v>41</v>
      </c>
      <c r="B47" s="5" t="s">
        <v>218</v>
      </c>
      <c r="C47" s="5" t="s">
        <v>219</v>
      </c>
      <c r="D47" s="5" t="s">
        <v>156</v>
      </c>
      <c r="E47" s="6">
        <v>37774</v>
      </c>
      <c r="F47" s="7">
        <v>219.636923</v>
      </c>
      <c r="G47" s="8">
        <v>1.1290483E-2</v>
      </c>
      <c r="H47" s="100"/>
    </row>
    <row r="48" spans="1:8" x14ac:dyDescent="0.2">
      <c r="A48" s="4">
        <v>42</v>
      </c>
      <c r="B48" s="5" t="s">
        <v>224</v>
      </c>
      <c r="C48" s="5" t="s">
        <v>225</v>
      </c>
      <c r="D48" s="5" t="s">
        <v>58</v>
      </c>
      <c r="E48" s="6">
        <v>33897</v>
      </c>
      <c r="F48" s="7">
        <v>210.04276050000001</v>
      </c>
      <c r="G48" s="8">
        <v>1.0797292999999999E-2</v>
      </c>
      <c r="H48" s="100"/>
    </row>
    <row r="49" spans="1:8" x14ac:dyDescent="0.2">
      <c r="A49" s="4">
        <v>43</v>
      </c>
      <c r="B49" s="5" t="s">
        <v>222</v>
      </c>
      <c r="C49" s="5" t="s">
        <v>950</v>
      </c>
      <c r="D49" s="5" t="s">
        <v>28</v>
      </c>
      <c r="E49" s="6">
        <v>193402</v>
      </c>
      <c r="F49" s="7">
        <v>208.19725299999999</v>
      </c>
      <c r="G49" s="8">
        <v>1.0702424E-2</v>
      </c>
      <c r="H49" s="100"/>
    </row>
    <row r="50" spans="1:8" x14ac:dyDescent="0.2">
      <c r="A50" s="4">
        <v>44</v>
      </c>
      <c r="B50" s="5" t="s">
        <v>186</v>
      </c>
      <c r="C50" s="5" t="s">
        <v>187</v>
      </c>
      <c r="D50" s="5" t="s">
        <v>188</v>
      </c>
      <c r="E50" s="6">
        <v>28480</v>
      </c>
      <c r="F50" s="7">
        <v>207.20624000000001</v>
      </c>
      <c r="G50" s="8">
        <v>1.0651481000000001E-2</v>
      </c>
      <c r="H50" s="100"/>
    </row>
    <row r="51" spans="1:8" x14ac:dyDescent="0.2">
      <c r="A51" s="4">
        <v>45</v>
      </c>
      <c r="B51" s="5" t="s">
        <v>239</v>
      </c>
      <c r="C51" s="5" t="s">
        <v>240</v>
      </c>
      <c r="D51" s="5" t="s">
        <v>58</v>
      </c>
      <c r="E51" s="6">
        <v>45220</v>
      </c>
      <c r="F51" s="7">
        <v>206.72323</v>
      </c>
      <c r="G51" s="8">
        <v>1.0626652E-2</v>
      </c>
      <c r="H51" s="100"/>
    </row>
    <row r="52" spans="1:8" x14ac:dyDescent="0.2">
      <c r="A52" s="4">
        <v>46</v>
      </c>
      <c r="B52" s="5" t="s">
        <v>229</v>
      </c>
      <c r="C52" s="5" t="s">
        <v>230</v>
      </c>
      <c r="D52" s="5" t="s">
        <v>193</v>
      </c>
      <c r="E52" s="6">
        <v>14493</v>
      </c>
      <c r="F52" s="7">
        <v>202.22807549999999</v>
      </c>
      <c r="G52" s="8">
        <v>1.0395577E-2</v>
      </c>
      <c r="H52" s="100"/>
    </row>
    <row r="53" spans="1:8" x14ac:dyDescent="0.2">
      <c r="A53" s="4">
        <v>47</v>
      </c>
      <c r="B53" s="5" t="s">
        <v>231</v>
      </c>
      <c r="C53" s="5" t="s">
        <v>935</v>
      </c>
      <c r="D53" s="5" t="s">
        <v>156</v>
      </c>
      <c r="E53" s="6">
        <v>39849</v>
      </c>
      <c r="F53" s="7">
        <v>198.328473</v>
      </c>
      <c r="G53" s="8">
        <v>1.0195117E-2</v>
      </c>
      <c r="H53" s="100"/>
    </row>
    <row r="54" spans="1:8" x14ac:dyDescent="0.2">
      <c r="A54" s="4">
        <v>48</v>
      </c>
      <c r="B54" s="5" t="s">
        <v>175</v>
      </c>
      <c r="C54" s="5" t="s">
        <v>176</v>
      </c>
      <c r="D54" s="5" t="s">
        <v>53</v>
      </c>
      <c r="E54" s="6">
        <v>53690</v>
      </c>
      <c r="F54" s="7">
        <v>197.92818500000001</v>
      </c>
      <c r="G54" s="8">
        <v>1.0174539999999999E-2</v>
      </c>
      <c r="H54" s="100"/>
    </row>
    <row r="55" spans="1:8" ht="25.5" x14ac:dyDescent="0.2">
      <c r="A55" s="4">
        <v>49</v>
      </c>
      <c r="B55" s="5" t="s">
        <v>182</v>
      </c>
      <c r="C55" s="5" t="s">
        <v>944</v>
      </c>
      <c r="D55" s="5" t="s">
        <v>58</v>
      </c>
      <c r="E55" s="6">
        <v>8392</v>
      </c>
      <c r="F55" s="7">
        <v>195.982572</v>
      </c>
      <c r="G55" s="8">
        <v>1.0074526E-2</v>
      </c>
      <c r="H55" s="100"/>
    </row>
    <row r="56" spans="1:8" x14ac:dyDescent="0.2">
      <c r="A56" s="4">
        <v>50</v>
      </c>
      <c r="B56" s="5" t="s">
        <v>226</v>
      </c>
      <c r="C56" s="5" t="s">
        <v>227</v>
      </c>
      <c r="D56" s="5" t="s">
        <v>228</v>
      </c>
      <c r="E56" s="6">
        <v>123782</v>
      </c>
      <c r="F56" s="7">
        <v>193.780721</v>
      </c>
      <c r="G56" s="8">
        <v>9.9613389999999996E-3</v>
      </c>
      <c r="H56" s="100"/>
    </row>
    <row r="57" spans="1:8" x14ac:dyDescent="0.2">
      <c r="A57" s="4">
        <v>51</v>
      </c>
      <c r="B57" s="5" t="s">
        <v>449</v>
      </c>
      <c r="C57" s="5" t="s">
        <v>450</v>
      </c>
      <c r="D57" s="5" t="s">
        <v>28</v>
      </c>
      <c r="E57" s="6">
        <v>35318</v>
      </c>
      <c r="F57" s="7">
        <v>193.48966300000001</v>
      </c>
      <c r="G57" s="8">
        <v>9.9463769999999993E-3</v>
      </c>
      <c r="H57" s="100"/>
    </row>
    <row r="58" spans="1:8" x14ac:dyDescent="0.2">
      <c r="A58" s="4">
        <v>52</v>
      </c>
      <c r="B58" s="5" t="s">
        <v>235</v>
      </c>
      <c r="C58" s="5" t="s">
        <v>236</v>
      </c>
      <c r="D58" s="5" t="s">
        <v>1005</v>
      </c>
      <c r="E58" s="6">
        <v>42347</v>
      </c>
      <c r="F58" s="7">
        <v>185.1199105</v>
      </c>
      <c r="G58" s="8">
        <v>9.5161280000000004E-3</v>
      </c>
      <c r="H58" s="100"/>
    </row>
    <row r="59" spans="1:8" x14ac:dyDescent="0.2">
      <c r="A59" s="4">
        <v>53</v>
      </c>
      <c r="B59" s="5" t="s">
        <v>455</v>
      </c>
      <c r="C59" s="5" t="s">
        <v>456</v>
      </c>
      <c r="D59" s="5" t="s">
        <v>1006</v>
      </c>
      <c r="E59" s="6">
        <v>349791</v>
      </c>
      <c r="F59" s="7">
        <v>182.76579749999999</v>
      </c>
      <c r="G59" s="8">
        <v>9.3951150000000008E-3</v>
      </c>
      <c r="H59" s="100"/>
    </row>
    <row r="60" spans="1:8" x14ac:dyDescent="0.2">
      <c r="A60" s="4">
        <v>54</v>
      </c>
      <c r="B60" s="5" t="s">
        <v>206</v>
      </c>
      <c r="C60" s="5" t="s">
        <v>207</v>
      </c>
      <c r="D60" s="5" t="s">
        <v>163</v>
      </c>
      <c r="E60" s="6">
        <v>46515</v>
      </c>
      <c r="F60" s="7">
        <v>177.75707249999999</v>
      </c>
      <c r="G60" s="8">
        <v>9.1376400000000007E-3</v>
      </c>
      <c r="H60" s="100"/>
    </row>
    <row r="61" spans="1:8" x14ac:dyDescent="0.2">
      <c r="A61" s="4">
        <v>55</v>
      </c>
      <c r="B61" s="5" t="s">
        <v>241</v>
      </c>
      <c r="C61" s="5" t="s">
        <v>242</v>
      </c>
      <c r="D61" s="5" t="s">
        <v>163</v>
      </c>
      <c r="E61" s="6">
        <v>29625</v>
      </c>
      <c r="F61" s="7">
        <v>176.44649999999999</v>
      </c>
      <c r="G61" s="8">
        <v>9.0702700000000001E-3</v>
      </c>
      <c r="H61" s="100"/>
    </row>
    <row r="62" spans="1:8" x14ac:dyDescent="0.2">
      <c r="A62" s="4">
        <v>56</v>
      </c>
      <c r="B62" s="5" t="s">
        <v>451</v>
      </c>
      <c r="C62" s="5" t="s">
        <v>452</v>
      </c>
      <c r="D62" s="5" t="s">
        <v>63</v>
      </c>
      <c r="E62" s="6">
        <v>66186</v>
      </c>
      <c r="F62" s="7">
        <v>175.06197</v>
      </c>
      <c r="G62" s="8">
        <v>8.9990980000000005E-3</v>
      </c>
      <c r="H62" s="100"/>
    </row>
    <row r="63" spans="1:8" x14ac:dyDescent="0.2">
      <c r="A63" s="4">
        <v>57</v>
      </c>
      <c r="B63" s="5" t="s">
        <v>245</v>
      </c>
      <c r="C63" s="5" t="s">
        <v>246</v>
      </c>
      <c r="D63" s="5" t="s">
        <v>22</v>
      </c>
      <c r="E63" s="6">
        <v>191773</v>
      </c>
      <c r="F63" s="7">
        <v>173.84222449999999</v>
      </c>
      <c r="G63" s="8">
        <v>8.9363970000000004E-3</v>
      </c>
      <c r="H63" s="100"/>
    </row>
    <row r="64" spans="1:8" x14ac:dyDescent="0.2">
      <c r="A64" s="4">
        <v>58</v>
      </c>
      <c r="B64" s="5" t="s">
        <v>446</v>
      </c>
      <c r="C64" s="5" t="s">
        <v>447</v>
      </c>
      <c r="D64" s="5" t="s">
        <v>156</v>
      </c>
      <c r="E64" s="6">
        <v>53184</v>
      </c>
      <c r="F64" s="7">
        <v>161.65276800000001</v>
      </c>
      <c r="G64" s="8">
        <v>8.309795E-3</v>
      </c>
      <c r="H64" s="100"/>
    </row>
    <row r="65" spans="1:8" x14ac:dyDescent="0.2">
      <c r="A65" s="4">
        <v>59</v>
      </c>
      <c r="B65" s="5" t="s">
        <v>453</v>
      </c>
      <c r="C65" s="5" t="s">
        <v>454</v>
      </c>
      <c r="D65" s="5" t="s">
        <v>156</v>
      </c>
      <c r="E65" s="6">
        <v>26475</v>
      </c>
      <c r="F65" s="7">
        <v>157.63215</v>
      </c>
      <c r="G65" s="8">
        <v>8.1031139999999998E-3</v>
      </c>
      <c r="H65" s="100"/>
    </row>
    <row r="66" spans="1:8" ht="25.5" x14ac:dyDescent="0.2">
      <c r="A66" s="4">
        <v>60</v>
      </c>
      <c r="B66" s="5" t="s">
        <v>152</v>
      </c>
      <c r="C66" s="5" t="s">
        <v>153</v>
      </c>
      <c r="D66" s="5" t="s">
        <v>1001</v>
      </c>
      <c r="E66" s="6">
        <v>93537</v>
      </c>
      <c r="F66" s="7">
        <v>152.65238400000001</v>
      </c>
      <c r="G66" s="8">
        <v>7.8471280000000001E-3</v>
      </c>
      <c r="H66" s="100"/>
    </row>
    <row r="67" spans="1:8" x14ac:dyDescent="0.2">
      <c r="A67" s="4">
        <v>61</v>
      </c>
      <c r="B67" s="5" t="s">
        <v>249</v>
      </c>
      <c r="C67" s="5" t="s">
        <v>952</v>
      </c>
      <c r="D67" s="5" t="s">
        <v>251</v>
      </c>
      <c r="E67" s="6">
        <v>71122</v>
      </c>
      <c r="F67" s="7">
        <v>150.67195699999999</v>
      </c>
      <c r="G67" s="8">
        <v>7.7453239999999996E-3</v>
      </c>
      <c r="H67" s="100"/>
    </row>
    <row r="68" spans="1:8" x14ac:dyDescent="0.2">
      <c r="A68" s="4">
        <v>62</v>
      </c>
      <c r="B68" s="5" t="s">
        <v>247</v>
      </c>
      <c r="C68" s="5" t="s">
        <v>248</v>
      </c>
      <c r="D68" s="5" t="s">
        <v>1005</v>
      </c>
      <c r="E68" s="6">
        <v>79639</v>
      </c>
      <c r="F68" s="7">
        <v>149.24348599999999</v>
      </c>
      <c r="G68" s="8">
        <v>7.6718929999999999E-3</v>
      </c>
      <c r="H68" s="100"/>
    </row>
    <row r="69" spans="1:8" x14ac:dyDescent="0.2">
      <c r="A69" s="4">
        <v>63</v>
      </c>
      <c r="B69" s="5" t="s">
        <v>254</v>
      </c>
      <c r="C69" s="5" t="s">
        <v>255</v>
      </c>
      <c r="D69" s="5" t="s">
        <v>58</v>
      </c>
      <c r="E69" s="6">
        <v>98339</v>
      </c>
      <c r="F69" s="7">
        <v>136.5437015</v>
      </c>
      <c r="G69" s="8">
        <v>7.0190579999999999E-3</v>
      </c>
      <c r="H69" s="100"/>
    </row>
    <row r="70" spans="1:8" x14ac:dyDescent="0.2">
      <c r="A70" s="4">
        <v>64</v>
      </c>
      <c r="B70" s="5" t="s">
        <v>258</v>
      </c>
      <c r="C70" s="5" t="s">
        <v>259</v>
      </c>
      <c r="D70" s="5" t="s">
        <v>1006</v>
      </c>
      <c r="E70" s="6">
        <v>8929</v>
      </c>
      <c r="F70" s="7">
        <v>131.81436249999999</v>
      </c>
      <c r="G70" s="8">
        <v>6.7759450000000002E-3</v>
      </c>
      <c r="H70" s="100"/>
    </row>
    <row r="71" spans="1:8" ht="25.5" x14ac:dyDescent="0.2">
      <c r="A71" s="4">
        <v>65</v>
      </c>
      <c r="B71" s="5" t="s">
        <v>243</v>
      </c>
      <c r="C71" s="5" t="s">
        <v>244</v>
      </c>
      <c r="D71" s="5" t="s">
        <v>1007</v>
      </c>
      <c r="E71" s="6">
        <v>176425</v>
      </c>
      <c r="F71" s="7">
        <v>131.61304999999999</v>
      </c>
      <c r="G71" s="8">
        <v>6.7655969999999999E-3</v>
      </c>
      <c r="H71" s="100"/>
    </row>
    <row r="72" spans="1:8" x14ac:dyDescent="0.2">
      <c r="A72" s="4">
        <v>66</v>
      </c>
      <c r="B72" s="5" t="s">
        <v>262</v>
      </c>
      <c r="C72" s="5" t="s">
        <v>263</v>
      </c>
      <c r="D72" s="5" t="s">
        <v>146</v>
      </c>
      <c r="E72" s="6">
        <v>8196</v>
      </c>
      <c r="F72" s="7">
        <v>126.820806</v>
      </c>
      <c r="G72" s="8">
        <v>6.5192499999999999E-3</v>
      </c>
      <c r="H72" s="100"/>
    </row>
    <row r="73" spans="1:8" x14ac:dyDescent="0.2">
      <c r="A73" s="4">
        <v>67</v>
      </c>
      <c r="B73" s="5" t="s">
        <v>264</v>
      </c>
      <c r="C73" s="5" t="s">
        <v>265</v>
      </c>
      <c r="D73" s="5" t="s">
        <v>193</v>
      </c>
      <c r="E73" s="6">
        <v>12446</v>
      </c>
      <c r="F73" s="7">
        <v>122.680222</v>
      </c>
      <c r="G73" s="8">
        <v>6.3064030000000004E-3</v>
      </c>
      <c r="H73" s="100"/>
    </row>
    <row r="74" spans="1:8" x14ac:dyDescent="0.2">
      <c r="A74" s="4">
        <v>68</v>
      </c>
      <c r="B74" s="5" t="s">
        <v>284</v>
      </c>
      <c r="C74" s="5" t="s">
        <v>285</v>
      </c>
      <c r="D74" s="5" t="s">
        <v>1005</v>
      </c>
      <c r="E74" s="6">
        <v>319686</v>
      </c>
      <c r="F74" s="7">
        <v>80.241185999999999</v>
      </c>
      <c r="G74" s="8">
        <v>4.1248150000000004E-3</v>
      </c>
      <c r="H74" s="100"/>
    </row>
    <row r="75" spans="1:8" x14ac:dyDescent="0.2">
      <c r="A75" s="4">
        <v>69</v>
      </c>
      <c r="B75" s="5" t="s">
        <v>268</v>
      </c>
      <c r="C75" s="5" t="s">
        <v>269</v>
      </c>
      <c r="D75" s="5" t="s">
        <v>1005</v>
      </c>
      <c r="E75" s="6">
        <v>193860</v>
      </c>
      <c r="F75" s="7">
        <v>68.626440000000002</v>
      </c>
      <c r="G75" s="8">
        <v>3.5277569999999999E-3</v>
      </c>
      <c r="H75" s="100"/>
    </row>
    <row r="76" spans="1:8" ht="25.5" x14ac:dyDescent="0.2">
      <c r="A76" s="4">
        <v>70</v>
      </c>
      <c r="B76" s="5" t="s">
        <v>457</v>
      </c>
      <c r="C76" s="5" t="s">
        <v>458</v>
      </c>
      <c r="D76" s="5" t="s">
        <v>25</v>
      </c>
      <c r="E76" s="6">
        <v>48679</v>
      </c>
      <c r="F76" s="7">
        <v>58.390460500000003</v>
      </c>
      <c r="G76" s="8">
        <v>3.0015739999999999E-3</v>
      </c>
      <c r="H76" s="100"/>
    </row>
    <row r="77" spans="1:8" x14ac:dyDescent="0.2">
      <c r="A77" s="4">
        <v>71</v>
      </c>
      <c r="B77" s="5" t="s">
        <v>270</v>
      </c>
      <c r="C77" s="5" t="s">
        <v>271</v>
      </c>
      <c r="D77" s="5" t="s">
        <v>272</v>
      </c>
      <c r="E77" s="6">
        <v>44577</v>
      </c>
      <c r="F77" s="7">
        <v>58.106119499999998</v>
      </c>
      <c r="G77" s="8">
        <v>2.9869570000000002E-3</v>
      </c>
      <c r="H77" s="100"/>
    </row>
    <row r="78" spans="1:8" x14ac:dyDescent="0.2">
      <c r="A78" s="15" t="s">
        <v>9</v>
      </c>
      <c r="B78" s="15" t="s">
        <v>9</v>
      </c>
      <c r="C78" s="3" t="s">
        <v>94</v>
      </c>
      <c r="D78" s="15" t="s">
        <v>9</v>
      </c>
      <c r="E78" s="15" t="s">
        <v>9</v>
      </c>
      <c r="F78" s="9">
        <v>18414.250592</v>
      </c>
      <c r="G78" s="10">
        <v>0.94658846600000002</v>
      </c>
      <c r="H78" s="100"/>
    </row>
    <row r="79" spans="1:8" x14ac:dyDescent="0.2">
      <c r="A79" s="15" t="s">
        <v>9</v>
      </c>
      <c r="B79" s="15" t="s">
        <v>9</v>
      </c>
      <c r="C79" s="11" t="s">
        <v>9</v>
      </c>
      <c r="D79" s="15" t="s">
        <v>9</v>
      </c>
      <c r="E79" s="15" t="s">
        <v>9</v>
      </c>
      <c r="F79" s="12" t="s">
        <v>9</v>
      </c>
      <c r="G79" s="12" t="s">
        <v>9</v>
      </c>
      <c r="H79" s="100"/>
    </row>
    <row r="80" spans="1:8" x14ac:dyDescent="0.2">
      <c r="A80" s="15" t="s">
        <v>9</v>
      </c>
      <c r="B80" s="15" t="s">
        <v>9</v>
      </c>
      <c r="C80" s="3" t="s">
        <v>95</v>
      </c>
      <c r="D80" s="15" t="s">
        <v>9</v>
      </c>
      <c r="E80" s="15" t="s">
        <v>9</v>
      </c>
      <c r="F80" s="15" t="s">
        <v>9</v>
      </c>
      <c r="G80" s="15" t="s">
        <v>9</v>
      </c>
      <c r="H80" s="100"/>
    </row>
    <row r="81" spans="1:8" x14ac:dyDescent="0.2">
      <c r="A81" s="15" t="s">
        <v>9</v>
      </c>
      <c r="B81" s="15" t="s">
        <v>9</v>
      </c>
      <c r="C81" s="3" t="s">
        <v>94</v>
      </c>
      <c r="D81" s="15" t="s">
        <v>9</v>
      </c>
      <c r="E81" s="15" t="s">
        <v>9</v>
      </c>
      <c r="F81" s="13">
        <v>0</v>
      </c>
      <c r="G81" s="14">
        <v>0</v>
      </c>
      <c r="H81" s="100"/>
    </row>
    <row r="82" spans="1:8" x14ac:dyDescent="0.2">
      <c r="A82" s="15" t="s">
        <v>9</v>
      </c>
      <c r="B82" s="15" t="s">
        <v>9</v>
      </c>
      <c r="C82" s="11" t="s">
        <v>9</v>
      </c>
      <c r="D82" s="15" t="s">
        <v>9</v>
      </c>
      <c r="E82" s="15" t="s">
        <v>9</v>
      </c>
      <c r="F82" s="12" t="s">
        <v>9</v>
      </c>
      <c r="G82" s="12" t="s">
        <v>9</v>
      </c>
      <c r="H82" s="100"/>
    </row>
    <row r="83" spans="1:8" x14ac:dyDescent="0.2">
      <c r="A83" s="15" t="s">
        <v>9</v>
      </c>
      <c r="B83" s="15" t="s">
        <v>9</v>
      </c>
      <c r="C83" s="3" t="s">
        <v>96</v>
      </c>
      <c r="D83" s="15" t="s">
        <v>9</v>
      </c>
      <c r="E83" s="15" t="s">
        <v>9</v>
      </c>
      <c r="F83" s="15" t="s">
        <v>9</v>
      </c>
      <c r="G83" s="15" t="s">
        <v>9</v>
      </c>
      <c r="H83" s="100"/>
    </row>
    <row r="84" spans="1:8" x14ac:dyDescent="0.2">
      <c r="A84" s="15" t="s">
        <v>9</v>
      </c>
      <c r="B84" s="15" t="s">
        <v>9</v>
      </c>
      <c r="C84" s="3" t="s">
        <v>94</v>
      </c>
      <c r="D84" s="15" t="s">
        <v>9</v>
      </c>
      <c r="E84" s="15" t="s">
        <v>9</v>
      </c>
      <c r="F84" s="13">
        <v>0</v>
      </c>
      <c r="G84" s="14">
        <v>0</v>
      </c>
      <c r="H84" s="100"/>
    </row>
    <row r="85" spans="1:8" x14ac:dyDescent="0.2">
      <c r="A85" s="15" t="s">
        <v>9</v>
      </c>
      <c r="B85" s="15" t="s">
        <v>9</v>
      </c>
      <c r="C85" s="11" t="s">
        <v>9</v>
      </c>
      <c r="D85" s="15" t="s">
        <v>9</v>
      </c>
      <c r="E85" s="15" t="s">
        <v>9</v>
      </c>
      <c r="F85" s="12" t="s">
        <v>9</v>
      </c>
      <c r="G85" s="12" t="s">
        <v>9</v>
      </c>
      <c r="H85" s="100"/>
    </row>
    <row r="86" spans="1:8" x14ac:dyDescent="0.2">
      <c r="A86" s="15" t="s">
        <v>9</v>
      </c>
      <c r="B86" s="15" t="s">
        <v>9</v>
      </c>
      <c r="C86" s="3" t="s">
        <v>100</v>
      </c>
      <c r="D86" s="15" t="s">
        <v>9</v>
      </c>
      <c r="E86" s="15" t="s">
        <v>9</v>
      </c>
      <c r="F86" s="15" t="s">
        <v>9</v>
      </c>
      <c r="G86" s="15" t="s">
        <v>9</v>
      </c>
      <c r="H86" s="100"/>
    </row>
    <row r="87" spans="1:8" x14ac:dyDescent="0.2">
      <c r="A87" s="15" t="s">
        <v>9</v>
      </c>
      <c r="B87" s="15" t="s">
        <v>9</v>
      </c>
      <c r="C87" s="3" t="s">
        <v>94</v>
      </c>
      <c r="D87" s="15" t="s">
        <v>9</v>
      </c>
      <c r="E87" s="15" t="s">
        <v>9</v>
      </c>
      <c r="F87" s="13">
        <v>0</v>
      </c>
      <c r="G87" s="14">
        <v>0</v>
      </c>
      <c r="H87" s="100"/>
    </row>
    <row r="88" spans="1:8" x14ac:dyDescent="0.2">
      <c r="A88" s="15" t="s">
        <v>9</v>
      </c>
      <c r="B88" s="15" t="s">
        <v>9</v>
      </c>
      <c r="C88" s="11" t="s">
        <v>9</v>
      </c>
      <c r="D88" s="15" t="s">
        <v>9</v>
      </c>
      <c r="E88" s="15" t="s">
        <v>9</v>
      </c>
      <c r="F88" s="12" t="s">
        <v>9</v>
      </c>
      <c r="G88" s="12" t="s">
        <v>9</v>
      </c>
      <c r="H88" s="100"/>
    </row>
    <row r="89" spans="1:8" x14ac:dyDescent="0.2">
      <c r="A89" s="15" t="s">
        <v>9</v>
      </c>
      <c r="B89" s="15" t="s">
        <v>9</v>
      </c>
      <c r="C89" s="3" t="s">
        <v>101</v>
      </c>
      <c r="D89" s="15" t="s">
        <v>9</v>
      </c>
      <c r="E89" s="15" t="s">
        <v>9</v>
      </c>
      <c r="F89" s="12" t="s">
        <v>9</v>
      </c>
      <c r="G89" s="12" t="s">
        <v>9</v>
      </c>
      <c r="H89" s="100"/>
    </row>
    <row r="90" spans="1:8" x14ac:dyDescent="0.2">
      <c r="A90" s="15" t="s">
        <v>9</v>
      </c>
      <c r="B90" s="15" t="s">
        <v>9</v>
      </c>
      <c r="C90" s="3" t="s">
        <v>94</v>
      </c>
      <c r="D90" s="15" t="s">
        <v>9</v>
      </c>
      <c r="E90" s="15" t="s">
        <v>9</v>
      </c>
      <c r="F90" s="13">
        <v>0</v>
      </c>
      <c r="G90" s="14">
        <v>0</v>
      </c>
      <c r="H90" s="100"/>
    </row>
    <row r="91" spans="1:8" x14ac:dyDescent="0.2">
      <c r="A91" s="15" t="s">
        <v>9</v>
      </c>
      <c r="B91" s="15" t="s">
        <v>9</v>
      </c>
      <c r="C91" s="11" t="s">
        <v>9</v>
      </c>
      <c r="D91" s="15" t="s">
        <v>9</v>
      </c>
      <c r="E91" s="15" t="s">
        <v>9</v>
      </c>
      <c r="F91" s="12" t="s">
        <v>9</v>
      </c>
      <c r="G91" s="12" t="s">
        <v>9</v>
      </c>
      <c r="H91" s="100"/>
    </row>
    <row r="92" spans="1:8" x14ac:dyDescent="0.2">
      <c r="A92" s="15" t="s">
        <v>9</v>
      </c>
      <c r="B92" s="15" t="s">
        <v>9</v>
      </c>
      <c r="C92" s="3" t="s">
        <v>102</v>
      </c>
      <c r="D92" s="15" t="s">
        <v>9</v>
      </c>
      <c r="E92" s="15" t="s">
        <v>9</v>
      </c>
      <c r="F92" s="12" t="s">
        <v>9</v>
      </c>
      <c r="G92" s="12" t="s">
        <v>9</v>
      </c>
      <c r="H92" s="100"/>
    </row>
    <row r="93" spans="1:8" x14ac:dyDescent="0.2">
      <c r="A93" s="15" t="s">
        <v>9</v>
      </c>
      <c r="B93" s="15" t="s">
        <v>9</v>
      </c>
      <c r="C93" s="3" t="s">
        <v>94</v>
      </c>
      <c r="D93" s="15" t="s">
        <v>9</v>
      </c>
      <c r="E93" s="15" t="s">
        <v>9</v>
      </c>
      <c r="F93" s="13">
        <v>0</v>
      </c>
      <c r="G93" s="14">
        <v>0</v>
      </c>
      <c r="H93" s="100"/>
    </row>
    <row r="94" spans="1:8" x14ac:dyDescent="0.2">
      <c r="A94" s="15" t="s">
        <v>9</v>
      </c>
      <c r="B94" s="15" t="s">
        <v>9</v>
      </c>
      <c r="C94" s="11" t="s">
        <v>9</v>
      </c>
      <c r="D94" s="15" t="s">
        <v>9</v>
      </c>
      <c r="E94" s="15" t="s">
        <v>9</v>
      </c>
      <c r="F94" s="12" t="s">
        <v>9</v>
      </c>
      <c r="G94" s="12" t="s">
        <v>9</v>
      </c>
      <c r="H94" s="100"/>
    </row>
    <row r="95" spans="1:8" x14ac:dyDescent="0.2">
      <c r="A95" s="15" t="s">
        <v>9</v>
      </c>
      <c r="B95" s="15" t="s">
        <v>9</v>
      </c>
      <c r="C95" s="3" t="s">
        <v>104</v>
      </c>
      <c r="D95" s="15" t="s">
        <v>9</v>
      </c>
      <c r="E95" s="15" t="s">
        <v>9</v>
      </c>
      <c r="F95" s="9">
        <v>18414.250592</v>
      </c>
      <c r="G95" s="10">
        <v>0.94658846600000002</v>
      </c>
      <c r="H95" s="100"/>
    </row>
    <row r="96" spans="1:8" x14ac:dyDescent="0.2">
      <c r="A96" s="15" t="s">
        <v>9</v>
      </c>
      <c r="B96" s="15" t="s">
        <v>9</v>
      </c>
      <c r="C96" s="11" t="s">
        <v>9</v>
      </c>
      <c r="D96" s="15" t="s">
        <v>9</v>
      </c>
      <c r="E96" s="15" t="s">
        <v>9</v>
      </c>
      <c r="F96" s="12" t="s">
        <v>9</v>
      </c>
      <c r="G96" s="12" t="s">
        <v>9</v>
      </c>
      <c r="H96" s="100"/>
    </row>
    <row r="97" spans="1:8" x14ac:dyDescent="0.2">
      <c r="A97" s="15" t="s">
        <v>9</v>
      </c>
      <c r="B97" s="15" t="s">
        <v>9</v>
      </c>
      <c r="C97" s="3" t="s">
        <v>105</v>
      </c>
      <c r="D97" s="15" t="s">
        <v>9</v>
      </c>
      <c r="E97" s="15" t="s">
        <v>9</v>
      </c>
      <c r="F97" s="12" t="s">
        <v>9</v>
      </c>
      <c r="G97" s="12" t="s">
        <v>9</v>
      </c>
      <c r="H97" s="100"/>
    </row>
    <row r="98" spans="1:8" ht="25.5" x14ac:dyDescent="0.2">
      <c r="A98" s="15" t="s">
        <v>9</v>
      </c>
      <c r="B98" s="15" t="s">
        <v>9</v>
      </c>
      <c r="C98" s="3" t="s">
        <v>11</v>
      </c>
      <c r="D98" s="15" t="s">
        <v>9</v>
      </c>
      <c r="E98" s="15" t="s">
        <v>9</v>
      </c>
      <c r="F98" s="12" t="s">
        <v>9</v>
      </c>
      <c r="G98" s="12" t="s">
        <v>9</v>
      </c>
      <c r="H98" s="100"/>
    </row>
    <row r="99" spans="1:8" x14ac:dyDescent="0.2">
      <c r="A99" s="15" t="s">
        <v>9</v>
      </c>
      <c r="B99" s="15" t="s">
        <v>9</v>
      </c>
      <c r="C99" s="3" t="s">
        <v>94</v>
      </c>
      <c r="D99" s="15" t="s">
        <v>9</v>
      </c>
      <c r="E99" s="15" t="s">
        <v>9</v>
      </c>
      <c r="F99" s="13">
        <v>0</v>
      </c>
      <c r="G99" s="14">
        <v>0</v>
      </c>
      <c r="H99" s="100"/>
    </row>
    <row r="100" spans="1:8" x14ac:dyDescent="0.2">
      <c r="A100" s="15" t="s">
        <v>9</v>
      </c>
      <c r="B100" s="15" t="s">
        <v>9</v>
      </c>
      <c r="C100" s="11" t="s">
        <v>9</v>
      </c>
      <c r="D100" s="15" t="s">
        <v>9</v>
      </c>
      <c r="E100" s="15" t="s">
        <v>9</v>
      </c>
      <c r="F100" s="12" t="s">
        <v>9</v>
      </c>
      <c r="G100" s="12" t="s">
        <v>9</v>
      </c>
      <c r="H100" s="100"/>
    </row>
    <row r="101" spans="1:8" x14ac:dyDescent="0.2">
      <c r="A101" s="15" t="s">
        <v>9</v>
      </c>
      <c r="B101" s="15" t="s">
        <v>9</v>
      </c>
      <c r="C101" s="3" t="s">
        <v>106</v>
      </c>
      <c r="D101" s="15" t="s">
        <v>9</v>
      </c>
      <c r="E101" s="15" t="s">
        <v>9</v>
      </c>
      <c r="F101" s="15" t="s">
        <v>9</v>
      </c>
      <c r="G101" s="15" t="s">
        <v>9</v>
      </c>
      <c r="H101" s="100"/>
    </row>
    <row r="102" spans="1:8" x14ac:dyDescent="0.2">
      <c r="A102" s="15" t="s">
        <v>9</v>
      </c>
      <c r="B102" s="15" t="s">
        <v>9</v>
      </c>
      <c r="C102" s="3" t="s">
        <v>94</v>
      </c>
      <c r="D102" s="15" t="s">
        <v>9</v>
      </c>
      <c r="E102" s="15" t="s">
        <v>9</v>
      </c>
      <c r="F102" s="13">
        <v>0</v>
      </c>
      <c r="G102" s="14">
        <v>0</v>
      </c>
      <c r="H102" s="100"/>
    </row>
    <row r="103" spans="1:8" x14ac:dyDescent="0.2">
      <c r="A103" s="15" t="s">
        <v>9</v>
      </c>
      <c r="B103" s="15" t="s">
        <v>9</v>
      </c>
      <c r="C103" s="11" t="s">
        <v>9</v>
      </c>
      <c r="D103" s="15" t="s">
        <v>9</v>
      </c>
      <c r="E103" s="15" t="s">
        <v>9</v>
      </c>
      <c r="F103" s="12" t="s">
        <v>9</v>
      </c>
      <c r="G103" s="12" t="s">
        <v>9</v>
      </c>
      <c r="H103" s="100"/>
    </row>
    <row r="104" spans="1:8" x14ac:dyDescent="0.2">
      <c r="A104" s="15" t="s">
        <v>9</v>
      </c>
      <c r="B104" s="15" t="s">
        <v>9</v>
      </c>
      <c r="C104" s="3" t="s">
        <v>107</v>
      </c>
      <c r="D104" s="15" t="s">
        <v>9</v>
      </c>
      <c r="E104" s="15" t="s">
        <v>9</v>
      </c>
      <c r="F104" s="15" t="s">
        <v>9</v>
      </c>
      <c r="G104" s="15" t="s">
        <v>9</v>
      </c>
      <c r="H104" s="100"/>
    </row>
    <row r="105" spans="1:8" x14ac:dyDescent="0.2">
      <c r="A105" s="15" t="s">
        <v>9</v>
      </c>
      <c r="B105" s="15" t="s">
        <v>9</v>
      </c>
      <c r="C105" s="3" t="s">
        <v>94</v>
      </c>
      <c r="D105" s="15" t="s">
        <v>9</v>
      </c>
      <c r="E105" s="15" t="s">
        <v>9</v>
      </c>
      <c r="F105" s="13">
        <v>0</v>
      </c>
      <c r="G105" s="14">
        <v>0</v>
      </c>
      <c r="H105" s="100"/>
    </row>
    <row r="106" spans="1:8" x14ac:dyDescent="0.2">
      <c r="A106" s="15" t="s">
        <v>9</v>
      </c>
      <c r="B106" s="15" t="s">
        <v>9</v>
      </c>
      <c r="C106" s="11" t="s">
        <v>9</v>
      </c>
      <c r="D106" s="15" t="s">
        <v>9</v>
      </c>
      <c r="E106" s="15" t="s">
        <v>9</v>
      </c>
      <c r="F106" s="12" t="s">
        <v>9</v>
      </c>
      <c r="G106" s="12" t="s">
        <v>9</v>
      </c>
      <c r="H106" s="100"/>
    </row>
    <row r="107" spans="1:8" x14ac:dyDescent="0.2">
      <c r="A107" s="15" t="s">
        <v>9</v>
      </c>
      <c r="B107" s="15" t="s">
        <v>9</v>
      </c>
      <c r="C107" s="3" t="s">
        <v>108</v>
      </c>
      <c r="D107" s="15" t="s">
        <v>9</v>
      </c>
      <c r="E107" s="15" t="s">
        <v>9</v>
      </c>
      <c r="F107" s="12" t="s">
        <v>9</v>
      </c>
      <c r="G107" s="12" t="s">
        <v>9</v>
      </c>
      <c r="H107" s="100"/>
    </row>
    <row r="108" spans="1:8" x14ac:dyDescent="0.2">
      <c r="A108" s="15" t="s">
        <v>9</v>
      </c>
      <c r="B108" s="15" t="s">
        <v>9</v>
      </c>
      <c r="C108" s="3" t="s">
        <v>94</v>
      </c>
      <c r="D108" s="15" t="s">
        <v>9</v>
      </c>
      <c r="E108" s="15" t="s">
        <v>9</v>
      </c>
      <c r="F108" s="13">
        <v>0</v>
      </c>
      <c r="G108" s="14">
        <v>0</v>
      </c>
      <c r="H108" s="100"/>
    </row>
    <row r="109" spans="1:8" x14ac:dyDescent="0.2">
      <c r="A109" s="15" t="s">
        <v>9</v>
      </c>
      <c r="B109" s="15" t="s">
        <v>9</v>
      </c>
      <c r="C109" s="11" t="s">
        <v>9</v>
      </c>
      <c r="D109" s="15" t="s">
        <v>9</v>
      </c>
      <c r="E109" s="15" t="s">
        <v>9</v>
      </c>
      <c r="F109" s="12" t="s">
        <v>9</v>
      </c>
      <c r="G109" s="12" t="s">
        <v>9</v>
      </c>
      <c r="H109" s="100"/>
    </row>
    <row r="110" spans="1:8" x14ac:dyDescent="0.2">
      <c r="A110" s="15" t="s">
        <v>9</v>
      </c>
      <c r="B110" s="15" t="s">
        <v>9</v>
      </c>
      <c r="C110" s="3" t="s">
        <v>109</v>
      </c>
      <c r="D110" s="15" t="s">
        <v>9</v>
      </c>
      <c r="E110" s="15" t="s">
        <v>9</v>
      </c>
      <c r="F110" s="9">
        <v>0</v>
      </c>
      <c r="G110" s="10">
        <v>0</v>
      </c>
      <c r="H110" s="100"/>
    </row>
    <row r="111" spans="1:8" x14ac:dyDescent="0.2">
      <c r="A111" s="15" t="s">
        <v>9</v>
      </c>
      <c r="B111" s="15" t="s">
        <v>9</v>
      </c>
      <c r="C111" s="11" t="s">
        <v>9</v>
      </c>
      <c r="D111" s="15" t="s">
        <v>9</v>
      </c>
      <c r="E111" s="15" t="s">
        <v>9</v>
      </c>
      <c r="F111" s="12" t="s">
        <v>9</v>
      </c>
      <c r="G111" s="12" t="s">
        <v>9</v>
      </c>
      <c r="H111" s="100"/>
    </row>
    <row r="112" spans="1:8" x14ac:dyDescent="0.2">
      <c r="A112" s="15" t="s">
        <v>9</v>
      </c>
      <c r="B112" s="15" t="s">
        <v>9</v>
      </c>
      <c r="C112" s="3" t="s">
        <v>110</v>
      </c>
      <c r="D112" s="15" t="s">
        <v>9</v>
      </c>
      <c r="E112" s="15" t="s">
        <v>9</v>
      </c>
      <c r="F112" s="12" t="s">
        <v>9</v>
      </c>
      <c r="G112" s="12" t="s">
        <v>9</v>
      </c>
      <c r="H112" s="100"/>
    </row>
    <row r="113" spans="1:8" x14ac:dyDescent="0.2">
      <c r="A113" s="15" t="s">
        <v>9</v>
      </c>
      <c r="B113" s="15" t="s">
        <v>9</v>
      </c>
      <c r="C113" s="3" t="s">
        <v>111</v>
      </c>
      <c r="D113" s="15" t="s">
        <v>9</v>
      </c>
      <c r="E113" s="15" t="s">
        <v>9</v>
      </c>
      <c r="F113" s="12" t="s">
        <v>9</v>
      </c>
      <c r="G113" s="12" t="s">
        <v>9</v>
      </c>
      <c r="H113" s="100"/>
    </row>
    <row r="114" spans="1:8" x14ac:dyDescent="0.2">
      <c r="A114" s="15" t="s">
        <v>9</v>
      </c>
      <c r="B114" s="15" t="s">
        <v>9</v>
      </c>
      <c r="C114" s="3" t="s">
        <v>94</v>
      </c>
      <c r="D114" s="15" t="s">
        <v>9</v>
      </c>
      <c r="E114" s="15" t="s">
        <v>9</v>
      </c>
      <c r="F114" s="13">
        <v>0</v>
      </c>
      <c r="G114" s="14">
        <v>0</v>
      </c>
      <c r="H114" s="100"/>
    </row>
    <row r="115" spans="1:8" x14ac:dyDescent="0.2">
      <c r="A115" s="15" t="s">
        <v>9</v>
      </c>
      <c r="B115" s="15" t="s">
        <v>9</v>
      </c>
      <c r="C115" s="11" t="s">
        <v>9</v>
      </c>
      <c r="D115" s="15" t="s">
        <v>9</v>
      </c>
      <c r="E115" s="15" t="s">
        <v>9</v>
      </c>
      <c r="F115" s="12" t="s">
        <v>9</v>
      </c>
      <c r="G115" s="12" t="s">
        <v>9</v>
      </c>
      <c r="H115" s="100"/>
    </row>
    <row r="116" spans="1:8" x14ac:dyDescent="0.2">
      <c r="A116" s="15" t="s">
        <v>9</v>
      </c>
      <c r="B116" s="15" t="s">
        <v>9</v>
      </c>
      <c r="C116" s="3" t="s">
        <v>112</v>
      </c>
      <c r="D116" s="15" t="s">
        <v>9</v>
      </c>
      <c r="E116" s="15" t="s">
        <v>9</v>
      </c>
      <c r="F116" s="12" t="s">
        <v>9</v>
      </c>
      <c r="G116" s="12" t="s">
        <v>9</v>
      </c>
      <c r="H116" s="100"/>
    </row>
    <row r="117" spans="1:8" x14ac:dyDescent="0.2">
      <c r="A117" s="15" t="s">
        <v>9</v>
      </c>
      <c r="B117" s="15" t="s">
        <v>9</v>
      </c>
      <c r="C117" s="3" t="s">
        <v>94</v>
      </c>
      <c r="D117" s="15" t="s">
        <v>9</v>
      </c>
      <c r="E117" s="15" t="s">
        <v>9</v>
      </c>
      <c r="F117" s="13">
        <v>0</v>
      </c>
      <c r="G117" s="14">
        <v>0</v>
      </c>
      <c r="H117" s="100"/>
    </row>
    <row r="118" spans="1:8" x14ac:dyDescent="0.2">
      <c r="A118" s="15" t="s">
        <v>9</v>
      </c>
      <c r="B118" s="15" t="s">
        <v>9</v>
      </c>
      <c r="C118" s="11" t="s">
        <v>9</v>
      </c>
      <c r="D118" s="15" t="s">
        <v>9</v>
      </c>
      <c r="E118" s="15" t="s">
        <v>9</v>
      </c>
      <c r="F118" s="12" t="s">
        <v>9</v>
      </c>
      <c r="G118" s="12" t="s">
        <v>9</v>
      </c>
      <c r="H118" s="100"/>
    </row>
    <row r="119" spans="1:8" x14ac:dyDescent="0.2">
      <c r="A119" s="15" t="s">
        <v>9</v>
      </c>
      <c r="B119" s="15" t="s">
        <v>9</v>
      </c>
      <c r="C119" s="3" t="s">
        <v>113</v>
      </c>
      <c r="D119" s="15" t="s">
        <v>9</v>
      </c>
      <c r="E119" s="15" t="s">
        <v>9</v>
      </c>
      <c r="F119" s="12" t="s">
        <v>9</v>
      </c>
      <c r="G119" s="12" t="s">
        <v>9</v>
      </c>
      <c r="H119" s="100"/>
    </row>
    <row r="120" spans="1:8" x14ac:dyDescent="0.2">
      <c r="A120" s="15" t="s">
        <v>9</v>
      </c>
      <c r="B120" s="15" t="s">
        <v>9</v>
      </c>
      <c r="C120" s="3" t="s">
        <v>94</v>
      </c>
      <c r="D120" s="15" t="s">
        <v>9</v>
      </c>
      <c r="E120" s="15" t="s">
        <v>9</v>
      </c>
      <c r="F120" s="13">
        <v>0</v>
      </c>
      <c r="G120" s="14">
        <v>0</v>
      </c>
      <c r="H120" s="100"/>
    </row>
    <row r="121" spans="1:8" x14ac:dyDescent="0.2">
      <c r="A121" s="15" t="s">
        <v>9</v>
      </c>
      <c r="B121" s="15" t="s">
        <v>9</v>
      </c>
      <c r="C121" s="11" t="s">
        <v>9</v>
      </c>
      <c r="D121" s="15" t="s">
        <v>9</v>
      </c>
      <c r="E121" s="15" t="s">
        <v>9</v>
      </c>
      <c r="F121" s="12" t="s">
        <v>9</v>
      </c>
      <c r="G121" s="12" t="s">
        <v>9</v>
      </c>
      <c r="H121" s="100"/>
    </row>
    <row r="122" spans="1:8" x14ac:dyDescent="0.2">
      <c r="A122" s="15" t="s">
        <v>9</v>
      </c>
      <c r="B122" s="15" t="s">
        <v>9</v>
      </c>
      <c r="C122" s="3" t="s">
        <v>114</v>
      </c>
      <c r="D122" s="15" t="s">
        <v>9</v>
      </c>
      <c r="E122" s="15" t="s">
        <v>9</v>
      </c>
      <c r="F122" s="12" t="s">
        <v>9</v>
      </c>
      <c r="G122" s="12" t="s">
        <v>9</v>
      </c>
      <c r="H122" s="100"/>
    </row>
    <row r="123" spans="1:8" x14ac:dyDescent="0.2">
      <c r="A123" s="4">
        <v>1</v>
      </c>
      <c r="B123" s="5"/>
      <c r="C123" s="5" t="s">
        <v>115</v>
      </c>
      <c r="D123" s="5"/>
      <c r="E123" s="15" t="s">
        <v>9</v>
      </c>
      <c r="F123" s="7">
        <v>825.47328370000002</v>
      </c>
      <c r="G123" s="8">
        <v>4.243363E-2</v>
      </c>
      <c r="H123" s="99">
        <v>3.2516689338443991</v>
      </c>
    </row>
    <row r="124" spans="1:8" x14ac:dyDescent="0.2">
      <c r="A124" s="4">
        <v>2</v>
      </c>
      <c r="B124" s="5"/>
      <c r="C124" s="5" t="s">
        <v>116</v>
      </c>
      <c r="D124" s="5"/>
      <c r="E124" s="15" t="s">
        <v>9</v>
      </c>
      <c r="F124" s="7">
        <v>113.0973668</v>
      </c>
      <c r="G124" s="8">
        <v>5.8137939999999997E-3</v>
      </c>
      <c r="H124" s="100">
        <v>3.350000000000001</v>
      </c>
    </row>
    <row r="125" spans="1:8" x14ac:dyDescent="0.2">
      <c r="A125" s="15" t="s">
        <v>9</v>
      </c>
      <c r="B125" s="15" t="s">
        <v>9</v>
      </c>
      <c r="C125" s="3" t="s">
        <v>94</v>
      </c>
      <c r="D125" s="15" t="s">
        <v>9</v>
      </c>
      <c r="E125" s="15" t="s">
        <v>9</v>
      </c>
      <c r="F125" s="9">
        <v>938.57065050000006</v>
      </c>
      <c r="G125" s="10">
        <v>4.8247423999999997E-2</v>
      </c>
      <c r="H125" s="100"/>
    </row>
    <row r="126" spans="1:8" x14ac:dyDescent="0.2">
      <c r="A126" s="15" t="s">
        <v>9</v>
      </c>
      <c r="B126" s="15" t="s">
        <v>9</v>
      </c>
      <c r="C126" s="11" t="s">
        <v>9</v>
      </c>
      <c r="D126" s="15" t="s">
        <v>9</v>
      </c>
      <c r="E126" s="15" t="s">
        <v>9</v>
      </c>
      <c r="F126" s="12" t="s">
        <v>9</v>
      </c>
      <c r="G126" s="12" t="s">
        <v>9</v>
      </c>
      <c r="H126" s="100"/>
    </row>
    <row r="127" spans="1:8" x14ac:dyDescent="0.2">
      <c r="A127" s="15" t="s">
        <v>9</v>
      </c>
      <c r="B127" s="15" t="s">
        <v>9</v>
      </c>
      <c r="C127" s="3" t="s">
        <v>117</v>
      </c>
      <c r="D127" s="15" t="s">
        <v>9</v>
      </c>
      <c r="E127" s="15" t="s">
        <v>9</v>
      </c>
      <c r="F127" s="9">
        <v>938.57065050000006</v>
      </c>
      <c r="G127" s="10">
        <v>4.8247423999999997E-2</v>
      </c>
      <c r="H127" s="100"/>
    </row>
    <row r="128" spans="1:8" x14ac:dyDescent="0.2">
      <c r="A128" s="15" t="s">
        <v>9</v>
      </c>
      <c r="B128" s="15" t="s">
        <v>9</v>
      </c>
      <c r="C128" s="12" t="s">
        <v>9</v>
      </c>
      <c r="D128" s="15" t="s">
        <v>9</v>
      </c>
      <c r="E128" s="15" t="s">
        <v>9</v>
      </c>
      <c r="F128" s="15" t="s">
        <v>9</v>
      </c>
      <c r="G128" s="15" t="s">
        <v>9</v>
      </c>
      <c r="H128" s="100"/>
    </row>
    <row r="129" spans="1:8" x14ac:dyDescent="0.2">
      <c r="A129" s="15" t="s">
        <v>9</v>
      </c>
      <c r="B129" s="15" t="s">
        <v>9</v>
      </c>
      <c r="C129" s="3" t="s">
        <v>118</v>
      </c>
      <c r="D129" s="15" t="s">
        <v>9</v>
      </c>
      <c r="E129" s="15" t="s">
        <v>9</v>
      </c>
      <c r="F129" s="15" t="s">
        <v>9</v>
      </c>
      <c r="G129" s="15" t="s">
        <v>9</v>
      </c>
      <c r="H129" s="100"/>
    </row>
    <row r="130" spans="1:8" x14ac:dyDescent="0.2">
      <c r="A130" s="15" t="s">
        <v>9</v>
      </c>
      <c r="B130" s="15" t="s">
        <v>9</v>
      </c>
      <c r="C130" s="3" t="s">
        <v>119</v>
      </c>
      <c r="D130" s="15" t="s">
        <v>9</v>
      </c>
      <c r="E130" s="15" t="s">
        <v>9</v>
      </c>
      <c r="F130" s="15" t="s">
        <v>9</v>
      </c>
      <c r="G130" s="15" t="s">
        <v>9</v>
      </c>
      <c r="H130" s="100"/>
    </row>
    <row r="131" spans="1:8" x14ac:dyDescent="0.2">
      <c r="A131" s="15" t="s">
        <v>9</v>
      </c>
      <c r="B131" s="15" t="s">
        <v>9</v>
      </c>
      <c r="C131" s="3" t="s">
        <v>94</v>
      </c>
      <c r="D131" s="15" t="s">
        <v>9</v>
      </c>
      <c r="E131" s="15" t="s">
        <v>9</v>
      </c>
      <c r="F131" s="13">
        <v>0</v>
      </c>
      <c r="G131" s="14">
        <v>0</v>
      </c>
      <c r="H131" s="100"/>
    </row>
    <row r="132" spans="1:8" x14ac:dyDescent="0.2">
      <c r="A132" s="15" t="s">
        <v>9</v>
      </c>
      <c r="B132" s="15" t="s">
        <v>9</v>
      </c>
      <c r="C132" s="11" t="s">
        <v>9</v>
      </c>
      <c r="D132" s="15" t="s">
        <v>9</v>
      </c>
      <c r="E132" s="15" t="s">
        <v>9</v>
      </c>
      <c r="F132" s="12" t="s">
        <v>9</v>
      </c>
      <c r="G132" s="12" t="s">
        <v>9</v>
      </c>
      <c r="H132" s="100"/>
    </row>
    <row r="133" spans="1:8" x14ac:dyDescent="0.2">
      <c r="A133" s="15" t="s">
        <v>9</v>
      </c>
      <c r="B133" s="15" t="s">
        <v>9</v>
      </c>
      <c r="C133" s="3" t="s">
        <v>120</v>
      </c>
      <c r="D133" s="15" t="s">
        <v>9</v>
      </c>
      <c r="E133" s="15" t="s">
        <v>9</v>
      </c>
      <c r="F133" s="15" t="s">
        <v>9</v>
      </c>
      <c r="G133" s="15" t="s">
        <v>9</v>
      </c>
      <c r="H133" s="100"/>
    </row>
    <row r="134" spans="1:8" x14ac:dyDescent="0.2">
      <c r="A134" s="15" t="s">
        <v>9</v>
      </c>
      <c r="B134" s="15" t="s">
        <v>9</v>
      </c>
      <c r="C134" s="3" t="s">
        <v>121</v>
      </c>
      <c r="D134" s="15" t="s">
        <v>9</v>
      </c>
      <c r="E134" s="15" t="s">
        <v>9</v>
      </c>
      <c r="F134" s="15" t="s">
        <v>9</v>
      </c>
      <c r="G134" s="15" t="s">
        <v>9</v>
      </c>
      <c r="H134" s="100"/>
    </row>
    <row r="135" spans="1:8" x14ac:dyDescent="0.2">
      <c r="A135" s="15" t="s">
        <v>9</v>
      </c>
      <c r="B135" s="15" t="s">
        <v>9</v>
      </c>
      <c r="C135" s="3" t="s">
        <v>94</v>
      </c>
      <c r="D135" s="15" t="s">
        <v>9</v>
      </c>
      <c r="E135" s="15" t="s">
        <v>9</v>
      </c>
      <c r="F135" s="13">
        <v>0</v>
      </c>
      <c r="G135" s="14">
        <v>0</v>
      </c>
      <c r="H135" s="100"/>
    </row>
    <row r="136" spans="1:8" x14ac:dyDescent="0.2">
      <c r="A136" s="15" t="s">
        <v>9</v>
      </c>
      <c r="B136" s="15" t="s">
        <v>9</v>
      </c>
      <c r="C136" s="11" t="s">
        <v>9</v>
      </c>
      <c r="D136" s="15" t="s">
        <v>9</v>
      </c>
      <c r="E136" s="15" t="s">
        <v>9</v>
      </c>
      <c r="F136" s="12" t="s">
        <v>9</v>
      </c>
      <c r="G136" s="12" t="s">
        <v>9</v>
      </c>
      <c r="H136" s="100"/>
    </row>
    <row r="137" spans="1:8" x14ac:dyDescent="0.2">
      <c r="A137" s="15" t="s">
        <v>9</v>
      </c>
      <c r="B137" s="15" t="s">
        <v>9</v>
      </c>
      <c r="C137" s="11" t="s">
        <v>9</v>
      </c>
      <c r="D137" s="15" t="s">
        <v>9</v>
      </c>
      <c r="E137" s="15" t="s">
        <v>9</v>
      </c>
      <c r="F137" s="12" t="s">
        <v>9</v>
      </c>
      <c r="G137" s="12" t="s">
        <v>9</v>
      </c>
      <c r="H137" s="100"/>
    </row>
    <row r="138" spans="1:8" ht="25.5" x14ac:dyDescent="0.2">
      <c r="A138" s="15" t="s">
        <v>9</v>
      </c>
      <c r="B138" s="15" t="s">
        <v>9</v>
      </c>
      <c r="C138" s="3" t="s">
        <v>122</v>
      </c>
      <c r="D138" s="15" t="s">
        <v>9</v>
      </c>
      <c r="E138" s="15" t="s">
        <v>9</v>
      </c>
      <c r="F138" s="12" t="s">
        <v>9</v>
      </c>
      <c r="G138" s="12" t="s">
        <v>9</v>
      </c>
      <c r="H138" s="100"/>
    </row>
    <row r="139" spans="1:8" x14ac:dyDescent="0.2">
      <c r="A139" s="15" t="s">
        <v>9</v>
      </c>
      <c r="B139" s="15" t="s">
        <v>9</v>
      </c>
      <c r="C139" s="3" t="s">
        <v>94</v>
      </c>
      <c r="D139" s="15" t="s">
        <v>9</v>
      </c>
      <c r="E139" s="15" t="s">
        <v>9</v>
      </c>
      <c r="F139" s="13">
        <v>0</v>
      </c>
      <c r="G139" s="14">
        <v>0</v>
      </c>
      <c r="H139" s="100"/>
    </row>
    <row r="140" spans="1:8" x14ac:dyDescent="0.2">
      <c r="A140" s="15" t="s">
        <v>9</v>
      </c>
      <c r="B140" s="15" t="s">
        <v>9</v>
      </c>
      <c r="C140" s="11" t="s">
        <v>9</v>
      </c>
      <c r="D140" s="15" t="s">
        <v>9</v>
      </c>
      <c r="E140" s="15" t="s">
        <v>9</v>
      </c>
      <c r="F140" s="12" t="s">
        <v>9</v>
      </c>
      <c r="G140" s="12" t="s">
        <v>9</v>
      </c>
      <c r="H140" s="100"/>
    </row>
    <row r="141" spans="1:8" x14ac:dyDescent="0.2">
      <c r="A141" s="15" t="s">
        <v>9</v>
      </c>
      <c r="B141" s="5" t="s">
        <v>9</v>
      </c>
      <c r="C141" s="5" t="s">
        <v>9</v>
      </c>
      <c r="D141" s="3" t="s">
        <v>9</v>
      </c>
      <c r="E141" s="15" t="s">
        <v>9</v>
      </c>
      <c r="F141" s="5" t="s">
        <v>9</v>
      </c>
      <c r="G141" s="15" t="s">
        <v>9</v>
      </c>
      <c r="H141" s="100"/>
    </row>
    <row r="142" spans="1:8" x14ac:dyDescent="0.2">
      <c r="A142" s="15" t="s">
        <v>9</v>
      </c>
      <c r="B142" s="5" t="s">
        <v>9</v>
      </c>
      <c r="C142" s="5" t="s">
        <v>124</v>
      </c>
      <c r="D142" s="5" t="s">
        <v>9</v>
      </c>
      <c r="E142" s="15" t="s">
        <v>9</v>
      </c>
      <c r="F142" s="7">
        <v>100.45888162</v>
      </c>
      <c r="G142" s="8">
        <v>5.1641100000000004E-3</v>
      </c>
      <c r="H142" s="100"/>
    </row>
    <row r="143" spans="1:8" x14ac:dyDescent="0.2">
      <c r="A143" s="11" t="s">
        <v>9</v>
      </c>
      <c r="B143" s="11" t="s">
        <v>9</v>
      </c>
      <c r="C143" s="3" t="s">
        <v>125</v>
      </c>
      <c r="D143" s="16" t="s">
        <v>9</v>
      </c>
      <c r="E143" s="16" t="s">
        <v>9</v>
      </c>
      <c r="F143" s="9">
        <v>19453.28012412</v>
      </c>
      <c r="G143" s="10">
        <v>1</v>
      </c>
      <c r="H143" s="100"/>
    </row>
    <row r="144" spans="1:8" x14ac:dyDescent="0.2">
      <c r="A144" s="17" t="s">
        <v>9</v>
      </c>
      <c r="B144" s="17" t="s">
        <v>9</v>
      </c>
      <c r="C144" s="17" t="s">
        <v>9</v>
      </c>
      <c r="D144" s="18" t="s">
        <v>9</v>
      </c>
      <c r="E144" s="18" t="s">
        <v>9</v>
      </c>
      <c r="F144" s="18" t="s">
        <v>9</v>
      </c>
      <c r="G144" s="18" t="s">
        <v>9</v>
      </c>
      <c r="H144" s="142"/>
    </row>
    <row r="145" spans="1:8" x14ac:dyDescent="0.2">
      <c r="A145" s="19" t="s">
        <v>9</v>
      </c>
      <c r="B145" s="254" t="s">
        <v>9</v>
      </c>
      <c r="C145" s="254"/>
      <c r="D145" s="254"/>
      <c r="E145" s="254"/>
      <c r="F145" s="254"/>
      <c r="G145" s="20" t="s">
        <v>9</v>
      </c>
      <c r="H145" s="142"/>
    </row>
    <row r="146" spans="1:8" x14ac:dyDescent="0.2">
      <c r="A146" s="19" t="s">
        <v>9</v>
      </c>
      <c r="B146" s="254" t="s">
        <v>9</v>
      </c>
      <c r="C146" s="254"/>
      <c r="D146" s="254"/>
      <c r="E146" s="254"/>
      <c r="F146" s="254"/>
      <c r="G146" s="20" t="s">
        <v>9</v>
      </c>
      <c r="H146" s="142"/>
    </row>
    <row r="147" spans="1:8" x14ac:dyDescent="0.2">
      <c r="A147" s="19" t="s">
        <v>9</v>
      </c>
      <c r="B147" s="19" t="s">
        <v>9</v>
      </c>
      <c r="C147" s="19" t="s">
        <v>9</v>
      </c>
      <c r="D147" s="20" t="s">
        <v>9</v>
      </c>
      <c r="E147" s="20" t="s">
        <v>9</v>
      </c>
      <c r="F147" s="20" t="s">
        <v>9</v>
      </c>
      <c r="G147" s="20" t="s">
        <v>9</v>
      </c>
      <c r="H147" s="142"/>
    </row>
    <row r="148" spans="1:8" x14ac:dyDescent="0.2">
      <c r="A148" s="19" t="s">
        <v>9</v>
      </c>
      <c r="B148" s="247" t="s">
        <v>127</v>
      </c>
      <c r="C148" s="248"/>
      <c r="D148" s="182" t="s">
        <v>9</v>
      </c>
      <c r="E148" s="21" t="s">
        <v>9</v>
      </c>
      <c r="F148" s="20" t="s">
        <v>9</v>
      </c>
      <c r="G148" s="20" t="s">
        <v>9</v>
      </c>
      <c r="H148" s="142"/>
    </row>
    <row r="149" spans="1:8" ht="28.5" customHeight="1" x14ac:dyDescent="0.2">
      <c r="A149" s="19" t="s">
        <v>9</v>
      </c>
      <c r="B149" s="242" t="s">
        <v>128</v>
      </c>
      <c r="C149" s="243"/>
      <c r="D149" s="3" t="s">
        <v>129</v>
      </c>
      <c r="E149" s="21" t="s">
        <v>9</v>
      </c>
      <c r="F149" s="20" t="s">
        <v>9</v>
      </c>
      <c r="G149" s="20" t="s">
        <v>9</v>
      </c>
      <c r="H149" s="142"/>
    </row>
    <row r="150" spans="1:8" x14ac:dyDescent="0.2">
      <c r="A150" s="19" t="s">
        <v>9</v>
      </c>
      <c r="B150" s="240" t="s">
        <v>130</v>
      </c>
      <c r="C150" s="241"/>
      <c r="D150" s="177" t="s">
        <v>129</v>
      </c>
      <c r="E150" s="21" t="s">
        <v>9</v>
      </c>
      <c r="F150" s="20" t="s">
        <v>9</v>
      </c>
      <c r="G150" s="20" t="s">
        <v>9</v>
      </c>
      <c r="H150" s="142"/>
    </row>
    <row r="151" spans="1:8" x14ac:dyDescent="0.2">
      <c r="A151" s="19" t="s">
        <v>9</v>
      </c>
      <c r="B151" s="240" t="s">
        <v>131</v>
      </c>
      <c r="C151" s="241"/>
      <c r="D151" s="182" t="s">
        <v>9</v>
      </c>
      <c r="E151" s="21" t="s">
        <v>9</v>
      </c>
      <c r="F151" s="20" t="s">
        <v>9</v>
      </c>
      <c r="G151" s="20" t="s">
        <v>9</v>
      </c>
      <c r="H151" s="142"/>
    </row>
    <row r="152" spans="1:8" ht="25.5" x14ac:dyDescent="0.2">
      <c r="A152" s="25" t="s">
        <v>9</v>
      </c>
      <c r="B152" s="23" t="s">
        <v>9</v>
      </c>
      <c r="C152" s="23" t="s">
        <v>132</v>
      </c>
      <c r="D152" s="23" t="s">
        <v>133</v>
      </c>
      <c r="E152" s="25" t="s">
        <v>9</v>
      </c>
      <c r="F152" s="25" t="s">
        <v>9</v>
      </c>
      <c r="G152" s="25" t="s">
        <v>9</v>
      </c>
      <c r="H152" s="142"/>
    </row>
    <row r="153" spans="1:8" x14ac:dyDescent="0.2">
      <c r="A153" s="25" t="s">
        <v>9</v>
      </c>
      <c r="B153" s="23" t="s">
        <v>134</v>
      </c>
      <c r="C153" s="23" t="s">
        <v>135</v>
      </c>
      <c r="D153" s="23" t="s">
        <v>136</v>
      </c>
      <c r="E153" s="25" t="s">
        <v>9</v>
      </c>
      <c r="F153" s="25" t="s">
        <v>9</v>
      </c>
      <c r="G153" s="25" t="s">
        <v>9</v>
      </c>
      <c r="H153" s="142"/>
    </row>
    <row r="154" spans="1:8" x14ac:dyDescent="0.2">
      <c r="A154" s="25" t="s">
        <v>9</v>
      </c>
      <c r="B154" s="183" t="s">
        <v>137</v>
      </c>
      <c r="C154" s="184">
        <v>12.2882</v>
      </c>
      <c r="D154" s="184">
        <v>12.6623</v>
      </c>
      <c r="E154" s="25" t="s">
        <v>9</v>
      </c>
      <c r="F154" s="73" t="s">
        <v>9</v>
      </c>
      <c r="G154" s="25" t="s">
        <v>9</v>
      </c>
      <c r="H154" s="142"/>
    </row>
    <row r="155" spans="1:8" x14ac:dyDescent="0.2">
      <c r="A155" s="25" t="s">
        <v>9</v>
      </c>
      <c r="B155" s="183" t="s">
        <v>921</v>
      </c>
      <c r="C155" s="184">
        <v>12.2883</v>
      </c>
      <c r="D155" s="184">
        <v>12.6625</v>
      </c>
      <c r="E155" s="25" t="s">
        <v>9</v>
      </c>
      <c r="F155" s="73" t="s">
        <v>9</v>
      </c>
      <c r="G155" s="25" t="s">
        <v>9</v>
      </c>
      <c r="H155" s="142"/>
    </row>
    <row r="156" spans="1:8" x14ac:dyDescent="0.2">
      <c r="A156" s="25" t="s">
        <v>9</v>
      </c>
      <c r="B156" s="183" t="s">
        <v>138</v>
      </c>
      <c r="C156" s="184">
        <v>11.9885</v>
      </c>
      <c r="D156" s="184">
        <v>12.3474</v>
      </c>
      <c r="E156" s="25" t="s">
        <v>9</v>
      </c>
      <c r="F156" s="73" t="s">
        <v>9</v>
      </c>
      <c r="G156" s="25" t="s">
        <v>9</v>
      </c>
      <c r="H156" s="142"/>
    </row>
    <row r="157" spans="1:8" x14ac:dyDescent="0.2">
      <c r="A157" s="25" t="s">
        <v>9</v>
      </c>
      <c r="B157" s="183" t="s">
        <v>922</v>
      </c>
      <c r="C157" s="184">
        <v>11.9885</v>
      </c>
      <c r="D157" s="184">
        <v>12.3474</v>
      </c>
      <c r="E157" s="25" t="s">
        <v>9</v>
      </c>
      <c r="F157" s="73" t="s">
        <v>9</v>
      </c>
      <c r="G157" s="25" t="s">
        <v>9</v>
      </c>
      <c r="H157" s="142"/>
    </row>
    <row r="158" spans="1:8" x14ac:dyDescent="0.2">
      <c r="A158" s="25" t="s">
        <v>9</v>
      </c>
      <c r="B158" s="22" t="s">
        <v>9</v>
      </c>
      <c r="C158" s="22" t="s">
        <v>9</v>
      </c>
      <c r="D158" s="22" t="s">
        <v>9</v>
      </c>
      <c r="E158" s="25" t="s">
        <v>9</v>
      </c>
      <c r="F158" s="25" t="s">
        <v>9</v>
      </c>
      <c r="G158" s="25" t="s">
        <v>9</v>
      </c>
      <c r="H158" s="142"/>
    </row>
    <row r="159" spans="1:8" x14ac:dyDescent="0.2">
      <c r="A159" s="25" t="s">
        <v>9</v>
      </c>
      <c r="B159" s="240" t="s">
        <v>1012</v>
      </c>
      <c r="C159" s="241"/>
      <c r="D159" s="177" t="s">
        <v>129</v>
      </c>
      <c r="E159" s="25" t="s">
        <v>9</v>
      </c>
      <c r="F159" s="25" t="s">
        <v>9</v>
      </c>
      <c r="G159" s="25" t="s">
        <v>9</v>
      </c>
      <c r="H159" s="142"/>
    </row>
    <row r="160" spans="1:8" x14ac:dyDescent="0.2">
      <c r="A160" s="25" t="s">
        <v>9</v>
      </c>
      <c r="B160" s="98"/>
      <c r="C160" s="98"/>
      <c r="D160" s="26" t="s">
        <v>9</v>
      </c>
      <c r="E160" s="25" t="s">
        <v>9</v>
      </c>
      <c r="F160" s="25" t="s">
        <v>9</v>
      </c>
      <c r="G160" s="25" t="s">
        <v>9</v>
      </c>
      <c r="H160" s="142"/>
    </row>
    <row r="161" spans="1:8" s="238" customFormat="1" ht="12.75" x14ac:dyDescent="0.2">
      <c r="B161" s="246" t="s">
        <v>923</v>
      </c>
      <c r="C161" s="246"/>
      <c r="D161" s="246"/>
      <c r="E161" s="246"/>
      <c r="F161" s="246"/>
    </row>
    <row r="162" spans="1:8" x14ac:dyDescent="0.2">
      <c r="A162" s="25" t="s">
        <v>9</v>
      </c>
      <c r="B162" s="185" t="s">
        <v>9</v>
      </c>
      <c r="C162" s="185" t="s">
        <v>9</v>
      </c>
      <c r="D162" s="22" t="s">
        <v>9</v>
      </c>
      <c r="E162" s="25" t="s">
        <v>9</v>
      </c>
      <c r="F162" s="25" t="s">
        <v>9</v>
      </c>
      <c r="G162" s="25" t="s">
        <v>9</v>
      </c>
      <c r="H162" s="142"/>
    </row>
    <row r="163" spans="1:8" x14ac:dyDescent="0.2">
      <c r="A163" s="25" t="s">
        <v>9</v>
      </c>
      <c r="B163" s="240" t="s">
        <v>139</v>
      </c>
      <c r="C163" s="241"/>
      <c r="D163" s="177" t="s">
        <v>129</v>
      </c>
      <c r="E163" s="25" t="s">
        <v>9</v>
      </c>
      <c r="F163" s="25" t="s">
        <v>9</v>
      </c>
      <c r="G163" s="25" t="s">
        <v>9</v>
      </c>
      <c r="H163" s="142"/>
    </row>
    <row r="164" spans="1:8" x14ac:dyDescent="0.2">
      <c r="A164" s="25" t="s">
        <v>9</v>
      </c>
      <c r="B164" s="240" t="s">
        <v>140</v>
      </c>
      <c r="C164" s="241"/>
      <c r="D164" s="177" t="s">
        <v>129</v>
      </c>
      <c r="E164" s="25" t="s">
        <v>9</v>
      </c>
      <c r="F164" s="25" t="s">
        <v>9</v>
      </c>
      <c r="G164" s="25" t="s">
        <v>9</v>
      </c>
      <c r="H164" s="142"/>
    </row>
    <row r="165" spans="1:8" x14ac:dyDescent="0.2">
      <c r="A165" s="25" t="s">
        <v>9</v>
      </c>
      <c r="B165" s="240" t="s">
        <v>141</v>
      </c>
      <c r="C165" s="241"/>
      <c r="D165" s="186">
        <v>0.45523098928720035</v>
      </c>
      <c r="E165" s="25" t="s">
        <v>9</v>
      </c>
      <c r="F165" s="73" t="s">
        <v>9</v>
      </c>
      <c r="G165" s="25" t="s">
        <v>9</v>
      </c>
      <c r="H165" s="142"/>
    </row>
    <row r="166" spans="1:8" x14ac:dyDescent="0.2">
      <c r="A166" s="25" t="s">
        <v>9</v>
      </c>
      <c r="B166" s="240" t="s">
        <v>142</v>
      </c>
      <c r="C166" s="241"/>
      <c r="D166" s="177" t="s">
        <v>129</v>
      </c>
      <c r="E166" s="25" t="s">
        <v>9</v>
      </c>
      <c r="F166" s="25" t="s">
        <v>9</v>
      </c>
      <c r="G166" s="25" t="s">
        <v>9</v>
      </c>
      <c r="H166" s="142"/>
    </row>
  </sheetData>
  <mergeCells count="15">
    <mergeCell ref="B148:C148"/>
    <mergeCell ref="B145:F145"/>
    <mergeCell ref="B146:F146"/>
    <mergeCell ref="A1:H1"/>
    <mergeCell ref="A2:H2"/>
    <mergeCell ref="A3:H3"/>
    <mergeCell ref="B165:C165"/>
    <mergeCell ref="B166:C166"/>
    <mergeCell ref="B149:C149"/>
    <mergeCell ref="B150:C150"/>
    <mergeCell ref="B151:C151"/>
    <mergeCell ref="B159:C159"/>
    <mergeCell ref="B163:C163"/>
    <mergeCell ref="B164:C164"/>
    <mergeCell ref="B161:F161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outlinePr summaryBelow="0" summaryRight="0"/>
  </sheetPr>
  <dimension ref="A1:H167"/>
  <sheetViews>
    <sheetView showGridLines="0" workbookViewId="0">
      <selection activeCell="J1" sqref="J1"/>
    </sheetView>
  </sheetViews>
  <sheetFormatPr defaultRowHeight="15" x14ac:dyDescent="0.2"/>
  <cols>
    <col min="1" max="1" width="6.85546875" style="155" customWidth="1"/>
    <col min="2" max="2" width="20.5703125" style="155" customWidth="1"/>
    <col min="3" max="3" width="34.28515625" style="155" customWidth="1"/>
    <col min="4" max="4" width="17.85546875" style="155" customWidth="1"/>
    <col min="5" max="6" width="19.140625" style="155" customWidth="1"/>
    <col min="7" max="7" width="16.42578125" style="155" customWidth="1"/>
    <col min="8" max="16384" width="9.140625" style="155"/>
  </cols>
  <sheetData>
    <row r="1" spans="1:8" x14ac:dyDescent="0.2">
      <c r="A1" s="250" t="s">
        <v>0</v>
      </c>
      <c r="B1" s="250"/>
      <c r="C1" s="250"/>
      <c r="D1" s="250"/>
      <c r="E1" s="250"/>
      <c r="F1" s="250"/>
      <c r="G1" s="250"/>
      <c r="H1" s="250"/>
    </row>
    <row r="2" spans="1:8" x14ac:dyDescent="0.2">
      <c r="A2" s="251" t="s">
        <v>463</v>
      </c>
      <c r="B2" s="252"/>
      <c r="C2" s="252"/>
      <c r="D2" s="252"/>
      <c r="E2" s="252"/>
      <c r="F2" s="252"/>
      <c r="G2" s="252"/>
      <c r="H2" s="253"/>
    </row>
    <row r="3" spans="1:8" x14ac:dyDescent="0.2">
      <c r="A3" s="250" t="s">
        <v>1015</v>
      </c>
      <c r="B3" s="250"/>
      <c r="C3" s="250"/>
      <c r="D3" s="250"/>
      <c r="E3" s="250"/>
      <c r="F3" s="250"/>
      <c r="G3" s="250"/>
      <c r="H3" s="250"/>
    </row>
    <row r="4" spans="1:8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60" t="s">
        <v>6</v>
      </c>
      <c r="F4" s="160" t="s">
        <v>7</v>
      </c>
      <c r="G4" s="160" t="s">
        <v>8</v>
      </c>
      <c r="H4" s="161" t="s">
        <v>909</v>
      </c>
    </row>
    <row r="5" spans="1:8" x14ac:dyDescent="0.2">
      <c r="A5" s="15" t="s">
        <v>9</v>
      </c>
      <c r="B5" s="15" t="s">
        <v>9</v>
      </c>
      <c r="C5" s="3" t="s">
        <v>10</v>
      </c>
      <c r="D5" s="15" t="s">
        <v>9</v>
      </c>
      <c r="E5" s="15" t="s">
        <v>9</v>
      </c>
      <c r="F5" s="15" t="s">
        <v>9</v>
      </c>
      <c r="G5" s="15" t="s">
        <v>9</v>
      </c>
      <c r="H5" s="100"/>
    </row>
    <row r="6" spans="1:8" ht="25.5" x14ac:dyDescent="0.2">
      <c r="A6" s="15" t="s">
        <v>9</v>
      </c>
      <c r="B6" s="15" t="s">
        <v>9</v>
      </c>
      <c r="C6" s="3" t="s">
        <v>11</v>
      </c>
      <c r="D6" s="15" t="s">
        <v>9</v>
      </c>
      <c r="E6" s="15" t="s">
        <v>9</v>
      </c>
      <c r="F6" s="15" t="s">
        <v>9</v>
      </c>
      <c r="G6" s="15" t="s">
        <v>9</v>
      </c>
      <c r="H6" s="100"/>
    </row>
    <row r="7" spans="1:8" x14ac:dyDescent="0.2">
      <c r="A7" s="4">
        <v>1</v>
      </c>
      <c r="B7" s="5" t="s">
        <v>144</v>
      </c>
      <c r="C7" s="5" t="s">
        <v>145</v>
      </c>
      <c r="D7" s="5" t="s">
        <v>146</v>
      </c>
      <c r="E7" s="6">
        <v>16133</v>
      </c>
      <c r="F7" s="7">
        <v>553.071506</v>
      </c>
      <c r="G7" s="8">
        <v>3.9538456999999999E-2</v>
      </c>
      <c r="H7" s="100"/>
    </row>
    <row r="8" spans="1:8" x14ac:dyDescent="0.2">
      <c r="A8" s="4">
        <v>2</v>
      </c>
      <c r="B8" s="5" t="s">
        <v>26</v>
      </c>
      <c r="C8" s="5" t="s">
        <v>27</v>
      </c>
      <c r="D8" s="5" t="s">
        <v>28</v>
      </c>
      <c r="E8" s="6">
        <v>51097</v>
      </c>
      <c r="F8" s="7">
        <v>467.99742300000003</v>
      </c>
      <c r="G8" s="8">
        <v>3.3456606999999999E-2</v>
      </c>
      <c r="H8" s="100"/>
    </row>
    <row r="9" spans="1:8" ht="25.5" x14ac:dyDescent="0.2">
      <c r="A9" s="4">
        <v>3</v>
      </c>
      <c r="B9" s="5" t="s">
        <v>34</v>
      </c>
      <c r="C9" s="5" t="s">
        <v>35</v>
      </c>
      <c r="D9" s="5" t="s">
        <v>1001</v>
      </c>
      <c r="E9" s="6">
        <v>13080</v>
      </c>
      <c r="F9" s="7">
        <v>367.07711999999998</v>
      </c>
      <c r="G9" s="8">
        <v>2.6241928000000001E-2</v>
      </c>
      <c r="H9" s="100"/>
    </row>
    <row r="10" spans="1:8" x14ac:dyDescent="0.2">
      <c r="A10" s="4">
        <v>4</v>
      </c>
      <c r="B10" s="5" t="s">
        <v>157</v>
      </c>
      <c r="C10" s="5" t="s">
        <v>158</v>
      </c>
      <c r="D10" s="5" t="s">
        <v>28</v>
      </c>
      <c r="E10" s="6">
        <v>58698</v>
      </c>
      <c r="F10" s="7">
        <v>305.757882</v>
      </c>
      <c r="G10" s="8">
        <v>2.1858285000000002E-2</v>
      </c>
      <c r="H10" s="100"/>
    </row>
    <row r="11" spans="1:8" x14ac:dyDescent="0.2">
      <c r="A11" s="4">
        <v>5</v>
      </c>
      <c r="B11" s="5" t="s">
        <v>154</v>
      </c>
      <c r="C11" s="5" t="s">
        <v>155</v>
      </c>
      <c r="D11" s="5" t="s">
        <v>156</v>
      </c>
      <c r="E11" s="6">
        <v>351957</v>
      </c>
      <c r="F11" s="7">
        <v>285.08517000000001</v>
      </c>
      <c r="G11" s="8">
        <v>2.0380417000000001E-2</v>
      </c>
      <c r="H11" s="100"/>
    </row>
    <row r="12" spans="1:8" x14ac:dyDescent="0.2">
      <c r="A12" s="4">
        <v>6</v>
      </c>
      <c r="B12" s="5" t="s">
        <v>149</v>
      </c>
      <c r="C12" s="5" t="s">
        <v>150</v>
      </c>
      <c r="D12" s="5" t="s">
        <v>151</v>
      </c>
      <c r="E12" s="6">
        <v>5147</v>
      </c>
      <c r="F12" s="7">
        <v>284.26623649999999</v>
      </c>
      <c r="G12" s="8">
        <v>2.0321872000000001E-2</v>
      </c>
      <c r="H12" s="100"/>
    </row>
    <row r="13" spans="1:8" x14ac:dyDescent="0.2">
      <c r="A13" s="4">
        <v>7</v>
      </c>
      <c r="B13" s="5" t="s">
        <v>159</v>
      </c>
      <c r="C13" s="5" t="s">
        <v>160</v>
      </c>
      <c r="D13" s="5" t="s">
        <v>58</v>
      </c>
      <c r="E13" s="6">
        <v>80777</v>
      </c>
      <c r="F13" s="7">
        <v>282.71949999999998</v>
      </c>
      <c r="G13" s="8">
        <v>2.0211297E-2</v>
      </c>
      <c r="H13" s="100"/>
    </row>
    <row r="14" spans="1:8" x14ac:dyDescent="0.2">
      <c r="A14" s="4">
        <v>8</v>
      </c>
      <c r="B14" s="5" t="s">
        <v>50</v>
      </c>
      <c r="C14" s="5" t="s">
        <v>51</v>
      </c>
      <c r="D14" s="5" t="s">
        <v>28</v>
      </c>
      <c r="E14" s="6">
        <v>31667</v>
      </c>
      <c r="F14" s="7">
        <v>280.07878149999999</v>
      </c>
      <c r="G14" s="8">
        <v>2.0022515000000001E-2</v>
      </c>
      <c r="H14" s="100"/>
    </row>
    <row r="15" spans="1:8" x14ac:dyDescent="0.2">
      <c r="A15" s="4">
        <v>9</v>
      </c>
      <c r="B15" s="5" t="s">
        <v>282</v>
      </c>
      <c r="C15" s="5" t="s">
        <v>283</v>
      </c>
      <c r="D15" s="5" t="s">
        <v>28</v>
      </c>
      <c r="E15" s="6">
        <v>72000</v>
      </c>
      <c r="F15" s="7">
        <v>274.78800000000001</v>
      </c>
      <c r="G15" s="8">
        <v>1.9644284000000001E-2</v>
      </c>
      <c r="H15" s="100"/>
    </row>
    <row r="16" spans="1:8" x14ac:dyDescent="0.2">
      <c r="A16" s="4">
        <v>10</v>
      </c>
      <c r="B16" s="5" t="s">
        <v>161</v>
      </c>
      <c r="C16" s="5" t="s">
        <v>162</v>
      </c>
      <c r="D16" s="5" t="s">
        <v>163</v>
      </c>
      <c r="E16" s="6">
        <v>22184</v>
      </c>
      <c r="F16" s="7">
        <v>273.90584799999999</v>
      </c>
      <c r="G16" s="8">
        <v>1.9581219E-2</v>
      </c>
      <c r="H16" s="100"/>
    </row>
    <row r="17" spans="1:8" x14ac:dyDescent="0.2">
      <c r="A17" s="4">
        <v>11</v>
      </c>
      <c r="B17" s="5" t="s">
        <v>440</v>
      </c>
      <c r="C17" s="5" t="s">
        <v>441</v>
      </c>
      <c r="D17" s="5" t="s">
        <v>58</v>
      </c>
      <c r="E17" s="6">
        <v>101250</v>
      </c>
      <c r="F17" s="7">
        <v>273.07125000000002</v>
      </c>
      <c r="G17" s="8">
        <v>1.9521554999999999E-2</v>
      </c>
      <c r="H17" s="100"/>
    </row>
    <row r="18" spans="1:8" x14ac:dyDescent="0.2">
      <c r="A18" s="4">
        <v>12</v>
      </c>
      <c r="B18" s="5" t="s">
        <v>168</v>
      </c>
      <c r="C18" s="5" t="s">
        <v>169</v>
      </c>
      <c r="D18" s="5" t="s">
        <v>151</v>
      </c>
      <c r="E18" s="6">
        <v>134408</v>
      </c>
      <c r="F18" s="7">
        <v>265.11977999999999</v>
      </c>
      <c r="G18" s="8">
        <v>1.8953113000000001E-2</v>
      </c>
      <c r="H18" s="100"/>
    </row>
    <row r="19" spans="1:8" ht="25.5" x14ac:dyDescent="0.2">
      <c r="A19" s="4">
        <v>13</v>
      </c>
      <c r="B19" s="5" t="s">
        <v>166</v>
      </c>
      <c r="C19" s="5" t="s">
        <v>948</v>
      </c>
      <c r="D19" s="5" t="s">
        <v>1001</v>
      </c>
      <c r="E19" s="6">
        <v>111054</v>
      </c>
      <c r="F19" s="7">
        <v>263.309034</v>
      </c>
      <c r="G19" s="8">
        <v>1.8823665E-2</v>
      </c>
      <c r="H19" s="100"/>
    </row>
    <row r="20" spans="1:8" x14ac:dyDescent="0.2">
      <c r="A20" s="4">
        <v>14</v>
      </c>
      <c r="B20" s="5" t="s">
        <v>48</v>
      </c>
      <c r="C20" s="5" t="s">
        <v>49</v>
      </c>
      <c r="D20" s="5" t="s">
        <v>28</v>
      </c>
      <c r="E20" s="6">
        <v>18089</v>
      </c>
      <c r="F20" s="7">
        <v>253.99669349999999</v>
      </c>
      <c r="G20" s="8">
        <v>1.8157936999999999E-2</v>
      </c>
      <c r="H20" s="100"/>
    </row>
    <row r="21" spans="1:8" x14ac:dyDescent="0.2">
      <c r="A21" s="4">
        <v>15</v>
      </c>
      <c r="B21" s="5" t="s">
        <v>173</v>
      </c>
      <c r="C21" s="5" t="s">
        <v>949</v>
      </c>
      <c r="D21" s="5" t="s">
        <v>28</v>
      </c>
      <c r="E21" s="6">
        <v>55758</v>
      </c>
      <c r="F21" s="7">
        <v>249.01522800000001</v>
      </c>
      <c r="G21" s="8">
        <v>1.7801817000000001E-2</v>
      </c>
      <c r="H21" s="100"/>
    </row>
    <row r="22" spans="1:8" ht="25.5" x14ac:dyDescent="0.2">
      <c r="A22" s="4">
        <v>16</v>
      </c>
      <c r="B22" s="5" t="s">
        <v>182</v>
      </c>
      <c r="C22" s="5" t="s">
        <v>944</v>
      </c>
      <c r="D22" s="5" t="s">
        <v>58</v>
      </c>
      <c r="E22" s="6">
        <v>10609</v>
      </c>
      <c r="F22" s="7">
        <v>247.7572815</v>
      </c>
      <c r="G22" s="8">
        <v>1.7711887999999999E-2</v>
      </c>
      <c r="H22" s="100"/>
    </row>
    <row r="23" spans="1:8" x14ac:dyDescent="0.2">
      <c r="A23" s="4">
        <v>17</v>
      </c>
      <c r="B23" s="5" t="s">
        <v>164</v>
      </c>
      <c r="C23" s="5" t="s">
        <v>947</v>
      </c>
      <c r="D23" s="5" t="s">
        <v>151</v>
      </c>
      <c r="E23" s="6">
        <v>32517</v>
      </c>
      <c r="F23" s="7">
        <v>235.56940650000001</v>
      </c>
      <c r="G23" s="8">
        <v>1.6840590999999999E-2</v>
      </c>
      <c r="H23" s="100"/>
    </row>
    <row r="24" spans="1:8" x14ac:dyDescent="0.2">
      <c r="A24" s="4">
        <v>18</v>
      </c>
      <c r="B24" s="5" t="s">
        <v>170</v>
      </c>
      <c r="C24" s="5" t="s">
        <v>171</v>
      </c>
      <c r="D24" s="5" t="s">
        <v>172</v>
      </c>
      <c r="E24" s="6">
        <v>22976</v>
      </c>
      <c r="F24" s="7">
        <v>235.52697599999999</v>
      </c>
      <c r="G24" s="8">
        <v>1.6837557E-2</v>
      </c>
      <c r="H24" s="100"/>
    </row>
    <row r="25" spans="1:8" ht="25.5" x14ac:dyDescent="0.2">
      <c r="A25" s="4">
        <v>19</v>
      </c>
      <c r="B25" s="5" t="s">
        <v>180</v>
      </c>
      <c r="C25" s="5" t="s">
        <v>934</v>
      </c>
      <c r="D25" s="5" t="s">
        <v>146</v>
      </c>
      <c r="E25" s="6">
        <v>63490</v>
      </c>
      <c r="F25" s="7">
        <v>229.73856499999999</v>
      </c>
      <c r="G25" s="8">
        <v>1.6423750000000001E-2</v>
      </c>
      <c r="H25" s="100"/>
    </row>
    <row r="26" spans="1:8" x14ac:dyDescent="0.2">
      <c r="A26" s="4">
        <v>20</v>
      </c>
      <c r="B26" s="5" t="s">
        <v>184</v>
      </c>
      <c r="C26" s="5" t="s">
        <v>185</v>
      </c>
      <c r="D26" s="5" t="s">
        <v>172</v>
      </c>
      <c r="E26" s="6">
        <v>124748</v>
      </c>
      <c r="F26" s="7">
        <v>221.552448</v>
      </c>
      <c r="G26" s="8">
        <v>1.5838534000000001E-2</v>
      </c>
      <c r="H26" s="100"/>
    </row>
    <row r="27" spans="1:8" x14ac:dyDescent="0.2">
      <c r="A27" s="4">
        <v>21</v>
      </c>
      <c r="B27" s="5" t="s">
        <v>291</v>
      </c>
      <c r="C27" s="5" t="s">
        <v>292</v>
      </c>
      <c r="D27" s="5" t="s">
        <v>163</v>
      </c>
      <c r="E27" s="6">
        <v>6790</v>
      </c>
      <c r="F27" s="7">
        <v>212.374225</v>
      </c>
      <c r="G27" s="8">
        <v>1.5182393000000001E-2</v>
      </c>
      <c r="H27" s="100"/>
    </row>
    <row r="28" spans="1:8" x14ac:dyDescent="0.2">
      <c r="A28" s="4">
        <v>22</v>
      </c>
      <c r="B28" s="5" t="s">
        <v>448</v>
      </c>
      <c r="C28" s="5" t="s">
        <v>957</v>
      </c>
      <c r="D28" s="5" t="s">
        <v>228</v>
      </c>
      <c r="E28" s="6">
        <v>43487</v>
      </c>
      <c r="F28" s="7">
        <v>210.54231050000001</v>
      </c>
      <c r="G28" s="8">
        <v>1.5051432E-2</v>
      </c>
      <c r="H28" s="100"/>
    </row>
    <row r="29" spans="1:8" x14ac:dyDescent="0.2">
      <c r="A29" s="4">
        <v>23</v>
      </c>
      <c r="B29" s="5" t="s">
        <v>189</v>
      </c>
      <c r="C29" s="5" t="s">
        <v>190</v>
      </c>
      <c r="D29" s="5" t="s">
        <v>151</v>
      </c>
      <c r="E29" s="6">
        <v>10158</v>
      </c>
      <c r="F29" s="7">
        <v>207.05051399999999</v>
      </c>
      <c r="G29" s="8">
        <v>1.4801807E-2</v>
      </c>
      <c r="H29" s="100"/>
    </row>
    <row r="30" spans="1:8" x14ac:dyDescent="0.2">
      <c r="A30" s="4">
        <v>24</v>
      </c>
      <c r="B30" s="5" t="s">
        <v>444</v>
      </c>
      <c r="C30" s="5" t="s">
        <v>445</v>
      </c>
      <c r="D30" s="5" t="s">
        <v>58</v>
      </c>
      <c r="E30" s="6">
        <v>24137</v>
      </c>
      <c r="F30" s="7">
        <v>204.07833500000001</v>
      </c>
      <c r="G30" s="8">
        <v>1.4589329E-2</v>
      </c>
      <c r="H30" s="100"/>
    </row>
    <row r="31" spans="1:8" ht="25.5" x14ac:dyDescent="0.2">
      <c r="A31" s="4">
        <v>25</v>
      </c>
      <c r="B31" s="5" t="s">
        <v>194</v>
      </c>
      <c r="C31" s="5" t="s">
        <v>195</v>
      </c>
      <c r="D31" s="5" t="s">
        <v>73</v>
      </c>
      <c r="E31" s="6">
        <v>55539</v>
      </c>
      <c r="F31" s="7">
        <v>203.96697750000001</v>
      </c>
      <c r="G31" s="8">
        <v>1.4581369E-2</v>
      </c>
      <c r="H31" s="100"/>
    </row>
    <row r="32" spans="1:8" x14ac:dyDescent="0.2">
      <c r="A32" s="4">
        <v>26</v>
      </c>
      <c r="B32" s="5" t="s">
        <v>191</v>
      </c>
      <c r="C32" s="5" t="s">
        <v>192</v>
      </c>
      <c r="D32" s="5" t="s">
        <v>193</v>
      </c>
      <c r="E32" s="6">
        <v>61648</v>
      </c>
      <c r="F32" s="7">
        <v>202.51367999999999</v>
      </c>
      <c r="G32" s="8">
        <v>1.4477474000000001E-2</v>
      </c>
      <c r="H32" s="100"/>
    </row>
    <row r="33" spans="1:8" x14ac:dyDescent="0.2">
      <c r="A33" s="4">
        <v>27</v>
      </c>
      <c r="B33" s="5" t="s">
        <v>196</v>
      </c>
      <c r="C33" s="5" t="s">
        <v>197</v>
      </c>
      <c r="D33" s="5" t="s">
        <v>151</v>
      </c>
      <c r="E33" s="6">
        <v>26792</v>
      </c>
      <c r="F33" s="7">
        <v>197.47043600000001</v>
      </c>
      <c r="G33" s="8">
        <v>1.4116938000000001E-2</v>
      </c>
      <c r="H33" s="100"/>
    </row>
    <row r="34" spans="1:8" x14ac:dyDescent="0.2">
      <c r="A34" s="4">
        <v>28</v>
      </c>
      <c r="B34" s="5" t="s">
        <v>177</v>
      </c>
      <c r="C34" s="5" t="s">
        <v>178</v>
      </c>
      <c r="D34" s="5" t="s">
        <v>47</v>
      </c>
      <c r="E34" s="6">
        <v>18446</v>
      </c>
      <c r="F34" s="7">
        <v>194.734422</v>
      </c>
      <c r="G34" s="8">
        <v>1.3921344E-2</v>
      </c>
      <c r="H34" s="100"/>
    </row>
    <row r="35" spans="1:8" x14ac:dyDescent="0.2">
      <c r="A35" s="4">
        <v>29</v>
      </c>
      <c r="B35" s="5" t="s">
        <v>212</v>
      </c>
      <c r="C35" s="5" t="s">
        <v>213</v>
      </c>
      <c r="D35" s="5" t="s">
        <v>38</v>
      </c>
      <c r="E35" s="6">
        <v>26331</v>
      </c>
      <c r="F35" s="7">
        <v>188.76693900000001</v>
      </c>
      <c r="G35" s="8">
        <v>1.3494735000000001E-2</v>
      </c>
      <c r="H35" s="100"/>
    </row>
    <row r="36" spans="1:8" x14ac:dyDescent="0.2">
      <c r="A36" s="4">
        <v>30</v>
      </c>
      <c r="B36" s="5" t="s">
        <v>200</v>
      </c>
      <c r="C36" s="5" t="s">
        <v>201</v>
      </c>
      <c r="D36" s="5" t="s">
        <v>1003</v>
      </c>
      <c r="E36" s="6">
        <v>30000</v>
      </c>
      <c r="F36" s="7">
        <v>188.49</v>
      </c>
      <c r="G36" s="8">
        <v>1.3474936999999999E-2</v>
      </c>
      <c r="H36" s="100"/>
    </row>
    <row r="37" spans="1:8" x14ac:dyDescent="0.2">
      <c r="A37" s="4">
        <v>31</v>
      </c>
      <c r="B37" s="5" t="s">
        <v>208</v>
      </c>
      <c r="C37" s="5" t="s">
        <v>209</v>
      </c>
      <c r="D37" s="5" t="s">
        <v>163</v>
      </c>
      <c r="E37" s="6">
        <v>50534</v>
      </c>
      <c r="F37" s="7">
        <v>185.45977999999999</v>
      </c>
      <c r="G37" s="8">
        <v>1.3258310000000001E-2</v>
      </c>
      <c r="H37" s="100"/>
    </row>
    <row r="38" spans="1:8" ht="25.5" x14ac:dyDescent="0.2">
      <c r="A38" s="4">
        <v>32</v>
      </c>
      <c r="B38" s="5" t="s">
        <v>442</v>
      </c>
      <c r="C38" s="5" t="s">
        <v>443</v>
      </c>
      <c r="D38" s="5" t="s">
        <v>25</v>
      </c>
      <c r="E38" s="6">
        <v>17534</v>
      </c>
      <c r="F38" s="7">
        <v>183.896592</v>
      </c>
      <c r="G38" s="8">
        <v>1.3146559E-2</v>
      </c>
      <c r="H38" s="100"/>
    </row>
    <row r="39" spans="1:8" x14ac:dyDescent="0.2">
      <c r="A39" s="4">
        <v>33</v>
      </c>
      <c r="B39" s="5" t="s">
        <v>198</v>
      </c>
      <c r="C39" s="5" t="s">
        <v>199</v>
      </c>
      <c r="D39" s="5" t="s">
        <v>156</v>
      </c>
      <c r="E39" s="6">
        <v>343505</v>
      </c>
      <c r="F39" s="7">
        <v>182.05765</v>
      </c>
      <c r="G39" s="8">
        <v>1.3015096E-2</v>
      </c>
      <c r="H39" s="100"/>
    </row>
    <row r="40" spans="1:8" x14ac:dyDescent="0.2">
      <c r="A40" s="4">
        <v>34</v>
      </c>
      <c r="B40" s="5" t="s">
        <v>43</v>
      </c>
      <c r="C40" s="5" t="s">
        <v>44</v>
      </c>
      <c r="D40" s="5" t="s">
        <v>28</v>
      </c>
      <c r="E40" s="6">
        <v>10114</v>
      </c>
      <c r="F40" s="7">
        <v>180.19608099999999</v>
      </c>
      <c r="G40" s="8">
        <v>1.2882014000000001E-2</v>
      </c>
      <c r="H40" s="100"/>
    </row>
    <row r="41" spans="1:8" x14ac:dyDescent="0.2">
      <c r="A41" s="4">
        <v>35</v>
      </c>
      <c r="B41" s="5" t="s">
        <v>278</v>
      </c>
      <c r="C41" s="5" t="s">
        <v>279</v>
      </c>
      <c r="D41" s="5" t="s">
        <v>28</v>
      </c>
      <c r="E41" s="6">
        <v>16920</v>
      </c>
      <c r="F41" s="7">
        <v>179.06435999999999</v>
      </c>
      <c r="G41" s="8">
        <v>1.2801109E-2</v>
      </c>
      <c r="H41" s="100"/>
    </row>
    <row r="42" spans="1:8" x14ac:dyDescent="0.2">
      <c r="A42" s="4">
        <v>36</v>
      </c>
      <c r="B42" s="5" t="s">
        <v>204</v>
      </c>
      <c r="C42" s="5" t="s">
        <v>205</v>
      </c>
      <c r="D42" s="5" t="s">
        <v>1004</v>
      </c>
      <c r="E42" s="6">
        <v>64251</v>
      </c>
      <c r="F42" s="7">
        <v>174.69846899999999</v>
      </c>
      <c r="G42" s="8">
        <v>1.2488996E-2</v>
      </c>
      <c r="H42" s="100"/>
    </row>
    <row r="43" spans="1:8" x14ac:dyDescent="0.2">
      <c r="A43" s="4">
        <v>37</v>
      </c>
      <c r="B43" s="5" t="s">
        <v>210</v>
      </c>
      <c r="C43" s="5" t="s">
        <v>211</v>
      </c>
      <c r="D43" s="5" t="s">
        <v>193</v>
      </c>
      <c r="E43" s="6">
        <v>37335</v>
      </c>
      <c r="F43" s="7">
        <v>169.0342125</v>
      </c>
      <c r="G43" s="8">
        <v>1.2084065E-2</v>
      </c>
      <c r="H43" s="100"/>
    </row>
    <row r="44" spans="1:8" x14ac:dyDescent="0.2">
      <c r="A44" s="4">
        <v>38</v>
      </c>
      <c r="B44" s="5" t="s">
        <v>202</v>
      </c>
      <c r="C44" s="5" t="s">
        <v>203</v>
      </c>
      <c r="D44" s="5" t="s">
        <v>38</v>
      </c>
      <c r="E44" s="6">
        <v>203257</v>
      </c>
      <c r="F44" s="7">
        <v>167.78865350000001</v>
      </c>
      <c r="G44" s="8">
        <v>1.1995021E-2</v>
      </c>
      <c r="H44" s="100"/>
    </row>
    <row r="45" spans="1:8" ht="25.5" x14ac:dyDescent="0.2">
      <c r="A45" s="4">
        <v>39</v>
      </c>
      <c r="B45" s="5" t="s">
        <v>214</v>
      </c>
      <c r="C45" s="5" t="s">
        <v>215</v>
      </c>
      <c r="D45" s="5" t="s">
        <v>25</v>
      </c>
      <c r="E45" s="6">
        <v>240780</v>
      </c>
      <c r="F45" s="7">
        <v>167.58287999999999</v>
      </c>
      <c r="G45" s="8">
        <v>1.1980311E-2</v>
      </c>
      <c r="H45" s="100"/>
    </row>
    <row r="46" spans="1:8" x14ac:dyDescent="0.2">
      <c r="A46" s="4">
        <v>40</v>
      </c>
      <c r="B46" s="5" t="s">
        <v>461</v>
      </c>
      <c r="C46" s="5" t="s">
        <v>462</v>
      </c>
      <c r="D46" s="5" t="s">
        <v>193</v>
      </c>
      <c r="E46" s="6">
        <v>62069</v>
      </c>
      <c r="F46" s="7">
        <v>164.5759535</v>
      </c>
      <c r="G46" s="8">
        <v>1.1765349E-2</v>
      </c>
      <c r="H46" s="100"/>
    </row>
    <row r="47" spans="1:8" x14ac:dyDescent="0.2">
      <c r="A47" s="4">
        <v>41</v>
      </c>
      <c r="B47" s="5" t="s">
        <v>218</v>
      </c>
      <c r="C47" s="5" t="s">
        <v>219</v>
      </c>
      <c r="D47" s="5" t="s">
        <v>156</v>
      </c>
      <c r="E47" s="6">
        <v>27186</v>
      </c>
      <c r="F47" s="7">
        <v>158.07299699999999</v>
      </c>
      <c r="G47" s="8">
        <v>1.130046E-2</v>
      </c>
      <c r="H47" s="100"/>
    </row>
    <row r="48" spans="1:8" x14ac:dyDescent="0.2">
      <c r="A48" s="4">
        <v>42</v>
      </c>
      <c r="B48" s="5" t="s">
        <v>224</v>
      </c>
      <c r="C48" s="5" t="s">
        <v>225</v>
      </c>
      <c r="D48" s="5" t="s">
        <v>58</v>
      </c>
      <c r="E48" s="6">
        <v>24424</v>
      </c>
      <c r="F48" s="7">
        <v>151.34331599999999</v>
      </c>
      <c r="G48" s="8">
        <v>1.0819363E-2</v>
      </c>
      <c r="H48" s="100"/>
    </row>
    <row r="49" spans="1:8" x14ac:dyDescent="0.2">
      <c r="A49" s="4">
        <v>43</v>
      </c>
      <c r="B49" s="5" t="s">
        <v>222</v>
      </c>
      <c r="C49" s="5" t="s">
        <v>950</v>
      </c>
      <c r="D49" s="5" t="s">
        <v>28</v>
      </c>
      <c r="E49" s="6">
        <v>139037</v>
      </c>
      <c r="F49" s="7">
        <v>149.67333049999999</v>
      </c>
      <c r="G49" s="8">
        <v>1.0699976999999999E-2</v>
      </c>
      <c r="H49" s="100"/>
    </row>
    <row r="50" spans="1:8" x14ac:dyDescent="0.2">
      <c r="A50" s="4">
        <v>44</v>
      </c>
      <c r="B50" s="5" t="s">
        <v>175</v>
      </c>
      <c r="C50" s="5" t="s">
        <v>176</v>
      </c>
      <c r="D50" s="5" t="s">
        <v>53</v>
      </c>
      <c r="E50" s="6">
        <v>39951</v>
      </c>
      <c r="F50" s="7">
        <v>147.27936149999999</v>
      </c>
      <c r="G50" s="8">
        <v>1.0528835E-2</v>
      </c>
      <c r="H50" s="100"/>
    </row>
    <row r="51" spans="1:8" x14ac:dyDescent="0.2">
      <c r="A51" s="4">
        <v>45</v>
      </c>
      <c r="B51" s="5" t="s">
        <v>229</v>
      </c>
      <c r="C51" s="5" t="s">
        <v>230</v>
      </c>
      <c r="D51" s="5" t="s">
        <v>193</v>
      </c>
      <c r="E51" s="6">
        <v>10472</v>
      </c>
      <c r="F51" s="7">
        <v>146.12105199999999</v>
      </c>
      <c r="G51" s="8">
        <v>1.0446029000000001E-2</v>
      </c>
      <c r="H51" s="100"/>
    </row>
    <row r="52" spans="1:8" x14ac:dyDescent="0.2">
      <c r="A52" s="4">
        <v>46</v>
      </c>
      <c r="B52" s="5" t="s">
        <v>216</v>
      </c>
      <c r="C52" s="5" t="s">
        <v>217</v>
      </c>
      <c r="D52" s="5" t="s">
        <v>1005</v>
      </c>
      <c r="E52" s="6">
        <v>68953</v>
      </c>
      <c r="F52" s="7">
        <v>145.28397100000001</v>
      </c>
      <c r="G52" s="8">
        <v>1.0386187E-2</v>
      </c>
      <c r="H52" s="100"/>
    </row>
    <row r="53" spans="1:8" x14ac:dyDescent="0.2">
      <c r="A53" s="4">
        <v>47</v>
      </c>
      <c r="B53" s="5" t="s">
        <v>186</v>
      </c>
      <c r="C53" s="5" t="s">
        <v>187</v>
      </c>
      <c r="D53" s="5" t="s">
        <v>188</v>
      </c>
      <c r="E53" s="6">
        <v>19644</v>
      </c>
      <c r="F53" s="7">
        <v>142.91992200000001</v>
      </c>
      <c r="G53" s="8">
        <v>1.0217184000000001E-2</v>
      </c>
      <c r="H53" s="100"/>
    </row>
    <row r="54" spans="1:8" x14ac:dyDescent="0.2">
      <c r="A54" s="4">
        <v>48</v>
      </c>
      <c r="B54" s="5" t="s">
        <v>231</v>
      </c>
      <c r="C54" s="5" t="s">
        <v>935</v>
      </c>
      <c r="D54" s="5" t="s">
        <v>156</v>
      </c>
      <c r="E54" s="6">
        <v>28688</v>
      </c>
      <c r="F54" s="7">
        <v>142.78017600000001</v>
      </c>
      <c r="G54" s="8">
        <v>1.0207193E-2</v>
      </c>
      <c r="H54" s="100"/>
    </row>
    <row r="55" spans="1:8" x14ac:dyDescent="0.2">
      <c r="A55" s="4">
        <v>49</v>
      </c>
      <c r="B55" s="5" t="s">
        <v>449</v>
      </c>
      <c r="C55" s="5" t="s">
        <v>450</v>
      </c>
      <c r="D55" s="5" t="s">
        <v>28</v>
      </c>
      <c r="E55" s="6">
        <v>25628</v>
      </c>
      <c r="F55" s="7">
        <v>140.402998</v>
      </c>
      <c r="G55" s="8">
        <v>1.0037252E-2</v>
      </c>
      <c r="H55" s="100"/>
    </row>
    <row r="56" spans="1:8" x14ac:dyDescent="0.2">
      <c r="A56" s="4">
        <v>50</v>
      </c>
      <c r="B56" s="5" t="s">
        <v>226</v>
      </c>
      <c r="C56" s="5" t="s">
        <v>227</v>
      </c>
      <c r="D56" s="5" t="s">
        <v>228</v>
      </c>
      <c r="E56" s="6">
        <v>89345</v>
      </c>
      <c r="F56" s="7">
        <v>139.8695975</v>
      </c>
      <c r="G56" s="8">
        <v>9.9991190000000008E-3</v>
      </c>
      <c r="H56" s="100"/>
    </row>
    <row r="57" spans="1:8" x14ac:dyDescent="0.2">
      <c r="A57" s="4">
        <v>51</v>
      </c>
      <c r="B57" s="5" t="s">
        <v>235</v>
      </c>
      <c r="C57" s="5" t="s">
        <v>236</v>
      </c>
      <c r="D57" s="5" t="s">
        <v>1005</v>
      </c>
      <c r="E57" s="6">
        <v>30619</v>
      </c>
      <c r="F57" s="7">
        <v>133.85095849999999</v>
      </c>
      <c r="G57" s="8">
        <v>9.5688539999999999E-3</v>
      </c>
      <c r="H57" s="100"/>
    </row>
    <row r="58" spans="1:8" x14ac:dyDescent="0.2">
      <c r="A58" s="4">
        <v>52</v>
      </c>
      <c r="B58" s="5" t="s">
        <v>455</v>
      </c>
      <c r="C58" s="5" t="s">
        <v>456</v>
      </c>
      <c r="D58" s="5" t="s">
        <v>1006</v>
      </c>
      <c r="E58" s="6">
        <v>253726</v>
      </c>
      <c r="F58" s="7">
        <v>132.57183499999999</v>
      </c>
      <c r="G58" s="8">
        <v>9.4774109999999998E-3</v>
      </c>
      <c r="H58" s="100"/>
    </row>
    <row r="59" spans="1:8" x14ac:dyDescent="0.2">
      <c r="A59" s="4">
        <v>53</v>
      </c>
      <c r="B59" s="5" t="s">
        <v>239</v>
      </c>
      <c r="C59" s="5" t="s">
        <v>240</v>
      </c>
      <c r="D59" s="5" t="s">
        <v>58</v>
      </c>
      <c r="E59" s="6">
        <v>28880</v>
      </c>
      <c r="F59" s="7">
        <v>132.02492000000001</v>
      </c>
      <c r="G59" s="8">
        <v>9.4383120000000008E-3</v>
      </c>
      <c r="H59" s="100"/>
    </row>
    <row r="60" spans="1:8" x14ac:dyDescent="0.2">
      <c r="A60" s="4">
        <v>54</v>
      </c>
      <c r="B60" s="5" t="s">
        <v>241</v>
      </c>
      <c r="C60" s="5" t="s">
        <v>242</v>
      </c>
      <c r="D60" s="5" t="s">
        <v>163</v>
      </c>
      <c r="E60" s="6">
        <v>21471</v>
      </c>
      <c r="F60" s="7">
        <v>127.881276</v>
      </c>
      <c r="G60" s="8">
        <v>9.1420879999999996E-3</v>
      </c>
      <c r="H60" s="100"/>
    </row>
    <row r="61" spans="1:8" x14ac:dyDescent="0.2">
      <c r="A61" s="4">
        <v>55</v>
      </c>
      <c r="B61" s="5" t="s">
        <v>245</v>
      </c>
      <c r="C61" s="5" t="s">
        <v>246</v>
      </c>
      <c r="D61" s="5" t="s">
        <v>22</v>
      </c>
      <c r="E61" s="6">
        <v>140383</v>
      </c>
      <c r="F61" s="7">
        <v>127.2571895</v>
      </c>
      <c r="G61" s="8">
        <v>9.097473E-3</v>
      </c>
      <c r="H61" s="100"/>
    </row>
    <row r="62" spans="1:8" x14ac:dyDescent="0.2">
      <c r="A62" s="4">
        <v>56</v>
      </c>
      <c r="B62" s="5" t="s">
        <v>451</v>
      </c>
      <c r="C62" s="5" t="s">
        <v>452</v>
      </c>
      <c r="D62" s="5" t="s">
        <v>63</v>
      </c>
      <c r="E62" s="6">
        <v>47887</v>
      </c>
      <c r="F62" s="7">
        <v>126.661115</v>
      </c>
      <c r="G62" s="8">
        <v>9.0548599999999996E-3</v>
      </c>
      <c r="H62" s="100"/>
    </row>
    <row r="63" spans="1:8" x14ac:dyDescent="0.2">
      <c r="A63" s="4">
        <v>57</v>
      </c>
      <c r="B63" s="5" t="s">
        <v>206</v>
      </c>
      <c r="C63" s="5" t="s">
        <v>207</v>
      </c>
      <c r="D63" s="5" t="s">
        <v>163</v>
      </c>
      <c r="E63" s="6">
        <v>32998</v>
      </c>
      <c r="F63" s="7">
        <v>126.101857</v>
      </c>
      <c r="G63" s="8">
        <v>9.0148789999999999E-3</v>
      </c>
      <c r="H63" s="100"/>
    </row>
    <row r="64" spans="1:8" x14ac:dyDescent="0.2">
      <c r="A64" s="4">
        <v>58</v>
      </c>
      <c r="B64" s="5" t="s">
        <v>453</v>
      </c>
      <c r="C64" s="5" t="s">
        <v>454</v>
      </c>
      <c r="D64" s="5" t="s">
        <v>156</v>
      </c>
      <c r="E64" s="6">
        <v>19196</v>
      </c>
      <c r="F64" s="7">
        <v>114.292984</v>
      </c>
      <c r="G64" s="8">
        <v>8.170676E-3</v>
      </c>
      <c r="H64" s="100"/>
    </row>
    <row r="65" spans="1:8" ht="25.5" x14ac:dyDescent="0.2">
      <c r="A65" s="4">
        <v>59</v>
      </c>
      <c r="B65" s="5" t="s">
        <v>152</v>
      </c>
      <c r="C65" s="5" t="s">
        <v>153</v>
      </c>
      <c r="D65" s="5" t="s">
        <v>1001</v>
      </c>
      <c r="E65" s="6">
        <v>67771</v>
      </c>
      <c r="F65" s="7">
        <v>110.602272</v>
      </c>
      <c r="G65" s="8">
        <v>7.9068309999999996E-3</v>
      </c>
      <c r="H65" s="100"/>
    </row>
    <row r="66" spans="1:8" x14ac:dyDescent="0.2">
      <c r="A66" s="4">
        <v>60</v>
      </c>
      <c r="B66" s="5" t="s">
        <v>249</v>
      </c>
      <c r="C66" s="5" t="s">
        <v>952</v>
      </c>
      <c r="D66" s="5" t="s">
        <v>251</v>
      </c>
      <c r="E66" s="6">
        <v>51612</v>
      </c>
      <c r="F66" s="7">
        <v>109.340022</v>
      </c>
      <c r="G66" s="8">
        <v>7.8165950000000008E-3</v>
      </c>
      <c r="H66" s="100"/>
    </row>
    <row r="67" spans="1:8" x14ac:dyDescent="0.2">
      <c r="A67" s="4">
        <v>61</v>
      </c>
      <c r="B67" s="5" t="s">
        <v>247</v>
      </c>
      <c r="C67" s="5" t="s">
        <v>248</v>
      </c>
      <c r="D67" s="5" t="s">
        <v>1005</v>
      </c>
      <c r="E67" s="6">
        <v>57235</v>
      </c>
      <c r="F67" s="7">
        <v>107.25839000000001</v>
      </c>
      <c r="G67" s="8">
        <v>7.6677810000000002E-3</v>
      </c>
      <c r="H67" s="100"/>
    </row>
    <row r="68" spans="1:8" x14ac:dyDescent="0.2">
      <c r="A68" s="4">
        <v>62</v>
      </c>
      <c r="B68" s="5" t="s">
        <v>36</v>
      </c>
      <c r="C68" s="5" t="s">
        <v>37</v>
      </c>
      <c r="D68" s="5" t="s">
        <v>38</v>
      </c>
      <c r="E68" s="6">
        <v>40384</v>
      </c>
      <c r="F68" s="7">
        <v>101.12153600000001</v>
      </c>
      <c r="G68" s="8">
        <v>7.2290640000000003E-3</v>
      </c>
      <c r="H68" s="100"/>
    </row>
    <row r="69" spans="1:8" x14ac:dyDescent="0.2">
      <c r="A69" s="4">
        <v>63</v>
      </c>
      <c r="B69" s="5" t="s">
        <v>446</v>
      </c>
      <c r="C69" s="5" t="s">
        <v>447</v>
      </c>
      <c r="D69" s="5" t="s">
        <v>156</v>
      </c>
      <c r="E69" s="6">
        <v>33000</v>
      </c>
      <c r="F69" s="7">
        <v>100.3035</v>
      </c>
      <c r="G69" s="8">
        <v>7.1705839999999998E-3</v>
      </c>
      <c r="H69" s="100"/>
    </row>
    <row r="70" spans="1:8" x14ac:dyDescent="0.2">
      <c r="A70" s="4">
        <v>64</v>
      </c>
      <c r="B70" s="5" t="s">
        <v>254</v>
      </c>
      <c r="C70" s="5" t="s">
        <v>255</v>
      </c>
      <c r="D70" s="5" t="s">
        <v>58</v>
      </c>
      <c r="E70" s="6">
        <v>70796</v>
      </c>
      <c r="F70" s="7">
        <v>98.300246000000001</v>
      </c>
      <c r="G70" s="8">
        <v>7.027373E-3</v>
      </c>
      <c r="H70" s="100"/>
    </row>
    <row r="71" spans="1:8" x14ac:dyDescent="0.2">
      <c r="A71" s="4">
        <v>65</v>
      </c>
      <c r="B71" s="5" t="s">
        <v>262</v>
      </c>
      <c r="C71" s="5" t="s">
        <v>263</v>
      </c>
      <c r="D71" s="5" t="s">
        <v>146</v>
      </c>
      <c r="E71" s="6">
        <v>6324</v>
      </c>
      <c r="F71" s="7">
        <v>97.854414000000006</v>
      </c>
      <c r="G71" s="8">
        <v>6.9955010000000003E-3</v>
      </c>
      <c r="H71" s="100"/>
    </row>
    <row r="72" spans="1:8" x14ac:dyDescent="0.2">
      <c r="A72" s="4">
        <v>66</v>
      </c>
      <c r="B72" s="5" t="s">
        <v>264</v>
      </c>
      <c r="C72" s="5" t="s">
        <v>265</v>
      </c>
      <c r="D72" s="5" t="s">
        <v>193</v>
      </c>
      <c r="E72" s="6">
        <v>9824</v>
      </c>
      <c r="F72" s="7">
        <v>96.835167999999996</v>
      </c>
      <c r="G72" s="8">
        <v>6.9226369999999997E-3</v>
      </c>
      <c r="H72" s="100"/>
    </row>
    <row r="73" spans="1:8" x14ac:dyDescent="0.2">
      <c r="A73" s="4">
        <v>67</v>
      </c>
      <c r="B73" s="5" t="s">
        <v>258</v>
      </c>
      <c r="C73" s="5" t="s">
        <v>259</v>
      </c>
      <c r="D73" s="5" t="s">
        <v>1006</v>
      </c>
      <c r="E73" s="6">
        <v>6421</v>
      </c>
      <c r="F73" s="7">
        <v>94.790012500000003</v>
      </c>
      <c r="G73" s="8">
        <v>6.7764310000000003E-3</v>
      </c>
      <c r="H73" s="100"/>
    </row>
    <row r="74" spans="1:8" ht="25.5" x14ac:dyDescent="0.2">
      <c r="A74" s="4">
        <v>68</v>
      </c>
      <c r="B74" s="5" t="s">
        <v>243</v>
      </c>
      <c r="C74" s="5" t="s">
        <v>244</v>
      </c>
      <c r="D74" s="5" t="s">
        <v>1007</v>
      </c>
      <c r="E74" s="6">
        <v>115549</v>
      </c>
      <c r="F74" s="7">
        <v>86.199554000000006</v>
      </c>
      <c r="G74" s="8">
        <v>6.1623090000000004E-3</v>
      </c>
      <c r="H74" s="100"/>
    </row>
    <row r="75" spans="1:8" x14ac:dyDescent="0.2">
      <c r="A75" s="4">
        <v>69</v>
      </c>
      <c r="B75" s="5" t="s">
        <v>284</v>
      </c>
      <c r="C75" s="5" t="s">
        <v>285</v>
      </c>
      <c r="D75" s="5" t="s">
        <v>1005</v>
      </c>
      <c r="E75" s="6">
        <v>244905</v>
      </c>
      <c r="F75" s="7">
        <v>61.471155000000003</v>
      </c>
      <c r="G75" s="8">
        <v>4.3945030000000001E-3</v>
      </c>
      <c r="H75" s="100"/>
    </row>
    <row r="76" spans="1:8" x14ac:dyDescent="0.2">
      <c r="A76" s="4">
        <v>70</v>
      </c>
      <c r="B76" s="5" t="s">
        <v>268</v>
      </c>
      <c r="C76" s="5" t="s">
        <v>269</v>
      </c>
      <c r="D76" s="5" t="s">
        <v>1005</v>
      </c>
      <c r="E76" s="6">
        <v>140987</v>
      </c>
      <c r="F76" s="7">
        <v>49.909398000000003</v>
      </c>
      <c r="G76" s="8">
        <v>3.5679660000000001E-3</v>
      </c>
      <c r="H76" s="100"/>
    </row>
    <row r="77" spans="1:8" x14ac:dyDescent="0.2">
      <c r="A77" s="4">
        <v>71</v>
      </c>
      <c r="B77" s="5" t="s">
        <v>270</v>
      </c>
      <c r="C77" s="5" t="s">
        <v>271</v>
      </c>
      <c r="D77" s="5" t="s">
        <v>272</v>
      </c>
      <c r="E77" s="6">
        <v>33714</v>
      </c>
      <c r="F77" s="7">
        <v>43.946199</v>
      </c>
      <c r="G77" s="8">
        <v>3.1416640000000002E-3</v>
      </c>
      <c r="H77" s="100"/>
    </row>
    <row r="78" spans="1:8" ht="25.5" x14ac:dyDescent="0.2">
      <c r="A78" s="4">
        <v>72</v>
      </c>
      <c r="B78" s="5" t="s">
        <v>457</v>
      </c>
      <c r="C78" s="5" t="s">
        <v>458</v>
      </c>
      <c r="D78" s="5" t="s">
        <v>25</v>
      </c>
      <c r="E78" s="6">
        <v>35129</v>
      </c>
      <c r="F78" s="7">
        <v>42.137235500000003</v>
      </c>
      <c r="G78" s="8">
        <v>3.0123429999999998E-3</v>
      </c>
      <c r="H78" s="100"/>
    </row>
    <row r="79" spans="1:8" x14ac:dyDescent="0.2">
      <c r="A79" s="15" t="s">
        <v>9</v>
      </c>
      <c r="B79" s="15" t="s">
        <v>9</v>
      </c>
      <c r="C79" s="3" t="s">
        <v>94</v>
      </c>
      <c r="D79" s="15" t="s">
        <v>9</v>
      </c>
      <c r="E79" s="15" t="s">
        <v>9</v>
      </c>
      <c r="F79" s="9">
        <v>13298.2045585</v>
      </c>
      <c r="G79" s="10">
        <v>0.95067360999999995</v>
      </c>
      <c r="H79" s="100"/>
    </row>
    <row r="80" spans="1:8" x14ac:dyDescent="0.2">
      <c r="A80" s="15" t="s">
        <v>9</v>
      </c>
      <c r="B80" s="15" t="s">
        <v>9</v>
      </c>
      <c r="C80" s="11" t="s">
        <v>9</v>
      </c>
      <c r="D80" s="15" t="s">
        <v>9</v>
      </c>
      <c r="E80" s="15" t="s">
        <v>9</v>
      </c>
      <c r="F80" s="12" t="s">
        <v>9</v>
      </c>
      <c r="G80" s="12" t="s">
        <v>9</v>
      </c>
      <c r="H80" s="100"/>
    </row>
    <row r="81" spans="1:8" x14ac:dyDescent="0.2">
      <c r="A81" s="15" t="s">
        <v>9</v>
      </c>
      <c r="B81" s="15" t="s">
        <v>9</v>
      </c>
      <c r="C81" s="3" t="s">
        <v>95</v>
      </c>
      <c r="D81" s="15" t="s">
        <v>9</v>
      </c>
      <c r="E81" s="15" t="s">
        <v>9</v>
      </c>
      <c r="F81" s="15" t="s">
        <v>9</v>
      </c>
      <c r="G81" s="15" t="s">
        <v>9</v>
      </c>
      <c r="H81" s="100"/>
    </row>
    <row r="82" spans="1:8" x14ac:dyDescent="0.2">
      <c r="A82" s="15" t="s">
        <v>9</v>
      </c>
      <c r="B82" s="15" t="s">
        <v>9</v>
      </c>
      <c r="C82" s="3" t="s">
        <v>94</v>
      </c>
      <c r="D82" s="15" t="s">
        <v>9</v>
      </c>
      <c r="E82" s="15" t="s">
        <v>9</v>
      </c>
      <c r="F82" s="13">
        <v>0</v>
      </c>
      <c r="G82" s="14">
        <v>0</v>
      </c>
      <c r="H82" s="100"/>
    </row>
    <row r="83" spans="1:8" x14ac:dyDescent="0.2">
      <c r="A83" s="15" t="s">
        <v>9</v>
      </c>
      <c r="B83" s="15" t="s">
        <v>9</v>
      </c>
      <c r="C83" s="11" t="s">
        <v>9</v>
      </c>
      <c r="D83" s="15" t="s">
        <v>9</v>
      </c>
      <c r="E83" s="15" t="s">
        <v>9</v>
      </c>
      <c r="F83" s="12" t="s">
        <v>9</v>
      </c>
      <c r="G83" s="12" t="s">
        <v>9</v>
      </c>
      <c r="H83" s="100"/>
    </row>
    <row r="84" spans="1:8" x14ac:dyDescent="0.2">
      <c r="A84" s="15" t="s">
        <v>9</v>
      </c>
      <c r="B84" s="15" t="s">
        <v>9</v>
      </c>
      <c r="C84" s="3" t="s">
        <v>96</v>
      </c>
      <c r="D84" s="15" t="s">
        <v>9</v>
      </c>
      <c r="E84" s="15" t="s">
        <v>9</v>
      </c>
      <c r="F84" s="15" t="s">
        <v>9</v>
      </c>
      <c r="G84" s="15" t="s">
        <v>9</v>
      </c>
      <c r="H84" s="100"/>
    </row>
    <row r="85" spans="1:8" x14ac:dyDescent="0.2">
      <c r="A85" s="15" t="s">
        <v>9</v>
      </c>
      <c r="B85" s="15" t="s">
        <v>9</v>
      </c>
      <c r="C85" s="3" t="s">
        <v>94</v>
      </c>
      <c r="D85" s="15" t="s">
        <v>9</v>
      </c>
      <c r="E85" s="15" t="s">
        <v>9</v>
      </c>
      <c r="F85" s="13">
        <v>0</v>
      </c>
      <c r="G85" s="14">
        <v>0</v>
      </c>
      <c r="H85" s="100"/>
    </row>
    <row r="86" spans="1:8" x14ac:dyDescent="0.2">
      <c r="A86" s="15" t="s">
        <v>9</v>
      </c>
      <c r="B86" s="15" t="s">
        <v>9</v>
      </c>
      <c r="C86" s="11" t="s">
        <v>9</v>
      </c>
      <c r="D86" s="15" t="s">
        <v>9</v>
      </c>
      <c r="E86" s="15" t="s">
        <v>9</v>
      </c>
      <c r="F86" s="12" t="s">
        <v>9</v>
      </c>
      <c r="G86" s="12" t="s">
        <v>9</v>
      </c>
      <c r="H86" s="100"/>
    </row>
    <row r="87" spans="1:8" x14ac:dyDescent="0.2">
      <c r="A87" s="15" t="s">
        <v>9</v>
      </c>
      <c r="B87" s="15" t="s">
        <v>9</v>
      </c>
      <c r="C87" s="3" t="s">
        <v>100</v>
      </c>
      <c r="D87" s="15" t="s">
        <v>9</v>
      </c>
      <c r="E87" s="15" t="s">
        <v>9</v>
      </c>
      <c r="F87" s="15" t="s">
        <v>9</v>
      </c>
      <c r="G87" s="15" t="s">
        <v>9</v>
      </c>
      <c r="H87" s="100"/>
    </row>
    <row r="88" spans="1:8" x14ac:dyDescent="0.2">
      <c r="A88" s="15" t="s">
        <v>9</v>
      </c>
      <c r="B88" s="15" t="s">
        <v>9</v>
      </c>
      <c r="C88" s="3" t="s">
        <v>94</v>
      </c>
      <c r="D88" s="15" t="s">
        <v>9</v>
      </c>
      <c r="E88" s="15" t="s">
        <v>9</v>
      </c>
      <c r="F88" s="13">
        <v>0</v>
      </c>
      <c r="G88" s="14">
        <v>0</v>
      </c>
      <c r="H88" s="100"/>
    </row>
    <row r="89" spans="1:8" x14ac:dyDescent="0.2">
      <c r="A89" s="15" t="s">
        <v>9</v>
      </c>
      <c r="B89" s="15" t="s">
        <v>9</v>
      </c>
      <c r="C89" s="11" t="s">
        <v>9</v>
      </c>
      <c r="D89" s="15" t="s">
        <v>9</v>
      </c>
      <c r="E89" s="15" t="s">
        <v>9</v>
      </c>
      <c r="F89" s="12" t="s">
        <v>9</v>
      </c>
      <c r="G89" s="12" t="s">
        <v>9</v>
      </c>
      <c r="H89" s="100"/>
    </row>
    <row r="90" spans="1:8" x14ac:dyDescent="0.2">
      <c r="A90" s="15" t="s">
        <v>9</v>
      </c>
      <c r="B90" s="15" t="s">
        <v>9</v>
      </c>
      <c r="C90" s="3" t="s">
        <v>101</v>
      </c>
      <c r="D90" s="15" t="s">
        <v>9</v>
      </c>
      <c r="E90" s="15" t="s">
        <v>9</v>
      </c>
      <c r="F90" s="12" t="s">
        <v>9</v>
      </c>
      <c r="G90" s="12" t="s">
        <v>9</v>
      </c>
      <c r="H90" s="100"/>
    </row>
    <row r="91" spans="1:8" x14ac:dyDescent="0.2">
      <c r="A91" s="15" t="s">
        <v>9</v>
      </c>
      <c r="B91" s="15" t="s">
        <v>9</v>
      </c>
      <c r="C91" s="3" t="s">
        <v>94</v>
      </c>
      <c r="D91" s="15" t="s">
        <v>9</v>
      </c>
      <c r="E91" s="15" t="s">
        <v>9</v>
      </c>
      <c r="F91" s="13">
        <v>0</v>
      </c>
      <c r="G91" s="14">
        <v>0</v>
      </c>
      <c r="H91" s="100"/>
    </row>
    <row r="92" spans="1:8" x14ac:dyDescent="0.2">
      <c r="A92" s="15" t="s">
        <v>9</v>
      </c>
      <c r="B92" s="15" t="s">
        <v>9</v>
      </c>
      <c r="C92" s="11" t="s">
        <v>9</v>
      </c>
      <c r="D92" s="15" t="s">
        <v>9</v>
      </c>
      <c r="E92" s="15" t="s">
        <v>9</v>
      </c>
      <c r="F92" s="12" t="s">
        <v>9</v>
      </c>
      <c r="G92" s="12" t="s">
        <v>9</v>
      </c>
      <c r="H92" s="100"/>
    </row>
    <row r="93" spans="1:8" x14ac:dyDescent="0.2">
      <c r="A93" s="15" t="s">
        <v>9</v>
      </c>
      <c r="B93" s="15" t="s">
        <v>9</v>
      </c>
      <c r="C93" s="3" t="s">
        <v>102</v>
      </c>
      <c r="D93" s="15" t="s">
        <v>9</v>
      </c>
      <c r="E93" s="15" t="s">
        <v>9</v>
      </c>
      <c r="F93" s="12" t="s">
        <v>9</v>
      </c>
      <c r="G93" s="12" t="s">
        <v>9</v>
      </c>
      <c r="H93" s="100"/>
    </row>
    <row r="94" spans="1:8" x14ac:dyDescent="0.2">
      <c r="A94" s="15" t="s">
        <v>9</v>
      </c>
      <c r="B94" s="15" t="s">
        <v>9</v>
      </c>
      <c r="C94" s="3" t="s">
        <v>94</v>
      </c>
      <c r="D94" s="15" t="s">
        <v>9</v>
      </c>
      <c r="E94" s="15" t="s">
        <v>9</v>
      </c>
      <c r="F94" s="13">
        <v>0</v>
      </c>
      <c r="G94" s="14">
        <v>0</v>
      </c>
      <c r="H94" s="100"/>
    </row>
    <row r="95" spans="1:8" x14ac:dyDescent="0.2">
      <c r="A95" s="15" t="s">
        <v>9</v>
      </c>
      <c r="B95" s="15" t="s">
        <v>9</v>
      </c>
      <c r="C95" s="11" t="s">
        <v>9</v>
      </c>
      <c r="D95" s="15" t="s">
        <v>9</v>
      </c>
      <c r="E95" s="15" t="s">
        <v>9</v>
      </c>
      <c r="F95" s="12" t="s">
        <v>9</v>
      </c>
      <c r="G95" s="12" t="s">
        <v>9</v>
      </c>
      <c r="H95" s="100"/>
    </row>
    <row r="96" spans="1:8" x14ac:dyDescent="0.2">
      <c r="A96" s="15" t="s">
        <v>9</v>
      </c>
      <c r="B96" s="15" t="s">
        <v>9</v>
      </c>
      <c r="C96" s="3" t="s">
        <v>104</v>
      </c>
      <c r="D96" s="15" t="s">
        <v>9</v>
      </c>
      <c r="E96" s="15" t="s">
        <v>9</v>
      </c>
      <c r="F96" s="9">
        <v>13298.2045585</v>
      </c>
      <c r="G96" s="10">
        <v>0.95067360999999995</v>
      </c>
      <c r="H96" s="100"/>
    </row>
    <row r="97" spans="1:8" x14ac:dyDescent="0.2">
      <c r="A97" s="15" t="s">
        <v>9</v>
      </c>
      <c r="B97" s="15" t="s">
        <v>9</v>
      </c>
      <c r="C97" s="11" t="s">
        <v>9</v>
      </c>
      <c r="D97" s="15" t="s">
        <v>9</v>
      </c>
      <c r="E97" s="15" t="s">
        <v>9</v>
      </c>
      <c r="F97" s="12" t="s">
        <v>9</v>
      </c>
      <c r="G97" s="12" t="s">
        <v>9</v>
      </c>
      <c r="H97" s="100"/>
    </row>
    <row r="98" spans="1:8" x14ac:dyDescent="0.2">
      <c r="A98" s="15" t="s">
        <v>9</v>
      </c>
      <c r="B98" s="15" t="s">
        <v>9</v>
      </c>
      <c r="C98" s="3" t="s">
        <v>105</v>
      </c>
      <c r="D98" s="15" t="s">
        <v>9</v>
      </c>
      <c r="E98" s="15" t="s">
        <v>9</v>
      </c>
      <c r="F98" s="12" t="s">
        <v>9</v>
      </c>
      <c r="G98" s="12" t="s">
        <v>9</v>
      </c>
      <c r="H98" s="100"/>
    </row>
    <row r="99" spans="1:8" ht="25.5" x14ac:dyDescent="0.2">
      <c r="A99" s="15" t="s">
        <v>9</v>
      </c>
      <c r="B99" s="15" t="s">
        <v>9</v>
      </c>
      <c r="C99" s="3" t="s">
        <v>11</v>
      </c>
      <c r="D99" s="15" t="s">
        <v>9</v>
      </c>
      <c r="E99" s="15" t="s">
        <v>9</v>
      </c>
      <c r="F99" s="12" t="s">
        <v>9</v>
      </c>
      <c r="G99" s="12" t="s">
        <v>9</v>
      </c>
      <c r="H99" s="100"/>
    </row>
    <row r="100" spans="1:8" x14ac:dyDescent="0.2">
      <c r="A100" s="15" t="s">
        <v>9</v>
      </c>
      <c r="B100" s="15" t="s">
        <v>9</v>
      </c>
      <c r="C100" s="3" t="s">
        <v>94</v>
      </c>
      <c r="D100" s="15" t="s">
        <v>9</v>
      </c>
      <c r="E100" s="15" t="s">
        <v>9</v>
      </c>
      <c r="F100" s="13">
        <v>0</v>
      </c>
      <c r="G100" s="14">
        <v>0</v>
      </c>
      <c r="H100" s="100"/>
    </row>
    <row r="101" spans="1:8" x14ac:dyDescent="0.2">
      <c r="A101" s="15" t="s">
        <v>9</v>
      </c>
      <c r="B101" s="15" t="s">
        <v>9</v>
      </c>
      <c r="C101" s="11" t="s">
        <v>9</v>
      </c>
      <c r="D101" s="15" t="s">
        <v>9</v>
      </c>
      <c r="E101" s="15" t="s">
        <v>9</v>
      </c>
      <c r="F101" s="12" t="s">
        <v>9</v>
      </c>
      <c r="G101" s="12" t="s">
        <v>9</v>
      </c>
      <c r="H101" s="100"/>
    </row>
    <row r="102" spans="1:8" x14ac:dyDescent="0.2">
      <c r="A102" s="15" t="s">
        <v>9</v>
      </c>
      <c r="B102" s="15" t="s">
        <v>9</v>
      </c>
      <c r="C102" s="3" t="s">
        <v>106</v>
      </c>
      <c r="D102" s="15" t="s">
        <v>9</v>
      </c>
      <c r="E102" s="15" t="s">
        <v>9</v>
      </c>
      <c r="F102" s="15" t="s">
        <v>9</v>
      </c>
      <c r="G102" s="15" t="s">
        <v>9</v>
      </c>
      <c r="H102" s="100"/>
    </row>
    <row r="103" spans="1:8" x14ac:dyDescent="0.2">
      <c r="A103" s="15" t="s">
        <v>9</v>
      </c>
      <c r="B103" s="15" t="s">
        <v>9</v>
      </c>
      <c r="C103" s="3" t="s">
        <v>94</v>
      </c>
      <c r="D103" s="15" t="s">
        <v>9</v>
      </c>
      <c r="E103" s="15" t="s">
        <v>9</v>
      </c>
      <c r="F103" s="13">
        <v>0</v>
      </c>
      <c r="G103" s="14">
        <v>0</v>
      </c>
      <c r="H103" s="100"/>
    </row>
    <row r="104" spans="1:8" x14ac:dyDescent="0.2">
      <c r="A104" s="15" t="s">
        <v>9</v>
      </c>
      <c r="B104" s="15" t="s">
        <v>9</v>
      </c>
      <c r="C104" s="11" t="s">
        <v>9</v>
      </c>
      <c r="D104" s="15" t="s">
        <v>9</v>
      </c>
      <c r="E104" s="15" t="s">
        <v>9</v>
      </c>
      <c r="F104" s="12" t="s">
        <v>9</v>
      </c>
      <c r="G104" s="12" t="s">
        <v>9</v>
      </c>
      <c r="H104" s="100"/>
    </row>
    <row r="105" spans="1:8" x14ac:dyDescent="0.2">
      <c r="A105" s="15" t="s">
        <v>9</v>
      </c>
      <c r="B105" s="15" t="s">
        <v>9</v>
      </c>
      <c r="C105" s="3" t="s">
        <v>107</v>
      </c>
      <c r="D105" s="15" t="s">
        <v>9</v>
      </c>
      <c r="E105" s="15" t="s">
        <v>9</v>
      </c>
      <c r="F105" s="15" t="s">
        <v>9</v>
      </c>
      <c r="G105" s="15" t="s">
        <v>9</v>
      </c>
      <c r="H105" s="100"/>
    </row>
    <row r="106" spans="1:8" x14ac:dyDescent="0.2">
      <c r="A106" s="15" t="s">
        <v>9</v>
      </c>
      <c r="B106" s="15" t="s">
        <v>9</v>
      </c>
      <c r="C106" s="3" t="s">
        <v>94</v>
      </c>
      <c r="D106" s="15" t="s">
        <v>9</v>
      </c>
      <c r="E106" s="15" t="s">
        <v>9</v>
      </c>
      <c r="F106" s="13">
        <v>0</v>
      </c>
      <c r="G106" s="14">
        <v>0</v>
      </c>
      <c r="H106" s="100"/>
    </row>
    <row r="107" spans="1:8" x14ac:dyDescent="0.2">
      <c r="A107" s="15" t="s">
        <v>9</v>
      </c>
      <c r="B107" s="15" t="s">
        <v>9</v>
      </c>
      <c r="C107" s="11" t="s">
        <v>9</v>
      </c>
      <c r="D107" s="15" t="s">
        <v>9</v>
      </c>
      <c r="E107" s="15" t="s">
        <v>9</v>
      </c>
      <c r="F107" s="12" t="s">
        <v>9</v>
      </c>
      <c r="G107" s="12" t="s">
        <v>9</v>
      </c>
      <c r="H107" s="100"/>
    </row>
    <row r="108" spans="1:8" x14ac:dyDescent="0.2">
      <c r="A108" s="15" t="s">
        <v>9</v>
      </c>
      <c r="B108" s="15" t="s">
        <v>9</v>
      </c>
      <c r="C108" s="3" t="s">
        <v>108</v>
      </c>
      <c r="D108" s="15" t="s">
        <v>9</v>
      </c>
      <c r="E108" s="15" t="s">
        <v>9</v>
      </c>
      <c r="F108" s="12" t="s">
        <v>9</v>
      </c>
      <c r="G108" s="12" t="s">
        <v>9</v>
      </c>
      <c r="H108" s="100"/>
    </row>
    <row r="109" spans="1:8" x14ac:dyDescent="0.2">
      <c r="A109" s="15" t="s">
        <v>9</v>
      </c>
      <c r="B109" s="15" t="s">
        <v>9</v>
      </c>
      <c r="C109" s="3" t="s">
        <v>94</v>
      </c>
      <c r="D109" s="15" t="s">
        <v>9</v>
      </c>
      <c r="E109" s="15" t="s">
        <v>9</v>
      </c>
      <c r="F109" s="13">
        <v>0</v>
      </c>
      <c r="G109" s="14">
        <v>0</v>
      </c>
      <c r="H109" s="100"/>
    </row>
    <row r="110" spans="1:8" x14ac:dyDescent="0.2">
      <c r="A110" s="15" t="s">
        <v>9</v>
      </c>
      <c r="B110" s="15" t="s">
        <v>9</v>
      </c>
      <c r="C110" s="11" t="s">
        <v>9</v>
      </c>
      <c r="D110" s="15" t="s">
        <v>9</v>
      </c>
      <c r="E110" s="15" t="s">
        <v>9</v>
      </c>
      <c r="F110" s="12" t="s">
        <v>9</v>
      </c>
      <c r="G110" s="12" t="s">
        <v>9</v>
      </c>
      <c r="H110" s="100"/>
    </row>
    <row r="111" spans="1:8" x14ac:dyDescent="0.2">
      <c r="A111" s="15" t="s">
        <v>9</v>
      </c>
      <c r="B111" s="15" t="s">
        <v>9</v>
      </c>
      <c r="C111" s="3" t="s">
        <v>109</v>
      </c>
      <c r="D111" s="15" t="s">
        <v>9</v>
      </c>
      <c r="E111" s="15" t="s">
        <v>9</v>
      </c>
      <c r="F111" s="9">
        <v>0</v>
      </c>
      <c r="G111" s="10">
        <v>0</v>
      </c>
      <c r="H111" s="100"/>
    </row>
    <row r="112" spans="1:8" x14ac:dyDescent="0.2">
      <c r="A112" s="15" t="s">
        <v>9</v>
      </c>
      <c r="B112" s="15" t="s">
        <v>9</v>
      </c>
      <c r="C112" s="11" t="s">
        <v>9</v>
      </c>
      <c r="D112" s="15" t="s">
        <v>9</v>
      </c>
      <c r="E112" s="15" t="s">
        <v>9</v>
      </c>
      <c r="F112" s="12" t="s">
        <v>9</v>
      </c>
      <c r="G112" s="12" t="s">
        <v>9</v>
      </c>
      <c r="H112" s="100"/>
    </row>
    <row r="113" spans="1:8" x14ac:dyDescent="0.2">
      <c r="A113" s="15" t="s">
        <v>9</v>
      </c>
      <c r="B113" s="15" t="s">
        <v>9</v>
      </c>
      <c r="C113" s="3" t="s">
        <v>110</v>
      </c>
      <c r="D113" s="15" t="s">
        <v>9</v>
      </c>
      <c r="E113" s="15" t="s">
        <v>9</v>
      </c>
      <c r="F113" s="12" t="s">
        <v>9</v>
      </c>
      <c r="G113" s="12" t="s">
        <v>9</v>
      </c>
      <c r="H113" s="100"/>
    </row>
    <row r="114" spans="1:8" x14ac:dyDescent="0.2">
      <c r="A114" s="15" t="s">
        <v>9</v>
      </c>
      <c r="B114" s="15" t="s">
        <v>9</v>
      </c>
      <c r="C114" s="3" t="s">
        <v>111</v>
      </c>
      <c r="D114" s="15" t="s">
        <v>9</v>
      </c>
      <c r="E114" s="15" t="s">
        <v>9</v>
      </c>
      <c r="F114" s="12" t="s">
        <v>9</v>
      </c>
      <c r="G114" s="12" t="s">
        <v>9</v>
      </c>
      <c r="H114" s="100"/>
    </row>
    <row r="115" spans="1:8" x14ac:dyDescent="0.2">
      <c r="A115" s="15" t="s">
        <v>9</v>
      </c>
      <c r="B115" s="15" t="s">
        <v>9</v>
      </c>
      <c r="C115" s="3" t="s">
        <v>94</v>
      </c>
      <c r="D115" s="15" t="s">
        <v>9</v>
      </c>
      <c r="E115" s="15" t="s">
        <v>9</v>
      </c>
      <c r="F115" s="13">
        <v>0</v>
      </c>
      <c r="G115" s="14">
        <v>0</v>
      </c>
      <c r="H115" s="100"/>
    </row>
    <row r="116" spans="1:8" x14ac:dyDescent="0.2">
      <c r="A116" s="15" t="s">
        <v>9</v>
      </c>
      <c r="B116" s="15" t="s">
        <v>9</v>
      </c>
      <c r="C116" s="11" t="s">
        <v>9</v>
      </c>
      <c r="D116" s="15" t="s">
        <v>9</v>
      </c>
      <c r="E116" s="15" t="s">
        <v>9</v>
      </c>
      <c r="F116" s="12" t="s">
        <v>9</v>
      </c>
      <c r="G116" s="12" t="s">
        <v>9</v>
      </c>
      <c r="H116" s="100"/>
    </row>
    <row r="117" spans="1:8" x14ac:dyDescent="0.2">
      <c r="A117" s="15" t="s">
        <v>9</v>
      </c>
      <c r="B117" s="15" t="s">
        <v>9</v>
      </c>
      <c r="C117" s="3" t="s">
        <v>112</v>
      </c>
      <c r="D117" s="15" t="s">
        <v>9</v>
      </c>
      <c r="E117" s="15" t="s">
        <v>9</v>
      </c>
      <c r="F117" s="12" t="s">
        <v>9</v>
      </c>
      <c r="G117" s="12" t="s">
        <v>9</v>
      </c>
      <c r="H117" s="100"/>
    </row>
    <row r="118" spans="1:8" x14ac:dyDescent="0.2">
      <c r="A118" s="15" t="s">
        <v>9</v>
      </c>
      <c r="B118" s="15" t="s">
        <v>9</v>
      </c>
      <c r="C118" s="3" t="s">
        <v>94</v>
      </c>
      <c r="D118" s="15" t="s">
        <v>9</v>
      </c>
      <c r="E118" s="15" t="s">
        <v>9</v>
      </c>
      <c r="F118" s="13">
        <v>0</v>
      </c>
      <c r="G118" s="14">
        <v>0</v>
      </c>
      <c r="H118" s="100"/>
    </row>
    <row r="119" spans="1:8" x14ac:dyDescent="0.2">
      <c r="A119" s="15" t="s">
        <v>9</v>
      </c>
      <c r="B119" s="15" t="s">
        <v>9</v>
      </c>
      <c r="C119" s="11" t="s">
        <v>9</v>
      </c>
      <c r="D119" s="15" t="s">
        <v>9</v>
      </c>
      <c r="E119" s="15" t="s">
        <v>9</v>
      </c>
      <c r="F119" s="12" t="s">
        <v>9</v>
      </c>
      <c r="G119" s="12" t="s">
        <v>9</v>
      </c>
      <c r="H119" s="100"/>
    </row>
    <row r="120" spans="1:8" x14ac:dyDescent="0.2">
      <c r="A120" s="15" t="s">
        <v>9</v>
      </c>
      <c r="B120" s="15" t="s">
        <v>9</v>
      </c>
      <c r="C120" s="3" t="s">
        <v>113</v>
      </c>
      <c r="D120" s="15" t="s">
        <v>9</v>
      </c>
      <c r="E120" s="15" t="s">
        <v>9</v>
      </c>
      <c r="F120" s="12" t="s">
        <v>9</v>
      </c>
      <c r="G120" s="12" t="s">
        <v>9</v>
      </c>
      <c r="H120" s="100"/>
    </row>
    <row r="121" spans="1:8" x14ac:dyDescent="0.2">
      <c r="A121" s="15" t="s">
        <v>9</v>
      </c>
      <c r="B121" s="15" t="s">
        <v>9</v>
      </c>
      <c r="C121" s="3" t="s">
        <v>94</v>
      </c>
      <c r="D121" s="15" t="s">
        <v>9</v>
      </c>
      <c r="E121" s="15" t="s">
        <v>9</v>
      </c>
      <c r="F121" s="13">
        <v>0</v>
      </c>
      <c r="G121" s="14">
        <v>0</v>
      </c>
      <c r="H121" s="100"/>
    </row>
    <row r="122" spans="1:8" x14ac:dyDescent="0.2">
      <c r="A122" s="15" t="s">
        <v>9</v>
      </c>
      <c r="B122" s="15" t="s">
        <v>9</v>
      </c>
      <c r="C122" s="11" t="s">
        <v>9</v>
      </c>
      <c r="D122" s="15" t="s">
        <v>9</v>
      </c>
      <c r="E122" s="15" t="s">
        <v>9</v>
      </c>
      <c r="F122" s="12" t="s">
        <v>9</v>
      </c>
      <c r="G122" s="12" t="s">
        <v>9</v>
      </c>
      <c r="H122" s="100"/>
    </row>
    <row r="123" spans="1:8" x14ac:dyDescent="0.2">
      <c r="A123" s="15" t="s">
        <v>9</v>
      </c>
      <c r="B123" s="15" t="s">
        <v>9</v>
      </c>
      <c r="C123" s="3" t="s">
        <v>114</v>
      </c>
      <c r="D123" s="15" t="s">
        <v>9</v>
      </c>
      <c r="E123" s="15" t="s">
        <v>9</v>
      </c>
      <c r="F123" s="12" t="s">
        <v>9</v>
      </c>
      <c r="G123" s="12" t="s">
        <v>9</v>
      </c>
      <c r="H123" s="100"/>
    </row>
    <row r="124" spans="1:8" x14ac:dyDescent="0.2">
      <c r="A124" s="4">
        <v>1</v>
      </c>
      <c r="B124" s="5"/>
      <c r="C124" s="5" t="s">
        <v>115</v>
      </c>
      <c r="D124" s="5"/>
      <c r="E124" s="15" t="s">
        <v>9</v>
      </c>
      <c r="F124" s="7">
        <v>539.14510780000001</v>
      </c>
      <c r="G124" s="8">
        <v>3.8542873999999998E-2</v>
      </c>
      <c r="H124" s="99">
        <v>3.2516689338443991</v>
      </c>
    </row>
    <row r="125" spans="1:8" x14ac:dyDescent="0.2">
      <c r="A125" s="4">
        <v>2</v>
      </c>
      <c r="B125" s="5"/>
      <c r="C125" s="5" t="s">
        <v>116</v>
      </c>
      <c r="D125" s="5"/>
      <c r="E125" s="15" t="s">
        <v>9</v>
      </c>
      <c r="F125" s="7">
        <v>73.867802400000002</v>
      </c>
      <c r="G125" s="8">
        <v>5.2807260000000003E-3</v>
      </c>
      <c r="H125" s="100">
        <v>3.350000000000001</v>
      </c>
    </row>
    <row r="126" spans="1:8" x14ac:dyDescent="0.2">
      <c r="A126" s="15" t="s">
        <v>9</v>
      </c>
      <c r="B126" s="15" t="s">
        <v>9</v>
      </c>
      <c r="C126" s="3" t="s">
        <v>94</v>
      </c>
      <c r="D126" s="15" t="s">
        <v>9</v>
      </c>
      <c r="E126" s="15" t="s">
        <v>9</v>
      </c>
      <c r="F126" s="9">
        <v>613.01291019999996</v>
      </c>
      <c r="G126" s="10">
        <v>4.3823599999999997E-2</v>
      </c>
      <c r="H126" s="100"/>
    </row>
    <row r="127" spans="1:8" x14ac:dyDescent="0.2">
      <c r="A127" s="15" t="s">
        <v>9</v>
      </c>
      <c r="B127" s="15" t="s">
        <v>9</v>
      </c>
      <c r="C127" s="11" t="s">
        <v>9</v>
      </c>
      <c r="D127" s="15" t="s">
        <v>9</v>
      </c>
      <c r="E127" s="15" t="s">
        <v>9</v>
      </c>
      <c r="F127" s="12" t="s">
        <v>9</v>
      </c>
      <c r="G127" s="12" t="s">
        <v>9</v>
      </c>
      <c r="H127" s="100"/>
    </row>
    <row r="128" spans="1:8" x14ac:dyDescent="0.2">
      <c r="A128" s="15" t="s">
        <v>9</v>
      </c>
      <c r="B128" s="15" t="s">
        <v>9</v>
      </c>
      <c r="C128" s="3" t="s">
        <v>117</v>
      </c>
      <c r="D128" s="15" t="s">
        <v>9</v>
      </c>
      <c r="E128" s="15" t="s">
        <v>9</v>
      </c>
      <c r="F128" s="9">
        <v>613.01291019999996</v>
      </c>
      <c r="G128" s="10">
        <v>4.3823599999999997E-2</v>
      </c>
      <c r="H128" s="100"/>
    </row>
    <row r="129" spans="1:8" x14ac:dyDescent="0.2">
      <c r="A129" s="15" t="s">
        <v>9</v>
      </c>
      <c r="B129" s="15" t="s">
        <v>9</v>
      </c>
      <c r="C129" s="12" t="s">
        <v>9</v>
      </c>
      <c r="D129" s="15" t="s">
        <v>9</v>
      </c>
      <c r="E129" s="15" t="s">
        <v>9</v>
      </c>
      <c r="F129" s="15" t="s">
        <v>9</v>
      </c>
      <c r="G129" s="15" t="s">
        <v>9</v>
      </c>
      <c r="H129" s="100"/>
    </row>
    <row r="130" spans="1:8" x14ac:dyDescent="0.2">
      <c r="A130" s="15" t="s">
        <v>9</v>
      </c>
      <c r="B130" s="15" t="s">
        <v>9</v>
      </c>
      <c r="C130" s="3" t="s">
        <v>118</v>
      </c>
      <c r="D130" s="15" t="s">
        <v>9</v>
      </c>
      <c r="E130" s="15" t="s">
        <v>9</v>
      </c>
      <c r="F130" s="15" t="s">
        <v>9</v>
      </c>
      <c r="G130" s="15" t="s">
        <v>9</v>
      </c>
      <c r="H130" s="100"/>
    </row>
    <row r="131" spans="1:8" x14ac:dyDescent="0.2">
      <c r="A131" s="15" t="s">
        <v>9</v>
      </c>
      <c r="B131" s="15" t="s">
        <v>9</v>
      </c>
      <c r="C131" s="3" t="s">
        <v>119</v>
      </c>
      <c r="D131" s="15" t="s">
        <v>9</v>
      </c>
      <c r="E131" s="15" t="s">
        <v>9</v>
      </c>
      <c r="F131" s="15" t="s">
        <v>9</v>
      </c>
      <c r="G131" s="15" t="s">
        <v>9</v>
      </c>
      <c r="H131" s="100"/>
    </row>
    <row r="132" spans="1:8" x14ac:dyDescent="0.2">
      <c r="A132" s="15" t="s">
        <v>9</v>
      </c>
      <c r="B132" s="15" t="s">
        <v>9</v>
      </c>
      <c r="C132" s="3" t="s">
        <v>94</v>
      </c>
      <c r="D132" s="15" t="s">
        <v>9</v>
      </c>
      <c r="E132" s="15" t="s">
        <v>9</v>
      </c>
      <c r="F132" s="13">
        <v>0</v>
      </c>
      <c r="G132" s="14">
        <v>0</v>
      </c>
      <c r="H132" s="100"/>
    </row>
    <row r="133" spans="1:8" x14ac:dyDescent="0.2">
      <c r="A133" s="15" t="s">
        <v>9</v>
      </c>
      <c r="B133" s="15" t="s">
        <v>9</v>
      </c>
      <c r="C133" s="11" t="s">
        <v>9</v>
      </c>
      <c r="D133" s="15" t="s">
        <v>9</v>
      </c>
      <c r="E133" s="15" t="s">
        <v>9</v>
      </c>
      <c r="F133" s="12" t="s">
        <v>9</v>
      </c>
      <c r="G133" s="12" t="s">
        <v>9</v>
      </c>
      <c r="H133" s="100"/>
    </row>
    <row r="134" spans="1:8" x14ac:dyDescent="0.2">
      <c r="A134" s="15" t="s">
        <v>9</v>
      </c>
      <c r="B134" s="15" t="s">
        <v>9</v>
      </c>
      <c r="C134" s="3" t="s">
        <v>120</v>
      </c>
      <c r="D134" s="15" t="s">
        <v>9</v>
      </c>
      <c r="E134" s="15" t="s">
        <v>9</v>
      </c>
      <c r="F134" s="15" t="s">
        <v>9</v>
      </c>
      <c r="G134" s="15" t="s">
        <v>9</v>
      </c>
      <c r="H134" s="100"/>
    </row>
    <row r="135" spans="1:8" x14ac:dyDescent="0.2">
      <c r="A135" s="15" t="s">
        <v>9</v>
      </c>
      <c r="B135" s="15" t="s">
        <v>9</v>
      </c>
      <c r="C135" s="3" t="s">
        <v>121</v>
      </c>
      <c r="D135" s="15" t="s">
        <v>9</v>
      </c>
      <c r="E135" s="15" t="s">
        <v>9</v>
      </c>
      <c r="F135" s="15" t="s">
        <v>9</v>
      </c>
      <c r="G135" s="15" t="s">
        <v>9</v>
      </c>
      <c r="H135" s="100"/>
    </row>
    <row r="136" spans="1:8" x14ac:dyDescent="0.2">
      <c r="A136" s="15" t="s">
        <v>9</v>
      </c>
      <c r="B136" s="15" t="s">
        <v>9</v>
      </c>
      <c r="C136" s="3" t="s">
        <v>94</v>
      </c>
      <c r="D136" s="15" t="s">
        <v>9</v>
      </c>
      <c r="E136" s="15" t="s">
        <v>9</v>
      </c>
      <c r="F136" s="13">
        <v>0</v>
      </c>
      <c r="G136" s="14">
        <v>0</v>
      </c>
      <c r="H136" s="100"/>
    </row>
    <row r="137" spans="1:8" x14ac:dyDescent="0.2">
      <c r="A137" s="15" t="s">
        <v>9</v>
      </c>
      <c r="B137" s="15" t="s">
        <v>9</v>
      </c>
      <c r="C137" s="11" t="s">
        <v>9</v>
      </c>
      <c r="D137" s="15" t="s">
        <v>9</v>
      </c>
      <c r="E137" s="15" t="s">
        <v>9</v>
      </c>
      <c r="F137" s="12" t="s">
        <v>9</v>
      </c>
      <c r="G137" s="12" t="s">
        <v>9</v>
      </c>
      <c r="H137" s="100"/>
    </row>
    <row r="138" spans="1:8" x14ac:dyDescent="0.2">
      <c r="A138" s="15" t="s">
        <v>9</v>
      </c>
      <c r="B138" s="15" t="s">
        <v>9</v>
      </c>
      <c r="C138" s="11" t="s">
        <v>9</v>
      </c>
      <c r="D138" s="15" t="s">
        <v>9</v>
      </c>
      <c r="E138" s="15" t="s">
        <v>9</v>
      </c>
      <c r="F138" s="12" t="s">
        <v>9</v>
      </c>
      <c r="G138" s="12" t="s">
        <v>9</v>
      </c>
      <c r="H138" s="100"/>
    </row>
    <row r="139" spans="1:8" ht="25.5" x14ac:dyDescent="0.2">
      <c r="A139" s="15" t="s">
        <v>9</v>
      </c>
      <c r="B139" s="15" t="s">
        <v>9</v>
      </c>
      <c r="C139" s="3" t="s">
        <v>122</v>
      </c>
      <c r="D139" s="15" t="s">
        <v>9</v>
      </c>
      <c r="E139" s="15" t="s">
        <v>9</v>
      </c>
      <c r="F139" s="12" t="s">
        <v>9</v>
      </c>
      <c r="G139" s="12" t="s">
        <v>9</v>
      </c>
      <c r="H139" s="100"/>
    </row>
    <row r="140" spans="1:8" x14ac:dyDescent="0.2">
      <c r="A140" s="15" t="s">
        <v>9</v>
      </c>
      <c r="B140" s="15" t="s">
        <v>9</v>
      </c>
      <c r="C140" s="3" t="s">
        <v>94</v>
      </c>
      <c r="D140" s="15" t="s">
        <v>9</v>
      </c>
      <c r="E140" s="15" t="s">
        <v>9</v>
      </c>
      <c r="F140" s="13">
        <v>0</v>
      </c>
      <c r="G140" s="14">
        <v>0</v>
      </c>
      <c r="H140" s="100"/>
    </row>
    <row r="141" spans="1:8" x14ac:dyDescent="0.2">
      <c r="A141" s="15" t="s">
        <v>9</v>
      </c>
      <c r="B141" s="15" t="s">
        <v>9</v>
      </c>
      <c r="C141" s="11" t="s">
        <v>9</v>
      </c>
      <c r="D141" s="15" t="s">
        <v>9</v>
      </c>
      <c r="E141" s="15" t="s">
        <v>9</v>
      </c>
      <c r="F141" s="12" t="s">
        <v>9</v>
      </c>
      <c r="G141" s="12" t="s">
        <v>9</v>
      </c>
      <c r="H141" s="100"/>
    </row>
    <row r="142" spans="1:8" x14ac:dyDescent="0.2">
      <c r="A142" s="15" t="s">
        <v>9</v>
      </c>
      <c r="B142" s="5" t="s">
        <v>9</v>
      </c>
      <c r="C142" s="5" t="s">
        <v>9</v>
      </c>
      <c r="D142" s="3" t="s">
        <v>9</v>
      </c>
      <c r="E142" s="15" t="s">
        <v>9</v>
      </c>
      <c r="F142" s="5" t="s">
        <v>9</v>
      </c>
      <c r="G142" s="15" t="s">
        <v>9</v>
      </c>
      <c r="H142" s="100"/>
    </row>
    <row r="143" spans="1:8" x14ac:dyDescent="0.2">
      <c r="A143" s="15" t="s">
        <v>9</v>
      </c>
      <c r="B143" s="5" t="s">
        <v>9</v>
      </c>
      <c r="C143" s="5" t="s">
        <v>124</v>
      </c>
      <c r="D143" s="5" t="s">
        <v>9</v>
      </c>
      <c r="E143" s="15" t="s">
        <v>9</v>
      </c>
      <c r="F143" s="7">
        <v>76.974051329999995</v>
      </c>
      <c r="G143" s="8">
        <v>5.5027879999999998E-3</v>
      </c>
      <c r="H143" s="100"/>
    </row>
    <row r="144" spans="1:8" x14ac:dyDescent="0.2">
      <c r="A144" s="11" t="s">
        <v>9</v>
      </c>
      <c r="B144" s="11" t="s">
        <v>9</v>
      </c>
      <c r="C144" s="3" t="s">
        <v>125</v>
      </c>
      <c r="D144" s="16" t="s">
        <v>9</v>
      </c>
      <c r="E144" s="16" t="s">
        <v>9</v>
      </c>
      <c r="F144" s="9">
        <v>13988.191520030001</v>
      </c>
      <c r="G144" s="10">
        <v>0.99999999799999995</v>
      </c>
      <c r="H144" s="100"/>
    </row>
    <row r="145" spans="1:8" x14ac:dyDescent="0.2">
      <c r="A145" s="17" t="s">
        <v>9</v>
      </c>
      <c r="B145" s="17" t="s">
        <v>9</v>
      </c>
      <c r="C145" s="17" t="s">
        <v>9</v>
      </c>
      <c r="D145" s="18" t="s">
        <v>9</v>
      </c>
      <c r="E145" s="18" t="s">
        <v>9</v>
      </c>
      <c r="F145" s="18" t="s">
        <v>9</v>
      </c>
      <c r="G145" s="18" t="s">
        <v>9</v>
      </c>
      <c r="H145" s="142"/>
    </row>
    <row r="146" spans="1:8" x14ac:dyDescent="0.2">
      <c r="A146" s="19" t="s">
        <v>9</v>
      </c>
      <c r="B146" s="254" t="s">
        <v>9</v>
      </c>
      <c r="C146" s="254"/>
      <c r="D146" s="254"/>
      <c r="E146" s="254"/>
      <c r="F146" s="254"/>
      <c r="G146" s="20" t="s">
        <v>9</v>
      </c>
      <c r="H146" s="142"/>
    </row>
    <row r="147" spans="1:8" x14ac:dyDescent="0.2">
      <c r="A147" s="19" t="s">
        <v>9</v>
      </c>
      <c r="B147" s="254" t="s">
        <v>9</v>
      </c>
      <c r="C147" s="254"/>
      <c r="D147" s="254"/>
      <c r="E147" s="254"/>
      <c r="F147" s="254"/>
      <c r="G147" s="20" t="s">
        <v>9</v>
      </c>
      <c r="H147" s="142"/>
    </row>
    <row r="148" spans="1:8" x14ac:dyDescent="0.2">
      <c r="A148" s="19" t="s">
        <v>9</v>
      </c>
      <c r="B148" s="19" t="s">
        <v>9</v>
      </c>
      <c r="C148" s="19" t="s">
        <v>9</v>
      </c>
      <c r="D148" s="20" t="s">
        <v>9</v>
      </c>
      <c r="E148" s="20" t="s">
        <v>9</v>
      </c>
      <c r="F148" s="20" t="s">
        <v>9</v>
      </c>
      <c r="G148" s="20" t="s">
        <v>9</v>
      </c>
      <c r="H148" s="142"/>
    </row>
    <row r="149" spans="1:8" x14ac:dyDescent="0.2">
      <c r="A149" s="19" t="s">
        <v>9</v>
      </c>
      <c r="B149" s="247" t="s">
        <v>127</v>
      </c>
      <c r="C149" s="248"/>
      <c r="D149" s="182" t="s">
        <v>9</v>
      </c>
      <c r="E149" s="21" t="s">
        <v>9</v>
      </c>
      <c r="F149" s="20" t="s">
        <v>9</v>
      </c>
      <c r="G149" s="20" t="s">
        <v>9</v>
      </c>
      <c r="H149" s="142"/>
    </row>
    <row r="150" spans="1:8" ht="28.5" customHeight="1" x14ac:dyDescent="0.2">
      <c r="A150" s="19" t="s">
        <v>9</v>
      </c>
      <c r="B150" s="242" t="s">
        <v>128</v>
      </c>
      <c r="C150" s="243"/>
      <c r="D150" s="3" t="s">
        <v>129</v>
      </c>
      <c r="E150" s="21" t="s">
        <v>9</v>
      </c>
      <c r="F150" s="20" t="s">
        <v>9</v>
      </c>
      <c r="G150" s="20" t="s">
        <v>9</v>
      </c>
      <c r="H150" s="142"/>
    </row>
    <row r="151" spans="1:8" x14ac:dyDescent="0.2">
      <c r="A151" s="19" t="s">
        <v>9</v>
      </c>
      <c r="B151" s="240" t="s">
        <v>130</v>
      </c>
      <c r="C151" s="241"/>
      <c r="D151" s="177" t="s">
        <v>129</v>
      </c>
      <c r="E151" s="21" t="s">
        <v>9</v>
      </c>
      <c r="F151" s="20" t="s">
        <v>9</v>
      </c>
      <c r="G151" s="20" t="s">
        <v>9</v>
      </c>
      <c r="H151" s="142"/>
    </row>
    <row r="152" spans="1:8" x14ac:dyDescent="0.2">
      <c r="A152" s="19" t="s">
        <v>9</v>
      </c>
      <c r="B152" s="240" t="s">
        <v>131</v>
      </c>
      <c r="C152" s="241"/>
      <c r="D152" s="182" t="s">
        <v>9</v>
      </c>
      <c r="E152" s="21" t="s">
        <v>9</v>
      </c>
      <c r="F152" s="20" t="s">
        <v>9</v>
      </c>
      <c r="G152" s="20" t="s">
        <v>9</v>
      </c>
      <c r="H152" s="142"/>
    </row>
    <row r="153" spans="1:8" ht="25.5" x14ac:dyDescent="0.2">
      <c r="A153" s="25" t="s">
        <v>9</v>
      </c>
      <c r="B153" s="23" t="s">
        <v>9</v>
      </c>
      <c r="C153" s="23" t="s">
        <v>132</v>
      </c>
      <c r="D153" s="23" t="s">
        <v>133</v>
      </c>
      <c r="E153" s="25" t="s">
        <v>9</v>
      </c>
      <c r="F153" s="25" t="s">
        <v>9</v>
      </c>
      <c r="G153" s="25" t="s">
        <v>9</v>
      </c>
      <c r="H153" s="142"/>
    </row>
    <row r="154" spans="1:8" x14ac:dyDescent="0.2">
      <c r="A154" s="25" t="s">
        <v>9</v>
      </c>
      <c r="B154" s="23" t="s">
        <v>134</v>
      </c>
      <c r="C154" s="23" t="s">
        <v>135</v>
      </c>
      <c r="D154" s="23" t="s">
        <v>136</v>
      </c>
      <c r="E154" s="25" t="s">
        <v>9</v>
      </c>
      <c r="F154" s="25" t="s">
        <v>9</v>
      </c>
      <c r="G154" s="25" t="s">
        <v>9</v>
      </c>
      <c r="H154" s="142"/>
    </row>
    <row r="155" spans="1:8" x14ac:dyDescent="0.2">
      <c r="A155" s="25" t="s">
        <v>9</v>
      </c>
      <c r="B155" s="183" t="s">
        <v>137</v>
      </c>
      <c r="C155" s="184">
        <v>12.6449</v>
      </c>
      <c r="D155" s="184">
        <v>13.040900000000001</v>
      </c>
      <c r="E155" s="25" t="s">
        <v>9</v>
      </c>
      <c r="F155" s="73" t="s">
        <v>9</v>
      </c>
      <c r="G155" s="25" t="s">
        <v>9</v>
      </c>
      <c r="H155" s="142"/>
    </row>
    <row r="156" spans="1:8" x14ac:dyDescent="0.2">
      <c r="A156" s="25" t="s">
        <v>9</v>
      </c>
      <c r="B156" s="183" t="s">
        <v>921</v>
      </c>
      <c r="C156" s="184">
        <v>12.6449</v>
      </c>
      <c r="D156" s="184">
        <v>13.040900000000001</v>
      </c>
      <c r="E156" s="25" t="s">
        <v>9</v>
      </c>
      <c r="F156" s="73" t="s">
        <v>9</v>
      </c>
      <c r="G156" s="25" t="s">
        <v>9</v>
      </c>
      <c r="H156" s="142"/>
    </row>
    <row r="157" spans="1:8" x14ac:dyDescent="0.2">
      <c r="A157" s="25" t="s">
        <v>9</v>
      </c>
      <c r="B157" s="183" t="s">
        <v>138</v>
      </c>
      <c r="C157" s="184">
        <v>12.3322</v>
      </c>
      <c r="D157" s="184">
        <v>12.712199999999999</v>
      </c>
      <c r="E157" s="25" t="s">
        <v>9</v>
      </c>
      <c r="F157" s="73" t="s">
        <v>9</v>
      </c>
      <c r="G157" s="25" t="s">
        <v>9</v>
      </c>
      <c r="H157" s="142"/>
    </row>
    <row r="158" spans="1:8" x14ac:dyDescent="0.2">
      <c r="A158" s="25" t="s">
        <v>9</v>
      </c>
      <c r="B158" s="183" t="s">
        <v>922</v>
      </c>
      <c r="C158" s="184">
        <v>12.3322</v>
      </c>
      <c r="D158" s="184">
        <v>12.712199999999999</v>
      </c>
      <c r="E158" s="25" t="s">
        <v>9</v>
      </c>
      <c r="F158" s="73" t="s">
        <v>9</v>
      </c>
      <c r="G158" s="25" t="s">
        <v>9</v>
      </c>
      <c r="H158" s="142"/>
    </row>
    <row r="159" spans="1:8" x14ac:dyDescent="0.2">
      <c r="A159" s="25" t="s">
        <v>9</v>
      </c>
      <c r="B159" s="22" t="s">
        <v>9</v>
      </c>
      <c r="C159" s="22" t="s">
        <v>9</v>
      </c>
      <c r="D159" s="22" t="s">
        <v>9</v>
      </c>
      <c r="E159" s="25" t="s">
        <v>9</v>
      </c>
      <c r="F159" s="25" t="s">
        <v>9</v>
      </c>
      <c r="G159" s="25" t="s">
        <v>9</v>
      </c>
      <c r="H159" s="142"/>
    </row>
    <row r="160" spans="1:8" x14ac:dyDescent="0.2">
      <c r="A160" s="25" t="s">
        <v>9</v>
      </c>
      <c r="B160" s="240" t="s">
        <v>1012</v>
      </c>
      <c r="C160" s="241"/>
      <c r="D160" s="177" t="s">
        <v>129</v>
      </c>
      <c r="E160" s="25" t="s">
        <v>9</v>
      </c>
      <c r="F160" s="25" t="s">
        <v>9</v>
      </c>
      <c r="G160" s="25" t="s">
        <v>9</v>
      </c>
      <c r="H160" s="142"/>
    </row>
    <row r="161" spans="1:8" x14ac:dyDescent="0.2">
      <c r="A161" s="25" t="s">
        <v>9</v>
      </c>
      <c r="B161" s="98"/>
      <c r="C161" s="98"/>
      <c r="D161" s="26" t="s">
        <v>9</v>
      </c>
      <c r="E161" s="25" t="s">
        <v>9</v>
      </c>
      <c r="F161" s="25" t="s">
        <v>9</v>
      </c>
      <c r="G161" s="25" t="s">
        <v>9</v>
      </c>
      <c r="H161" s="142"/>
    </row>
    <row r="162" spans="1:8" s="238" customFormat="1" ht="12.75" x14ac:dyDescent="0.2">
      <c r="B162" s="246" t="s">
        <v>923</v>
      </c>
      <c r="C162" s="246"/>
      <c r="D162" s="246"/>
      <c r="E162" s="246"/>
      <c r="F162" s="246"/>
    </row>
    <row r="163" spans="1:8" x14ac:dyDescent="0.2">
      <c r="A163" s="25" t="s">
        <v>9</v>
      </c>
      <c r="B163" s="185" t="s">
        <v>9</v>
      </c>
      <c r="C163" s="185" t="s">
        <v>9</v>
      </c>
      <c r="D163" s="22" t="s">
        <v>9</v>
      </c>
      <c r="E163" s="25" t="s">
        <v>9</v>
      </c>
      <c r="F163" s="25" t="s">
        <v>9</v>
      </c>
      <c r="G163" s="25" t="s">
        <v>9</v>
      </c>
      <c r="H163" s="142"/>
    </row>
    <row r="164" spans="1:8" x14ac:dyDescent="0.2">
      <c r="A164" s="25" t="s">
        <v>9</v>
      </c>
      <c r="B164" s="240" t="s">
        <v>139</v>
      </c>
      <c r="C164" s="241"/>
      <c r="D164" s="177" t="s">
        <v>129</v>
      </c>
      <c r="E164" s="25" t="s">
        <v>9</v>
      </c>
      <c r="F164" s="25" t="s">
        <v>9</v>
      </c>
      <c r="G164" s="25" t="s">
        <v>9</v>
      </c>
      <c r="H164" s="142"/>
    </row>
    <row r="165" spans="1:8" x14ac:dyDescent="0.2">
      <c r="A165" s="25" t="s">
        <v>9</v>
      </c>
      <c r="B165" s="240" t="s">
        <v>140</v>
      </c>
      <c r="C165" s="241"/>
      <c r="D165" s="177" t="s">
        <v>129</v>
      </c>
      <c r="E165" s="25" t="s">
        <v>9</v>
      </c>
      <c r="F165" s="25" t="s">
        <v>9</v>
      </c>
      <c r="G165" s="25" t="s">
        <v>9</v>
      </c>
      <c r="H165" s="142"/>
    </row>
    <row r="166" spans="1:8" x14ac:dyDescent="0.2">
      <c r="A166" s="25" t="s">
        <v>9</v>
      </c>
      <c r="B166" s="240" t="s">
        <v>141</v>
      </c>
      <c r="C166" s="241"/>
      <c r="D166" s="186">
        <v>0.46119759378768355</v>
      </c>
      <c r="E166" s="25" t="s">
        <v>9</v>
      </c>
      <c r="F166" s="73" t="s">
        <v>9</v>
      </c>
      <c r="G166" s="25" t="s">
        <v>9</v>
      </c>
      <c r="H166" s="142"/>
    </row>
    <row r="167" spans="1:8" x14ac:dyDescent="0.2">
      <c r="A167" s="25" t="s">
        <v>9</v>
      </c>
      <c r="B167" s="240" t="s">
        <v>142</v>
      </c>
      <c r="C167" s="241"/>
      <c r="D167" s="177" t="s">
        <v>129</v>
      </c>
      <c r="E167" s="25" t="s">
        <v>9</v>
      </c>
      <c r="F167" s="25" t="s">
        <v>9</v>
      </c>
      <c r="G167" s="25" t="s">
        <v>9</v>
      </c>
      <c r="H167" s="142"/>
    </row>
  </sheetData>
  <mergeCells count="15">
    <mergeCell ref="B149:C149"/>
    <mergeCell ref="B146:F146"/>
    <mergeCell ref="B147:F147"/>
    <mergeCell ref="A1:H1"/>
    <mergeCell ref="A2:H2"/>
    <mergeCell ref="A3:H3"/>
    <mergeCell ref="B166:C166"/>
    <mergeCell ref="B167:C167"/>
    <mergeCell ref="B150:C150"/>
    <mergeCell ref="B151:C151"/>
    <mergeCell ref="B152:C152"/>
    <mergeCell ref="B160:C160"/>
    <mergeCell ref="B164:C164"/>
    <mergeCell ref="B165:C165"/>
    <mergeCell ref="B162:F162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outlinePr summaryBelow="0" summaryRight="0"/>
  </sheetPr>
  <dimension ref="A1:H166"/>
  <sheetViews>
    <sheetView showGridLines="0" workbookViewId="0">
      <selection activeCell="J1" sqref="J1"/>
    </sheetView>
  </sheetViews>
  <sheetFormatPr defaultRowHeight="15" x14ac:dyDescent="0.2"/>
  <cols>
    <col min="1" max="1" width="6.85546875" style="155" customWidth="1"/>
    <col min="2" max="2" width="20.5703125" style="155" customWidth="1"/>
    <col min="3" max="3" width="34.28515625" style="155" customWidth="1"/>
    <col min="4" max="4" width="17.85546875" style="155" customWidth="1"/>
    <col min="5" max="6" width="19.140625" style="155" customWidth="1"/>
    <col min="7" max="7" width="16.42578125" style="155" customWidth="1"/>
    <col min="8" max="16384" width="9.140625" style="155"/>
  </cols>
  <sheetData>
    <row r="1" spans="1:8" x14ac:dyDescent="0.2">
      <c r="A1" s="250" t="s">
        <v>0</v>
      </c>
      <c r="B1" s="250"/>
      <c r="C1" s="250"/>
      <c r="D1" s="250"/>
      <c r="E1" s="250"/>
      <c r="F1" s="250"/>
      <c r="G1" s="250"/>
      <c r="H1" s="250"/>
    </row>
    <row r="2" spans="1:8" x14ac:dyDescent="0.2">
      <c r="A2" s="251" t="s">
        <v>464</v>
      </c>
      <c r="B2" s="252"/>
      <c r="C2" s="252"/>
      <c r="D2" s="252"/>
      <c r="E2" s="252"/>
      <c r="F2" s="252"/>
      <c r="G2" s="252"/>
      <c r="H2" s="253"/>
    </row>
    <row r="3" spans="1:8" x14ac:dyDescent="0.2">
      <c r="A3" s="255" t="s">
        <v>1015</v>
      </c>
      <c r="B3" s="256"/>
      <c r="C3" s="256"/>
      <c r="D3" s="256"/>
      <c r="E3" s="256"/>
      <c r="F3" s="256"/>
      <c r="G3" s="256"/>
      <c r="H3" s="256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30" t="s">
        <v>909</v>
      </c>
    </row>
    <row r="5" spans="1:8" x14ac:dyDescent="0.2">
      <c r="A5" s="15" t="s">
        <v>9</v>
      </c>
      <c r="B5" s="15" t="s">
        <v>9</v>
      </c>
      <c r="C5" s="3" t="s">
        <v>10</v>
      </c>
      <c r="D5" s="15" t="s">
        <v>9</v>
      </c>
      <c r="E5" s="15" t="s">
        <v>9</v>
      </c>
      <c r="F5" s="15" t="s">
        <v>9</v>
      </c>
      <c r="G5" s="15" t="s">
        <v>9</v>
      </c>
      <c r="H5" s="100"/>
    </row>
    <row r="6" spans="1:8" ht="25.5" x14ac:dyDescent="0.2">
      <c r="A6" s="15" t="s">
        <v>9</v>
      </c>
      <c r="B6" s="15" t="s">
        <v>9</v>
      </c>
      <c r="C6" s="3" t="s">
        <v>11</v>
      </c>
      <c r="D6" s="15" t="s">
        <v>9</v>
      </c>
      <c r="E6" s="15" t="s">
        <v>9</v>
      </c>
      <c r="F6" s="15" t="s">
        <v>9</v>
      </c>
      <c r="G6" s="15" t="s">
        <v>9</v>
      </c>
      <c r="H6" s="100"/>
    </row>
    <row r="7" spans="1:8" x14ac:dyDescent="0.2">
      <c r="A7" s="4">
        <v>1</v>
      </c>
      <c r="B7" s="5" t="s">
        <v>144</v>
      </c>
      <c r="C7" s="5" t="s">
        <v>145</v>
      </c>
      <c r="D7" s="5" t="s">
        <v>146</v>
      </c>
      <c r="E7" s="6">
        <v>6040</v>
      </c>
      <c r="F7" s="7">
        <v>207.06327999999999</v>
      </c>
      <c r="G7" s="8">
        <v>3.9495995999999998E-2</v>
      </c>
      <c r="H7" s="100"/>
    </row>
    <row r="8" spans="1:8" x14ac:dyDescent="0.2">
      <c r="A8" s="4">
        <v>2</v>
      </c>
      <c r="B8" s="5" t="s">
        <v>26</v>
      </c>
      <c r="C8" s="5" t="s">
        <v>27</v>
      </c>
      <c r="D8" s="5" t="s">
        <v>28</v>
      </c>
      <c r="E8" s="6">
        <v>19125</v>
      </c>
      <c r="F8" s="7">
        <v>175.165875</v>
      </c>
      <c r="G8" s="8">
        <v>3.341177E-2</v>
      </c>
      <c r="H8" s="100"/>
    </row>
    <row r="9" spans="1:8" ht="25.5" x14ac:dyDescent="0.2">
      <c r="A9" s="4">
        <v>3</v>
      </c>
      <c r="B9" s="5" t="s">
        <v>34</v>
      </c>
      <c r="C9" s="5" t="s">
        <v>35</v>
      </c>
      <c r="D9" s="5" t="s">
        <v>1001</v>
      </c>
      <c r="E9" s="6">
        <v>4896</v>
      </c>
      <c r="F9" s="7">
        <v>137.40134399999999</v>
      </c>
      <c r="G9" s="8">
        <v>2.6208426999999999E-2</v>
      </c>
      <c r="H9" s="100"/>
    </row>
    <row r="10" spans="1:8" x14ac:dyDescent="0.2">
      <c r="A10" s="4">
        <v>4</v>
      </c>
      <c r="B10" s="5" t="s">
        <v>157</v>
      </c>
      <c r="C10" s="5" t="s">
        <v>158</v>
      </c>
      <c r="D10" s="5" t="s">
        <v>28</v>
      </c>
      <c r="E10" s="6">
        <v>22067</v>
      </c>
      <c r="F10" s="7">
        <v>114.947003</v>
      </c>
      <c r="G10" s="8">
        <v>2.1925404999999999E-2</v>
      </c>
      <c r="H10" s="100"/>
    </row>
    <row r="11" spans="1:8" x14ac:dyDescent="0.2">
      <c r="A11" s="4">
        <v>5</v>
      </c>
      <c r="B11" s="5" t="s">
        <v>50</v>
      </c>
      <c r="C11" s="5" t="s">
        <v>155</v>
      </c>
      <c r="D11" s="5" t="s">
        <v>28</v>
      </c>
      <c r="E11" s="6">
        <v>12093</v>
      </c>
      <c r="F11" s="7">
        <v>106.95653849999999</v>
      </c>
      <c r="G11" s="8">
        <v>2.0401275E-2</v>
      </c>
      <c r="H11" s="100"/>
    </row>
    <row r="12" spans="1:8" x14ac:dyDescent="0.2">
      <c r="A12" s="4">
        <v>6</v>
      </c>
      <c r="B12" s="5" t="s">
        <v>154</v>
      </c>
      <c r="C12" s="5" t="s">
        <v>150</v>
      </c>
      <c r="D12" s="5" t="s">
        <v>156</v>
      </c>
      <c r="E12" s="6">
        <v>131765</v>
      </c>
      <c r="F12" s="7">
        <v>106.72965000000001</v>
      </c>
      <c r="G12" s="8">
        <v>2.0357997999999999E-2</v>
      </c>
      <c r="H12" s="100"/>
    </row>
    <row r="13" spans="1:8" x14ac:dyDescent="0.2">
      <c r="A13" s="4">
        <v>7</v>
      </c>
      <c r="B13" s="5" t="s">
        <v>149</v>
      </c>
      <c r="C13" s="5" t="s">
        <v>160</v>
      </c>
      <c r="D13" s="5" t="s">
        <v>151</v>
      </c>
      <c r="E13" s="6">
        <v>1929</v>
      </c>
      <c r="F13" s="7">
        <v>106.5377055</v>
      </c>
      <c r="G13" s="8">
        <v>2.0321386E-2</v>
      </c>
      <c r="H13" s="100"/>
    </row>
    <row r="14" spans="1:8" x14ac:dyDescent="0.2">
      <c r="A14" s="4">
        <v>8</v>
      </c>
      <c r="B14" s="5" t="s">
        <v>159</v>
      </c>
      <c r="C14" s="5" t="s">
        <v>51</v>
      </c>
      <c r="D14" s="5" t="s">
        <v>58</v>
      </c>
      <c r="E14" s="6">
        <v>30178</v>
      </c>
      <c r="F14" s="7">
        <v>105.623</v>
      </c>
      <c r="G14" s="8">
        <v>2.0146911E-2</v>
      </c>
      <c r="H14" s="100"/>
    </row>
    <row r="15" spans="1:8" x14ac:dyDescent="0.2">
      <c r="A15" s="4">
        <v>9</v>
      </c>
      <c r="B15" s="5" t="s">
        <v>161</v>
      </c>
      <c r="C15" s="5" t="s">
        <v>283</v>
      </c>
      <c r="D15" s="5" t="s">
        <v>163</v>
      </c>
      <c r="E15" s="6">
        <v>8296</v>
      </c>
      <c r="F15" s="7">
        <v>102.430712</v>
      </c>
      <c r="G15" s="8">
        <v>1.9538003000000002E-2</v>
      </c>
      <c r="H15" s="100"/>
    </row>
    <row r="16" spans="1:8" x14ac:dyDescent="0.2">
      <c r="A16" s="4">
        <v>10</v>
      </c>
      <c r="B16" s="5" t="s">
        <v>282</v>
      </c>
      <c r="C16" s="5" t="s">
        <v>162</v>
      </c>
      <c r="D16" s="5" t="s">
        <v>28</v>
      </c>
      <c r="E16" s="6">
        <v>26674</v>
      </c>
      <c r="F16" s="7">
        <v>101.801321</v>
      </c>
      <c r="G16" s="8">
        <v>1.9417950999999999E-2</v>
      </c>
      <c r="H16" s="100"/>
    </row>
    <row r="17" spans="1:8" ht="25.5" x14ac:dyDescent="0.2">
      <c r="A17" s="4">
        <v>11</v>
      </c>
      <c r="B17" s="5" t="s">
        <v>166</v>
      </c>
      <c r="C17" s="5" t="s">
        <v>441</v>
      </c>
      <c r="D17" s="5" t="s">
        <v>1001</v>
      </c>
      <c r="E17" s="6">
        <v>42002</v>
      </c>
      <c r="F17" s="7">
        <v>99.586742000000001</v>
      </c>
      <c r="G17" s="8">
        <v>1.8995534000000001E-2</v>
      </c>
      <c r="H17" s="100"/>
    </row>
    <row r="18" spans="1:8" x14ac:dyDescent="0.2">
      <c r="A18" s="4">
        <v>12</v>
      </c>
      <c r="B18" s="5" t="s">
        <v>168</v>
      </c>
      <c r="C18" s="5" t="s">
        <v>169</v>
      </c>
      <c r="D18" s="5" t="s">
        <v>151</v>
      </c>
      <c r="E18" s="6">
        <v>50476</v>
      </c>
      <c r="F18" s="7">
        <v>99.563910000000007</v>
      </c>
      <c r="G18" s="8">
        <v>1.8991179E-2</v>
      </c>
      <c r="H18" s="100"/>
    </row>
    <row r="19" spans="1:8" x14ac:dyDescent="0.2">
      <c r="A19" s="4">
        <v>13</v>
      </c>
      <c r="B19" s="5" t="s">
        <v>291</v>
      </c>
      <c r="C19" s="5" t="s">
        <v>948</v>
      </c>
      <c r="D19" s="5" t="s">
        <v>163</v>
      </c>
      <c r="E19" s="6">
        <v>3172</v>
      </c>
      <c r="F19" s="7">
        <v>99.212230000000005</v>
      </c>
      <c r="G19" s="8">
        <v>1.8924098E-2</v>
      </c>
      <c r="H19" s="100"/>
    </row>
    <row r="20" spans="1:8" x14ac:dyDescent="0.2">
      <c r="A20" s="4">
        <v>14</v>
      </c>
      <c r="B20" s="5" t="s">
        <v>48</v>
      </c>
      <c r="C20" s="5" t="s">
        <v>49</v>
      </c>
      <c r="D20" s="5" t="s">
        <v>28</v>
      </c>
      <c r="E20" s="6">
        <v>6776</v>
      </c>
      <c r="F20" s="7">
        <v>95.145204000000007</v>
      </c>
      <c r="G20" s="8">
        <v>1.8148338999999999E-2</v>
      </c>
      <c r="H20" s="100"/>
    </row>
    <row r="21" spans="1:8" x14ac:dyDescent="0.2">
      <c r="A21" s="4">
        <v>15</v>
      </c>
      <c r="B21" s="5" t="s">
        <v>173</v>
      </c>
      <c r="C21" s="5" t="s">
        <v>949</v>
      </c>
      <c r="D21" s="5" t="s">
        <v>28</v>
      </c>
      <c r="E21" s="6">
        <v>21271</v>
      </c>
      <c r="F21" s="7">
        <v>94.996285999999998</v>
      </c>
      <c r="G21" s="8">
        <v>1.8119934000000001E-2</v>
      </c>
      <c r="H21" s="100"/>
    </row>
    <row r="22" spans="1:8" ht="25.5" x14ac:dyDescent="0.2">
      <c r="A22" s="4">
        <v>16</v>
      </c>
      <c r="B22" s="5" t="s">
        <v>461</v>
      </c>
      <c r="C22" s="5" t="s">
        <v>944</v>
      </c>
      <c r="D22" s="5" t="s">
        <v>193</v>
      </c>
      <c r="E22" s="6">
        <v>35102</v>
      </c>
      <c r="F22" s="7">
        <v>93.072952999999998</v>
      </c>
      <c r="G22" s="8">
        <v>1.7753069999999999E-2</v>
      </c>
      <c r="H22" s="100"/>
    </row>
    <row r="23" spans="1:8" x14ac:dyDescent="0.2">
      <c r="A23" s="4">
        <v>17</v>
      </c>
      <c r="B23" s="5" t="s">
        <v>182</v>
      </c>
      <c r="C23" s="5" t="s">
        <v>947</v>
      </c>
      <c r="D23" s="5" t="s">
        <v>58</v>
      </c>
      <c r="E23" s="6">
        <v>3957</v>
      </c>
      <c r="F23" s="7">
        <v>92.409799500000005</v>
      </c>
      <c r="G23" s="8">
        <v>1.7626578E-2</v>
      </c>
      <c r="H23" s="100"/>
    </row>
    <row r="24" spans="1:8" x14ac:dyDescent="0.2">
      <c r="A24" s="4">
        <v>18</v>
      </c>
      <c r="B24" s="5" t="s">
        <v>164</v>
      </c>
      <c r="C24" s="5" t="s">
        <v>171</v>
      </c>
      <c r="D24" s="5" t="s">
        <v>151</v>
      </c>
      <c r="E24" s="6">
        <v>12182</v>
      </c>
      <c r="F24" s="7">
        <v>88.252499</v>
      </c>
      <c r="G24" s="8">
        <v>1.6833600000000001E-2</v>
      </c>
      <c r="H24" s="100"/>
    </row>
    <row r="25" spans="1:8" ht="25.5" x14ac:dyDescent="0.2">
      <c r="A25" s="4">
        <v>19</v>
      </c>
      <c r="B25" s="5" t="s">
        <v>170</v>
      </c>
      <c r="C25" s="5" t="s">
        <v>934</v>
      </c>
      <c r="D25" s="5" t="s">
        <v>172</v>
      </c>
      <c r="E25" s="6">
        <v>8603</v>
      </c>
      <c r="F25" s="7">
        <v>88.189352999999997</v>
      </c>
      <c r="G25" s="8">
        <v>1.6821554999999998E-2</v>
      </c>
      <c r="H25" s="100"/>
    </row>
    <row r="26" spans="1:8" x14ac:dyDescent="0.2">
      <c r="A26" s="4">
        <v>20</v>
      </c>
      <c r="B26" s="5" t="s">
        <v>180</v>
      </c>
      <c r="C26" s="5" t="s">
        <v>185</v>
      </c>
      <c r="D26" s="5" t="s">
        <v>146</v>
      </c>
      <c r="E26" s="6">
        <v>23761</v>
      </c>
      <c r="F26" s="7">
        <v>85.979178500000003</v>
      </c>
      <c r="G26" s="8">
        <v>1.6399977999999999E-2</v>
      </c>
      <c r="H26" s="100"/>
    </row>
    <row r="27" spans="1:8" x14ac:dyDescent="0.2">
      <c r="A27" s="4">
        <v>21</v>
      </c>
      <c r="B27" s="5" t="s">
        <v>184</v>
      </c>
      <c r="C27" s="5" t="s">
        <v>292</v>
      </c>
      <c r="D27" s="5" t="s">
        <v>172</v>
      </c>
      <c r="E27" s="6">
        <v>46520</v>
      </c>
      <c r="F27" s="7">
        <v>82.619519999999994</v>
      </c>
      <c r="G27" s="8">
        <v>1.5759144999999999E-2</v>
      </c>
      <c r="H27" s="100"/>
    </row>
    <row r="28" spans="1:8" x14ac:dyDescent="0.2">
      <c r="A28" s="4">
        <v>22</v>
      </c>
      <c r="B28" s="5" t="s">
        <v>448</v>
      </c>
      <c r="C28" s="5" t="s">
        <v>957</v>
      </c>
      <c r="D28" s="5" t="s">
        <v>228</v>
      </c>
      <c r="E28" s="6">
        <v>16417</v>
      </c>
      <c r="F28" s="7">
        <v>79.482905500000001</v>
      </c>
      <c r="G28" s="8">
        <v>1.5160856E-2</v>
      </c>
      <c r="H28" s="100"/>
    </row>
    <row r="29" spans="1:8" x14ac:dyDescent="0.2">
      <c r="A29" s="4">
        <v>23</v>
      </c>
      <c r="B29" s="5" t="s">
        <v>189</v>
      </c>
      <c r="C29" s="5" t="s">
        <v>190</v>
      </c>
      <c r="D29" s="5" t="s">
        <v>151</v>
      </c>
      <c r="E29" s="6">
        <v>3812</v>
      </c>
      <c r="F29" s="7">
        <v>77.699995999999999</v>
      </c>
      <c r="G29" s="8">
        <v>1.4820777E-2</v>
      </c>
      <c r="H29" s="100"/>
    </row>
    <row r="30" spans="1:8" ht="25.5" x14ac:dyDescent="0.2">
      <c r="A30" s="4">
        <v>24</v>
      </c>
      <c r="B30" s="5" t="s">
        <v>194</v>
      </c>
      <c r="C30" s="5" t="s">
        <v>445</v>
      </c>
      <c r="D30" s="5" t="s">
        <v>73</v>
      </c>
      <c r="E30" s="6">
        <v>20765</v>
      </c>
      <c r="F30" s="7">
        <v>76.259462499999998</v>
      </c>
      <c r="G30" s="8">
        <v>1.4546005000000001E-2</v>
      </c>
      <c r="H30" s="100"/>
    </row>
    <row r="31" spans="1:8" x14ac:dyDescent="0.2">
      <c r="A31" s="4">
        <v>25</v>
      </c>
      <c r="B31" s="5" t="s">
        <v>444</v>
      </c>
      <c r="C31" s="5" t="s">
        <v>195</v>
      </c>
      <c r="D31" s="5" t="s">
        <v>58</v>
      </c>
      <c r="E31" s="6">
        <v>8981</v>
      </c>
      <c r="F31" s="7">
        <v>75.934354999999996</v>
      </c>
      <c r="G31" s="8">
        <v>1.4483991999999999E-2</v>
      </c>
      <c r="H31" s="100"/>
    </row>
    <row r="32" spans="1:8" x14ac:dyDescent="0.2">
      <c r="A32" s="4">
        <v>26</v>
      </c>
      <c r="B32" s="5" t="s">
        <v>191</v>
      </c>
      <c r="C32" s="5" t="s">
        <v>192</v>
      </c>
      <c r="D32" s="5" t="s">
        <v>193</v>
      </c>
      <c r="E32" s="6">
        <v>23104</v>
      </c>
      <c r="F32" s="7">
        <v>75.896640000000005</v>
      </c>
      <c r="G32" s="8">
        <v>1.4476798000000001E-2</v>
      </c>
      <c r="H32" s="100"/>
    </row>
    <row r="33" spans="1:8" x14ac:dyDescent="0.2">
      <c r="A33" s="4">
        <v>27</v>
      </c>
      <c r="B33" s="5" t="s">
        <v>196</v>
      </c>
      <c r="C33" s="5" t="s">
        <v>197</v>
      </c>
      <c r="D33" s="5" t="s">
        <v>151</v>
      </c>
      <c r="E33" s="6">
        <v>10021</v>
      </c>
      <c r="F33" s="7">
        <v>73.859780499999999</v>
      </c>
      <c r="G33" s="8">
        <v>1.4088280999999999E-2</v>
      </c>
      <c r="H33" s="100"/>
    </row>
    <row r="34" spans="1:8" x14ac:dyDescent="0.2">
      <c r="A34" s="4">
        <v>28</v>
      </c>
      <c r="B34" s="5" t="s">
        <v>177</v>
      </c>
      <c r="C34" s="5" t="s">
        <v>178</v>
      </c>
      <c r="D34" s="5" t="s">
        <v>47</v>
      </c>
      <c r="E34" s="6">
        <v>6914</v>
      </c>
      <c r="F34" s="7">
        <v>72.991097999999994</v>
      </c>
      <c r="G34" s="8">
        <v>1.3922584999999999E-2</v>
      </c>
      <c r="H34" s="100"/>
    </row>
    <row r="35" spans="1:8" ht="25.5" x14ac:dyDescent="0.2">
      <c r="A35" s="4">
        <v>29</v>
      </c>
      <c r="B35" s="5" t="s">
        <v>442</v>
      </c>
      <c r="C35" s="5" t="s">
        <v>213</v>
      </c>
      <c r="D35" s="5" t="s">
        <v>25</v>
      </c>
      <c r="E35" s="6">
        <v>6784</v>
      </c>
      <c r="F35" s="7">
        <v>71.150592000000003</v>
      </c>
      <c r="G35" s="8">
        <v>1.357152E-2</v>
      </c>
      <c r="H35" s="100"/>
    </row>
    <row r="36" spans="1:8" x14ac:dyDescent="0.2">
      <c r="A36" s="4">
        <v>30</v>
      </c>
      <c r="B36" s="5" t="s">
        <v>212</v>
      </c>
      <c r="C36" s="5" t="s">
        <v>201</v>
      </c>
      <c r="D36" s="5" t="s">
        <v>38</v>
      </c>
      <c r="E36" s="6">
        <v>9799</v>
      </c>
      <c r="F36" s="7">
        <v>70.249031000000002</v>
      </c>
      <c r="G36" s="8">
        <v>1.3399553E-2</v>
      </c>
      <c r="H36" s="100"/>
    </row>
    <row r="37" spans="1:8" x14ac:dyDescent="0.2">
      <c r="A37" s="4">
        <v>31</v>
      </c>
      <c r="B37" s="5" t="s">
        <v>200</v>
      </c>
      <c r="C37" s="5" t="s">
        <v>209</v>
      </c>
      <c r="D37" s="5" t="s">
        <v>1003</v>
      </c>
      <c r="E37" s="6">
        <v>11000</v>
      </c>
      <c r="F37" s="7">
        <v>69.113</v>
      </c>
      <c r="G37" s="8">
        <v>1.3182863E-2</v>
      </c>
      <c r="H37" s="100"/>
    </row>
    <row r="38" spans="1:8" x14ac:dyDescent="0.2">
      <c r="A38" s="4">
        <v>32</v>
      </c>
      <c r="B38" s="5" t="s">
        <v>198</v>
      </c>
      <c r="C38" s="5" t="s">
        <v>443</v>
      </c>
      <c r="D38" s="5" t="s">
        <v>156</v>
      </c>
      <c r="E38" s="6">
        <v>128598</v>
      </c>
      <c r="F38" s="7">
        <v>68.156940000000006</v>
      </c>
      <c r="G38" s="8">
        <v>1.30005E-2</v>
      </c>
      <c r="H38" s="100"/>
    </row>
    <row r="39" spans="1:8" x14ac:dyDescent="0.2">
      <c r="A39" s="4">
        <v>33</v>
      </c>
      <c r="B39" s="5" t="s">
        <v>43</v>
      </c>
      <c r="C39" s="5" t="s">
        <v>199</v>
      </c>
      <c r="D39" s="5" t="s">
        <v>28</v>
      </c>
      <c r="E39" s="6">
        <v>3792</v>
      </c>
      <c r="F39" s="7">
        <v>67.560168000000004</v>
      </c>
      <c r="G39" s="8">
        <v>1.2886669999999999E-2</v>
      </c>
      <c r="H39" s="100"/>
    </row>
    <row r="40" spans="1:8" x14ac:dyDescent="0.2">
      <c r="A40" s="4">
        <v>34</v>
      </c>
      <c r="B40" s="5" t="s">
        <v>278</v>
      </c>
      <c r="C40" s="5" t="s">
        <v>44</v>
      </c>
      <c r="D40" s="5" t="s">
        <v>28</v>
      </c>
      <c r="E40" s="6">
        <v>6317</v>
      </c>
      <c r="F40" s="7">
        <v>66.852811000000003</v>
      </c>
      <c r="G40" s="8">
        <v>1.2751746E-2</v>
      </c>
      <c r="H40" s="100"/>
    </row>
    <row r="41" spans="1:8" x14ac:dyDescent="0.2">
      <c r="A41" s="4">
        <v>35</v>
      </c>
      <c r="B41" s="5" t="s">
        <v>455</v>
      </c>
      <c r="C41" s="5" t="s">
        <v>279</v>
      </c>
      <c r="D41" s="5" t="s">
        <v>1006</v>
      </c>
      <c r="E41" s="6">
        <v>127060</v>
      </c>
      <c r="F41" s="7">
        <v>66.388850000000005</v>
      </c>
      <c r="G41" s="8">
        <v>1.2663248E-2</v>
      </c>
      <c r="H41" s="100"/>
    </row>
    <row r="42" spans="1:8" x14ac:dyDescent="0.2">
      <c r="A42" s="4">
        <v>36</v>
      </c>
      <c r="B42" s="5" t="s">
        <v>204</v>
      </c>
      <c r="C42" s="5" t="s">
        <v>205</v>
      </c>
      <c r="D42" s="5" t="s">
        <v>1004</v>
      </c>
      <c r="E42" s="6">
        <v>24037</v>
      </c>
      <c r="F42" s="7">
        <v>65.356603000000007</v>
      </c>
      <c r="G42" s="8">
        <v>1.2466354000000001E-2</v>
      </c>
      <c r="H42" s="100"/>
    </row>
    <row r="43" spans="1:8" x14ac:dyDescent="0.2">
      <c r="A43" s="4">
        <v>37</v>
      </c>
      <c r="B43" s="5" t="s">
        <v>208</v>
      </c>
      <c r="C43" s="5" t="s">
        <v>211</v>
      </c>
      <c r="D43" s="5" t="s">
        <v>163</v>
      </c>
      <c r="E43" s="6">
        <v>17494</v>
      </c>
      <c r="F43" s="7">
        <v>64.202979999999997</v>
      </c>
      <c r="G43" s="8">
        <v>1.2246307999999999E-2</v>
      </c>
      <c r="H43" s="100"/>
    </row>
    <row r="44" spans="1:8" x14ac:dyDescent="0.2">
      <c r="A44" s="4">
        <v>38</v>
      </c>
      <c r="B44" s="5" t="s">
        <v>210</v>
      </c>
      <c r="C44" s="5" t="s">
        <v>203</v>
      </c>
      <c r="D44" s="5" t="s">
        <v>193</v>
      </c>
      <c r="E44" s="6">
        <v>13902</v>
      </c>
      <c r="F44" s="7">
        <v>62.941305</v>
      </c>
      <c r="G44" s="8">
        <v>1.2005651000000001E-2</v>
      </c>
      <c r="H44" s="100"/>
    </row>
    <row r="45" spans="1:8" ht="25.5" x14ac:dyDescent="0.2">
      <c r="A45" s="4">
        <v>39</v>
      </c>
      <c r="B45" s="5" t="s">
        <v>214</v>
      </c>
      <c r="C45" s="5" t="s">
        <v>215</v>
      </c>
      <c r="D45" s="5" t="s">
        <v>25</v>
      </c>
      <c r="E45" s="6">
        <v>90123</v>
      </c>
      <c r="F45" s="7">
        <v>62.725608000000001</v>
      </c>
      <c r="G45" s="8">
        <v>1.1964508E-2</v>
      </c>
      <c r="H45" s="100"/>
    </row>
    <row r="46" spans="1:8" x14ac:dyDescent="0.2">
      <c r="A46" s="4">
        <v>40</v>
      </c>
      <c r="B46" s="5" t="s">
        <v>202</v>
      </c>
      <c r="C46" s="5" t="s">
        <v>462</v>
      </c>
      <c r="D46" s="5" t="s">
        <v>38</v>
      </c>
      <c r="E46" s="6">
        <v>75207</v>
      </c>
      <c r="F46" s="7">
        <v>62.083378500000002</v>
      </c>
      <c r="G46" s="8">
        <v>1.1842007E-2</v>
      </c>
      <c r="H46" s="100"/>
    </row>
    <row r="47" spans="1:8" x14ac:dyDescent="0.2">
      <c r="A47" s="4">
        <v>41</v>
      </c>
      <c r="B47" s="5" t="s">
        <v>218</v>
      </c>
      <c r="C47" s="5" t="s">
        <v>219</v>
      </c>
      <c r="D47" s="5" t="s">
        <v>156</v>
      </c>
      <c r="E47" s="6">
        <v>10167</v>
      </c>
      <c r="F47" s="7">
        <v>59.116021500000002</v>
      </c>
      <c r="G47" s="8">
        <v>1.1276003E-2</v>
      </c>
      <c r="H47" s="100"/>
    </row>
    <row r="48" spans="1:8" x14ac:dyDescent="0.2">
      <c r="A48" s="4">
        <v>42</v>
      </c>
      <c r="B48" s="5" t="s">
        <v>224</v>
      </c>
      <c r="C48" s="5" t="s">
        <v>225</v>
      </c>
      <c r="D48" s="5" t="s">
        <v>58</v>
      </c>
      <c r="E48" s="6">
        <v>9133</v>
      </c>
      <c r="F48" s="7">
        <v>56.592634500000003</v>
      </c>
      <c r="G48" s="8">
        <v>1.0794682999999999E-2</v>
      </c>
      <c r="H48" s="100"/>
    </row>
    <row r="49" spans="1:8" x14ac:dyDescent="0.2">
      <c r="A49" s="4">
        <v>43</v>
      </c>
      <c r="B49" s="5" t="s">
        <v>222</v>
      </c>
      <c r="C49" s="5" t="s">
        <v>950</v>
      </c>
      <c r="D49" s="5" t="s">
        <v>28</v>
      </c>
      <c r="E49" s="6">
        <v>51936</v>
      </c>
      <c r="F49" s="7">
        <v>55.909103999999999</v>
      </c>
      <c r="G49" s="8">
        <v>1.0664303999999999E-2</v>
      </c>
      <c r="H49" s="100"/>
    </row>
    <row r="50" spans="1:8" x14ac:dyDescent="0.2">
      <c r="A50" s="4">
        <v>44</v>
      </c>
      <c r="B50" s="5" t="s">
        <v>216</v>
      </c>
      <c r="C50" s="5" t="s">
        <v>176</v>
      </c>
      <c r="D50" s="5" t="s">
        <v>1005</v>
      </c>
      <c r="E50" s="6">
        <v>26288</v>
      </c>
      <c r="F50" s="7">
        <v>55.388815999999998</v>
      </c>
      <c r="G50" s="8">
        <v>1.0565062E-2</v>
      </c>
      <c r="H50" s="100"/>
    </row>
    <row r="51" spans="1:8" x14ac:dyDescent="0.2">
      <c r="A51" s="4">
        <v>45</v>
      </c>
      <c r="B51" s="5" t="s">
        <v>175</v>
      </c>
      <c r="C51" s="5" t="s">
        <v>230</v>
      </c>
      <c r="D51" s="5" t="s">
        <v>53</v>
      </c>
      <c r="E51" s="6">
        <v>15004</v>
      </c>
      <c r="F51" s="7">
        <v>55.312246000000002</v>
      </c>
      <c r="G51" s="8">
        <v>1.0550456999999999E-2</v>
      </c>
      <c r="H51" s="100"/>
    </row>
    <row r="52" spans="1:8" x14ac:dyDescent="0.2">
      <c r="A52" s="4">
        <v>46</v>
      </c>
      <c r="B52" s="5" t="s">
        <v>229</v>
      </c>
      <c r="C52" s="5" t="s">
        <v>217</v>
      </c>
      <c r="D52" s="5" t="s">
        <v>193</v>
      </c>
      <c r="E52" s="6">
        <v>3920</v>
      </c>
      <c r="F52" s="7">
        <v>54.697719999999997</v>
      </c>
      <c r="G52" s="8">
        <v>1.043324E-2</v>
      </c>
      <c r="H52" s="100"/>
    </row>
    <row r="53" spans="1:8" x14ac:dyDescent="0.2">
      <c r="A53" s="4">
        <v>47</v>
      </c>
      <c r="B53" s="5" t="s">
        <v>186</v>
      </c>
      <c r="C53" s="5" t="s">
        <v>187</v>
      </c>
      <c r="D53" s="5" t="s">
        <v>188</v>
      </c>
      <c r="E53" s="6">
        <v>7374</v>
      </c>
      <c r="F53" s="7">
        <v>53.649537000000002</v>
      </c>
      <c r="G53" s="8">
        <v>1.0233305999999999E-2</v>
      </c>
      <c r="H53" s="100"/>
    </row>
    <row r="54" spans="1:8" x14ac:dyDescent="0.2">
      <c r="A54" s="4">
        <v>48</v>
      </c>
      <c r="B54" s="5" t="s">
        <v>231</v>
      </c>
      <c r="C54" s="5" t="s">
        <v>935</v>
      </c>
      <c r="D54" s="5" t="s">
        <v>156</v>
      </c>
      <c r="E54" s="6">
        <v>10707</v>
      </c>
      <c r="F54" s="7">
        <v>53.288739</v>
      </c>
      <c r="G54" s="8">
        <v>1.0164486E-2</v>
      </c>
      <c r="H54" s="100"/>
    </row>
    <row r="55" spans="1:8" x14ac:dyDescent="0.2">
      <c r="A55" s="4">
        <v>49</v>
      </c>
      <c r="B55" s="5" t="s">
        <v>446</v>
      </c>
      <c r="C55" s="5" t="s">
        <v>450</v>
      </c>
      <c r="D55" s="5" t="s">
        <v>156</v>
      </c>
      <c r="E55" s="6">
        <v>17500</v>
      </c>
      <c r="F55" s="7">
        <v>53.191249999999997</v>
      </c>
      <c r="G55" s="8">
        <v>1.0145891000000001E-2</v>
      </c>
      <c r="H55" s="100"/>
    </row>
    <row r="56" spans="1:8" x14ac:dyDescent="0.2">
      <c r="A56" s="4">
        <v>50</v>
      </c>
      <c r="B56" s="5" t="s">
        <v>449</v>
      </c>
      <c r="C56" s="5" t="s">
        <v>227</v>
      </c>
      <c r="D56" s="5" t="s">
        <v>28</v>
      </c>
      <c r="E56" s="6">
        <v>9582</v>
      </c>
      <c r="F56" s="7">
        <v>52.494987000000002</v>
      </c>
      <c r="G56" s="8">
        <v>1.0013083000000001E-2</v>
      </c>
      <c r="H56" s="100"/>
    </row>
    <row r="57" spans="1:8" x14ac:dyDescent="0.2">
      <c r="A57" s="4">
        <v>51</v>
      </c>
      <c r="B57" s="5" t="s">
        <v>226</v>
      </c>
      <c r="C57" s="5" t="s">
        <v>236</v>
      </c>
      <c r="D57" s="5" t="s">
        <v>228</v>
      </c>
      <c r="E57" s="6">
        <v>33456</v>
      </c>
      <c r="F57" s="7">
        <v>52.375368000000002</v>
      </c>
      <c r="G57" s="8">
        <v>9.9902659999999994E-3</v>
      </c>
      <c r="H57" s="100"/>
    </row>
    <row r="58" spans="1:8" x14ac:dyDescent="0.2">
      <c r="A58" s="4">
        <v>52</v>
      </c>
      <c r="B58" s="5" t="s">
        <v>235</v>
      </c>
      <c r="C58" s="5" t="s">
        <v>456</v>
      </c>
      <c r="D58" s="5" t="s">
        <v>1005</v>
      </c>
      <c r="E58" s="6">
        <v>11454</v>
      </c>
      <c r="F58" s="7">
        <v>50.071160999999996</v>
      </c>
      <c r="G58" s="8">
        <v>9.5507539999999998E-3</v>
      </c>
      <c r="H58" s="100"/>
    </row>
    <row r="59" spans="1:8" x14ac:dyDescent="0.2">
      <c r="A59" s="4">
        <v>53</v>
      </c>
      <c r="B59" s="5" t="s">
        <v>239</v>
      </c>
      <c r="C59" s="5" t="s">
        <v>240</v>
      </c>
      <c r="D59" s="5" t="s">
        <v>58</v>
      </c>
      <c r="E59" s="6">
        <v>10830</v>
      </c>
      <c r="F59" s="7">
        <v>49.509345000000003</v>
      </c>
      <c r="G59" s="8">
        <v>9.4435909999999994E-3</v>
      </c>
      <c r="H59" s="100"/>
    </row>
    <row r="60" spans="1:8" x14ac:dyDescent="0.2">
      <c r="A60" s="4">
        <v>54</v>
      </c>
      <c r="B60" s="5" t="s">
        <v>241</v>
      </c>
      <c r="C60" s="5" t="s">
        <v>242</v>
      </c>
      <c r="D60" s="5" t="s">
        <v>163</v>
      </c>
      <c r="E60" s="6">
        <v>8028</v>
      </c>
      <c r="F60" s="7">
        <v>47.814768000000001</v>
      </c>
      <c r="G60" s="8">
        <v>9.1203610000000004E-3</v>
      </c>
      <c r="H60" s="100"/>
    </row>
    <row r="61" spans="1:8" x14ac:dyDescent="0.2">
      <c r="A61" s="4">
        <v>55</v>
      </c>
      <c r="B61" s="5" t="s">
        <v>451</v>
      </c>
      <c r="C61" s="5" t="s">
        <v>246</v>
      </c>
      <c r="D61" s="5" t="s">
        <v>63</v>
      </c>
      <c r="E61" s="6">
        <v>18007</v>
      </c>
      <c r="F61" s="7">
        <v>47.628515</v>
      </c>
      <c r="G61" s="8">
        <v>9.084834E-3</v>
      </c>
      <c r="H61" s="100"/>
    </row>
    <row r="62" spans="1:8" x14ac:dyDescent="0.2">
      <c r="A62" s="4">
        <v>56</v>
      </c>
      <c r="B62" s="5" t="s">
        <v>245</v>
      </c>
      <c r="C62" s="5" t="s">
        <v>452</v>
      </c>
      <c r="D62" s="5" t="s">
        <v>22</v>
      </c>
      <c r="E62" s="6">
        <v>52374</v>
      </c>
      <c r="F62" s="7">
        <v>47.477030999999997</v>
      </c>
      <c r="G62" s="8">
        <v>9.0559400000000002E-3</v>
      </c>
      <c r="H62" s="100"/>
    </row>
    <row r="63" spans="1:8" x14ac:dyDescent="0.2">
      <c r="A63" s="4">
        <v>57</v>
      </c>
      <c r="B63" s="5" t="s">
        <v>206</v>
      </c>
      <c r="C63" s="5" t="s">
        <v>207</v>
      </c>
      <c r="D63" s="5" t="s">
        <v>163</v>
      </c>
      <c r="E63" s="6">
        <v>12334</v>
      </c>
      <c r="F63" s="7">
        <v>47.134380999999998</v>
      </c>
      <c r="G63" s="8">
        <v>8.9905820000000004E-3</v>
      </c>
      <c r="H63" s="100"/>
    </row>
    <row r="64" spans="1:8" x14ac:dyDescent="0.2">
      <c r="A64" s="4">
        <v>58</v>
      </c>
      <c r="B64" s="5" t="s">
        <v>453</v>
      </c>
      <c r="C64" s="5" t="s">
        <v>454</v>
      </c>
      <c r="D64" s="5" t="s">
        <v>156</v>
      </c>
      <c r="E64" s="6">
        <v>7194</v>
      </c>
      <c r="F64" s="7">
        <v>42.833075999999998</v>
      </c>
      <c r="G64" s="8">
        <v>8.1701350000000002E-3</v>
      </c>
      <c r="H64" s="100"/>
    </row>
    <row r="65" spans="1:8" ht="25.5" x14ac:dyDescent="0.2">
      <c r="A65" s="4">
        <v>59</v>
      </c>
      <c r="B65" s="5" t="s">
        <v>152</v>
      </c>
      <c r="C65" s="5" t="s">
        <v>153</v>
      </c>
      <c r="D65" s="5" t="s">
        <v>1001</v>
      </c>
      <c r="E65" s="6">
        <v>25342</v>
      </c>
      <c r="F65" s="7">
        <v>41.358144000000003</v>
      </c>
      <c r="G65" s="8">
        <v>7.8888010000000008E-3</v>
      </c>
      <c r="H65" s="100"/>
    </row>
    <row r="66" spans="1:8" x14ac:dyDescent="0.2">
      <c r="A66" s="4">
        <v>60</v>
      </c>
      <c r="B66" s="5" t="s">
        <v>249</v>
      </c>
      <c r="C66" s="5" t="s">
        <v>952</v>
      </c>
      <c r="D66" s="5" t="s">
        <v>251</v>
      </c>
      <c r="E66" s="6">
        <v>19250</v>
      </c>
      <c r="F66" s="7">
        <v>40.781125000000003</v>
      </c>
      <c r="G66" s="8">
        <v>7.7787389999999998E-3</v>
      </c>
      <c r="H66" s="100"/>
    </row>
    <row r="67" spans="1:8" x14ac:dyDescent="0.2">
      <c r="A67" s="4">
        <v>61</v>
      </c>
      <c r="B67" s="5" t="s">
        <v>247</v>
      </c>
      <c r="C67" s="5" t="s">
        <v>248</v>
      </c>
      <c r="D67" s="5" t="s">
        <v>1005</v>
      </c>
      <c r="E67" s="6">
        <v>21380</v>
      </c>
      <c r="F67" s="7">
        <v>40.066119999999998</v>
      </c>
      <c r="G67" s="8">
        <v>7.6423560000000003E-3</v>
      </c>
      <c r="H67" s="100"/>
    </row>
    <row r="68" spans="1:8" x14ac:dyDescent="0.2">
      <c r="A68" s="4">
        <v>62</v>
      </c>
      <c r="B68" s="5" t="s">
        <v>254</v>
      </c>
      <c r="C68" s="5" t="s">
        <v>37</v>
      </c>
      <c r="D68" s="5" t="s">
        <v>58</v>
      </c>
      <c r="E68" s="6">
        <v>26481</v>
      </c>
      <c r="F68" s="7">
        <v>36.768868500000004</v>
      </c>
      <c r="G68" s="8">
        <v>7.0134259999999997E-3</v>
      </c>
      <c r="H68" s="100"/>
    </row>
    <row r="69" spans="1:8" x14ac:dyDescent="0.2">
      <c r="A69" s="4">
        <v>63</v>
      </c>
      <c r="B69" s="5" t="s">
        <v>264</v>
      </c>
      <c r="C69" s="5" t="s">
        <v>447</v>
      </c>
      <c r="D69" s="5" t="s">
        <v>193</v>
      </c>
      <c r="E69" s="6">
        <v>3684</v>
      </c>
      <c r="F69" s="7">
        <v>36.313187999999997</v>
      </c>
      <c r="G69" s="8">
        <v>6.9265079999999996E-3</v>
      </c>
      <c r="H69" s="100"/>
    </row>
    <row r="70" spans="1:8" x14ac:dyDescent="0.2">
      <c r="A70" s="4">
        <v>64</v>
      </c>
      <c r="B70" s="5" t="s">
        <v>258</v>
      </c>
      <c r="C70" s="5" t="s">
        <v>255</v>
      </c>
      <c r="D70" s="5" t="s">
        <v>1006</v>
      </c>
      <c r="E70" s="6">
        <v>2402</v>
      </c>
      <c r="F70" s="7">
        <v>35.459524999999999</v>
      </c>
      <c r="G70" s="8">
        <v>6.7636780000000004E-3</v>
      </c>
      <c r="H70" s="100"/>
    </row>
    <row r="71" spans="1:8" ht="25.5" x14ac:dyDescent="0.2">
      <c r="A71" s="4">
        <v>65</v>
      </c>
      <c r="B71" s="5" t="s">
        <v>243</v>
      </c>
      <c r="C71" s="5" t="s">
        <v>263</v>
      </c>
      <c r="D71" s="5" t="s">
        <v>1007</v>
      </c>
      <c r="E71" s="6">
        <v>43762</v>
      </c>
      <c r="F71" s="7">
        <v>32.646451999999996</v>
      </c>
      <c r="G71" s="8">
        <v>6.227102E-3</v>
      </c>
      <c r="H71" s="100"/>
    </row>
    <row r="72" spans="1:8" x14ac:dyDescent="0.2">
      <c r="A72" s="4">
        <v>66</v>
      </c>
      <c r="B72" s="5" t="s">
        <v>262</v>
      </c>
      <c r="C72" s="5" t="s">
        <v>265</v>
      </c>
      <c r="D72" s="5" t="s">
        <v>146</v>
      </c>
      <c r="E72" s="6">
        <v>1852</v>
      </c>
      <c r="F72" s="7">
        <v>28.656922000000002</v>
      </c>
      <c r="G72" s="8">
        <v>5.4661249999999996E-3</v>
      </c>
      <c r="H72" s="100"/>
    </row>
    <row r="73" spans="1:8" x14ac:dyDescent="0.2">
      <c r="A73" s="4">
        <v>67</v>
      </c>
      <c r="B73" s="5" t="s">
        <v>36</v>
      </c>
      <c r="C73" s="5" t="s">
        <v>259</v>
      </c>
      <c r="D73" s="5" t="s">
        <v>38</v>
      </c>
      <c r="E73" s="6">
        <v>10971</v>
      </c>
      <c r="F73" s="7">
        <v>27.471384</v>
      </c>
      <c r="G73" s="8">
        <v>5.2399910000000003E-3</v>
      </c>
      <c r="H73" s="100"/>
    </row>
    <row r="74" spans="1:8" x14ac:dyDescent="0.2">
      <c r="A74" s="4">
        <v>68</v>
      </c>
      <c r="B74" s="5" t="s">
        <v>440</v>
      </c>
      <c r="C74" s="5" t="s">
        <v>244</v>
      </c>
      <c r="D74" s="5" t="s">
        <v>58</v>
      </c>
      <c r="E74" s="6">
        <v>8699</v>
      </c>
      <c r="F74" s="7">
        <v>23.461203000000001</v>
      </c>
      <c r="G74" s="8">
        <v>4.4750739999999999E-3</v>
      </c>
      <c r="H74" s="100"/>
    </row>
    <row r="75" spans="1:8" x14ac:dyDescent="0.2">
      <c r="A75" s="4">
        <v>69</v>
      </c>
      <c r="B75" s="5" t="s">
        <v>284</v>
      </c>
      <c r="C75" s="5" t="s">
        <v>285</v>
      </c>
      <c r="D75" s="5" t="s">
        <v>1005</v>
      </c>
      <c r="E75" s="6">
        <v>93287</v>
      </c>
      <c r="F75" s="7">
        <v>23.415037000000002</v>
      </c>
      <c r="G75" s="8">
        <v>4.4662679999999998E-3</v>
      </c>
      <c r="H75" s="100"/>
    </row>
    <row r="76" spans="1:8" x14ac:dyDescent="0.2">
      <c r="A76" s="4">
        <v>70</v>
      </c>
      <c r="B76" s="5" t="s">
        <v>270</v>
      </c>
      <c r="C76" s="5" t="s">
        <v>269</v>
      </c>
      <c r="D76" s="5" t="s">
        <v>272</v>
      </c>
      <c r="E76" s="6">
        <v>17025</v>
      </c>
      <c r="F76" s="7">
        <v>22.1920875</v>
      </c>
      <c r="G76" s="8">
        <v>4.2329990000000003E-3</v>
      </c>
      <c r="H76" s="100"/>
    </row>
    <row r="77" spans="1:8" x14ac:dyDescent="0.2">
      <c r="A77" s="4">
        <v>71</v>
      </c>
      <c r="B77" s="5" t="s">
        <v>268</v>
      </c>
      <c r="C77" s="5" t="s">
        <v>271</v>
      </c>
      <c r="D77" s="5" t="s">
        <v>1005</v>
      </c>
      <c r="E77" s="6">
        <v>52922</v>
      </c>
      <c r="F77" s="7">
        <v>18.734387999999999</v>
      </c>
      <c r="G77" s="8">
        <v>3.5734650000000001E-3</v>
      </c>
      <c r="H77" s="100"/>
    </row>
    <row r="78" spans="1:8" ht="25.5" x14ac:dyDescent="0.2">
      <c r="A78" s="4">
        <v>72</v>
      </c>
      <c r="B78" s="5" t="s">
        <v>457</v>
      </c>
      <c r="C78" s="5" t="s">
        <v>458</v>
      </c>
      <c r="D78" s="5" t="s">
        <v>25</v>
      </c>
      <c r="E78" s="6">
        <v>13150</v>
      </c>
      <c r="F78" s="7">
        <v>15.773425</v>
      </c>
      <c r="G78" s="8">
        <v>3.0086800000000001E-3</v>
      </c>
      <c r="H78" s="100"/>
    </row>
    <row r="79" spans="1:8" x14ac:dyDescent="0.2">
      <c r="A79" s="15" t="s">
        <v>9</v>
      </c>
      <c r="B79" s="15" t="s">
        <v>9</v>
      </c>
      <c r="C79" s="3" t="s">
        <v>94</v>
      </c>
      <c r="D79" s="15" t="s">
        <v>9</v>
      </c>
      <c r="E79" s="15" t="s">
        <v>9</v>
      </c>
      <c r="F79" s="9">
        <v>4970.1721770000004</v>
      </c>
      <c r="G79" s="10">
        <v>0.94802854400000003</v>
      </c>
      <c r="H79" s="100"/>
    </row>
    <row r="80" spans="1:8" x14ac:dyDescent="0.2">
      <c r="A80" s="15" t="s">
        <v>9</v>
      </c>
      <c r="B80" s="15" t="s">
        <v>9</v>
      </c>
      <c r="C80" s="11" t="s">
        <v>9</v>
      </c>
      <c r="D80" s="15" t="s">
        <v>9</v>
      </c>
      <c r="E80" s="15" t="s">
        <v>9</v>
      </c>
      <c r="F80" s="12" t="s">
        <v>9</v>
      </c>
      <c r="G80" s="12" t="s">
        <v>9</v>
      </c>
      <c r="H80" s="100"/>
    </row>
    <row r="81" spans="1:8" x14ac:dyDescent="0.2">
      <c r="A81" s="15" t="s">
        <v>9</v>
      </c>
      <c r="B81" s="15" t="s">
        <v>9</v>
      </c>
      <c r="C81" s="3" t="s">
        <v>95</v>
      </c>
      <c r="D81" s="15" t="s">
        <v>9</v>
      </c>
      <c r="E81" s="15" t="s">
        <v>9</v>
      </c>
      <c r="F81" s="15" t="s">
        <v>9</v>
      </c>
      <c r="G81" s="15" t="s">
        <v>9</v>
      </c>
      <c r="H81" s="100"/>
    </row>
    <row r="82" spans="1:8" x14ac:dyDescent="0.2">
      <c r="A82" s="15" t="s">
        <v>9</v>
      </c>
      <c r="B82" s="15" t="s">
        <v>9</v>
      </c>
      <c r="C82" s="3" t="s">
        <v>94</v>
      </c>
      <c r="D82" s="15" t="s">
        <v>9</v>
      </c>
      <c r="E82" s="15" t="s">
        <v>9</v>
      </c>
      <c r="F82" s="13">
        <v>0</v>
      </c>
      <c r="G82" s="14">
        <v>0</v>
      </c>
      <c r="H82" s="100"/>
    </row>
    <row r="83" spans="1:8" x14ac:dyDescent="0.2">
      <c r="A83" s="15" t="s">
        <v>9</v>
      </c>
      <c r="B83" s="15" t="s">
        <v>9</v>
      </c>
      <c r="C83" s="11" t="s">
        <v>9</v>
      </c>
      <c r="D83" s="15" t="s">
        <v>9</v>
      </c>
      <c r="E83" s="15" t="s">
        <v>9</v>
      </c>
      <c r="F83" s="12" t="s">
        <v>9</v>
      </c>
      <c r="G83" s="12" t="s">
        <v>9</v>
      </c>
      <c r="H83" s="100"/>
    </row>
    <row r="84" spans="1:8" x14ac:dyDescent="0.2">
      <c r="A84" s="15" t="s">
        <v>9</v>
      </c>
      <c r="B84" s="15" t="s">
        <v>9</v>
      </c>
      <c r="C84" s="3" t="s">
        <v>96</v>
      </c>
      <c r="D84" s="15" t="s">
        <v>9</v>
      </c>
      <c r="E84" s="15" t="s">
        <v>9</v>
      </c>
      <c r="F84" s="15" t="s">
        <v>9</v>
      </c>
      <c r="G84" s="15" t="s">
        <v>9</v>
      </c>
      <c r="H84" s="100"/>
    </row>
    <row r="85" spans="1:8" x14ac:dyDescent="0.2">
      <c r="A85" s="15" t="s">
        <v>9</v>
      </c>
      <c r="B85" s="15" t="s">
        <v>9</v>
      </c>
      <c r="C85" s="3" t="s">
        <v>94</v>
      </c>
      <c r="D85" s="15" t="s">
        <v>9</v>
      </c>
      <c r="E85" s="15" t="s">
        <v>9</v>
      </c>
      <c r="F85" s="13">
        <v>0</v>
      </c>
      <c r="G85" s="14">
        <v>0</v>
      </c>
      <c r="H85" s="100"/>
    </row>
    <row r="86" spans="1:8" x14ac:dyDescent="0.2">
      <c r="A86" s="15" t="s">
        <v>9</v>
      </c>
      <c r="B86" s="15" t="s">
        <v>9</v>
      </c>
      <c r="C86" s="11" t="s">
        <v>9</v>
      </c>
      <c r="D86" s="15" t="s">
        <v>9</v>
      </c>
      <c r="E86" s="15" t="s">
        <v>9</v>
      </c>
      <c r="F86" s="12" t="s">
        <v>9</v>
      </c>
      <c r="G86" s="12" t="s">
        <v>9</v>
      </c>
      <c r="H86" s="100"/>
    </row>
    <row r="87" spans="1:8" x14ac:dyDescent="0.2">
      <c r="A87" s="15" t="s">
        <v>9</v>
      </c>
      <c r="B87" s="15" t="s">
        <v>9</v>
      </c>
      <c r="C87" s="3" t="s">
        <v>100</v>
      </c>
      <c r="D87" s="15" t="s">
        <v>9</v>
      </c>
      <c r="E87" s="15" t="s">
        <v>9</v>
      </c>
      <c r="F87" s="15" t="s">
        <v>9</v>
      </c>
      <c r="G87" s="15" t="s">
        <v>9</v>
      </c>
      <c r="H87" s="100"/>
    </row>
    <row r="88" spans="1:8" x14ac:dyDescent="0.2">
      <c r="A88" s="15" t="s">
        <v>9</v>
      </c>
      <c r="B88" s="15" t="s">
        <v>9</v>
      </c>
      <c r="C88" s="3" t="s">
        <v>94</v>
      </c>
      <c r="D88" s="15" t="s">
        <v>9</v>
      </c>
      <c r="E88" s="15" t="s">
        <v>9</v>
      </c>
      <c r="F88" s="13">
        <v>0</v>
      </c>
      <c r="G88" s="14">
        <v>0</v>
      </c>
      <c r="H88" s="100"/>
    </row>
    <row r="89" spans="1:8" x14ac:dyDescent="0.2">
      <c r="A89" s="15" t="s">
        <v>9</v>
      </c>
      <c r="B89" s="15" t="s">
        <v>9</v>
      </c>
      <c r="C89" s="11" t="s">
        <v>9</v>
      </c>
      <c r="D89" s="15" t="s">
        <v>9</v>
      </c>
      <c r="E89" s="15" t="s">
        <v>9</v>
      </c>
      <c r="F89" s="12" t="s">
        <v>9</v>
      </c>
      <c r="G89" s="12" t="s">
        <v>9</v>
      </c>
      <c r="H89" s="100"/>
    </row>
    <row r="90" spans="1:8" x14ac:dyDescent="0.2">
      <c r="A90" s="15" t="s">
        <v>9</v>
      </c>
      <c r="B90" s="15" t="s">
        <v>9</v>
      </c>
      <c r="C90" s="3" t="s">
        <v>101</v>
      </c>
      <c r="D90" s="15" t="s">
        <v>9</v>
      </c>
      <c r="E90" s="15" t="s">
        <v>9</v>
      </c>
      <c r="F90" s="12" t="s">
        <v>9</v>
      </c>
      <c r="G90" s="12" t="s">
        <v>9</v>
      </c>
      <c r="H90" s="100"/>
    </row>
    <row r="91" spans="1:8" x14ac:dyDescent="0.2">
      <c r="A91" s="15" t="s">
        <v>9</v>
      </c>
      <c r="B91" s="15" t="s">
        <v>9</v>
      </c>
      <c r="C91" s="3" t="s">
        <v>94</v>
      </c>
      <c r="D91" s="15" t="s">
        <v>9</v>
      </c>
      <c r="E91" s="15" t="s">
        <v>9</v>
      </c>
      <c r="F91" s="13">
        <v>0</v>
      </c>
      <c r="G91" s="14">
        <v>0</v>
      </c>
      <c r="H91" s="100"/>
    </row>
    <row r="92" spans="1:8" x14ac:dyDescent="0.2">
      <c r="A92" s="15" t="s">
        <v>9</v>
      </c>
      <c r="B92" s="15" t="s">
        <v>9</v>
      </c>
      <c r="C92" s="11" t="s">
        <v>9</v>
      </c>
      <c r="D92" s="15" t="s">
        <v>9</v>
      </c>
      <c r="E92" s="15" t="s">
        <v>9</v>
      </c>
      <c r="F92" s="12" t="s">
        <v>9</v>
      </c>
      <c r="G92" s="12" t="s">
        <v>9</v>
      </c>
      <c r="H92" s="100"/>
    </row>
    <row r="93" spans="1:8" x14ac:dyDescent="0.2">
      <c r="A93" s="15" t="s">
        <v>9</v>
      </c>
      <c r="B93" s="15" t="s">
        <v>9</v>
      </c>
      <c r="C93" s="3" t="s">
        <v>102</v>
      </c>
      <c r="D93" s="15" t="s">
        <v>9</v>
      </c>
      <c r="E93" s="15" t="s">
        <v>9</v>
      </c>
      <c r="F93" s="12" t="s">
        <v>9</v>
      </c>
      <c r="G93" s="12" t="s">
        <v>9</v>
      </c>
      <c r="H93" s="100"/>
    </row>
    <row r="94" spans="1:8" x14ac:dyDescent="0.2">
      <c r="A94" s="15" t="s">
        <v>9</v>
      </c>
      <c r="B94" s="15" t="s">
        <v>9</v>
      </c>
      <c r="C94" s="3" t="s">
        <v>94</v>
      </c>
      <c r="D94" s="15" t="s">
        <v>9</v>
      </c>
      <c r="E94" s="15" t="s">
        <v>9</v>
      </c>
      <c r="F94" s="13">
        <v>0</v>
      </c>
      <c r="G94" s="14">
        <v>0</v>
      </c>
      <c r="H94" s="100"/>
    </row>
    <row r="95" spans="1:8" x14ac:dyDescent="0.2">
      <c r="A95" s="15" t="s">
        <v>9</v>
      </c>
      <c r="B95" s="15" t="s">
        <v>9</v>
      </c>
      <c r="C95" s="11" t="s">
        <v>9</v>
      </c>
      <c r="D95" s="15" t="s">
        <v>9</v>
      </c>
      <c r="E95" s="15" t="s">
        <v>9</v>
      </c>
      <c r="F95" s="12" t="s">
        <v>9</v>
      </c>
      <c r="G95" s="12" t="s">
        <v>9</v>
      </c>
      <c r="H95" s="100"/>
    </row>
    <row r="96" spans="1:8" x14ac:dyDescent="0.2">
      <c r="A96" s="15" t="s">
        <v>9</v>
      </c>
      <c r="B96" s="15" t="s">
        <v>9</v>
      </c>
      <c r="C96" s="3" t="s">
        <v>104</v>
      </c>
      <c r="D96" s="15" t="s">
        <v>9</v>
      </c>
      <c r="E96" s="15" t="s">
        <v>9</v>
      </c>
      <c r="F96" s="9">
        <v>4970.1721770000004</v>
      </c>
      <c r="G96" s="10">
        <v>0.94802854400000003</v>
      </c>
      <c r="H96" s="100"/>
    </row>
    <row r="97" spans="1:8" x14ac:dyDescent="0.2">
      <c r="A97" s="15" t="s">
        <v>9</v>
      </c>
      <c r="B97" s="15" t="s">
        <v>9</v>
      </c>
      <c r="C97" s="11" t="s">
        <v>9</v>
      </c>
      <c r="D97" s="15" t="s">
        <v>9</v>
      </c>
      <c r="E97" s="15" t="s">
        <v>9</v>
      </c>
      <c r="F97" s="12" t="s">
        <v>9</v>
      </c>
      <c r="G97" s="12" t="s">
        <v>9</v>
      </c>
      <c r="H97" s="100"/>
    </row>
    <row r="98" spans="1:8" x14ac:dyDescent="0.2">
      <c r="A98" s="15" t="s">
        <v>9</v>
      </c>
      <c r="B98" s="15" t="s">
        <v>9</v>
      </c>
      <c r="C98" s="3" t="s">
        <v>105</v>
      </c>
      <c r="D98" s="15" t="s">
        <v>9</v>
      </c>
      <c r="E98" s="15" t="s">
        <v>9</v>
      </c>
      <c r="F98" s="12" t="s">
        <v>9</v>
      </c>
      <c r="G98" s="12" t="s">
        <v>9</v>
      </c>
      <c r="H98" s="100"/>
    </row>
    <row r="99" spans="1:8" ht="25.5" x14ac:dyDescent="0.2">
      <c r="A99" s="15" t="s">
        <v>9</v>
      </c>
      <c r="B99" s="15" t="s">
        <v>9</v>
      </c>
      <c r="C99" s="3" t="s">
        <v>11</v>
      </c>
      <c r="D99" s="15" t="s">
        <v>9</v>
      </c>
      <c r="E99" s="15" t="s">
        <v>9</v>
      </c>
      <c r="F99" s="12" t="s">
        <v>9</v>
      </c>
      <c r="G99" s="12" t="s">
        <v>9</v>
      </c>
      <c r="H99" s="100"/>
    </row>
    <row r="100" spans="1:8" x14ac:dyDescent="0.2">
      <c r="A100" s="15" t="s">
        <v>9</v>
      </c>
      <c r="B100" s="15" t="s">
        <v>9</v>
      </c>
      <c r="C100" s="3" t="s">
        <v>94</v>
      </c>
      <c r="D100" s="15" t="s">
        <v>9</v>
      </c>
      <c r="E100" s="15" t="s">
        <v>9</v>
      </c>
      <c r="F100" s="13">
        <v>0</v>
      </c>
      <c r="G100" s="14">
        <v>0</v>
      </c>
      <c r="H100" s="100"/>
    </row>
    <row r="101" spans="1:8" x14ac:dyDescent="0.2">
      <c r="A101" s="15" t="s">
        <v>9</v>
      </c>
      <c r="B101" s="15" t="s">
        <v>9</v>
      </c>
      <c r="C101" s="11" t="s">
        <v>9</v>
      </c>
      <c r="D101" s="15" t="s">
        <v>9</v>
      </c>
      <c r="E101" s="15" t="s">
        <v>9</v>
      </c>
      <c r="F101" s="12" t="s">
        <v>9</v>
      </c>
      <c r="G101" s="12" t="s">
        <v>9</v>
      </c>
      <c r="H101" s="100"/>
    </row>
    <row r="102" spans="1:8" x14ac:dyDescent="0.2">
      <c r="A102" s="15" t="s">
        <v>9</v>
      </c>
      <c r="B102" s="15" t="s">
        <v>9</v>
      </c>
      <c r="C102" s="3" t="s">
        <v>106</v>
      </c>
      <c r="D102" s="15" t="s">
        <v>9</v>
      </c>
      <c r="E102" s="15" t="s">
        <v>9</v>
      </c>
      <c r="F102" s="15" t="s">
        <v>9</v>
      </c>
      <c r="G102" s="15" t="s">
        <v>9</v>
      </c>
      <c r="H102" s="100"/>
    </row>
    <row r="103" spans="1:8" x14ac:dyDescent="0.2">
      <c r="A103" s="15" t="s">
        <v>9</v>
      </c>
      <c r="B103" s="15" t="s">
        <v>9</v>
      </c>
      <c r="C103" s="3" t="s">
        <v>94</v>
      </c>
      <c r="D103" s="15" t="s">
        <v>9</v>
      </c>
      <c r="E103" s="15" t="s">
        <v>9</v>
      </c>
      <c r="F103" s="13">
        <v>0</v>
      </c>
      <c r="G103" s="14">
        <v>0</v>
      </c>
      <c r="H103" s="100"/>
    </row>
    <row r="104" spans="1:8" x14ac:dyDescent="0.2">
      <c r="A104" s="15" t="s">
        <v>9</v>
      </c>
      <c r="B104" s="15" t="s">
        <v>9</v>
      </c>
      <c r="C104" s="11" t="s">
        <v>9</v>
      </c>
      <c r="D104" s="15" t="s">
        <v>9</v>
      </c>
      <c r="E104" s="15" t="s">
        <v>9</v>
      </c>
      <c r="F104" s="12" t="s">
        <v>9</v>
      </c>
      <c r="G104" s="12" t="s">
        <v>9</v>
      </c>
      <c r="H104" s="100"/>
    </row>
    <row r="105" spans="1:8" x14ac:dyDescent="0.2">
      <c r="A105" s="15" t="s">
        <v>9</v>
      </c>
      <c r="B105" s="15" t="s">
        <v>9</v>
      </c>
      <c r="C105" s="3" t="s">
        <v>107</v>
      </c>
      <c r="D105" s="15" t="s">
        <v>9</v>
      </c>
      <c r="E105" s="15" t="s">
        <v>9</v>
      </c>
      <c r="F105" s="15" t="s">
        <v>9</v>
      </c>
      <c r="G105" s="15" t="s">
        <v>9</v>
      </c>
      <c r="H105" s="100"/>
    </row>
    <row r="106" spans="1:8" x14ac:dyDescent="0.2">
      <c r="A106" s="15" t="s">
        <v>9</v>
      </c>
      <c r="B106" s="15" t="s">
        <v>9</v>
      </c>
      <c r="C106" s="3" t="s">
        <v>94</v>
      </c>
      <c r="D106" s="15" t="s">
        <v>9</v>
      </c>
      <c r="E106" s="15" t="s">
        <v>9</v>
      </c>
      <c r="F106" s="13">
        <v>0</v>
      </c>
      <c r="G106" s="14">
        <v>0</v>
      </c>
      <c r="H106" s="100"/>
    </row>
    <row r="107" spans="1:8" x14ac:dyDescent="0.2">
      <c r="A107" s="15" t="s">
        <v>9</v>
      </c>
      <c r="B107" s="15" t="s">
        <v>9</v>
      </c>
      <c r="C107" s="11" t="s">
        <v>9</v>
      </c>
      <c r="D107" s="15" t="s">
        <v>9</v>
      </c>
      <c r="E107" s="15" t="s">
        <v>9</v>
      </c>
      <c r="F107" s="12" t="s">
        <v>9</v>
      </c>
      <c r="G107" s="12" t="s">
        <v>9</v>
      </c>
      <c r="H107" s="100"/>
    </row>
    <row r="108" spans="1:8" x14ac:dyDescent="0.2">
      <c r="A108" s="15" t="s">
        <v>9</v>
      </c>
      <c r="B108" s="15" t="s">
        <v>9</v>
      </c>
      <c r="C108" s="3" t="s">
        <v>108</v>
      </c>
      <c r="D108" s="15" t="s">
        <v>9</v>
      </c>
      <c r="E108" s="15" t="s">
        <v>9</v>
      </c>
      <c r="F108" s="12" t="s">
        <v>9</v>
      </c>
      <c r="G108" s="12" t="s">
        <v>9</v>
      </c>
      <c r="H108" s="100"/>
    </row>
    <row r="109" spans="1:8" x14ac:dyDescent="0.2">
      <c r="A109" s="15" t="s">
        <v>9</v>
      </c>
      <c r="B109" s="15" t="s">
        <v>9</v>
      </c>
      <c r="C109" s="3" t="s">
        <v>94</v>
      </c>
      <c r="D109" s="15" t="s">
        <v>9</v>
      </c>
      <c r="E109" s="15" t="s">
        <v>9</v>
      </c>
      <c r="F109" s="13">
        <v>0</v>
      </c>
      <c r="G109" s="14">
        <v>0</v>
      </c>
      <c r="H109" s="100"/>
    </row>
    <row r="110" spans="1:8" x14ac:dyDescent="0.2">
      <c r="A110" s="15" t="s">
        <v>9</v>
      </c>
      <c r="B110" s="15" t="s">
        <v>9</v>
      </c>
      <c r="C110" s="11" t="s">
        <v>9</v>
      </c>
      <c r="D110" s="15" t="s">
        <v>9</v>
      </c>
      <c r="E110" s="15" t="s">
        <v>9</v>
      </c>
      <c r="F110" s="12" t="s">
        <v>9</v>
      </c>
      <c r="G110" s="12" t="s">
        <v>9</v>
      </c>
      <c r="H110" s="100"/>
    </row>
    <row r="111" spans="1:8" x14ac:dyDescent="0.2">
      <c r="A111" s="15" t="s">
        <v>9</v>
      </c>
      <c r="B111" s="15" t="s">
        <v>9</v>
      </c>
      <c r="C111" s="3" t="s">
        <v>109</v>
      </c>
      <c r="D111" s="15" t="s">
        <v>9</v>
      </c>
      <c r="E111" s="15" t="s">
        <v>9</v>
      </c>
      <c r="F111" s="9">
        <v>0</v>
      </c>
      <c r="G111" s="10">
        <v>0</v>
      </c>
      <c r="H111" s="100"/>
    </row>
    <row r="112" spans="1:8" x14ac:dyDescent="0.2">
      <c r="A112" s="15" t="s">
        <v>9</v>
      </c>
      <c r="B112" s="15" t="s">
        <v>9</v>
      </c>
      <c r="C112" s="11" t="s">
        <v>9</v>
      </c>
      <c r="D112" s="15" t="s">
        <v>9</v>
      </c>
      <c r="E112" s="15" t="s">
        <v>9</v>
      </c>
      <c r="F112" s="12" t="s">
        <v>9</v>
      </c>
      <c r="G112" s="12" t="s">
        <v>9</v>
      </c>
      <c r="H112" s="100"/>
    </row>
    <row r="113" spans="1:8" x14ac:dyDescent="0.2">
      <c r="A113" s="15" t="s">
        <v>9</v>
      </c>
      <c r="B113" s="15" t="s">
        <v>9</v>
      </c>
      <c r="C113" s="3" t="s">
        <v>110</v>
      </c>
      <c r="D113" s="15" t="s">
        <v>9</v>
      </c>
      <c r="E113" s="15" t="s">
        <v>9</v>
      </c>
      <c r="F113" s="12" t="s">
        <v>9</v>
      </c>
      <c r="G113" s="12" t="s">
        <v>9</v>
      </c>
      <c r="H113" s="100"/>
    </row>
    <row r="114" spans="1:8" x14ac:dyDescent="0.2">
      <c r="A114" s="15" t="s">
        <v>9</v>
      </c>
      <c r="B114" s="15" t="s">
        <v>9</v>
      </c>
      <c r="C114" s="3" t="s">
        <v>111</v>
      </c>
      <c r="D114" s="15" t="s">
        <v>9</v>
      </c>
      <c r="E114" s="15" t="s">
        <v>9</v>
      </c>
      <c r="F114" s="12" t="s">
        <v>9</v>
      </c>
      <c r="G114" s="12" t="s">
        <v>9</v>
      </c>
      <c r="H114" s="100"/>
    </row>
    <row r="115" spans="1:8" x14ac:dyDescent="0.2">
      <c r="A115" s="15" t="s">
        <v>9</v>
      </c>
      <c r="B115" s="15" t="s">
        <v>9</v>
      </c>
      <c r="C115" s="3" t="s">
        <v>94</v>
      </c>
      <c r="D115" s="15" t="s">
        <v>9</v>
      </c>
      <c r="E115" s="15" t="s">
        <v>9</v>
      </c>
      <c r="F115" s="13">
        <v>0</v>
      </c>
      <c r="G115" s="14">
        <v>0</v>
      </c>
      <c r="H115" s="100"/>
    </row>
    <row r="116" spans="1:8" x14ac:dyDescent="0.2">
      <c r="A116" s="15" t="s">
        <v>9</v>
      </c>
      <c r="B116" s="15" t="s">
        <v>9</v>
      </c>
      <c r="C116" s="11" t="s">
        <v>9</v>
      </c>
      <c r="D116" s="15" t="s">
        <v>9</v>
      </c>
      <c r="E116" s="15" t="s">
        <v>9</v>
      </c>
      <c r="F116" s="12" t="s">
        <v>9</v>
      </c>
      <c r="G116" s="12" t="s">
        <v>9</v>
      </c>
      <c r="H116" s="100"/>
    </row>
    <row r="117" spans="1:8" x14ac:dyDescent="0.2">
      <c r="A117" s="15" t="s">
        <v>9</v>
      </c>
      <c r="B117" s="15" t="s">
        <v>9</v>
      </c>
      <c r="C117" s="3" t="s">
        <v>112</v>
      </c>
      <c r="D117" s="15" t="s">
        <v>9</v>
      </c>
      <c r="E117" s="15" t="s">
        <v>9</v>
      </c>
      <c r="F117" s="12" t="s">
        <v>9</v>
      </c>
      <c r="G117" s="12" t="s">
        <v>9</v>
      </c>
      <c r="H117" s="100"/>
    </row>
    <row r="118" spans="1:8" x14ac:dyDescent="0.2">
      <c r="A118" s="15" t="s">
        <v>9</v>
      </c>
      <c r="B118" s="15" t="s">
        <v>9</v>
      </c>
      <c r="C118" s="3" t="s">
        <v>94</v>
      </c>
      <c r="D118" s="15" t="s">
        <v>9</v>
      </c>
      <c r="E118" s="15" t="s">
        <v>9</v>
      </c>
      <c r="F118" s="13">
        <v>0</v>
      </c>
      <c r="G118" s="14">
        <v>0</v>
      </c>
      <c r="H118" s="100"/>
    </row>
    <row r="119" spans="1:8" x14ac:dyDescent="0.2">
      <c r="A119" s="15" t="s">
        <v>9</v>
      </c>
      <c r="B119" s="15" t="s">
        <v>9</v>
      </c>
      <c r="C119" s="11" t="s">
        <v>9</v>
      </c>
      <c r="D119" s="15" t="s">
        <v>9</v>
      </c>
      <c r="E119" s="15" t="s">
        <v>9</v>
      </c>
      <c r="F119" s="12" t="s">
        <v>9</v>
      </c>
      <c r="G119" s="12" t="s">
        <v>9</v>
      </c>
      <c r="H119" s="100"/>
    </row>
    <row r="120" spans="1:8" x14ac:dyDescent="0.2">
      <c r="A120" s="15" t="s">
        <v>9</v>
      </c>
      <c r="B120" s="15" t="s">
        <v>9</v>
      </c>
      <c r="C120" s="3" t="s">
        <v>113</v>
      </c>
      <c r="D120" s="15" t="s">
        <v>9</v>
      </c>
      <c r="E120" s="15" t="s">
        <v>9</v>
      </c>
      <c r="F120" s="12" t="s">
        <v>9</v>
      </c>
      <c r="G120" s="12" t="s">
        <v>9</v>
      </c>
      <c r="H120" s="100"/>
    </row>
    <row r="121" spans="1:8" x14ac:dyDescent="0.2">
      <c r="A121" s="15" t="s">
        <v>9</v>
      </c>
      <c r="B121" s="15" t="s">
        <v>9</v>
      </c>
      <c r="C121" s="3" t="s">
        <v>94</v>
      </c>
      <c r="D121" s="15" t="s">
        <v>9</v>
      </c>
      <c r="E121" s="15" t="s">
        <v>9</v>
      </c>
      <c r="F121" s="13">
        <v>0</v>
      </c>
      <c r="G121" s="14">
        <v>0</v>
      </c>
      <c r="H121" s="100"/>
    </row>
    <row r="122" spans="1:8" x14ac:dyDescent="0.2">
      <c r="A122" s="15" t="s">
        <v>9</v>
      </c>
      <c r="B122" s="15" t="s">
        <v>9</v>
      </c>
      <c r="C122" s="11" t="s">
        <v>9</v>
      </c>
      <c r="D122" s="15" t="s">
        <v>9</v>
      </c>
      <c r="E122" s="15" t="s">
        <v>9</v>
      </c>
      <c r="F122" s="12" t="s">
        <v>9</v>
      </c>
      <c r="G122" s="12" t="s">
        <v>9</v>
      </c>
      <c r="H122" s="100"/>
    </row>
    <row r="123" spans="1:8" x14ac:dyDescent="0.2">
      <c r="A123" s="15" t="s">
        <v>9</v>
      </c>
      <c r="B123" s="15" t="s">
        <v>9</v>
      </c>
      <c r="C123" s="3" t="s">
        <v>114</v>
      </c>
      <c r="D123" s="15" t="s">
        <v>9</v>
      </c>
      <c r="E123" s="15" t="s">
        <v>9</v>
      </c>
      <c r="F123" s="12" t="s">
        <v>9</v>
      </c>
      <c r="G123" s="12" t="s">
        <v>9</v>
      </c>
      <c r="H123" s="100"/>
    </row>
    <row r="124" spans="1:8" x14ac:dyDescent="0.2">
      <c r="A124" s="4">
        <v>1</v>
      </c>
      <c r="B124" s="5"/>
      <c r="C124" s="5" t="s">
        <v>115</v>
      </c>
      <c r="D124" s="5"/>
      <c r="E124" s="15" t="s">
        <v>9</v>
      </c>
      <c r="F124" s="7">
        <v>212.83101880000001</v>
      </c>
      <c r="G124" s="8">
        <v>4.0596155000000002E-2</v>
      </c>
      <c r="H124" s="99">
        <v>3.2516689338443991</v>
      </c>
    </row>
    <row r="125" spans="1:8" x14ac:dyDescent="0.2">
      <c r="A125" s="4">
        <v>2</v>
      </c>
      <c r="B125" s="5"/>
      <c r="C125" s="5" t="s">
        <v>116</v>
      </c>
      <c r="D125" s="5"/>
      <c r="E125" s="15" t="s">
        <v>9</v>
      </c>
      <c r="F125" s="7">
        <v>29.159789100000001</v>
      </c>
      <c r="G125" s="8">
        <v>5.562043E-3</v>
      </c>
      <c r="H125" s="100">
        <v>3.350000000000001</v>
      </c>
    </row>
    <row r="126" spans="1:8" x14ac:dyDescent="0.2">
      <c r="A126" s="15" t="s">
        <v>9</v>
      </c>
      <c r="B126" s="15" t="s">
        <v>9</v>
      </c>
      <c r="C126" s="3" t="s">
        <v>94</v>
      </c>
      <c r="D126" s="15" t="s">
        <v>9</v>
      </c>
      <c r="E126" s="15" t="s">
        <v>9</v>
      </c>
      <c r="F126" s="9">
        <v>241.99080789999999</v>
      </c>
      <c r="G126" s="10">
        <v>4.6158197999999998E-2</v>
      </c>
      <c r="H126" s="100"/>
    </row>
    <row r="127" spans="1:8" x14ac:dyDescent="0.2">
      <c r="A127" s="15" t="s">
        <v>9</v>
      </c>
      <c r="B127" s="15" t="s">
        <v>9</v>
      </c>
      <c r="C127" s="11" t="s">
        <v>9</v>
      </c>
      <c r="D127" s="15" t="s">
        <v>9</v>
      </c>
      <c r="E127" s="15" t="s">
        <v>9</v>
      </c>
      <c r="F127" s="12" t="s">
        <v>9</v>
      </c>
      <c r="G127" s="12" t="s">
        <v>9</v>
      </c>
      <c r="H127" s="100"/>
    </row>
    <row r="128" spans="1:8" x14ac:dyDescent="0.2">
      <c r="A128" s="15" t="s">
        <v>9</v>
      </c>
      <c r="B128" s="15" t="s">
        <v>9</v>
      </c>
      <c r="C128" s="3" t="s">
        <v>117</v>
      </c>
      <c r="D128" s="15" t="s">
        <v>9</v>
      </c>
      <c r="E128" s="15" t="s">
        <v>9</v>
      </c>
      <c r="F128" s="9">
        <v>241.99080789999999</v>
      </c>
      <c r="G128" s="10">
        <v>4.6158197999999998E-2</v>
      </c>
      <c r="H128" s="100"/>
    </row>
    <row r="129" spans="1:8" x14ac:dyDescent="0.2">
      <c r="A129" s="15" t="s">
        <v>9</v>
      </c>
      <c r="B129" s="15" t="s">
        <v>9</v>
      </c>
      <c r="C129" s="12" t="s">
        <v>9</v>
      </c>
      <c r="D129" s="15" t="s">
        <v>9</v>
      </c>
      <c r="E129" s="15" t="s">
        <v>9</v>
      </c>
      <c r="F129" s="15" t="s">
        <v>9</v>
      </c>
      <c r="G129" s="15" t="s">
        <v>9</v>
      </c>
      <c r="H129" s="100"/>
    </row>
    <row r="130" spans="1:8" x14ac:dyDescent="0.2">
      <c r="A130" s="15" t="s">
        <v>9</v>
      </c>
      <c r="B130" s="15" t="s">
        <v>9</v>
      </c>
      <c r="C130" s="3" t="s">
        <v>118</v>
      </c>
      <c r="D130" s="15" t="s">
        <v>9</v>
      </c>
      <c r="E130" s="15" t="s">
        <v>9</v>
      </c>
      <c r="F130" s="15" t="s">
        <v>9</v>
      </c>
      <c r="G130" s="15" t="s">
        <v>9</v>
      </c>
      <c r="H130" s="100"/>
    </row>
    <row r="131" spans="1:8" x14ac:dyDescent="0.2">
      <c r="A131" s="15" t="s">
        <v>9</v>
      </c>
      <c r="B131" s="15" t="s">
        <v>9</v>
      </c>
      <c r="C131" s="3" t="s">
        <v>119</v>
      </c>
      <c r="D131" s="15" t="s">
        <v>9</v>
      </c>
      <c r="E131" s="15" t="s">
        <v>9</v>
      </c>
      <c r="F131" s="15" t="s">
        <v>9</v>
      </c>
      <c r="G131" s="15" t="s">
        <v>9</v>
      </c>
      <c r="H131" s="100"/>
    </row>
    <row r="132" spans="1:8" x14ac:dyDescent="0.2">
      <c r="A132" s="15" t="s">
        <v>9</v>
      </c>
      <c r="B132" s="15" t="s">
        <v>9</v>
      </c>
      <c r="C132" s="3" t="s">
        <v>94</v>
      </c>
      <c r="D132" s="15" t="s">
        <v>9</v>
      </c>
      <c r="E132" s="15" t="s">
        <v>9</v>
      </c>
      <c r="F132" s="13">
        <v>0</v>
      </c>
      <c r="G132" s="14">
        <v>0</v>
      </c>
      <c r="H132" s="100"/>
    </row>
    <row r="133" spans="1:8" x14ac:dyDescent="0.2">
      <c r="A133" s="15" t="s">
        <v>9</v>
      </c>
      <c r="B133" s="15" t="s">
        <v>9</v>
      </c>
      <c r="C133" s="11" t="s">
        <v>9</v>
      </c>
      <c r="D133" s="15" t="s">
        <v>9</v>
      </c>
      <c r="E133" s="15" t="s">
        <v>9</v>
      </c>
      <c r="F133" s="12" t="s">
        <v>9</v>
      </c>
      <c r="G133" s="12" t="s">
        <v>9</v>
      </c>
      <c r="H133" s="100"/>
    </row>
    <row r="134" spans="1:8" x14ac:dyDescent="0.2">
      <c r="A134" s="15" t="s">
        <v>9</v>
      </c>
      <c r="B134" s="15" t="s">
        <v>9</v>
      </c>
      <c r="C134" s="3" t="s">
        <v>120</v>
      </c>
      <c r="D134" s="15" t="s">
        <v>9</v>
      </c>
      <c r="E134" s="15" t="s">
        <v>9</v>
      </c>
      <c r="F134" s="15" t="s">
        <v>9</v>
      </c>
      <c r="G134" s="15" t="s">
        <v>9</v>
      </c>
      <c r="H134" s="100"/>
    </row>
    <row r="135" spans="1:8" x14ac:dyDescent="0.2">
      <c r="A135" s="15" t="s">
        <v>9</v>
      </c>
      <c r="B135" s="15" t="s">
        <v>9</v>
      </c>
      <c r="C135" s="3" t="s">
        <v>121</v>
      </c>
      <c r="D135" s="15" t="s">
        <v>9</v>
      </c>
      <c r="E135" s="15" t="s">
        <v>9</v>
      </c>
      <c r="F135" s="15" t="s">
        <v>9</v>
      </c>
      <c r="G135" s="15" t="s">
        <v>9</v>
      </c>
      <c r="H135" s="100"/>
    </row>
    <row r="136" spans="1:8" x14ac:dyDescent="0.2">
      <c r="A136" s="15" t="s">
        <v>9</v>
      </c>
      <c r="B136" s="15" t="s">
        <v>9</v>
      </c>
      <c r="C136" s="3" t="s">
        <v>94</v>
      </c>
      <c r="D136" s="15" t="s">
        <v>9</v>
      </c>
      <c r="E136" s="15" t="s">
        <v>9</v>
      </c>
      <c r="F136" s="13">
        <v>0</v>
      </c>
      <c r="G136" s="14">
        <v>0</v>
      </c>
      <c r="H136" s="100"/>
    </row>
    <row r="137" spans="1:8" x14ac:dyDescent="0.2">
      <c r="A137" s="15" t="s">
        <v>9</v>
      </c>
      <c r="B137" s="15" t="s">
        <v>9</v>
      </c>
      <c r="C137" s="11" t="s">
        <v>9</v>
      </c>
      <c r="D137" s="15" t="s">
        <v>9</v>
      </c>
      <c r="E137" s="15" t="s">
        <v>9</v>
      </c>
      <c r="F137" s="12" t="s">
        <v>9</v>
      </c>
      <c r="G137" s="12" t="s">
        <v>9</v>
      </c>
      <c r="H137" s="100"/>
    </row>
    <row r="138" spans="1:8" x14ac:dyDescent="0.2">
      <c r="A138" s="15" t="s">
        <v>9</v>
      </c>
      <c r="B138" s="15" t="s">
        <v>9</v>
      </c>
      <c r="C138" s="11" t="s">
        <v>9</v>
      </c>
      <c r="D138" s="15" t="s">
        <v>9</v>
      </c>
      <c r="E138" s="15" t="s">
        <v>9</v>
      </c>
      <c r="F138" s="12" t="s">
        <v>9</v>
      </c>
      <c r="G138" s="12" t="s">
        <v>9</v>
      </c>
      <c r="H138" s="100"/>
    </row>
    <row r="139" spans="1:8" ht="25.5" x14ac:dyDescent="0.2">
      <c r="A139" s="15" t="s">
        <v>9</v>
      </c>
      <c r="B139" s="15" t="s">
        <v>9</v>
      </c>
      <c r="C139" s="3" t="s">
        <v>122</v>
      </c>
      <c r="D139" s="15" t="s">
        <v>9</v>
      </c>
      <c r="E139" s="15" t="s">
        <v>9</v>
      </c>
      <c r="F139" s="12" t="s">
        <v>9</v>
      </c>
      <c r="G139" s="12" t="s">
        <v>9</v>
      </c>
      <c r="H139" s="100"/>
    </row>
    <row r="140" spans="1:8" x14ac:dyDescent="0.2">
      <c r="A140" s="15" t="s">
        <v>9</v>
      </c>
      <c r="B140" s="15" t="s">
        <v>9</v>
      </c>
      <c r="C140" s="3" t="s">
        <v>94</v>
      </c>
      <c r="D140" s="15" t="s">
        <v>9</v>
      </c>
      <c r="E140" s="15" t="s">
        <v>9</v>
      </c>
      <c r="F140" s="13">
        <v>0</v>
      </c>
      <c r="G140" s="14">
        <v>0</v>
      </c>
      <c r="H140" s="100"/>
    </row>
    <row r="141" spans="1:8" x14ac:dyDescent="0.2">
      <c r="A141" s="15" t="s">
        <v>9</v>
      </c>
      <c r="B141" s="15" t="s">
        <v>9</v>
      </c>
      <c r="C141" s="11" t="s">
        <v>9</v>
      </c>
      <c r="D141" s="15" t="s">
        <v>9</v>
      </c>
      <c r="E141" s="15" t="s">
        <v>9</v>
      </c>
      <c r="F141" s="12" t="s">
        <v>9</v>
      </c>
      <c r="G141" s="12" t="s">
        <v>9</v>
      </c>
      <c r="H141" s="100"/>
    </row>
    <row r="142" spans="1:8" x14ac:dyDescent="0.2">
      <c r="A142" s="15" t="s">
        <v>9</v>
      </c>
      <c r="B142" s="5" t="s">
        <v>9</v>
      </c>
      <c r="C142" s="5" t="s">
        <v>9</v>
      </c>
      <c r="D142" s="3" t="s">
        <v>9</v>
      </c>
      <c r="E142" s="15" t="s">
        <v>9</v>
      </c>
      <c r="F142" s="5" t="s">
        <v>9</v>
      </c>
      <c r="G142" s="15" t="s">
        <v>9</v>
      </c>
      <c r="H142" s="100"/>
    </row>
    <row r="143" spans="1:8" x14ac:dyDescent="0.2">
      <c r="A143" s="15" t="s">
        <v>9</v>
      </c>
      <c r="B143" s="5" t="s">
        <v>9</v>
      </c>
      <c r="C143" s="5" t="s">
        <v>124</v>
      </c>
      <c r="D143" s="5" t="s">
        <v>9</v>
      </c>
      <c r="E143" s="15" t="s">
        <v>9</v>
      </c>
      <c r="F143" s="7">
        <v>30.476825829999999</v>
      </c>
      <c r="G143" s="8">
        <v>5.8132599999999998E-3</v>
      </c>
      <c r="H143" s="100"/>
    </row>
    <row r="144" spans="1:8" x14ac:dyDescent="0.2">
      <c r="A144" s="11" t="s">
        <v>9</v>
      </c>
      <c r="B144" s="11" t="s">
        <v>9</v>
      </c>
      <c r="C144" s="3" t="s">
        <v>125</v>
      </c>
      <c r="D144" s="16" t="s">
        <v>9</v>
      </c>
      <c r="E144" s="16" t="s">
        <v>9</v>
      </c>
      <c r="F144" s="9">
        <v>5242.6398303300002</v>
      </c>
      <c r="G144" s="10">
        <v>1.0000000060000001</v>
      </c>
      <c r="H144" s="100"/>
    </row>
    <row r="145" spans="1:8" x14ac:dyDescent="0.2">
      <c r="A145" s="17" t="s">
        <v>9</v>
      </c>
      <c r="B145" s="17" t="s">
        <v>9</v>
      </c>
      <c r="C145" s="17" t="s">
        <v>9</v>
      </c>
      <c r="D145" s="18" t="s">
        <v>9</v>
      </c>
      <c r="E145" s="18" t="s">
        <v>9</v>
      </c>
      <c r="F145" s="18" t="s">
        <v>9</v>
      </c>
      <c r="G145" s="18" t="s">
        <v>9</v>
      </c>
      <c r="H145" s="142"/>
    </row>
    <row r="146" spans="1:8" x14ac:dyDescent="0.2">
      <c r="A146" s="19" t="s">
        <v>9</v>
      </c>
      <c r="B146" s="254" t="s">
        <v>9</v>
      </c>
      <c r="C146" s="254"/>
      <c r="D146" s="254"/>
      <c r="E146" s="254"/>
      <c r="F146" s="254"/>
      <c r="G146" s="20" t="s">
        <v>9</v>
      </c>
      <c r="H146" s="142"/>
    </row>
    <row r="147" spans="1:8" x14ac:dyDescent="0.2">
      <c r="A147" s="19" t="s">
        <v>9</v>
      </c>
      <c r="B147" s="19" t="s">
        <v>9</v>
      </c>
      <c r="C147" s="19" t="s">
        <v>9</v>
      </c>
      <c r="D147" s="20" t="s">
        <v>9</v>
      </c>
      <c r="E147" s="20" t="s">
        <v>9</v>
      </c>
      <c r="F147" s="20" t="s">
        <v>9</v>
      </c>
      <c r="G147" s="20" t="s">
        <v>9</v>
      </c>
      <c r="H147" s="142"/>
    </row>
    <row r="148" spans="1:8" x14ac:dyDescent="0.2">
      <c r="A148" s="19" t="s">
        <v>9</v>
      </c>
      <c r="B148" s="247" t="s">
        <v>127</v>
      </c>
      <c r="C148" s="248"/>
      <c r="D148" s="182" t="s">
        <v>9</v>
      </c>
      <c r="E148" s="21" t="s">
        <v>9</v>
      </c>
      <c r="F148" s="20" t="s">
        <v>9</v>
      </c>
      <c r="G148" s="20" t="s">
        <v>9</v>
      </c>
      <c r="H148" s="142"/>
    </row>
    <row r="149" spans="1:8" ht="28.5" customHeight="1" x14ac:dyDescent="0.2">
      <c r="A149" s="19" t="s">
        <v>9</v>
      </c>
      <c r="B149" s="242" t="s">
        <v>128</v>
      </c>
      <c r="C149" s="243"/>
      <c r="D149" s="3" t="s">
        <v>129</v>
      </c>
      <c r="E149" s="21" t="s">
        <v>9</v>
      </c>
      <c r="F149" s="20" t="s">
        <v>9</v>
      </c>
      <c r="G149" s="20" t="s">
        <v>9</v>
      </c>
      <c r="H149" s="142"/>
    </row>
    <row r="150" spans="1:8" x14ac:dyDescent="0.2">
      <c r="A150" s="19" t="s">
        <v>9</v>
      </c>
      <c r="B150" s="240" t="s">
        <v>130</v>
      </c>
      <c r="C150" s="241"/>
      <c r="D150" s="177" t="s">
        <v>129</v>
      </c>
      <c r="E150" s="21" t="s">
        <v>9</v>
      </c>
      <c r="F150" s="20" t="s">
        <v>9</v>
      </c>
      <c r="G150" s="20" t="s">
        <v>9</v>
      </c>
      <c r="H150" s="142"/>
    </row>
    <row r="151" spans="1:8" x14ac:dyDescent="0.2">
      <c r="A151" s="19" t="s">
        <v>9</v>
      </c>
      <c r="B151" s="240" t="s">
        <v>131</v>
      </c>
      <c r="C151" s="241"/>
      <c r="D151" s="182" t="s">
        <v>9</v>
      </c>
      <c r="E151" s="21" t="s">
        <v>9</v>
      </c>
      <c r="F151" s="20" t="s">
        <v>9</v>
      </c>
      <c r="G151" s="20" t="s">
        <v>9</v>
      </c>
      <c r="H151" s="142"/>
    </row>
    <row r="152" spans="1:8" ht="25.5" x14ac:dyDescent="0.2">
      <c r="A152" s="25" t="s">
        <v>9</v>
      </c>
      <c r="B152" s="23" t="s">
        <v>9</v>
      </c>
      <c r="C152" s="23" t="s">
        <v>132</v>
      </c>
      <c r="D152" s="23" t="s">
        <v>133</v>
      </c>
      <c r="E152" s="25" t="s">
        <v>9</v>
      </c>
      <c r="F152" s="25" t="s">
        <v>9</v>
      </c>
      <c r="G152" s="25" t="s">
        <v>9</v>
      </c>
      <c r="H152" s="142"/>
    </row>
    <row r="153" spans="1:8" x14ac:dyDescent="0.2">
      <c r="A153" s="25" t="s">
        <v>9</v>
      </c>
      <c r="B153" s="23" t="s">
        <v>134</v>
      </c>
      <c r="C153" s="23" t="s">
        <v>135</v>
      </c>
      <c r="D153" s="23" t="s">
        <v>136</v>
      </c>
      <c r="E153" s="25" t="s">
        <v>9</v>
      </c>
      <c r="F153" s="25" t="s">
        <v>9</v>
      </c>
      <c r="G153" s="25" t="s">
        <v>9</v>
      </c>
      <c r="H153" s="142"/>
    </row>
    <row r="154" spans="1:8" x14ac:dyDescent="0.2">
      <c r="A154" s="25" t="s">
        <v>9</v>
      </c>
      <c r="B154" s="183" t="s">
        <v>137</v>
      </c>
      <c r="C154" s="184">
        <v>12.593500000000001</v>
      </c>
      <c r="D154" s="184">
        <v>13.0578</v>
      </c>
      <c r="E154" s="25" t="s">
        <v>9</v>
      </c>
      <c r="F154" s="73" t="s">
        <v>9</v>
      </c>
      <c r="G154" s="25" t="s">
        <v>9</v>
      </c>
      <c r="H154" s="142"/>
    </row>
    <row r="155" spans="1:8" x14ac:dyDescent="0.2">
      <c r="A155" s="25" t="s">
        <v>9</v>
      </c>
      <c r="B155" s="183" t="s">
        <v>921</v>
      </c>
      <c r="C155" s="184">
        <v>12.593500000000001</v>
      </c>
      <c r="D155" s="184">
        <v>13.0578</v>
      </c>
      <c r="E155" s="25" t="s">
        <v>9</v>
      </c>
      <c r="F155" s="73" t="s">
        <v>9</v>
      </c>
      <c r="G155" s="25" t="s">
        <v>9</v>
      </c>
      <c r="H155" s="142"/>
    </row>
    <row r="156" spans="1:8" x14ac:dyDescent="0.2">
      <c r="A156" s="25" t="s">
        <v>9</v>
      </c>
      <c r="B156" s="183" t="s">
        <v>138</v>
      </c>
      <c r="C156" s="184">
        <v>12.391999999999999</v>
      </c>
      <c r="D156" s="184">
        <v>12.843</v>
      </c>
      <c r="E156" s="25" t="s">
        <v>9</v>
      </c>
      <c r="F156" s="73" t="s">
        <v>9</v>
      </c>
      <c r="G156" s="25" t="s">
        <v>9</v>
      </c>
      <c r="H156" s="142"/>
    </row>
    <row r="157" spans="1:8" x14ac:dyDescent="0.2">
      <c r="A157" s="25" t="s">
        <v>9</v>
      </c>
      <c r="B157" s="183" t="s">
        <v>922</v>
      </c>
      <c r="C157" s="184">
        <v>12.391999999999999</v>
      </c>
      <c r="D157" s="184">
        <v>12.843</v>
      </c>
      <c r="E157" s="25" t="s">
        <v>9</v>
      </c>
      <c r="F157" s="73" t="s">
        <v>9</v>
      </c>
      <c r="G157" s="25" t="s">
        <v>9</v>
      </c>
      <c r="H157" s="142"/>
    </row>
    <row r="158" spans="1:8" x14ac:dyDescent="0.2">
      <c r="A158" s="25" t="s">
        <v>9</v>
      </c>
      <c r="B158" s="22" t="s">
        <v>9</v>
      </c>
      <c r="C158" s="22" t="s">
        <v>9</v>
      </c>
      <c r="D158" s="22" t="s">
        <v>9</v>
      </c>
      <c r="E158" s="25" t="s">
        <v>9</v>
      </c>
      <c r="F158" s="25" t="s">
        <v>9</v>
      </c>
      <c r="G158" s="25" t="s">
        <v>9</v>
      </c>
      <c r="H158" s="142"/>
    </row>
    <row r="159" spans="1:8" x14ac:dyDescent="0.2">
      <c r="A159" s="25" t="s">
        <v>9</v>
      </c>
      <c r="B159" s="240" t="s">
        <v>1012</v>
      </c>
      <c r="C159" s="241"/>
      <c r="D159" s="177" t="s">
        <v>129</v>
      </c>
      <c r="E159" s="25" t="s">
        <v>9</v>
      </c>
      <c r="F159" s="25" t="s">
        <v>9</v>
      </c>
      <c r="G159" s="25" t="s">
        <v>9</v>
      </c>
      <c r="H159" s="142"/>
    </row>
    <row r="160" spans="1:8" x14ac:dyDescent="0.2">
      <c r="A160" s="25" t="s">
        <v>9</v>
      </c>
      <c r="B160" s="98"/>
      <c r="C160" s="98"/>
      <c r="D160" s="26" t="s">
        <v>9</v>
      </c>
      <c r="E160" s="25" t="s">
        <v>9</v>
      </c>
      <c r="F160" s="25" t="s">
        <v>9</v>
      </c>
      <c r="G160" s="25" t="s">
        <v>9</v>
      </c>
      <c r="H160" s="142"/>
    </row>
    <row r="161" spans="1:8" s="238" customFormat="1" ht="12.75" x14ac:dyDescent="0.2">
      <c r="B161" s="246" t="s">
        <v>923</v>
      </c>
      <c r="C161" s="246"/>
      <c r="D161" s="246"/>
      <c r="E161" s="246"/>
      <c r="F161" s="246"/>
    </row>
    <row r="162" spans="1:8" x14ac:dyDescent="0.2">
      <c r="A162" s="25" t="s">
        <v>9</v>
      </c>
      <c r="B162" s="185" t="s">
        <v>9</v>
      </c>
      <c r="C162" s="185" t="s">
        <v>9</v>
      </c>
      <c r="D162" s="22" t="s">
        <v>9</v>
      </c>
      <c r="E162" s="25" t="s">
        <v>9</v>
      </c>
      <c r="F162" s="25" t="s">
        <v>9</v>
      </c>
      <c r="G162" s="25" t="s">
        <v>9</v>
      </c>
      <c r="H162" s="142"/>
    </row>
    <row r="163" spans="1:8" x14ac:dyDescent="0.2">
      <c r="A163" s="25" t="s">
        <v>9</v>
      </c>
      <c r="B163" s="240" t="s">
        <v>139</v>
      </c>
      <c r="C163" s="241"/>
      <c r="D163" s="177" t="s">
        <v>129</v>
      </c>
      <c r="E163" s="25" t="s">
        <v>9</v>
      </c>
      <c r="F163" s="25" t="s">
        <v>9</v>
      </c>
      <c r="G163" s="25" t="s">
        <v>9</v>
      </c>
      <c r="H163" s="142"/>
    </row>
    <row r="164" spans="1:8" x14ac:dyDescent="0.2">
      <c r="A164" s="25" t="s">
        <v>9</v>
      </c>
      <c r="B164" s="240" t="s">
        <v>140</v>
      </c>
      <c r="C164" s="241"/>
      <c r="D164" s="177" t="s">
        <v>129</v>
      </c>
      <c r="E164" s="25" t="s">
        <v>9</v>
      </c>
      <c r="F164" s="25" t="s">
        <v>9</v>
      </c>
      <c r="G164" s="25" t="s">
        <v>9</v>
      </c>
      <c r="H164" s="142"/>
    </row>
    <row r="165" spans="1:8" x14ac:dyDescent="0.2">
      <c r="A165" s="25" t="s">
        <v>9</v>
      </c>
      <c r="B165" s="240" t="s">
        <v>141</v>
      </c>
      <c r="C165" s="241"/>
      <c r="D165" s="186">
        <v>0.4499105544640154</v>
      </c>
      <c r="E165" s="25" t="s">
        <v>9</v>
      </c>
      <c r="F165" s="73" t="s">
        <v>9</v>
      </c>
      <c r="G165" s="25" t="s">
        <v>9</v>
      </c>
      <c r="H165" s="142"/>
    </row>
    <row r="166" spans="1:8" x14ac:dyDescent="0.2">
      <c r="A166" s="25" t="s">
        <v>9</v>
      </c>
      <c r="B166" s="240" t="s">
        <v>142</v>
      </c>
      <c r="C166" s="241"/>
      <c r="D166" s="177" t="s">
        <v>129</v>
      </c>
      <c r="E166" s="25" t="s">
        <v>9</v>
      </c>
      <c r="F166" s="25" t="s">
        <v>9</v>
      </c>
      <c r="G166" s="25" t="s">
        <v>9</v>
      </c>
      <c r="H166" s="142"/>
    </row>
  </sheetData>
  <mergeCells count="14">
    <mergeCell ref="B148:C148"/>
    <mergeCell ref="B146:F146"/>
    <mergeCell ref="A1:H1"/>
    <mergeCell ref="A2:H2"/>
    <mergeCell ref="A3:H3"/>
    <mergeCell ref="B165:C165"/>
    <mergeCell ref="B166:C166"/>
    <mergeCell ref="B149:C149"/>
    <mergeCell ref="B150:C150"/>
    <mergeCell ref="B151:C151"/>
    <mergeCell ref="B159:C159"/>
    <mergeCell ref="B163:C163"/>
    <mergeCell ref="B164:C164"/>
    <mergeCell ref="B161:F161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outlinePr summaryBelow="0" summaryRight="0"/>
  </sheetPr>
  <dimension ref="A1:H164"/>
  <sheetViews>
    <sheetView showGridLines="0" workbookViewId="0">
      <selection activeCell="J1" sqref="J1"/>
    </sheetView>
  </sheetViews>
  <sheetFormatPr defaultRowHeight="15" x14ac:dyDescent="0.2"/>
  <cols>
    <col min="1" max="1" width="6.85546875" style="155" customWidth="1"/>
    <col min="2" max="2" width="20.5703125" style="155" customWidth="1"/>
    <col min="3" max="3" width="34.28515625" style="155" customWidth="1"/>
    <col min="4" max="4" width="17.85546875" style="155" customWidth="1"/>
    <col min="5" max="6" width="19.140625" style="155" customWidth="1"/>
    <col min="7" max="7" width="16.42578125" style="155" customWidth="1"/>
    <col min="8" max="16384" width="9.140625" style="155"/>
  </cols>
  <sheetData>
    <row r="1" spans="1:8" x14ac:dyDescent="0.2">
      <c r="A1" s="250" t="s">
        <v>0</v>
      </c>
      <c r="B1" s="250"/>
      <c r="C1" s="250"/>
      <c r="D1" s="250"/>
      <c r="E1" s="250"/>
      <c r="F1" s="250"/>
      <c r="G1" s="250"/>
      <c r="H1" s="250"/>
    </row>
    <row r="2" spans="1:8" x14ac:dyDescent="0.2">
      <c r="A2" s="251" t="s">
        <v>465</v>
      </c>
      <c r="B2" s="252"/>
      <c r="C2" s="252"/>
      <c r="D2" s="252"/>
      <c r="E2" s="252"/>
      <c r="F2" s="252"/>
      <c r="G2" s="252"/>
      <c r="H2" s="253"/>
    </row>
    <row r="3" spans="1:8" x14ac:dyDescent="0.2">
      <c r="A3" s="250" t="s">
        <v>1015</v>
      </c>
      <c r="B3" s="250"/>
      <c r="C3" s="250"/>
      <c r="D3" s="250"/>
      <c r="E3" s="250"/>
      <c r="F3" s="250"/>
      <c r="G3" s="250"/>
      <c r="H3" s="250"/>
    </row>
    <row r="4" spans="1:8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60" t="s">
        <v>6</v>
      </c>
      <c r="F4" s="160" t="s">
        <v>7</v>
      </c>
      <c r="G4" s="160" t="s">
        <v>8</v>
      </c>
      <c r="H4" s="161" t="s">
        <v>909</v>
      </c>
    </row>
    <row r="5" spans="1:8" x14ac:dyDescent="0.2">
      <c r="A5" s="15" t="s">
        <v>9</v>
      </c>
      <c r="B5" s="15" t="s">
        <v>9</v>
      </c>
      <c r="C5" s="3" t="s">
        <v>10</v>
      </c>
      <c r="D5" s="15" t="s">
        <v>9</v>
      </c>
      <c r="E5" s="15" t="s">
        <v>9</v>
      </c>
      <c r="F5" s="15" t="s">
        <v>9</v>
      </c>
      <c r="G5" s="15" t="s">
        <v>9</v>
      </c>
      <c r="H5" s="100"/>
    </row>
    <row r="6" spans="1:8" ht="25.5" x14ac:dyDescent="0.2">
      <c r="A6" s="15" t="s">
        <v>9</v>
      </c>
      <c r="B6" s="15" t="s">
        <v>9</v>
      </c>
      <c r="C6" s="3" t="s">
        <v>11</v>
      </c>
      <c r="D6" s="15" t="s">
        <v>9</v>
      </c>
      <c r="E6" s="15" t="s">
        <v>9</v>
      </c>
      <c r="F6" s="15" t="s">
        <v>9</v>
      </c>
      <c r="G6" s="15" t="s">
        <v>9</v>
      </c>
      <c r="H6" s="100"/>
    </row>
    <row r="7" spans="1:8" x14ac:dyDescent="0.2">
      <c r="A7" s="4">
        <v>1</v>
      </c>
      <c r="B7" s="5" t="s">
        <v>144</v>
      </c>
      <c r="C7" s="5" t="s">
        <v>145</v>
      </c>
      <c r="D7" s="5" t="s">
        <v>146</v>
      </c>
      <c r="E7" s="6">
        <v>3212</v>
      </c>
      <c r="F7" s="7">
        <v>110.113784</v>
      </c>
      <c r="G7" s="8">
        <v>3.9544572E-2</v>
      </c>
      <c r="H7" s="100"/>
    </row>
    <row r="8" spans="1:8" x14ac:dyDescent="0.2">
      <c r="A8" s="4">
        <v>2</v>
      </c>
      <c r="B8" s="5" t="s">
        <v>26</v>
      </c>
      <c r="C8" s="5" t="s">
        <v>27</v>
      </c>
      <c r="D8" s="5" t="s">
        <v>28</v>
      </c>
      <c r="E8" s="6">
        <v>10121</v>
      </c>
      <c r="F8" s="7">
        <v>92.698239000000001</v>
      </c>
      <c r="G8" s="8">
        <v>3.3290221000000002E-2</v>
      </c>
      <c r="H8" s="100"/>
    </row>
    <row r="9" spans="1:8" ht="25.5" x14ac:dyDescent="0.2">
      <c r="A9" s="4">
        <v>3</v>
      </c>
      <c r="B9" s="5" t="s">
        <v>34</v>
      </c>
      <c r="C9" s="5" t="s">
        <v>35</v>
      </c>
      <c r="D9" s="5" t="s">
        <v>1001</v>
      </c>
      <c r="E9" s="6">
        <v>2597</v>
      </c>
      <c r="F9" s="7">
        <v>72.882208000000006</v>
      </c>
      <c r="G9" s="8">
        <v>2.6173795999999999E-2</v>
      </c>
      <c r="H9" s="100"/>
    </row>
    <row r="10" spans="1:8" x14ac:dyDescent="0.2">
      <c r="A10" s="4">
        <v>4</v>
      </c>
      <c r="B10" s="5" t="s">
        <v>157</v>
      </c>
      <c r="C10" s="5" t="s">
        <v>158</v>
      </c>
      <c r="D10" s="5" t="s">
        <v>28</v>
      </c>
      <c r="E10" s="6">
        <v>12939</v>
      </c>
      <c r="F10" s="7">
        <v>67.399251000000007</v>
      </c>
      <c r="G10" s="8">
        <v>2.4204731E-2</v>
      </c>
      <c r="H10" s="100"/>
    </row>
    <row r="11" spans="1:8" x14ac:dyDescent="0.2">
      <c r="A11" s="4">
        <v>5</v>
      </c>
      <c r="B11" s="5" t="s">
        <v>50</v>
      </c>
      <c r="C11" s="5" t="s">
        <v>51</v>
      </c>
      <c r="D11" s="5" t="s">
        <v>28</v>
      </c>
      <c r="E11" s="6">
        <v>7409</v>
      </c>
      <c r="F11" s="7">
        <v>65.528900500000006</v>
      </c>
      <c r="G11" s="8">
        <v>2.3533042000000001E-2</v>
      </c>
      <c r="H11" s="100"/>
    </row>
    <row r="12" spans="1:8" x14ac:dyDescent="0.2">
      <c r="A12" s="4">
        <v>6</v>
      </c>
      <c r="B12" s="5" t="s">
        <v>440</v>
      </c>
      <c r="C12" s="5" t="s">
        <v>441</v>
      </c>
      <c r="D12" s="5" t="s">
        <v>58</v>
      </c>
      <c r="E12" s="6">
        <v>22660</v>
      </c>
      <c r="F12" s="7">
        <v>61.114019999999996</v>
      </c>
      <c r="G12" s="8">
        <v>2.194755E-2</v>
      </c>
      <c r="H12" s="100"/>
    </row>
    <row r="13" spans="1:8" x14ac:dyDescent="0.2">
      <c r="A13" s="4">
        <v>7</v>
      </c>
      <c r="B13" s="5" t="s">
        <v>154</v>
      </c>
      <c r="C13" s="5" t="s">
        <v>155</v>
      </c>
      <c r="D13" s="5" t="s">
        <v>156</v>
      </c>
      <c r="E13" s="6">
        <v>70010</v>
      </c>
      <c r="F13" s="7">
        <v>56.708100000000002</v>
      </c>
      <c r="G13" s="8">
        <v>2.0365274999999999E-2</v>
      </c>
      <c r="H13" s="100"/>
    </row>
    <row r="14" spans="1:8" x14ac:dyDescent="0.2">
      <c r="A14" s="4">
        <v>8</v>
      </c>
      <c r="B14" s="5" t="s">
        <v>149</v>
      </c>
      <c r="C14" s="5" t="s">
        <v>150</v>
      </c>
      <c r="D14" s="5" t="s">
        <v>151</v>
      </c>
      <c r="E14" s="6">
        <v>1024</v>
      </c>
      <c r="F14" s="7">
        <v>56.555008000000001</v>
      </c>
      <c r="G14" s="8">
        <v>2.0310295999999999E-2</v>
      </c>
      <c r="H14" s="100"/>
    </row>
    <row r="15" spans="1:8" x14ac:dyDescent="0.2">
      <c r="A15" s="4">
        <v>9</v>
      </c>
      <c r="B15" s="5" t="s">
        <v>159</v>
      </c>
      <c r="C15" s="5" t="s">
        <v>160</v>
      </c>
      <c r="D15" s="5" t="s">
        <v>58</v>
      </c>
      <c r="E15" s="6">
        <v>16012</v>
      </c>
      <c r="F15" s="7">
        <v>56.042000000000002</v>
      </c>
      <c r="G15" s="8">
        <v>2.0126062E-2</v>
      </c>
      <c r="H15" s="100"/>
    </row>
    <row r="16" spans="1:8" x14ac:dyDescent="0.2">
      <c r="A16" s="4">
        <v>10</v>
      </c>
      <c r="B16" s="5" t="s">
        <v>173</v>
      </c>
      <c r="C16" s="5" t="s">
        <v>949</v>
      </c>
      <c r="D16" s="5" t="s">
        <v>28</v>
      </c>
      <c r="E16" s="6">
        <v>12363</v>
      </c>
      <c r="F16" s="7">
        <v>55.213158</v>
      </c>
      <c r="G16" s="8">
        <v>1.9828405E-2</v>
      </c>
      <c r="H16" s="100"/>
    </row>
    <row r="17" spans="1:8" x14ac:dyDescent="0.2">
      <c r="A17" s="4">
        <v>11</v>
      </c>
      <c r="B17" s="5" t="s">
        <v>161</v>
      </c>
      <c r="C17" s="5" t="s">
        <v>162</v>
      </c>
      <c r="D17" s="5" t="s">
        <v>163</v>
      </c>
      <c r="E17" s="6">
        <v>4415</v>
      </c>
      <c r="F17" s="7">
        <v>54.512005000000002</v>
      </c>
      <c r="G17" s="8">
        <v>1.9576604000000001E-2</v>
      </c>
      <c r="H17" s="100"/>
    </row>
    <row r="18" spans="1:8" ht="25.5" x14ac:dyDescent="0.2">
      <c r="A18" s="4">
        <v>12</v>
      </c>
      <c r="B18" s="5" t="s">
        <v>182</v>
      </c>
      <c r="C18" s="5" t="s">
        <v>944</v>
      </c>
      <c r="D18" s="5" t="s">
        <v>58</v>
      </c>
      <c r="E18" s="6">
        <v>2300</v>
      </c>
      <c r="F18" s="7">
        <v>53.713050000000003</v>
      </c>
      <c r="G18" s="8">
        <v>1.9289679000000001E-2</v>
      </c>
      <c r="H18" s="100"/>
    </row>
    <row r="19" spans="1:8" ht="25.5" x14ac:dyDescent="0.2">
      <c r="A19" s="4">
        <v>13</v>
      </c>
      <c r="B19" s="5" t="s">
        <v>166</v>
      </c>
      <c r="C19" s="5" t="s">
        <v>948</v>
      </c>
      <c r="D19" s="5" t="s">
        <v>1001</v>
      </c>
      <c r="E19" s="6">
        <v>22301</v>
      </c>
      <c r="F19" s="7">
        <v>52.875670999999997</v>
      </c>
      <c r="G19" s="8">
        <v>1.8988956000000001E-2</v>
      </c>
      <c r="H19" s="100"/>
    </row>
    <row r="20" spans="1:8" x14ac:dyDescent="0.2">
      <c r="A20" s="4">
        <v>14</v>
      </c>
      <c r="B20" s="5" t="s">
        <v>168</v>
      </c>
      <c r="C20" s="5" t="s">
        <v>169</v>
      </c>
      <c r="D20" s="5" t="s">
        <v>151</v>
      </c>
      <c r="E20" s="6">
        <v>26767</v>
      </c>
      <c r="F20" s="7">
        <v>52.797907500000001</v>
      </c>
      <c r="G20" s="8">
        <v>1.8961029000000001E-2</v>
      </c>
      <c r="H20" s="100"/>
    </row>
    <row r="21" spans="1:8" x14ac:dyDescent="0.2">
      <c r="A21" s="4">
        <v>15</v>
      </c>
      <c r="B21" s="5" t="s">
        <v>291</v>
      </c>
      <c r="C21" s="5" t="s">
        <v>292</v>
      </c>
      <c r="D21" s="5" t="s">
        <v>163</v>
      </c>
      <c r="E21" s="6">
        <v>1632</v>
      </c>
      <c r="F21" s="7">
        <v>51.044879999999999</v>
      </c>
      <c r="G21" s="8">
        <v>1.8331474E-2</v>
      </c>
      <c r="H21" s="100"/>
    </row>
    <row r="22" spans="1:8" x14ac:dyDescent="0.2">
      <c r="A22" s="4">
        <v>16</v>
      </c>
      <c r="B22" s="5" t="s">
        <v>48</v>
      </c>
      <c r="C22" s="5" t="s">
        <v>49</v>
      </c>
      <c r="D22" s="5" t="s">
        <v>28</v>
      </c>
      <c r="E22" s="6">
        <v>3595</v>
      </c>
      <c r="F22" s="7">
        <v>50.479192500000003</v>
      </c>
      <c r="G22" s="8">
        <v>1.8128320999999999E-2</v>
      </c>
      <c r="H22" s="100"/>
    </row>
    <row r="23" spans="1:8" x14ac:dyDescent="0.2">
      <c r="A23" s="4">
        <v>17</v>
      </c>
      <c r="B23" s="5" t="s">
        <v>461</v>
      </c>
      <c r="C23" s="5" t="s">
        <v>462</v>
      </c>
      <c r="D23" s="5" t="s">
        <v>193</v>
      </c>
      <c r="E23" s="6">
        <v>18056</v>
      </c>
      <c r="F23" s="7">
        <v>47.875484</v>
      </c>
      <c r="G23" s="8">
        <v>1.7193264999999999E-2</v>
      </c>
      <c r="H23" s="100"/>
    </row>
    <row r="24" spans="1:8" x14ac:dyDescent="0.2">
      <c r="A24" s="4">
        <v>18</v>
      </c>
      <c r="B24" s="5" t="s">
        <v>170</v>
      </c>
      <c r="C24" s="5" t="s">
        <v>171</v>
      </c>
      <c r="D24" s="5" t="s">
        <v>172</v>
      </c>
      <c r="E24" s="6">
        <v>4563</v>
      </c>
      <c r="F24" s="7">
        <v>46.775312999999997</v>
      </c>
      <c r="G24" s="8">
        <v>1.6798166999999999E-2</v>
      </c>
      <c r="H24" s="100"/>
    </row>
    <row r="25" spans="1:8" x14ac:dyDescent="0.2">
      <c r="A25" s="4">
        <v>19</v>
      </c>
      <c r="B25" s="5" t="s">
        <v>164</v>
      </c>
      <c r="C25" s="5" t="s">
        <v>947</v>
      </c>
      <c r="D25" s="5" t="s">
        <v>151</v>
      </c>
      <c r="E25" s="6">
        <v>6451</v>
      </c>
      <c r="F25" s="7">
        <v>46.734269500000003</v>
      </c>
      <c r="G25" s="8">
        <v>1.6783427E-2</v>
      </c>
      <c r="H25" s="100"/>
    </row>
    <row r="26" spans="1:8" ht="25.5" x14ac:dyDescent="0.2">
      <c r="A26" s="4">
        <v>20</v>
      </c>
      <c r="B26" s="5" t="s">
        <v>180</v>
      </c>
      <c r="C26" s="5" t="s">
        <v>934</v>
      </c>
      <c r="D26" s="5" t="s">
        <v>146</v>
      </c>
      <c r="E26" s="6">
        <v>12584</v>
      </c>
      <c r="F26" s="7">
        <v>45.535204</v>
      </c>
      <c r="G26" s="8">
        <v>1.6352813000000001E-2</v>
      </c>
      <c r="H26" s="100"/>
    </row>
    <row r="27" spans="1:8" x14ac:dyDescent="0.2">
      <c r="A27" s="4">
        <v>21</v>
      </c>
      <c r="B27" s="5" t="s">
        <v>43</v>
      </c>
      <c r="C27" s="5" t="s">
        <v>44</v>
      </c>
      <c r="D27" s="5" t="s">
        <v>28</v>
      </c>
      <c r="E27" s="6">
        <v>2524</v>
      </c>
      <c r="F27" s="7">
        <v>44.968845999999999</v>
      </c>
      <c r="G27" s="8">
        <v>1.6149420000000001E-2</v>
      </c>
      <c r="H27" s="100"/>
    </row>
    <row r="28" spans="1:8" x14ac:dyDescent="0.2">
      <c r="A28" s="4">
        <v>22</v>
      </c>
      <c r="B28" s="5" t="s">
        <v>448</v>
      </c>
      <c r="C28" s="5" t="s">
        <v>957</v>
      </c>
      <c r="D28" s="5" t="s">
        <v>228</v>
      </c>
      <c r="E28" s="6">
        <v>9098</v>
      </c>
      <c r="F28" s="7">
        <v>44.047967</v>
      </c>
      <c r="G28" s="8">
        <v>1.581871E-2</v>
      </c>
      <c r="H28" s="100"/>
    </row>
    <row r="29" spans="1:8" x14ac:dyDescent="0.2">
      <c r="A29" s="4">
        <v>23</v>
      </c>
      <c r="B29" s="5" t="s">
        <v>184</v>
      </c>
      <c r="C29" s="5" t="s">
        <v>185</v>
      </c>
      <c r="D29" s="5" t="s">
        <v>172</v>
      </c>
      <c r="E29" s="6">
        <v>24683</v>
      </c>
      <c r="F29" s="7">
        <v>43.837007999999997</v>
      </c>
      <c r="G29" s="8">
        <v>1.5742948999999999E-2</v>
      </c>
      <c r="H29" s="100"/>
    </row>
    <row r="30" spans="1:8" x14ac:dyDescent="0.2">
      <c r="A30" s="4">
        <v>24</v>
      </c>
      <c r="B30" s="5" t="s">
        <v>189</v>
      </c>
      <c r="C30" s="5" t="s">
        <v>190</v>
      </c>
      <c r="D30" s="5" t="s">
        <v>151</v>
      </c>
      <c r="E30" s="6">
        <v>2021</v>
      </c>
      <c r="F30" s="7">
        <v>41.194043000000001</v>
      </c>
      <c r="G30" s="8">
        <v>1.4793795E-2</v>
      </c>
      <c r="H30" s="100"/>
    </row>
    <row r="31" spans="1:8" ht="25.5" x14ac:dyDescent="0.2">
      <c r="A31" s="4">
        <v>25</v>
      </c>
      <c r="B31" s="5" t="s">
        <v>194</v>
      </c>
      <c r="C31" s="5" t="s">
        <v>195</v>
      </c>
      <c r="D31" s="5" t="s">
        <v>73</v>
      </c>
      <c r="E31" s="6">
        <v>11014</v>
      </c>
      <c r="F31" s="7">
        <v>40.448915</v>
      </c>
      <c r="G31" s="8">
        <v>1.4526202E-2</v>
      </c>
      <c r="H31" s="100"/>
    </row>
    <row r="32" spans="1:8" x14ac:dyDescent="0.2">
      <c r="A32" s="4">
        <v>26</v>
      </c>
      <c r="B32" s="5" t="s">
        <v>191</v>
      </c>
      <c r="C32" s="5" t="s">
        <v>192</v>
      </c>
      <c r="D32" s="5" t="s">
        <v>193</v>
      </c>
      <c r="E32" s="6">
        <v>12247</v>
      </c>
      <c r="F32" s="7">
        <v>40.231394999999999</v>
      </c>
      <c r="G32" s="8">
        <v>1.4448084999999999E-2</v>
      </c>
      <c r="H32" s="100"/>
    </row>
    <row r="33" spans="1:8" x14ac:dyDescent="0.2">
      <c r="A33" s="4">
        <v>27</v>
      </c>
      <c r="B33" s="5" t="s">
        <v>444</v>
      </c>
      <c r="C33" s="5" t="s">
        <v>445</v>
      </c>
      <c r="D33" s="5" t="s">
        <v>58</v>
      </c>
      <c r="E33" s="6">
        <v>4749</v>
      </c>
      <c r="F33" s="7">
        <v>40.152794999999998</v>
      </c>
      <c r="G33" s="8">
        <v>1.4419858000000001E-2</v>
      </c>
      <c r="H33" s="100"/>
    </row>
    <row r="34" spans="1:8" x14ac:dyDescent="0.2">
      <c r="A34" s="4">
        <v>28</v>
      </c>
      <c r="B34" s="5" t="s">
        <v>196</v>
      </c>
      <c r="C34" s="5" t="s">
        <v>197</v>
      </c>
      <c r="D34" s="5" t="s">
        <v>151</v>
      </c>
      <c r="E34" s="6">
        <v>5305</v>
      </c>
      <c r="F34" s="7">
        <v>39.100502499999997</v>
      </c>
      <c r="G34" s="8">
        <v>1.4041952999999999E-2</v>
      </c>
      <c r="H34" s="100"/>
    </row>
    <row r="35" spans="1:8" x14ac:dyDescent="0.2">
      <c r="A35" s="4">
        <v>29</v>
      </c>
      <c r="B35" s="5" t="s">
        <v>212</v>
      </c>
      <c r="C35" s="5" t="s">
        <v>213</v>
      </c>
      <c r="D35" s="5" t="s">
        <v>38</v>
      </c>
      <c r="E35" s="6">
        <v>5426</v>
      </c>
      <c r="F35" s="7">
        <v>38.898994000000002</v>
      </c>
      <c r="G35" s="8">
        <v>1.3969587E-2</v>
      </c>
      <c r="H35" s="100"/>
    </row>
    <row r="36" spans="1:8" x14ac:dyDescent="0.2">
      <c r="A36" s="4">
        <v>30</v>
      </c>
      <c r="B36" s="5" t="s">
        <v>177</v>
      </c>
      <c r="C36" s="5" t="s">
        <v>178</v>
      </c>
      <c r="D36" s="5" t="s">
        <v>47</v>
      </c>
      <c r="E36" s="6">
        <v>3672</v>
      </c>
      <c r="F36" s="7">
        <v>38.765304</v>
      </c>
      <c r="G36" s="8">
        <v>1.3921575E-2</v>
      </c>
      <c r="H36" s="100"/>
    </row>
    <row r="37" spans="1:8" ht="25.5" x14ac:dyDescent="0.2">
      <c r="A37" s="4">
        <v>31</v>
      </c>
      <c r="B37" s="5" t="s">
        <v>442</v>
      </c>
      <c r="C37" s="5" t="s">
        <v>443</v>
      </c>
      <c r="D37" s="5" t="s">
        <v>25</v>
      </c>
      <c r="E37" s="6">
        <v>3630</v>
      </c>
      <c r="F37" s="7">
        <v>38.071440000000003</v>
      </c>
      <c r="G37" s="8">
        <v>1.3672392E-2</v>
      </c>
      <c r="H37" s="100"/>
    </row>
    <row r="38" spans="1:8" x14ac:dyDescent="0.2">
      <c r="A38" s="4">
        <v>32</v>
      </c>
      <c r="B38" s="5" t="s">
        <v>200</v>
      </c>
      <c r="C38" s="5" t="s">
        <v>201</v>
      </c>
      <c r="D38" s="5" t="s">
        <v>1003</v>
      </c>
      <c r="E38" s="6">
        <v>6000</v>
      </c>
      <c r="F38" s="7">
        <v>37.698</v>
      </c>
      <c r="G38" s="8">
        <v>1.353828E-2</v>
      </c>
      <c r="H38" s="100"/>
    </row>
    <row r="39" spans="1:8" x14ac:dyDescent="0.2">
      <c r="A39" s="4">
        <v>33</v>
      </c>
      <c r="B39" s="5" t="s">
        <v>198</v>
      </c>
      <c r="C39" s="5" t="s">
        <v>199</v>
      </c>
      <c r="D39" s="5" t="s">
        <v>156</v>
      </c>
      <c r="E39" s="6">
        <v>68251</v>
      </c>
      <c r="F39" s="7">
        <v>36.173029999999997</v>
      </c>
      <c r="G39" s="8">
        <v>1.2990626E-2</v>
      </c>
      <c r="H39" s="100"/>
    </row>
    <row r="40" spans="1:8" x14ac:dyDescent="0.2">
      <c r="A40" s="4">
        <v>34</v>
      </c>
      <c r="B40" s="5" t="s">
        <v>278</v>
      </c>
      <c r="C40" s="5" t="s">
        <v>279</v>
      </c>
      <c r="D40" s="5" t="s">
        <v>28</v>
      </c>
      <c r="E40" s="6">
        <v>3395</v>
      </c>
      <c r="F40" s="7">
        <v>35.929285</v>
      </c>
      <c r="G40" s="8">
        <v>1.2903091E-2</v>
      </c>
      <c r="H40" s="100"/>
    </row>
    <row r="41" spans="1:8" x14ac:dyDescent="0.2">
      <c r="A41" s="4">
        <v>35</v>
      </c>
      <c r="B41" s="5" t="s">
        <v>186</v>
      </c>
      <c r="C41" s="5" t="s">
        <v>187</v>
      </c>
      <c r="D41" s="5" t="s">
        <v>188</v>
      </c>
      <c r="E41" s="6">
        <v>4863</v>
      </c>
      <c r="F41" s="7">
        <v>35.380756499999997</v>
      </c>
      <c r="G41" s="8">
        <v>1.2706100999999999E-2</v>
      </c>
      <c r="H41" s="100"/>
    </row>
    <row r="42" spans="1:8" x14ac:dyDescent="0.2">
      <c r="A42" s="4">
        <v>36</v>
      </c>
      <c r="B42" s="5" t="s">
        <v>455</v>
      </c>
      <c r="C42" s="5" t="s">
        <v>456</v>
      </c>
      <c r="D42" s="5" t="s">
        <v>1006</v>
      </c>
      <c r="E42" s="6">
        <v>66582</v>
      </c>
      <c r="F42" s="7">
        <v>34.789095000000003</v>
      </c>
      <c r="G42" s="8">
        <v>1.2493621E-2</v>
      </c>
      <c r="H42" s="100"/>
    </row>
    <row r="43" spans="1:8" x14ac:dyDescent="0.2">
      <c r="A43" s="4">
        <v>37</v>
      </c>
      <c r="B43" s="5" t="s">
        <v>204</v>
      </c>
      <c r="C43" s="5" t="s">
        <v>205</v>
      </c>
      <c r="D43" s="5" t="s">
        <v>1004</v>
      </c>
      <c r="E43" s="6">
        <v>12758</v>
      </c>
      <c r="F43" s="7">
        <v>34.689002000000002</v>
      </c>
      <c r="G43" s="8">
        <v>1.2457675E-2</v>
      </c>
      <c r="H43" s="100"/>
    </row>
    <row r="44" spans="1:8" x14ac:dyDescent="0.2">
      <c r="A44" s="4">
        <v>38</v>
      </c>
      <c r="B44" s="5" t="s">
        <v>208</v>
      </c>
      <c r="C44" s="5" t="s">
        <v>209</v>
      </c>
      <c r="D44" s="5" t="s">
        <v>163</v>
      </c>
      <c r="E44" s="6">
        <v>9322</v>
      </c>
      <c r="F44" s="7">
        <v>34.211739999999999</v>
      </c>
      <c r="G44" s="8">
        <v>1.2286277999999999E-2</v>
      </c>
      <c r="H44" s="100"/>
    </row>
    <row r="45" spans="1:8" x14ac:dyDescent="0.2">
      <c r="A45" s="4">
        <v>39</v>
      </c>
      <c r="B45" s="5" t="s">
        <v>210</v>
      </c>
      <c r="C45" s="5" t="s">
        <v>211</v>
      </c>
      <c r="D45" s="5" t="s">
        <v>193</v>
      </c>
      <c r="E45" s="6">
        <v>7372</v>
      </c>
      <c r="F45" s="7">
        <v>33.376730000000002</v>
      </c>
      <c r="G45" s="8">
        <v>1.1986406E-2</v>
      </c>
      <c r="H45" s="100"/>
    </row>
    <row r="46" spans="1:8" ht="25.5" x14ac:dyDescent="0.2">
      <c r="A46" s="4">
        <v>40</v>
      </c>
      <c r="B46" s="5" t="s">
        <v>214</v>
      </c>
      <c r="C46" s="5" t="s">
        <v>215</v>
      </c>
      <c r="D46" s="5" t="s">
        <v>25</v>
      </c>
      <c r="E46" s="6">
        <v>47700</v>
      </c>
      <c r="F46" s="7">
        <v>33.199199999999998</v>
      </c>
      <c r="G46" s="8">
        <v>1.192265E-2</v>
      </c>
      <c r="H46" s="100"/>
    </row>
    <row r="47" spans="1:8" x14ac:dyDescent="0.2">
      <c r="A47" s="4">
        <v>41</v>
      </c>
      <c r="B47" s="5" t="s">
        <v>218</v>
      </c>
      <c r="C47" s="5" t="s">
        <v>219</v>
      </c>
      <c r="D47" s="5" t="s">
        <v>156</v>
      </c>
      <c r="E47" s="6">
        <v>5385</v>
      </c>
      <c r="F47" s="7">
        <v>31.311082500000001</v>
      </c>
      <c r="G47" s="8">
        <v>1.1244581E-2</v>
      </c>
      <c r="H47" s="100"/>
    </row>
    <row r="48" spans="1:8" x14ac:dyDescent="0.2">
      <c r="A48" s="4">
        <v>42</v>
      </c>
      <c r="B48" s="5" t="s">
        <v>235</v>
      </c>
      <c r="C48" s="5" t="s">
        <v>236</v>
      </c>
      <c r="D48" s="5" t="s">
        <v>1005</v>
      </c>
      <c r="E48" s="6">
        <v>7009</v>
      </c>
      <c r="F48" s="7">
        <v>30.639843500000001</v>
      </c>
      <c r="G48" s="8">
        <v>1.1003522E-2</v>
      </c>
      <c r="H48" s="100"/>
    </row>
    <row r="49" spans="1:8" x14ac:dyDescent="0.2">
      <c r="A49" s="4">
        <v>43</v>
      </c>
      <c r="B49" s="5" t="s">
        <v>224</v>
      </c>
      <c r="C49" s="5" t="s">
        <v>225</v>
      </c>
      <c r="D49" s="5" t="s">
        <v>58</v>
      </c>
      <c r="E49" s="6">
        <v>4838</v>
      </c>
      <c r="F49" s="7">
        <v>29.978667000000002</v>
      </c>
      <c r="G49" s="8">
        <v>1.0766078E-2</v>
      </c>
      <c r="H49" s="100"/>
    </row>
    <row r="50" spans="1:8" x14ac:dyDescent="0.2">
      <c r="A50" s="4">
        <v>44</v>
      </c>
      <c r="B50" s="5" t="s">
        <v>175</v>
      </c>
      <c r="C50" s="5" t="s">
        <v>176</v>
      </c>
      <c r="D50" s="5" t="s">
        <v>53</v>
      </c>
      <c r="E50" s="6">
        <v>8109</v>
      </c>
      <c r="F50" s="7">
        <v>29.893828500000001</v>
      </c>
      <c r="G50" s="8">
        <v>1.073561E-2</v>
      </c>
      <c r="H50" s="100"/>
    </row>
    <row r="51" spans="1:8" x14ac:dyDescent="0.2">
      <c r="A51" s="4">
        <v>45</v>
      </c>
      <c r="B51" s="5" t="s">
        <v>222</v>
      </c>
      <c r="C51" s="5" t="s">
        <v>950</v>
      </c>
      <c r="D51" s="5" t="s">
        <v>28</v>
      </c>
      <c r="E51" s="6">
        <v>27652</v>
      </c>
      <c r="F51" s="7">
        <v>29.767378000000001</v>
      </c>
      <c r="G51" s="8">
        <v>1.0690198999999999E-2</v>
      </c>
      <c r="H51" s="100"/>
    </row>
    <row r="52" spans="1:8" x14ac:dyDescent="0.2">
      <c r="A52" s="4">
        <v>46</v>
      </c>
      <c r="B52" s="5" t="s">
        <v>229</v>
      </c>
      <c r="C52" s="5" t="s">
        <v>230</v>
      </c>
      <c r="D52" s="5" t="s">
        <v>193</v>
      </c>
      <c r="E52" s="6">
        <v>2084</v>
      </c>
      <c r="F52" s="7">
        <v>29.079094000000001</v>
      </c>
      <c r="G52" s="8">
        <v>1.0443019E-2</v>
      </c>
      <c r="H52" s="100"/>
    </row>
    <row r="53" spans="1:8" x14ac:dyDescent="0.2">
      <c r="A53" s="4">
        <v>47</v>
      </c>
      <c r="B53" s="5" t="s">
        <v>231</v>
      </c>
      <c r="C53" s="5" t="s">
        <v>935</v>
      </c>
      <c r="D53" s="5" t="s">
        <v>156</v>
      </c>
      <c r="E53" s="6">
        <v>5705</v>
      </c>
      <c r="F53" s="7">
        <v>28.393785000000001</v>
      </c>
      <c r="G53" s="8">
        <v>1.0196907E-2</v>
      </c>
      <c r="H53" s="100"/>
    </row>
    <row r="54" spans="1:8" x14ac:dyDescent="0.2">
      <c r="A54" s="4">
        <v>48</v>
      </c>
      <c r="B54" s="5" t="s">
        <v>216</v>
      </c>
      <c r="C54" s="5" t="s">
        <v>217</v>
      </c>
      <c r="D54" s="5" t="s">
        <v>1005</v>
      </c>
      <c r="E54" s="6">
        <v>13434</v>
      </c>
      <c r="F54" s="7">
        <v>28.305437999999999</v>
      </c>
      <c r="G54" s="8">
        <v>1.0165179999999999E-2</v>
      </c>
      <c r="H54" s="100"/>
    </row>
    <row r="55" spans="1:8" x14ac:dyDescent="0.2">
      <c r="A55" s="4">
        <v>49</v>
      </c>
      <c r="B55" s="5" t="s">
        <v>449</v>
      </c>
      <c r="C55" s="5" t="s">
        <v>450</v>
      </c>
      <c r="D55" s="5" t="s">
        <v>28</v>
      </c>
      <c r="E55" s="6">
        <v>5096</v>
      </c>
      <c r="F55" s="7">
        <v>27.918436</v>
      </c>
      <c r="G55" s="8">
        <v>1.0026198E-2</v>
      </c>
      <c r="H55" s="100"/>
    </row>
    <row r="56" spans="1:8" x14ac:dyDescent="0.2">
      <c r="A56" s="4">
        <v>50</v>
      </c>
      <c r="B56" s="5" t="s">
        <v>226</v>
      </c>
      <c r="C56" s="5" t="s">
        <v>227</v>
      </c>
      <c r="D56" s="5" t="s">
        <v>228</v>
      </c>
      <c r="E56" s="6">
        <v>17729</v>
      </c>
      <c r="F56" s="7">
        <v>27.754749499999999</v>
      </c>
      <c r="G56" s="8">
        <v>9.9674140000000008E-3</v>
      </c>
      <c r="H56" s="100"/>
    </row>
    <row r="57" spans="1:8" x14ac:dyDescent="0.2">
      <c r="A57" s="4">
        <v>51</v>
      </c>
      <c r="B57" s="5" t="s">
        <v>239</v>
      </c>
      <c r="C57" s="5" t="s">
        <v>240</v>
      </c>
      <c r="D57" s="5" t="s">
        <v>58</v>
      </c>
      <c r="E57" s="6">
        <v>5700</v>
      </c>
      <c r="F57" s="7">
        <v>26.057549999999999</v>
      </c>
      <c r="G57" s="8">
        <v>9.3579079999999999E-3</v>
      </c>
      <c r="H57" s="100"/>
    </row>
    <row r="58" spans="1:8" x14ac:dyDescent="0.2">
      <c r="A58" s="4">
        <v>52</v>
      </c>
      <c r="B58" s="5" t="s">
        <v>241</v>
      </c>
      <c r="C58" s="5" t="s">
        <v>242</v>
      </c>
      <c r="D58" s="5" t="s">
        <v>163</v>
      </c>
      <c r="E58" s="6">
        <v>4265</v>
      </c>
      <c r="F58" s="7">
        <v>25.402339999999999</v>
      </c>
      <c r="G58" s="8">
        <v>9.1226060000000001E-3</v>
      </c>
      <c r="H58" s="100"/>
    </row>
    <row r="59" spans="1:8" x14ac:dyDescent="0.2">
      <c r="A59" s="4">
        <v>53</v>
      </c>
      <c r="B59" s="5" t="s">
        <v>245</v>
      </c>
      <c r="C59" s="5" t="s">
        <v>246</v>
      </c>
      <c r="D59" s="5" t="s">
        <v>22</v>
      </c>
      <c r="E59" s="6">
        <v>27737</v>
      </c>
      <c r="F59" s="7">
        <v>25.143590499999998</v>
      </c>
      <c r="G59" s="8">
        <v>9.0296830000000002E-3</v>
      </c>
      <c r="H59" s="100"/>
    </row>
    <row r="60" spans="1:8" x14ac:dyDescent="0.2">
      <c r="A60" s="4">
        <v>54</v>
      </c>
      <c r="B60" s="5" t="s">
        <v>451</v>
      </c>
      <c r="C60" s="5" t="s">
        <v>452</v>
      </c>
      <c r="D60" s="5" t="s">
        <v>63</v>
      </c>
      <c r="E60" s="6">
        <v>9464</v>
      </c>
      <c r="F60" s="7">
        <v>25.03228</v>
      </c>
      <c r="G60" s="8">
        <v>8.9897080000000008E-3</v>
      </c>
      <c r="H60" s="100"/>
    </row>
    <row r="61" spans="1:8" x14ac:dyDescent="0.2">
      <c r="A61" s="4">
        <v>55</v>
      </c>
      <c r="B61" s="5" t="s">
        <v>453</v>
      </c>
      <c r="C61" s="5" t="s">
        <v>454</v>
      </c>
      <c r="D61" s="5" t="s">
        <v>156</v>
      </c>
      <c r="E61" s="6">
        <v>3781</v>
      </c>
      <c r="F61" s="7">
        <v>22.512073999999998</v>
      </c>
      <c r="G61" s="8">
        <v>8.0846400000000006E-3</v>
      </c>
      <c r="H61" s="100"/>
    </row>
    <row r="62" spans="1:8" ht="25.5" x14ac:dyDescent="0.2">
      <c r="A62" s="4">
        <v>56</v>
      </c>
      <c r="B62" s="5" t="s">
        <v>152</v>
      </c>
      <c r="C62" s="5" t="s">
        <v>153</v>
      </c>
      <c r="D62" s="5" t="s">
        <v>1001</v>
      </c>
      <c r="E62" s="6">
        <v>13429</v>
      </c>
      <c r="F62" s="7">
        <v>21.916128</v>
      </c>
      <c r="G62" s="8">
        <v>7.8706209999999995E-3</v>
      </c>
      <c r="H62" s="100"/>
    </row>
    <row r="63" spans="1:8" x14ac:dyDescent="0.2">
      <c r="A63" s="4">
        <v>57</v>
      </c>
      <c r="B63" s="5" t="s">
        <v>282</v>
      </c>
      <c r="C63" s="5" t="s">
        <v>283</v>
      </c>
      <c r="D63" s="5" t="s">
        <v>28</v>
      </c>
      <c r="E63" s="6">
        <v>5737</v>
      </c>
      <c r="F63" s="7">
        <v>21.895260499999999</v>
      </c>
      <c r="G63" s="8">
        <v>7.8631269999999993E-3</v>
      </c>
      <c r="H63" s="100"/>
    </row>
    <row r="64" spans="1:8" x14ac:dyDescent="0.2">
      <c r="A64" s="4">
        <v>58</v>
      </c>
      <c r="B64" s="5" t="s">
        <v>249</v>
      </c>
      <c r="C64" s="5" t="s">
        <v>952</v>
      </c>
      <c r="D64" s="5" t="s">
        <v>251</v>
      </c>
      <c r="E64" s="6">
        <v>10221</v>
      </c>
      <c r="F64" s="7">
        <v>21.653188499999999</v>
      </c>
      <c r="G64" s="8">
        <v>7.7761929999999998E-3</v>
      </c>
      <c r="H64" s="100"/>
    </row>
    <row r="65" spans="1:8" x14ac:dyDescent="0.2">
      <c r="A65" s="4">
        <v>59</v>
      </c>
      <c r="B65" s="5" t="s">
        <v>247</v>
      </c>
      <c r="C65" s="5" t="s">
        <v>248</v>
      </c>
      <c r="D65" s="5" t="s">
        <v>1005</v>
      </c>
      <c r="E65" s="6">
        <v>11388</v>
      </c>
      <c r="F65" s="7">
        <v>21.341111999999999</v>
      </c>
      <c r="G65" s="8">
        <v>7.6641189999999996E-3</v>
      </c>
      <c r="H65" s="100"/>
    </row>
    <row r="66" spans="1:8" x14ac:dyDescent="0.2">
      <c r="A66" s="4">
        <v>60</v>
      </c>
      <c r="B66" s="5" t="s">
        <v>254</v>
      </c>
      <c r="C66" s="5" t="s">
        <v>255</v>
      </c>
      <c r="D66" s="5" t="s">
        <v>58</v>
      </c>
      <c r="E66" s="6">
        <v>14021</v>
      </c>
      <c r="F66" s="7">
        <v>19.468158500000001</v>
      </c>
      <c r="G66" s="8">
        <v>6.9914950000000003E-3</v>
      </c>
      <c r="H66" s="100"/>
    </row>
    <row r="67" spans="1:8" x14ac:dyDescent="0.2">
      <c r="A67" s="4">
        <v>61</v>
      </c>
      <c r="B67" s="5" t="s">
        <v>264</v>
      </c>
      <c r="C67" s="5" t="s">
        <v>265</v>
      </c>
      <c r="D67" s="5" t="s">
        <v>193</v>
      </c>
      <c r="E67" s="6">
        <v>1966</v>
      </c>
      <c r="F67" s="7">
        <v>19.378862000000002</v>
      </c>
      <c r="G67" s="8">
        <v>6.9594269999999998E-3</v>
      </c>
      <c r="H67" s="100"/>
    </row>
    <row r="68" spans="1:8" x14ac:dyDescent="0.2">
      <c r="A68" s="4">
        <v>62</v>
      </c>
      <c r="B68" s="5" t="s">
        <v>258</v>
      </c>
      <c r="C68" s="5" t="s">
        <v>259</v>
      </c>
      <c r="D68" s="5" t="s">
        <v>1006</v>
      </c>
      <c r="E68" s="6">
        <v>1276</v>
      </c>
      <c r="F68" s="7">
        <v>18.836950000000002</v>
      </c>
      <c r="G68" s="8">
        <v>6.7648129999999997E-3</v>
      </c>
      <c r="H68" s="100"/>
    </row>
    <row r="69" spans="1:8" ht="25.5" x14ac:dyDescent="0.2">
      <c r="A69" s="4">
        <v>63</v>
      </c>
      <c r="B69" s="5" t="s">
        <v>243</v>
      </c>
      <c r="C69" s="5" t="s">
        <v>244</v>
      </c>
      <c r="D69" s="5" t="s">
        <v>1007</v>
      </c>
      <c r="E69" s="6">
        <v>22604</v>
      </c>
      <c r="F69" s="7">
        <v>16.862583999999998</v>
      </c>
      <c r="G69" s="8">
        <v>6.0557689999999999E-3</v>
      </c>
      <c r="H69" s="100"/>
    </row>
    <row r="70" spans="1:8" x14ac:dyDescent="0.2">
      <c r="A70" s="4">
        <v>64</v>
      </c>
      <c r="B70" s="5" t="s">
        <v>262</v>
      </c>
      <c r="C70" s="5" t="s">
        <v>263</v>
      </c>
      <c r="D70" s="5" t="s">
        <v>146</v>
      </c>
      <c r="E70" s="6">
        <v>982</v>
      </c>
      <c r="F70" s="7">
        <v>15.194977</v>
      </c>
      <c r="G70" s="8">
        <v>5.4568899999999998E-3</v>
      </c>
      <c r="H70" s="100"/>
    </row>
    <row r="71" spans="1:8" x14ac:dyDescent="0.2">
      <c r="A71" s="4">
        <v>65</v>
      </c>
      <c r="B71" s="5" t="s">
        <v>36</v>
      </c>
      <c r="C71" s="5" t="s">
        <v>37</v>
      </c>
      <c r="D71" s="5" t="s">
        <v>38</v>
      </c>
      <c r="E71" s="6">
        <v>5816</v>
      </c>
      <c r="F71" s="7">
        <v>14.563264</v>
      </c>
      <c r="G71" s="8">
        <v>5.2300269999999999E-3</v>
      </c>
      <c r="H71" s="100"/>
    </row>
    <row r="72" spans="1:8" x14ac:dyDescent="0.2">
      <c r="A72" s="4">
        <v>66</v>
      </c>
      <c r="B72" s="5" t="s">
        <v>284</v>
      </c>
      <c r="C72" s="5" t="s">
        <v>285</v>
      </c>
      <c r="D72" s="5" t="s">
        <v>1005</v>
      </c>
      <c r="E72" s="6">
        <v>47427</v>
      </c>
      <c r="F72" s="7">
        <v>11.904177000000001</v>
      </c>
      <c r="G72" s="8">
        <v>4.2750829999999998E-3</v>
      </c>
      <c r="H72" s="100"/>
    </row>
    <row r="73" spans="1:8" x14ac:dyDescent="0.2">
      <c r="A73" s="4">
        <v>67</v>
      </c>
      <c r="B73" s="5" t="s">
        <v>270</v>
      </c>
      <c r="C73" s="5" t="s">
        <v>271</v>
      </c>
      <c r="D73" s="5" t="s">
        <v>272</v>
      </c>
      <c r="E73" s="6">
        <v>8598</v>
      </c>
      <c r="F73" s="7">
        <v>11.207492999999999</v>
      </c>
      <c r="G73" s="8">
        <v>4.0248870000000004E-3</v>
      </c>
      <c r="H73" s="100"/>
    </row>
    <row r="74" spans="1:8" x14ac:dyDescent="0.2">
      <c r="A74" s="4">
        <v>68</v>
      </c>
      <c r="B74" s="5" t="s">
        <v>446</v>
      </c>
      <c r="C74" s="5" t="s">
        <v>447</v>
      </c>
      <c r="D74" s="5" t="s">
        <v>156</v>
      </c>
      <c r="E74" s="6">
        <v>3361</v>
      </c>
      <c r="F74" s="7">
        <v>10.215759500000001</v>
      </c>
      <c r="G74" s="8">
        <v>3.6687310000000002E-3</v>
      </c>
      <c r="H74" s="100"/>
    </row>
    <row r="75" spans="1:8" x14ac:dyDescent="0.2">
      <c r="A75" s="4">
        <v>69</v>
      </c>
      <c r="B75" s="5" t="s">
        <v>268</v>
      </c>
      <c r="C75" s="5" t="s">
        <v>269</v>
      </c>
      <c r="D75" s="5" t="s">
        <v>1005</v>
      </c>
      <c r="E75" s="6">
        <v>28020</v>
      </c>
      <c r="F75" s="7">
        <v>9.9190799999999992</v>
      </c>
      <c r="G75" s="8">
        <v>3.5621860000000002E-3</v>
      </c>
      <c r="H75" s="100"/>
    </row>
    <row r="76" spans="1:8" ht="25.5" x14ac:dyDescent="0.2">
      <c r="A76" s="4">
        <v>70</v>
      </c>
      <c r="B76" s="5" t="s">
        <v>457</v>
      </c>
      <c r="C76" s="5" t="s">
        <v>458</v>
      </c>
      <c r="D76" s="5" t="s">
        <v>25</v>
      </c>
      <c r="E76" s="6">
        <v>6986</v>
      </c>
      <c r="F76" s="7">
        <v>8.3797069999999998</v>
      </c>
      <c r="G76" s="8">
        <v>3.0093590000000001E-3</v>
      </c>
      <c r="H76" s="100"/>
    </row>
    <row r="77" spans="1:8" x14ac:dyDescent="0.2">
      <c r="A77" s="15" t="s">
        <v>9</v>
      </c>
      <c r="B77" s="15" t="s">
        <v>9</v>
      </c>
      <c r="C77" s="3" t="s">
        <v>94</v>
      </c>
      <c r="D77" s="15" t="s">
        <v>9</v>
      </c>
      <c r="E77" s="15" t="s">
        <v>9</v>
      </c>
      <c r="F77" s="9">
        <v>2621.6885305000001</v>
      </c>
      <c r="G77" s="10">
        <v>0.941512919</v>
      </c>
      <c r="H77" s="100"/>
    </row>
    <row r="78" spans="1:8" x14ac:dyDescent="0.2">
      <c r="A78" s="15" t="s">
        <v>9</v>
      </c>
      <c r="B78" s="15" t="s">
        <v>9</v>
      </c>
      <c r="C78" s="11" t="s">
        <v>9</v>
      </c>
      <c r="D78" s="15" t="s">
        <v>9</v>
      </c>
      <c r="E78" s="15" t="s">
        <v>9</v>
      </c>
      <c r="F78" s="12" t="s">
        <v>9</v>
      </c>
      <c r="G78" s="12" t="s">
        <v>9</v>
      </c>
      <c r="H78" s="100"/>
    </row>
    <row r="79" spans="1:8" x14ac:dyDescent="0.2">
      <c r="A79" s="15" t="s">
        <v>9</v>
      </c>
      <c r="B79" s="15" t="s">
        <v>9</v>
      </c>
      <c r="C79" s="3" t="s">
        <v>95</v>
      </c>
      <c r="D79" s="15" t="s">
        <v>9</v>
      </c>
      <c r="E79" s="15" t="s">
        <v>9</v>
      </c>
      <c r="F79" s="15" t="s">
        <v>9</v>
      </c>
      <c r="G79" s="15" t="s">
        <v>9</v>
      </c>
      <c r="H79" s="100"/>
    </row>
    <row r="80" spans="1:8" x14ac:dyDescent="0.2">
      <c r="A80" s="15" t="s">
        <v>9</v>
      </c>
      <c r="B80" s="15" t="s">
        <v>9</v>
      </c>
      <c r="C80" s="3" t="s">
        <v>94</v>
      </c>
      <c r="D80" s="15" t="s">
        <v>9</v>
      </c>
      <c r="E80" s="15" t="s">
        <v>9</v>
      </c>
      <c r="F80" s="13">
        <v>0</v>
      </c>
      <c r="G80" s="14">
        <v>0</v>
      </c>
      <c r="H80" s="100"/>
    </row>
    <row r="81" spans="1:8" x14ac:dyDescent="0.2">
      <c r="A81" s="15" t="s">
        <v>9</v>
      </c>
      <c r="B81" s="15" t="s">
        <v>9</v>
      </c>
      <c r="C81" s="11" t="s">
        <v>9</v>
      </c>
      <c r="D81" s="15" t="s">
        <v>9</v>
      </c>
      <c r="E81" s="15" t="s">
        <v>9</v>
      </c>
      <c r="F81" s="12" t="s">
        <v>9</v>
      </c>
      <c r="G81" s="12" t="s">
        <v>9</v>
      </c>
      <c r="H81" s="100"/>
    </row>
    <row r="82" spans="1:8" x14ac:dyDescent="0.2">
      <c r="A82" s="15" t="s">
        <v>9</v>
      </c>
      <c r="B82" s="15" t="s">
        <v>9</v>
      </c>
      <c r="C82" s="3" t="s">
        <v>96</v>
      </c>
      <c r="D82" s="15" t="s">
        <v>9</v>
      </c>
      <c r="E82" s="15" t="s">
        <v>9</v>
      </c>
      <c r="F82" s="15" t="s">
        <v>9</v>
      </c>
      <c r="G82" s="15" t="s">
        <v>9</v>
      </c>
      <c r="H82" s="100"/>
    </row>
    <row r="83" spans="1:8" x14ac:dyDescent="0.2">
      <c r="A83" s="15" t="s">
        <v>9</v>
      </c>
      <c r="B83" s="15" t="s">
        <v>9</v>
      </c>
      <c r="C83" s="3" t="s">
        <v>94</v>
      </c>
      <c r="D83" s="15" t="s">
        <v>9</v>
      </c>
      <c r="E83" s="15" t="s">
        <v>9</v>
      </c>
      <c r="F83" s="13">
        <v>0</v>
      </c>
      <c r="G83" s="14">
        <v>0</v>
      </c>
      <c r="H83" s="100"/>
    </row>
    <row r="84" spans="1:8" x14ac:dyDescent="0.2">
      <c r="A84" s="15" t="s">
        <v>9</v>
      </c>
      <c r="B84" s="15" t="s">
        <v>9</v>
      </c>
      <c r="C84" s="11" t="s">
        <v>9</v>
      </c>
      <c r="D84" s="15" t="s">
        <v>9</v>
      </c>
      <c r="E84" s="15" t="s">
        <v>9</v>
      </c>
      <c r="F84" s="12" t="s">
        <v>9</v>
      </c>
      <c r="G84" s="12" t="s">
        <v>9</v>
      </c>
      <c r="H84" s="100"/>
    </row>
    <row r="85" spans="1:8" x14ac:dyDescent="0.2">
      <c r="A85" s="15" t="s">
        <v>9</v>
      </c>
      <c r="B85" s="15" t="s">
        <v>9</v>
      </c>
      <c r="C85" s="3" t="s">
        <v>100</v>
      </c>
      <c r="D85" s="15" t="s">
        <v>9</v>
      </c>
      <c r="E85" s="15" t="s">
        <v>9</v>
      </c>
      <c r="F85" s="15" t="s">
        <v>9</v>
      </c>
      <c r="G85" s="15" t="s">
        <v>9</v>
      </c>
      <c r="H85" s="100"/>
    </row>
    <row r="86" spans="1:8" x14ac:dyDescent="0.2">
      <c r="A86" s="15" t="s">
        <v>9</v>
      </c>
      <c r="B86" s="15" t="s">
        <v>9</v>
      </c>
      <c r="C86" s="3" t="s">
        <v>94</v>
      </c>
      <c r="D86" s="15" t="s">
        <v>9</v>
      </c>
      <c r="E86" s="15" t="s">
        <v>9</v>
      </c>
      <c r="F86" s="13">
        <v>0</v>
      </c>
      <c r="G86" s="14">
        <v>0</v>
      </c>
      <c r="H86" s="100"/>
    </row>
    <row r="87" spans="1:8" x14ac:dyDescent="0.2">
      <c r="A87" s="15" t="s">
        <v>9</v>
      </c>
      <c r="B87" s="15" t="s">
        <v>9</v>
      </c>
      <c r="C87" s="11" t="s">
        <v>9</v>
      </c>
      <c r="D87" s="15" t="s">
        <v>9</v>
      </c>
      <c r="E87" s="15" t="s">
        <v>9</v>
      </c>
      <c r="F87" s="12" t="s">
        <v>9</v>
      </c>
      <c r="G87" s="12" t="s">
        <v>9</v>
      </c>
      <c r="H87" s="100"/>
    </row>
    <row r="88" spans="1:8" x14ac:dyDescent="0.2">
      <c r="A88" s="15" t="s">
        <v>9</v>
      </c>
      <c r="B88" s="15" t="s">
        <v>9</v>
      </c>
      <c r="C88" s="3" t="s">
        <v>101</v>
      </c>
      <c r="D88" s="15" t="s">
        <v>9</v>
      </c>
      <c r="E88" s="15" t="s">
        <v>9</v>
      </c>
      <c r="F88" s="12" t="s">
        <v>9</v>
      </c>
      <c r="G88" s="12" t="s">
        <v>9</v>
      </c>
      <c r="H88" s="100"/>
    </row>
    <row r="89" spans="1:8" x14ac:dyDescent="0.2">
      <c r="A89" s="15" t="s">
        <v>9</v>
      </c>
      <c r="B89" s="15" t="s">
        <v>9</v>
      </c>
      <c r="C89" s="3" t="s">
        <v>94</v>
      </c>
      <c r="D89" s="15" t="s">
        <v>9</v>
      </c>
      <c r="E89" s="15" t="s">
        <v>9</v>
      </c>
      <c r="F89" s="13">
        <v>0</v>
      </c>
      <c r="G89" s="14">
        <v>0</v>
      </c>
      <c r="H89" s="100"/>
    </row>
    <row r="90" spans="1:8" x14ac:dyDescent="0.2">
      <c r="A90" s="15" t="s">
        <v>9</v>
      </c>
      <c r="B90" s="15" t="s">
        <v>9</v>
      </c>
      <c r="C90" s="11" t="s">
        <v>9</v>
      </c>
      <c r="D90" s="15" t="s">
        <v>9</v>
      </c>
      <c r="E90" s="15" t="s">
        <v>9</v>
      </c>
      <c r="F90" s="12" t="s">
        <v>9</v>
      </c>
      <c r="G90" s="12" t="s">
        <v>9</v>
      </c>
      <c r="H90" s="100"/>
    </row>
    <row r="91" spans="1:8" x14ac:dyDescent="0.2">
      <c r="A91" s="15" t="s">
        <v>9</v>
      </c>
      <c r="B91" s="15" t="s">
        <v>9</v>
      </c>
      <c r="C91" s="3" t="s">
        <v>102</v>
      </c>
      <c r="D91" s="15" t="s">
        <v>9</v>
      </c>
      <c r="E91" s="15" t="s">
        <v>9</v>
      </c>
      <c r="F91" s="12" t="s">
        <v>9</v>
      </c>
      <c r="G91" s="12" t="s">
        <v>9</v>
      </c>
      <c r="H91" s="100"/>
    </row>
    <row r="92" spans="1:8" x14ac:dyDescent="0.2">
      <c r="A92" s="15" t="s">
        <v>9</v>
      </c>
      <c r="B92" s="15" t="s">
        <v>9</v>
      </c>
      <c r="C92" s="3" t="s">
        <v>94</v>
      </c>
      <c r="D92" s="15" t="s">
        <v>9</v>
      </c>
      <c r="E92" s="15" t="s">
        <v>9</v>
      </c>
      <c r="F92" s="13">
        <v>0</v>
      </c>
      <c r="G92" s="14">
        <v>0</v>
      </c>
      <c r="H92" s="100"/>
    </row>
    <row r="93" spans="1:8" x14ac:dyDescent="0.2">
      <c r="A93" s="15" t="s">
        <v>9</v>
      </c>
      <c r="B93" s="15" t="s">
        <v>9</v>
      </c>
      <c r="C93" s="11" t="s">
        <v>9</v>
      </c>
      <c r="D93" s="15" t="s">
        <v>9</v>
      </c>
      <c r="E93" s="15" t="s">
        <v>9</v>
      </c>
      <c r="F93" s="12" t="s">
        <v>9</v>
      </c>
      <c r="G93" s="12" t="s">
        <v>9</v>
      </c>
      <c r="H93" s="100"/>
    </row>
    <row r="94" spans="1:8" x14ac:dyDescent="0.2">
      <c r="A94" s="15" t="s">
        <v>9</v>
      </c>
      <c r="B94" s="15" t="s">
        <v>9</v>
      </c>
      <c r="C94" s="3" t="s">
        <v>104</v>
      </c>
      <c r="D94" s="15" t="s">
        <v>9</v>
      </c>
      <c r="E94" s="15" t="s">
        <v>9</v>
      </c>
      <c r="F94" s="9">
        <v>2621.6885305000001</v>
      </c>
      <c r="G94" s="10">
        <v>0.941512919</v>
      </c>
      <c r="H94" s="100"/>
    </row>
    <row r="95" spans="1:8" x14ac:dyDescent="0.2">
      <c r="A95" s="15" t="s">
        <v>9</v>
      </c>
      <c r="B95" s="15" t="s">
        <v>9</v>
      </c>
      <c r="C95" s="11" t="s">
        <v>9</v>
      </c>
      <c r="D95" s="15" t="s">
        <v>9</v>
      </c>
      <c r="E95" s="15" t="s">
        <v>9</v>
      </c>
      <c r="F95" s="12" t="s">
        <v>9</v>
      </c>
      <c r="G95" s="12" t="s">
        <v>9</v>
      </c>
      <c r="H95" s="100"/>
    </row>
    <row r="96" spans="1:8" x14ac:dyDescent="0.2">
      <c r="A96" s="15" t="s">
        <v>9</v>
      </c>
      <c r="B96" s="15" t="s">
        <v>9</v>
      </c>
      <c r="C96" s="3" t="s">
        <v>105</v>
      </c>
      <c r="D96" s="15" t="s">
        <v>9</v>
      </c>
      <c r="E96" s="15" t="s">
        <v>9</v>
      </c>
      <c r="F96" s="12" t="s">
        <v>9</v>
      </c>
      <c r="G96" s="12" t="s">
        <v>9</v>
      </c>
      <c r="H96" s="100"/>
    </row>
    <row r="97" spans="1:8" ht="25.5" x14ac:dyDescent="0.2">
      <c r="A97" s="15" t="s">
        <v>9</v>
      </c>
      <c r="B97" s="15" t="s">
        <v>9</v>
      </c>
      <c r="C97" s="3" t="s">
        <v>11</v>
      </c>
      <c r="D97" s="15" t="s">
        <v>9</v>
      </c>
      <c r="E97" s="15" t="s">
        <v>9</v>
      </c>
      <c r="F97" s="12" t="s">
        <v>9</v>
      </c>
      <c r="G97" s="12" t="s">
        <v>9</v>
      </c>
      <c r="H97" s="100"/>
    </row>
    <row r="98" spans="1:8" x14ac:dyDescent="0.2">
      <c r="A98" s="15" t="s">
        <v>9</v>
      </c>
      <c r="B98" s="15" t="s">
        <v>9</v>
      </c>
      <c r="C98" s="3" t="s">
        <v>94</v>
      </c>
      <c r="D98" s="15" t="s">
        <v>9</v>
      </c>
      <c r="E98" s="15" t="s">
        <v>9</v>
      </c>
      <c r="F98" s="13">
        <v>0</v>
      </c>
      <c r="G98" s="14">
        <v>0</v>
      </c>
      <c r="H98" s="100"/>
    </row>
    <row r="99" spans="1:8" x14ac:dyDescent="0.2">
      <c r="A99" s="15" t="s">
        <v>9</v>
      </c>
      <c r="B99" s="15" t="s">
        <v>9</v>
      </c>
      <c r="C99" s="11" t="s">
        <v>9</v>
      </c>
      <c r="D99" s="15" t="s">
        <v>9</v>
      </c>
      <c r="E99" s="15" t="s">
        <v>9</v>
      </c>
      <c r="F99" s="12" t="s">
        <v>9</v>
      </c>
      <c r="G99" s="12" t="s">
        <v>9</v>
      </c>
      <c r="H99" s="100"/>
    </row>
    <row r="100" spans="1:8" x14ac:dyDescent="0.2">
      <c r="A100" s="15" t="s">
        <v>9</v>
      </c>
      <c r="B100" s="15" t="s">
        <v>9</v>
      </c>
      <c r="C100" s="3" t="s">
        <v>106</v>
      </c>
      <c r="D100" s="15" t="s">
        <v>9</v>
      </c>
      <c r="E100" s="15" t="s">
        <v>9</v>
      </c>
      <c r="F100" s="15" t="s">
        <v>9</v>
      </c>
      <c r="G100" s="15" t="s">
        <v>9</v>
      </c>
      <c r="H100" s="100"/>
    </row>
    <row r="101" spans="1:8" x14ac:dyDescent="0.2">
      <c r="A101" s="15" t="s">
        <v>9</v>
      </c>
      <c r="B101" s="15" t="s">
        <v>9</v>
      </c>
      <c r="C101" s="3" t="s">
        <v>94</v>
      </c>
      <c r="D101" s="15" t="s">
        <v>9</v>
      </c>
      <c r="E101" s="15" t="s">
        <v>9</v>
      </c>
      <c r="F101" s="13">
        <v>0</v>
      </c>
      <c r="G101" s="14">
        <v>0</v>
      </c>
      <c r="H101" s="100"/>
    </row>
    <row r="102" spans="1:8" x14ac:dyDescent="0.2">
      <c r="A102" s="15" t="s">
        <v>9</v>
      </c>
      <c r="B102" s="15" t="s">
        <v>9</v>
      </c>
      <c r="C102" s="11" t="s">
        <v>9</v>
      </c>
      <c r="D102" s="15" t="s">
        <v>9</v>
      </c>
      <c r="E102" s="15" t="s">
        <v>9</v>
      </c>
      <c r="F102" s="12" t="s">
        <v>9</v>
      </c>
      <c r="G102" s="12" t="s">
        <v>9</v>
      </c>
      <c r="H102" s="100"/>
    </row>
    <row r="103" spans="1:8" x14ac:dyDescent="0.2">
      <c r="A103" s="15" t="s">
        <v>9</v>
      </c>
      <c r="B103" s="15" t="s">
        <v>9</v>
      </c>
      <c r="C103" s="3" t="s">
        <v>107</v>
      </c>
      <c r="D103" s="15" t="s">
        <v>9</v>
      </c>
      <c r="E103" s="15" t="s">
        <v>9</v>
      </c>
      <c r="F103" s="15" t="s">
        <v>9</v>
      </c>
      <c r="G103" s="15" t="s">
        <v>9</v>
      </c>
      <c r="H103" s="100"/>
    </row>
    <row r="104" spans="1:8" x14ac:dyDescent="0.2">
      <c r="A104" s="15" t="s">
        <v>9</v>
      </c>
      <c r="B104" s="15" t="s">
        <v>9</v>
      </c>
      <c r="C104" s="3" t="s">
        <v>94</v>
      </c>
      <c r="D104" s="15" t="s">
        <v>9</v>
      </c>
      <c r="E104" s="15" t="s">
        <v>9</v>
      </c>
      <c r="F104" s="13">
        <v>0</v>
      </c>
      <c r="G104" s="14">
        <v>0</v>
      </c>
      <c r="H104" s="100"/>
    </row>
    <row r="105" spans="1:8" x14ac:dyDescent="0.2">
      <c r="A105" s="15" t="s">
        <v>9</v>
      </c>
      <c r="B105" s="15" t="s">
        <v>9</v>
      </c>
      <c r="C105" s="11" t="s">
        <v>9</v>
      </c>
      <c r="D105" s="15" t="s">
        <v>9</v>
      </c>
      <c r="E105" s="15" t="s">
        <v>9</v>
      </c>
      <c r="F105" s="12" t="s">
        <v>9</v>
      </c>
      <c r="G105" s="12" t="s">
        <v>9</v>
      </c>
      <c r="H105" s="100"/>
    </row>
    <row r="106" spans="1:8" x14ac:dyDescent="0.2">
      <c r="A106" s="15" t="s">
        <v>9</v>
      </c>
      <c r="B106" s="15" t="s">
        <v>9</v>
      </c>
      <c r="C106" s="3" t="s">
        <v>108</v>
      </c>
      <c r="D106" s="15" t="s">
        <v>9</v>
      </c>
      <c r="E106" s="15" t="s">
        <v>9</v>
      </c>
      <c r="F106" s="12" t="s">
        <v>9</v>
      </c>
      <c r="G106" s="12" t="s">
        <v>9</v>
      </c>
      <c r="H106" s="100"/>
    </row>
    <row r="107" spans="1:8" x14ac:dyDescent="0.2">
      <c r="A107" s="15" t="s">
        <v>9</v>
      </c>
      <c r="B107" s="15" t="s">
        <v>9</v>
      </c>
      <c r="C107" s="3" t="s">
        <v>94</v>
      </c>
      <c r="D107" s="15" t="s">
        <v>9</v>
      </c>
      <c r="E107" s="15" t="s">
        <v>9</v>
      </c>
      <c r="F107" s="13">
        <v>0</v>
      </c>
      <c r="G107" s="14">
        <v>0</v>
      </c>
      <c r="H107" s="100"/>
    </row>
    <row r="108" spans="1:8" x14ac:dyDescent="0.2">
      <c r="A108" s="15" t="s">
        <v>9</v>
      </c>
      <c r="B108" s="15" t="s">
        <v>9</v>
      </c>
      <c r="C108" s="11" t="s">
        <v>9</v>
      </c>
      <c r="D108" s="15" t="s">
        <v>9</v>
      </c>
      <c r="E108" s="15" t="s">
        <v>9</v>
      </c>
      <c r="F108" s="12" t="s">
        <v>9</v>
      </c>
      <c r="G108" s="12" t="s">
        <v>9</v>
      </c>
      <c r="H108" s="100"/>
    </row>
    <row r="109" spans="1:8" x14ac:dyDescent="0.2">
      <c r="A109" s="15" t="s">
        <v>9</v>
      </c>
      <c r="B109" s="15" t="s">
        <v>9</v>
      </c>
      <c r="C109" s="3" t="s">
        <v>109</v>
      </c>
      <c r="D109" s="15" t="s">
        <v>9</v>
      </c>
      <c r="E109" s="15" t="s">
        <v>9</v>
      </c>
      <c r="F109" s="9">
        <v>0</v>
      </c>
      <c r="G109" s="10">
        <v>0</v>
      </c>
      <c r="H109" s="100"/>
    </row>
    <row r="110" spans="1:8" x14ac:dyDescent="0.2">
      <c r="A110" s="15" t="s">
        <v>9</v>
      </c>
      <c r="B110" s="15" t="s">
        <v>9</v>
      </c>
      <c r="C110" s="11" t="s">
        <v>9</v>
      </c>
      <c r="D110" s="15" t="s">
        <v>9</v>
      </c>
      <c r="E110" s="15" t="s">
        <v>9</v>
      </c>
      <c r="F110" s="12" t="s">
        <v>9</v>
      </c>
      <c r="G110" s="12" t="s">
        <v>9</v>
      </c>
      <c r="H110" s="100"/>
    </row>
    <row r="111" spans="1:8" x14ac:dyDescent="0.2">
      <c r="A111" s="15" t="s">
        <v>9</v>
      </c>
      <c r="B111" s="15" t="s">
        <v>9</v>
      </c>
      <c r="C111" s="3" t="s">
        <v>110</v>
      </c>
      <c r="D111" s="15" t="s">
        <v>9</v>
      </c>
      <c r="E111" s="15" t="s">
        <v>9</v>
      </c>
      <c r="F111" s="12" t="s">
        <v>9</v>
      </c>
      <c r="G111" s="12" t="s">
        <v>9</v>
      </c>
      <c r="H111" s="100"/>
    </row>
    <row r="112" spans="1:8" x14ac:dyDescent="0.2">
      <c r="A112" s="15" t="s">
        <v>9</v>
      </c>
      <c r="B112" s="15" t="s">
        <v>9</v>
      </c>
      <c r="C112" s="3" t="s">
        <v>111</v>
      </c>
      <c r="D112" s="15" t="s">
        <v>9</v>
      </c>
      <c r="E112" s="15" t="s">
        <v>9</v>
      </c>
      <c r="F112" s="12" t="s">
        <v>9</v>
      </c>
      <c r="G112" s="12" t="s">
        <v>9</v>
      </c>
      <c r="H112" s="100"/>
    </row>
    <row r="113" spans="1:8" x14ac:dyDescent="0.2">
      <c r="A113" s="15" t="s">
        <v>9</v>
      </c>
      <c r="B113" s="15" t="s">
        <v>9</v>
      </c>
      <c r="C113" s="3" t="s">
        <v>94</v>
      </c>
      <c r="D113" s="15" t="s">
        <v>9</v>
      </c>
      <c r="E113" s="15" t="s">
        <v>9</v>
      </c>
      <c r="F113" s="13">
        <v>0</v>
      </c>
      <c r="G113" s="14">
        <v>0</v>
      </c>
      <c r="H113" s="100"/>
    </row>
    <row r="114" spans="1:8" x14ac:dyDescent="0.2">
      <c r="A114" s="15" t="s">
        <v>9</v>
      </c>
      <c r="B114" s="15" t="s">
        <v>9</v>
      </c>
      <c r="C114" s="11" t="s">
        <v>9</v>
      </c>
      <c r="D114" s="15" t="s">
        <v>9</v>
      </c>
      <c r="E114" s="15" t="s">
        <v>9</v>
      </c>
      <c r="F114" s="12" t="s">
        <v>9</v>
      </c>
      <c r="G114" s="12" t="s">
        <v>9</v>
      </c>
      <c r="H114" s="100"/>
    </row>
    <row r="115" spans="1:8" x14ac:dyDescent="0.2">
      <c r="A115" s="15" t="s">
        <v>9</v>
      </c>
      <c r="B115" s="15" t="s">
        <v>9</v>
      </c>
      <c r="C115" s="3" t="s">
        <v>112</v>
      </c>
      <c r="D115" s="15" t="s">
        <v>9</v>
      </c>
      <c r="E115" s="15" t="s">
        <v>9</v>
      </c>
      <c r="F115" s="12" t="s">
        <v>9</v>
      </c>
      <c r="G115" s="12" t="s">
        <v>9</v>
      </c>
      <c r="H115" s="100"/>
    </row>
    <row r="116" spans="1:8" x14ac:dyDescent="0.2">
      <c r="A116" s="15" t="s">
        <v>9</v>
      </c>
      <c r="B116" s="15" t="s">
        <v>9</v>
      </c>
      <c r="C116" s="3" t="s">
        <v>94</v>
      </c>
      <c r="D116" s="15" t="s">
        <v>9</v>
      </c>
      <c r="E116" s="15" t="s">
        <v>9</v>
      </c>
      <c r="F116" s="13">
        <v>0</v>
      </c>
      <c r="G116" s="14">
        <v>0</v>
      </c>
      <c r="H116" s="100"/>
    </row>
    <row r="117" spans="1:8" x14ac:dyDescent="0.2">
      <c r="A117" s="15" t="s">
        <v>9</v>
      </c>
      <c r="B117" s="15" t="s">
        <v>9</v>
      </c>
      <c r="C117" s="11" t="s">
        <v>9</v>
      </c>
      <c r="D117" s="15" t="s">
        <v>9</v>
      </c>
      <c r="E117" s="15" t="s">
        <v>9</v>
      </c>
      <c r="F117" s="12" t="s">
        <v>9</v>
      </c>
      <c r="G117" s="12" t="s">
        <v>9</v>
      </c>
      <c r="H117" s="100"/>
    </row>
    <row r="118" spans="1:8" x14ac:dyDescent="0.2">
      <c r="A118" s="15" t="s">
        <v>9</v>
      </c>
      <c r="B118" s="15" t="s">
        <v>9</v>
      </c>
      <c r="C118" s="3" t="s">
        <v>113</v>
      </c>
      <c r="D118" s="15" t="s">
        <v>9</v>
      </c>
      <c r="E118" s="15" t="s">
        <v>9</v>
      </c>
      <c r="F118" s="12" t="s">
        <v>9</v>
      </c>
      <c r="G118" s="12" t="s">
        <v>9</v>
      </c>
      <c r="H118" s="100"/>
    </row>
    <row r="119" spans="1:8" x14ac:dyDescent="0.2">
      <c r="A119" s="15" t="s">
        <v>9</v>
      </c>
      <c r="B119" s="15" t="s">
        <v>9</v>
      </c>
      <c r="C119" s="3" t="s">
        <v>94</v>
      </c>
      <c r="D119" s="15" t="s">
        <v>9</v>
      </c>
      <c r="E119" s="15" t="s">
        <v>9</v>
      </c>
      <c r="F119" s="13">
        <v>0</v>
      </c>
      <c r="G119" s="14">
        <v>0</v>
      </c>
      <c r="H119" s="100"/>
    </row>
    <row r="120" spans="1:8" x14ac:dyDescent="0.2">
      <c r="A120" s="15" t="s">
        <v>9</v>
      </c>
      <c r="B120" s="15" t="s">
        <v>9</v>
      </c>
      <c r="C120" s="11" t="s">
        <v>9</v>
      </c>
      <c r="D120" s="15" t="s">
        <v>9</v>
      </c>
      <c r="E120" s="15" t="s">
        <v>9</v>
      </c>
      <c r="F120" s="12" t="s">
        <v>9</v>
      </c>
      <c r="G120" s="12" t="s">
        <v>9</v>
      </c>
      <c r="H120" s="100"/>
    </row>
    <row r="121" spans="1:8" x14ac:dyDescent="0.2">
      <c r="A121" s="15" t="s">
        <v>9</v>
      </c>
      <c r="B121" s="15" t="s">
        <v>9</v>
      </c>
      <c r="C121" s="3" t="s">
        <v>114</v>
      </c>
      <c r="D121" s="15" t="s">
        <v>9</v>
      </c>
      <c r="E121" s="15" t="s">
        <v>9</v>
      </c>
      <c r="F121" s="12" t="s">
        <v>9</v>
      </c>
      <c r="G121" s="12" t="s">
        <v>9</v>
      </c>
      <c r="H121" s="100"/>
    </row>
    <row r="122" spans="1:8" x14ac:dyDescent="0.2">
      <c r="A122" s="4">
        <v>1</v>
      </c>
      <c r="B122" s="5"/>
      <c r="C122" s="5" t="s">
        <v>115</v>
      </c>
      <c r="D122" s="5"/>
      <c r="E122" s="15" t="s">
        <v>9</v>
      </c>
      <c r="F122" s="7">
        <v>127.89421900000001</v>
      </c>
      <c r="G122" s="8">
        <v>4.5929963999999997E-2</v>
      </c>
      <c r="H122" s="99">
        <v>3.2516689338443991</v>
      </c>
    </row>
    <row r="123" spans="1:8" x14ac:dyDescent="0.2">
      <c r="A123" s="4">
        <v>2</v>
      </c>
      <c r="B123" s="5"/>
      <c r="C123" s="5" t="s">
        <v>116</v>
      </c>
      <c r="D123" s="5"/>
      <c r="E123" s="15" t="s">
        <v>9</v>
      </c>
      <c r="F123" s="7">
        <v>17.522687999999999</v>
      </c>
      <c r="G123" s="8">
        <v>6.2928289999999998E-3</v>
      </c>
      <c r="H123" s="100">
        <v>3.350000000000001</v>
      </c>
    </row>
    <row r="124" spans="1:8" x14ac:dyDescent="0.2">
      <c r="A124" s="15" t="s">
        <v>9</v>
      </c>
      <c r="B124" s="15" t="s">
        <v>9</v>
      </c>
      <c r="C124" s="3" t="s">
        <v>94</v>
      </c>
      <c r="D124" s="15" t="s">
        <v>9</v>
      </c>
      <c r="E124" s="15" t="s">
        <v>9</v>
      </c>
      <c r="F124" s="9">
        <v>145.41690700000001</v>
      </c>
      <c r="G124" s="10">
        <v>5.2222793000000003E-2</v>
      </c>
      <c r="H124" s="100"/>
    </row>
    <row r="125" spans="1:8" x14ac:dyDescent="0.2">
      <c r="A125" s="15" t="s">
        <v>9</v>
      </c>
      <c r="B125" s="15" t="s">
        <v>9</v>
      </c>
      <c r="C125" s="11" t="s">
        <v>9</v>
      </c>
      <c r="D125" s="15" t="s">
        <v>9</v>
      </c>
      <c r="E125" s="15" t="s">
        <v>9</v>
      </c>
      <c r="F125" s="12" t="s">
        <v>9</v>
      </c>
      <c r="G125" s="12" t="s">
        <v>9</v>
      </c>
      <c r="H125" s="100"/>
    </row>
    <row r="126" spans="1:8" x14ac:dyDescent="0.2">
      <c r="A126" s="15" t="s">
        <v>9</v>
      </c>
      <c r="B126" s="15" t="s">
        <v>9</v>
      </c>
      <c r="C126" s="3" t="s">
        <v>117</v>
      </c>
      <c r="D126" s="15" t="s">
        <v>9</v>
      </c>
      <c r="E126" s="15" t="s">
        <v>9</v>
      </c>
      <c r="F126" s="9">
        <v>145.41690700000001</v>
      </c>
      <c r="G126" s="10">
        <v>5.2222793000000003E-2</v>
      </c>
      <c r="H126" s="100"/>
    </row>
    <row r="127" spans="1:8" x14ac:dyDescent="0.2">
      <c r="A127" s="15" t="s">
        <v>9</v>
      </c>
      <c r="B127" s="15" t="s">
        <v>9</v>
      </c>
      <c r="C127" s="12" t="s">
        <v>9</v>
      </c>
      <c r="D127" s="15" t="s">
        <v>9</v>
      </c>
      <c r="E127" s="15" t="s">
        <v>9</v>
      </c>
      <c r="F127" s="15" t="s">
        <v>9</v>
      </c>
      <c r="G127" s="15" t="s">
        <v>9</v>
      </c>
      <c r="H127" s="100"/>
    </row>
    <row r="128" spans="1:8" x14ac:dyDescent="0.2">
      <c r="A128" s="15" t="s">
        <v>9</v>
      </c>
      <c r="B128" s="15" t="s">
        <v>9</v>
      </c>
      <c r="C128" s="3" t="s">
        <v>118</v>
      </c>
      <c r="D128" s="15" t="s">
        <v>9</v>
      </c>
      <c r="E128" s="15" t="s">
        <v>9</v>
      </c>
      <c r="F128" s="15" t="s">
        <v>9</v>
      </c>
      <c r="G128" s="15" t="s">
        <v>9</v>
      </c>
      <c r="H128" s="100"/>
    </row>
    <row r="129" spans="1:8" x14ac:dyDescent="0.2">
      <c r="A129" s="15" t="s">
        <v>9</v>
      </c>
      <c r="B129" s="15" t="s">
        <v>9</v>
      </c>
      <c r="C129" s="3" t="s">
        <v>119</v>
      </c>
      <c r="D129" s="15" t="s">
        <v>9</v>
      </c>
      <c r="E129" s="15" t="s">
        <v>9</v>
      </c>
      <c r="F129" s="15" t="s">
        <v>9</v>
      </c>
      <c r="G129" s="15" t="s">
        <v>9</v>
      </c>
      <c r="H129" s="100"/>
    </row>
    <row r="130" spans="1:8" x14ac:dyDescent="0.2">
      <c r="A130" s="15" t="s">
        <v>9</v>
      </c>
      <c r="B130" s="15" t="s">
        <v>9</v>
      </c>
      <c r="C130" s="3" t="s">
        <v>94</v>
      </c>
      <c r="D130" s="15" t="s">
        <v>9</v>
      </c>
      <c r="E130" s="15" t="s">
        <v>9</v>
      </c>
      <c r="F130" s="13">
        <v>0</v>
      </c>
      <c r="G130" s="14">
        <v>0</v>
      </c>
      <c r="H130" s="100"/>
    </row>
    <row r="131" spans="1:8" x14ac:dyDescent="0.2">
      <c r="A131" s="15" t="s">
        <v>9</v>
      </c>
      <c r="B131" s="15" t="s">
        <v>9</v>
      </c>
      <c r="C131" s="11" t="s">
        <v>9</v>
      </c>
      <c r="D131" s="15" t="s">
        <v>9</v>
      </c>
      <c r="E131" s="15" t="s">
        <v>9</v>
      </c>
      <c r="F131" s="12" t="s">
        <v>9</v>
      </c>
      <c r="G131" s="12" t="s">
        <v>9</v>
      </c>
      <c r="H131" s="100"/>
    </row>
    <row r="132" spans="1:8" x14ac:dyDescent="0.2">
      <c r="A132" s="15" t="s">
        <v>9</v>
      </c>
      <c r="B132" s="15" t="s">
        <v>9</v>
      </c>
      <c r="C132" s="3" t="s">
        <v>120</v>
      </c>
      <c r="D132" s="15" t="s">
        <v>9</v>
      </c>
      <c r="E132" s="15" t="s">
        <v>9</v>
      </c>
      <c r="F132" s="15" t="s">
        <v>9</v>
      </c>
      <c r="G132" s="15" t="s">
        <v>9</v>
      </c>
      <c r="H132" s="100"/>
    </row>
    <row r="133" spans="1:8" x14ac:dyDescent="0.2">
      <c r="A133" s="15" t="s">
        <v>9</v>
      </c>
      <c r="B133" s="15" t="s">
        <v>9</v>
      </c>
      <c r="C133" s="3" t="s">
        <v>121</v>
      </c>
      <c r="D133" s="15" t="s">
        <v>9</v>
      </c>
      <c r="E133" s="15" t="s">
        <v>9</v>
      </c>
      <c r="F133" s="15" t="s">
        <v>9</v>
      </c>
      <c r="G133" s="15" t="s">
        <v>9</v>
      </c>
      <c r="H133" s="100"/>
    </row>
    <row r="134" spans="1:8" x14ac:dyDescent="0.2">
      <c r="A134" s="15" t="s">
        <v>9</v>
      </c>
      <c r="B134" s="15" t="s">
        <v>9</v>
      </c>
      <c r="C134" s="3" t="s">
        <v>94</v>
      </c>
      <c r="D134" s="15" t="s">
        <v>9</v>
      </c>
      <c r="E134" s="15" t="s">
        <v>9</v>
      </c>
      <c r="F134" s="13">
        <v>0</v>
      </c>
      <c r="G134" s="14">
        <v>0</v>
      </c>
      <c r="H134" s="100"/>
    </row>
    <row r="135" spans="1:8" x14ac:dyDescent="0.2">
      <c r="A135" s="15" t="s">
        <v>9</v>
      </c>
      <c r="B135" s="15" t="s">
        <v>9</v>
      </c>
      <c r="C135" s="11" t="s">
        <v>9</v>
      </c>
      <c r="D135" s="15" t="s">
        <v>9</v>
      </c>
      <c r="E135" s="15" t="s">
        <v>9</v>
      </c>
      <c r="F135" s="12" t="s">
        <v>9</v>
      </c>
      <c r="G135" s="12" t="s">
        <v>9</v>
      </c>
      <c r="H135" s="100"/>
    </row>
    <row r="136" spans="1:8" x14ac:dyDescent="0.2">
      <c r="A136" s="15" t="s">
        <v>9</v>
      </c>
      <c r="B136" s="15" t="s">
        <v>9</v>
      </c>
      <c r="C136" s="11" t="s">
        <v>9</v>
      </c>
      <c r="D136" s="15" t="s">
        <v>9</v>
      </c>
      <c r="E136" s="15" t="s">
        <v>9</v>
      </c>
      <c r="F136" s="12" t="s">
        <v>9</v>
      </c>
      <c r="G136" s="12" t="s">
        <v>9</v>
      </c>
      <c r="H136" s="100"/>
    </row>
    <row r="137" spans="1:8" ht="25.5" x14ac:dyDescent="0.2">
      <c r="A137" s="15" t="s">
        <v>9</v>
      </c>
      <c r="B137" s="15" t="s">
        <v>9</v>
      </c>
      <c r="C137" s="3" t="s">
        <v>122</v>
      </c>
      <c r="D137" s="15" t="s">
        <v>9</v>
      </c>
      <c r="E137" s="15" t="s">
        <v>9</v>
      </c>
      <c r="F137" s="12" t="s">
        <v>9</v>
      </c>
      <c r="G137" s="12" t="s">
        <v>9</v>
      </c>
      <c r="H137" s="100"/>
    </row>
    <row r="138" spans="1:8" x14ac:dyDescent="0.2">
      <c r="A138" s="15" t="s">
        <v>9</v>
      </c>
      <c r="B138" s="15" t="s">
        <v>9</v>
      </c>
      <c r="C138" s="3" t="s">
        <v>94</v>
      </c>
      <c r="D138" s="15" t="s">
        <v>9</v>
      </c>
      <c r="E138" s="15" t="s">
        <v>9</v>
      </c>
      <c r="F138" s="13">
        <v>0</v>
      </c>
      <c r="G138" s="14">
        <v>0</v>
      </c>
      <c r="H138" s="100"/>
    </row>
    <row r="139" spans="1:8" x14ac:dyDescent="0.2">
      <c r="A139" s="15" t="s">
        <v>9</v>
      </c>
      <c r="B139" s="15" t="s">
        <v>9</v>
      </c>
      <c r="C139" s="11" t="s">
        <v>9</v>
      </c>
      <c r="D139" s="15" t="s">
        <v>9</v>
      </c>
      <c r="E139" s="15" t="s">
        <v>9</v>
      </c>
      <c r="F139" s="12" t="s">
        <v>9</v>
      </c>
      <c r="G139" s="12" t="s">
        <v>9</v>
      </c>
      <c r="H139" s="100"/>
    </row>
    <row r="140" spans="1:8" x14ac:dyDescent="0.2">
      <c r="A140" s="15" t="s">
        <v>9</v>
      </c>
      <c r="B140" s="5" t="s">
        <v>9</v>
      </c>
      <c r="C140" s="5" t="s">
        <v>9</v>
      </c>
      <c r="D140" s="3" t="s">
        <v>9</v>
      </c>
      <c r="E140" s="15" t="s">
        <v>9</v>
      </c>
      <c r="F140" s="5" t="s">
        <v>9</v>
      </c>
      <c r="G140" s="15" t="s">
        <v>9</v>
      </c>
      <c r="H140" s="100"/>
    </row>
    <row r="141" spans="1:8" x14ac:dyDescent="0.2">
      <c r="A141" s="15" t="s">
        <v>9</v>
      </c>
      <c r="B141" s="5" t="s">
        <v>9</v>
      </c>
      <c r="C141" s="5" t="s">
        <v>124</v>
      </c>
      <c r="D141" s="5" t="s">
        <v>9</v>
      </c>
      <c r="E141" s="15" t="s">
        <v>9</v>
      </c>
      <c r="F141" s="7">
        <v>17.44321291</v>
      </c>
      <c r="G141" s="8">
        <v>6.2642870000000003E-3</v>
      </c>
      <c r="H141" s="100"/>
    </row>
    <row r="142" spans="1:8" x14ac:dyDescent="0.2">
      <c r="A142" s="11" t="s">
        <v>9</v>
      </c>
      <c r="B142" s="11" t="s">
        <v>9</v>
      </c>
      <c r="C142" s="3" t="s">
        <v>125</v>
      </c>
      <c r="D142" s="16" t="s">
        <v>9</v>
      </c>
      <c r="E142" s="16" t="s">
        <v>9</v>
      </c>
      <c r="F142" s="9">
        <v>2784.5486455099999</v>
      </c>
      <c r="G142" s="10">
        <v>0.99999999699999997</v>
      </c>
      <c r="H142" s="100"/>
    </row>
    <row r="143" spans="1:8" x14ac:dyDescent="0.2">
      <c r="A143" s="17" t="s">
        <v>9</v>
      </c>
      <c r="B143" s="17" t="s">
        <v>9</v>
      </c>
      <c r="C143" s="17" t="s">
        <v>9</v>
      </c>
      <c r="D143" s="18" t="s">
        <v>9</v>
      </c>
      <c r="E143" s="18" t="s">
        <v>9</v>
      </c>
      <c r="F143" s="18" t="s">
        <v>9</v>
      </c>
      <c r="G143" s="18" t="s">
        <v>9</v>
      </c>
      <c r="H143" s="142"/>
    </row>
    <row r="144" spans="1:8" x14ac:dyDescent="0.2">
      <c r="A144" s="19" t="s">
        <v>9</v>
      </c>
      <c r="B144" s="254" t="s">
        <v>9</v>
      </c>
      <c r="C144" s="254"/>
      <c r="D144" s="254"/>
      <c r="E144" s="254"/>
      <c r="F144" s="254"/>
      <c r="G144" s="20" t="s">
        <v>9</v>
      </c>
      <c r="H144" s="142"/>
    </row>
    <row r="145" spans="1:8" x14ac:dyDescent="0.2">
      <c r="A145" s="19" t="s">
        <v>9</v>
      </c>
      <c r="B145" s="19" t="s">
        <v>9</v>
      </c>
      <c r="C145" s="19" t="s">
        <v>9</v>
      </c>
      <c r="D145" s="20" t="s">
        <v>9</v>
      </c>
      <c r="E145" s="20" t="s">
        <v>9</v>
      </c>
      <c r="F145" s="20" t="s">
        <v>9</v>
      </c>
      <c r="G145" s="20" t="s">
        <v>9</v>
      </c>
      <c r="H145" s="142"/>
    </row>
    <row r="146" spans="1:8" x14ac:dyDescent="0.2">
      <c r="A146" s="176" t="s">
        <v>9</v>
      </c>
      <c r="B146" s="247" t="s">
        <v>127</v>
      </c>
      <c r="C146" s="248"/>
      <c r="D146" s="182" t="s">
        <v>9</v>
      </c>
      <c r="E146" s="21" t="s">
        <v>9</v>
      </c>
      <c r="F146" s="20" t="s">
        <v>9</v>
      </c>
      <c r="G146" s="20" t="s">
        <v>9</v>
      </c>
      <c r="H146" s="142"/>
    </row>
    <row r="147" spans="1:8" ht="28.5" customHeight="1" x14ac:dyDescent="0.2">
      <c r="A147" s="19" t="s">
        <v>9</v>
      </c>
      <c r="B147" s="242" t="s">
        <v>128</v>
      </c>
      <c r="C147" s="243"/>
      <c r="D147" s="3" t="s">
        <v>129</v>
      </c>
      <c r="E147" s="21" t="s">
        <v>9</v>
      </c>
      <c r="F147" s="20" t="s">
        <v>9</v>
      </c>
      <c r="G147" s="20" t="s">
        <v>9</v>
      </c>
      <c r="H147" s="142"/>
    </row>
    <row r="148" spans="1:8" x14ac:dyDescent="0.2">
      <c r="A148" s="176" t="s">
        <v>9</v>
      </c>
      <c r="B148" s="240" t="s">
        <v>130</v>
      </c>
      <c r="C148" s="241"/>
      <c r="D148" s="177" t="s">
        <v>129</v>
      </c>
      <c r="E148" s="21" t="s">
        <v>9</v>
      </c>
      <c r="F148" s="20" t="s">
        <v>9</v>
      </c>
      <c r="G148" s="20" t="s">
        <v>9</v>
      </c>
      <c r="H148" s="142"/>
    </row>
    <row r="149" spans="1:8" x14ac:dyDescent="0.2">
      <c r="A149" s="176" t="s">
        <v>9</v>
      </c>
      <c r="B149" s="240" t="s">
        <v>131</v>
      </c>
      <c r="C149" s="241"/>
      <c r="D149" s="182" t="s">
        <v>9</v>
      </c>
      <c r="E149" s="21" t="s">
        <v>9</v>
      </c>
      <c r="F149" s="20" t="s">
        <v>9</v>
      </c>
      <c r="G149" s="20" t="s">
        <v>9</v>
      </c>
      <c r="H149" s="142"/>
    </row>
    <row r="150" spans="1:8" ht="25.5" x14ac:dyDescent="0.2">
      <c r="A150" s="22" t="s">
        <v>9</v>
      </c>
      <c r="B150" s="23" t="s">
        <v>9</v>
      </c>
      <c r="C150" s="23" t="s">
        <v>132</v>
      </c>
      <c r="D150" s="23" t="s">
        <v>133</v>
      </c>
      <c r="E150" s="25" t="s">
        <v>9</v>
      </c>
      <c r="F150" s="25" t="s">
        <v>9</v>
      </c>
      <c r="G150" s="25" t="s">
        <v>9</v>
      </c>
      <c r="H150" s="142"/>
    </row>
    <row r="151" spans="1:8" x14ac:dyDescent="0.2">
      <c r="A151" s="22" t="s">
        <v>9</v>
      </c>
      <c r="B151" s="23" t="s">
        <v>134</v>
      </c>
      <c r="C151" s="23" t="s">
        <v>135</v>
      </c>
      <c r="D151" s="23" t="s">
        <v>136</v>
      </c>
      <c r="E151" s="25" t="s">
        <v>9</v>
      </c>
      <c r="F151" s="25" t="s">
        <v>9</v>
      </c>
      <c r="G151" s="25" t="s">
        <v>9</v>
      </c>
      <c r="H151" s="142"/>
    </row>
    <row r="152" spans="1:8" x14ac:dyDescent="0.2">
      <c r="A152" s="22" t="s">
        <v>9</v>
      </c>
      <c r="B152" s="183" t="s">
        <v>137</v>
      </c>
      <c r="C152" s="184">
        <v>14.3689</v>
      </c>
      <c r="D152" s="184">
        <v>14.834199999999999</v>
      </c>
      <c r="E152" s="25" t="s">
        <v>9</v>
      </c>
      <c r="F152" s="73" t="s">
        <v>9</v>
      </c>
      <c r="G152" s="25" t="s">
        <v>9</v>
      </c>
      <c r="H152" s="142"/>
    </row>
    <row r="153" spans="1:8" x14ac:dyDescent="0.2">
      <c r="A153" s="22" t="s">
        <v>9</v>
      </c>
      <c r="B153" s="183" t="s">
        <v>921</v>
      </c>
      <c r="C153" s="184">
        <v>14.3689</v>
      </c>
      <c r="D153" s="184">
        <v>14.834199999999999</v>
      </c>
      <c r="E153" s="25" t="s">
        <v>9</v>
      </c>
      <c r="F153" s="73" t="s">
        <v>9</v>
      </c>
      <c r="G153" s="25" t="s">
        <v>9</v>
      </c>
      <c r="H153" s="142"/>
    </row>
    <row r="154" spans="1:8" x14ac:dyDescent="0.2">
      <c r="A154" s="22" t="s">
        <v>9</v>
      </c>
      <c r="B154" s="183" t="s">
        <v>138</v>
      </c>
      <c r="C154" s="184">
        <v>14.167999999999999</v>
      </c>
      <c r="D154" s="184">
        <v>14.620100000000001</v>
      </c>
      <c r="E154" s="25" t="s">
        <v>9</v>
      </c>
      <c r="F154" s="73" t="s">
        <v>9</v>
      </c>
      <c r="G154" s="25" t="s">
        <v>9</v>
      </c>
      <c r="H154" s="142"/>
    </row>
    <row r="155" spans="1:8" x14ac:dyDescent="0.2">
      <c r="A155" s="22" t="s">
        <v>9</v>
      </c>
      <c r="B155" s="183" t="s">
        <v>922</v>
      </c>
      <c r="C155" s="184">
        <v>14.167999999999999</v>
      </c>
      <c r="D155" s="184">
        <v>14.620100000000001</v>
      </c>
      <c r="E155" s="25" t="s">
        <v>9</v>
      </c>
      <c r="F155" s="73" t="s">
        <v>9</v>
      </c>
      <c r="G155" s="25" t="s">
        <v>9</v>
      </c>
      <c r="H155" s="142"/>
    </row>
    <row r="156" spans="1:8" x14ac:dyDescent="0.2">
      <c r="A156" s="22" t="s">
        <v>9</v>
      </c>
      <c r="B156" s="22" t="s">
        <v>9</v>
      </c>
      <c r="C156" s="22" t="s">
        <v>9</v>
      </c>
      <c r="D156" s="22" t="s">
        <v>9</v>
      </c>
      <c r="E156" s="25" t="s">
        <v>9</v>
      </c>
      <c r="F156" s="25" t="s">
        <v>9</v>
      </c>
      <c r="G156" s="25" t="s">
        <v>9</v>
      </c>
      <c r="H156" s="142"/>
    </row>
    <row r="157" spans="1:8" x14ac:dyDescent="0.2">
      <c r="A157" s="22" t="s">
        <v>9</v>
      </c>
      <c r="B157" s="240" t="s">
        <v>1012</v>
      </c>
      <c r="C157" s="241"/>
      <c r="D157" s="177" t="s">
        <v>129</v>
      </c>
      <c r="E157" s="25" t="s">
        <v>9</v>
      </c>
      <c r="F157" s="25" t="s">
        <v>9</v>
      </c>
      <c r="G157" s="25" t="s">
        <v>9</v>
      </c>
      <c r="H157" s="142"/>
    </row>
    <row r="158" spans="1:8" x14ac:dyDescent="0.2">
      <c r="A158" s="22" t="s">
        <v>9</v>
      </c>
      <c r="B158" s="98"/>
      <c r="C158" s="98"/>
      <c r="D158" s="26" t="s">
        <v>9</v>
      </c>
      <c r="E158" s="25" t="s">
        <v>9</v>
      </c>
      <c r="F158" s="25" t="s">
        <v>9</v>
      </c>
      <c r="G158" s="25" t="s">
        <v>9</v>
      </c>
      <c r="H158" s="142"/>
    </row>
    <row r="159" spans="1:8" s="238" customFormat="1" ht="12.75" x14ac:dyDescent="0.2">
      <c r="B159" s="246" t="s">
        <v>923</v>
      </c>
      <c r="C159" s="246"/>
      <c r="D159" s="246"/>
      <c r="E159" s="246"/>
      <c r="F159" s="246"/>
    </row>
    <row r="160" spans="1:8" x14ac:dyDescent="0.2">
      <c r="A160" s="22" t="s">
        <v>9</v>
      </c>
      <c r="B160" s="185" t="s">
        <v>9</v>
      </c>
      <c r="C160" s="185" t="s">
        <v>9</v>
      </c>
      <c r="D160" s="22" t="s">
        <v>9</v>
      </c>
      <c r="E160" s="25" t="s">
        <v>9</v>
      </c>
      <c r="F160" s="25" t="s">
        <v>9</v>
      </c>
      <c r="G160" s="25" t="s">
        <v>9</v>
      </c>
      <c r="H160" s="142"/>
    </row>
    <row r="161" spans="1:8" x14ac:dyDescent="0.2">
      <c r="A161" s="22" t="s">
        <v>9</v>
      </c>
      <c r="B161" s="240" t="s">
        <v>139</v>
      </c>
      <c r="C161" s="241"/>
      <c r="D161" s="177" t="s">
        <v>129</v>
      </c>
      <c r="E161" s="25" t="s">
        <v>9</v>
      </c>
      <c r="F161" s="25" t="s">
        <v>9</v>
      </c>
      <c r="G161" s="25" t="s">
        <v>9</v>
      </c>
      <c r="H161" s="142"/>
    </row>
    <row r="162" spans="1:8" x14ac:dyDescent="0.2">
      <c r="A162" s="22" t="s">
        <v>9</v>
      </c>
      <c r="B162" s="240" t="s">
        <v>140</v>
      </c>
      <c r="C162" s="241"/>
      <c r="D162" s="177" t="s">
        <v>129</v>
      </c>
      <c r="E162" s="25" t="s">
        <v>9</v>
      </c>
      <c r="F162" s="25" t="s">
        <v>9</v>
      </c>
      <c r="G162" s="25" t="s">
        <v>9</v>
      </c>
      <c r="H162" s="142"/>
    </row>
    <row r="163" spans="1:8" x14ac:dyDescent="0.2">
      <c r="A163" s="22" t="s">
        <v>9</v>
      </c>
      <c r="B163" s="240" t="s">
        <v>141</v>
      </c>
      <c r="C163" s="241"/>
      <c r="D163" s="186">
        <v>0.45488891499702572</v>
      </c>
      <c r="E163" s="25" t="s">
        <v>9</v>
      </c>
      <c r="F163" s="73" t="s">
        <v>9</v>
      </c>
      <c r="G163" s="25" t="s">
        <v>9</v>
      </c>
      <c r="H163" s="142"/>
    </row>
    <row r="164" spans="1:8" x14ac:dyDescent="0.2">
      <c r="A164" s="22" t="s">
        <v>9</v>
      </c>
      <c r="B164" s="240" t="s">
        <v>142</v>
      </c>
      <c r="C164" s="241"/>
      <c r="D164" s="177" t="s">
        <v>129</v>
      </c>
      <c r="E164" s="25" t="s">
        <v>9</v>
      </c>
      <c r="F164" s="25" t="s">
        <v>9</v>
      </c>
      <c r="G164" s="25" t="s">
        <v>9</v>
      </c>
      <c r="H164" s="142"/>
    </row>
  </sheetData>
  <mergeCells count="14">
    <mergeCell ref="B146:C146"/>
    <mergeCell ref="B144:F144"/>
    <mergeCell ref="A1:H1"/>
    <mergeCell ref="A2:H2"/>
    <mergeCell ref="A3:H3"/>
    <mergeCell ref="B163:C163"/>
    <mergeCell ref="B164:C164"/>
    <mergeCell ref="B147:C147"/>
    <mergeCell ref="B148:C148"/>
    <mergeCell ref="B149:C149"/>
    <mergeCell ref="B157:C157"/>
    <mergeCell ref="B161:C161"/>
    <mergeCell ref="B162:C162"/>
    <mergeCell ref="B159:F159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outlinePr summaryBelow="0" summaryRight="0"/>
  </sheetPr>
  <dimension ref="A1:H154"/>
  <sheetViews>
    <sheetView showGridLines="0" workbookViewId="0">
      <selection activeCell="J1" sqref="J1"/>
    </sheetView>
  </sheetViews>
  <sheetFormatPr defaultRowHeight="15" x14ac:dyDescent="0.2"/>
  <cols>
    <col min="1" max="1" width="6.85546875" style="155" customWidth="1"/>
    <col min="2" max="2" width="20.5703125" style="155" customWidth="1"/>
    <col min="3" max="3" width="34.28515625" style="155" customWidth="1"/>
    <col min="4" max="4" width="17.85546875" style="155" customWidth="1"/>
    <col min="5" max="6" width="19.140625" style="155" customWidth="1"/>
    <col min="7" max="7" width="16.42578125" style="155" customWidth="1"/>
    <col min="8" max="16384" width="9.140625" style="155"/>
  </cols>
  <sheetData>
    <row r="1" spans="1:8" x14ac:dyDescent="0.2">
      <c r="A1" s="250" t="s">
        <v>0</v>
      </c>
      <c r="B1" s="250"/>
      <c r="C1" s="250"/>
      <c r="D1" s="250"/>
      <c r="E1" s="250"/>
      <c r="F1" s="250"/>
      <c r="G1" s="250"/>
      <c r="H1" s="250"/>
    </row>
    <row r="2" spans="1:8" x14ac:dyDescent="0.2">
      <c r="A2" s="251" t="s">
        <v>466</v>
      </c>
      <c r="B2" s="252"/>
      <c r="C2" s="252"/>
      <c r="D2" s="252"/>
      <c r="E2" s="252"/>
      <c r="F2" s="252"/>
      <c r="G2" s="252"/>
      <c r="H2" s="253"/>
    </row>
    <row r="3" spans="1:8" x14ac:dyDescent="0.2">
      <c r="A3" s="250" t="s">
        <v>1015</v>
      </c>
      <c r="B3" s="250"/>
      <c r="C3" s="250"/>
      <c r="D3" s="250"/>
      <c r="E3" s="250"/>
      <c r="F3" s="250"/>
      <c r="G3" s="250"/>
      <c r="H3" s="250"/>
    </row>
    <row r="4" spans="1:8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60" t="s">
        <v>6</v>
      </c>
      <c r="F4" s="160" t="s">
        <v>7</v>
      </c>
      <c r="G4" s="160" t="s">
        <v>8</v>
      </c>
      <c r="H4" s="161" t="s">
        <v>909</v>
      </c>
    </row>
    <row r="5" spans="1:8" x14ac:dyDescent="0.2">
      <c r="A5" s="15" t="s">
        <v>9</v>
      </c>
      <c r="B5" s="15" t="s">
        <v>9</v>
      </c>
      <c r="C5" s="3" t="s">
        <v>10</v>
      </c>
      <c r="D5" s="15" t="s">
        <v>9</v>
      </c>
      <c r="E5" s="15" t="s">
        <v>9</v>
      </c>
      <c r="F5" s="15" t="s">
        <v>9</v>
      </c>
      <c r="G5" s="15" t="s">
        <v>9</v>
      </c>
      <c r="H5" s="100"/>
    </row>
    <row r="6" spans="1:8" ht="25.5" x14ac:dyDescent="0.2">
      <c r="A6" s="15" t="s">
        <v>9</v>
      </c>
      <c r="B6" s="15" t="s">
        <v>9</v>
      </c>
      <c r="C6" s="3" t="s">
        <v>11</v>
      </c>
      <c r="D6" s="15" t="s">
        <v>9</v>
      </c>
      <c r="E6" s="15" t="s">
        <v>9</v>
      </c>
      <c r="F6" s="15" t="s">
        <v>9</v>
      </c>
      <c r="G6" s="15" t="s">
        <v>9</v>
      </c>
      <c r="H6" s="100"/>
    </row>
    <row r="7" spans="1:8" x14ac:dyDescent="0.2">
      <c r="A7" s="4">
        <v>1</v>
      </c>
      <c r="B7" s="5" t="s">
        <v>144</v>
      </c>
      <c r="C7" s="5" t="s">
        <v>145</v>
      </c>
      <c r="D7" s="5" t="s">
        <v>146</v>
      </c>
      <c r="E7" s="6">
        <v>11668</v>
      </c>
      <c r="F7" s="7">
        <v>400.00237600000003</v>
      </c>
      <c r="G7" s="8">
        <v>3.9655791000000003E-2</v>
      </c>
      <c r="H7" s="100"/>
    </row>
    <row r="8" spans="1:8" x14ac:dyDescent="0.2">
      <c r="A8" s="4">
        <v>2</v>
      </c>
      <c r="B8" s="5" t="s">
        <v>26</v>
      </c>
      <c r="C8" s="5" t="s">
        <v>27</v>
      </c>
      <c r="D8" s="5" t="s">
        <v>28</v>
      </c>
      <c r="E8" s="6">
        <v>40959</v>
      </c>
      <c r="F8" s="7">
        <v>375.14348100000001</v>
      </c>
      <c r="G8" s="8">
        <v>3.7191307999999999E-2</v>
      </c>
      <c r="H8" s="100"/>
    </row>
    <row r="9" spans="1:8" ht="25.5" x14ac:dyDescent="0.2">
      <c r="A9" s="4">
        <v>3</v>
      </c>
      <c r="B9" s="5" t="s">
        <v>166</v>
      </c>
      <c r="C9" s="5" t="s">
        <v>948</v>
      </c>
      <c r="D9" s="5" t="s">
        <v>1001</v>
      </c>
      <c r="E9" s="6">
        <v>155147</v>
      </c>
      <c r="F9" s="7">
        <v>367.85353700000002</v>
      </c>
      <c r="G9" s="8">
        <v>3.6468591000000002E-2</v>
      </c>
      <c r="H9" s="100"/>
    </row>
    <row r="10" spans="1:8" x14ac:dyDescent="0.2">
      <c r="A10" s="4">
        <v>4</v>
      </c>
      <c r="B10" s="5" t="s">
        <v>50</v>
      </c>
      <c r="C10" s="5" t="s">
        <v>51</v>
      </c>
      <c r="D10" s="5" t="s">
        <v>28</v>
      </c>
      <c r="E10" s="6">
        <v>37713</v>
      </c>
      <c r="F10" s="7">
        <v>333.55262850000003</v>
      </c>
      <c r="G10" s="8">
        <v>3.3068037000000002E-2</v>
      </c>
      <c r="H10" s="100"/>
    </row>
    <row r="11" spans="1:8" x14ac:dyDescent="0.2">
      <c r="A11" s="4">
        <v>5</v>
      </c>
      <c r="B11" s="5" t="s">
        <v>467</v>
      </c>
      <c r="C11" s="5" t="s">
        <v>468</v>
      </c>
      <c r="D11" s="5" t="s">
        <v>163</v>
      </c>
      <c r="E11" s="6">
        <v>94486</v>
      </c>
      <c r="F11" s="7">
        <v>283.41075699999999</v>
      </c>
      <c r="G11" s="8">
        <v>2.8097028E-2</v>
      </c>
      <c r="H11" s="100"/>
    </row>
    <row r="12" spans="1:8" x14ac:dyDescent="0.2">
      <c r="A12" s="4">
        <v>6</v>
      </c>
      <c r="B12" s="5" t="s">
        <v>461</v>
      </c>
      <c r="C12" s="5" t="s">
        <v>462</v>
      </c>
      <c r="D12" s="5" t="s">
        <v>193</v>
      </c>
      <c r="E12" s="6">
        <v>105000</v>
      </c>
      <c r="F12" s="7">
        <v>278.40750000000003</v>
      </c>
      <c r="G12" s="8">
        <v>2.7601009999999999E-2</v>
      </c>
      <c r="H12" s="100"/>
    </row>
    <row r="13" spans="1:8" ht="25.5" x14ac:dyDescent="0.2">
      <c r="A13" s="4">
        <v>7</v>
      </c>
      <c r="B13" s="5" t="s">
        <v>442</v>
      </c>
      <c r="C13" s="5" t="s">
        <v>443</v>
      </c>
      <c r="D13" s="5" t="s">
        <v>25</v>
      </c>
      <c r="E13" s="6">
        <v>25868</v>
      </c>
      <c r="F13" s="7">
        <v>271.303584</v>
      </c>
      <c r="G13" s="8">
        <v>2.6896736000000001E-2</v>
      </c>
      <c r="H13" s="100"/>
    </row>
    <row r="14" spans="1:8" x14ac:dyDescent="0.2">
      <c r="A14" s="4">
        <v>8</v>
      </c>
      <c r="B14" s="5" t="s">
        <v>48</v>
      </c>
      <c r="C14" s="5" t="s">
        <v>49</v>
      </c>
      <c r="D14" s="5" t="s">
        <v>28</v>
      </c>
      <c r="E14" s="6">
        <v>18691</v>
      </c>
      <c r="F14" s="7">
        <v>262.44967650000001</v>
      </c>
      <c r="G14" s="8">
        <v>2.6018968999999999E-2</v>
      </c>
      <c r="H14" s="100"/>
    </row>
    <row r="15" spans="1:8" x14ac:dyDescent="0.2">
      <c r="A15" s="4">
        <v>9</v>
      </c>
      <c r="B15" s="5" t="s">
        <v>43</v>
      </c>
      <c r="C15" s="5" t="s">
        <v>44</v>
      </c>
      <c r="D15" s="5" t="s">
        <v>28</v>
      </c>
      <c r="E15" s="6">
        <v>13711</v>
      </c>
      <c r="F15" s="7">
        <v>244.28203149999999</v>
      </c>
      <c r="G15" s="8">
        <v>2.4217849E-2</v>
      </c>
      <c r="H15" s="100"/>
    </row>
    <row r="16" spans="1:8" x14ac:dyDescent="0.2">
      <c r="A16" s="4">
        <v>10</v>
      </c>
      <c r="B16" s="5" t="s">
        <v>440</v>
      </c>
      <c r="C16" s="5" t="s">
        <v>441</v>
      </c>
      <c r="D16" s="5" t="s">
        <v>58</v>
      </c>
      <c r="E16" s="6">
        <v>90401</v>
      </c>
      <c r="F16" s="7">
        <v>243.811497</v>
      </c>
      <c r="G16" s="8">
        <v>2.4171201E-2</v>
      </c>
      <c r="H16" s="100"/>
    </row>
    <row r="17" spans="1:8" ht="25.5" x14ac:dyDescent="0.2">
      <c r="A17" s="4">
        <v>11</v>
      </c>
      <c r="B17" s="5" t="s">
        <v>324</v>
      </c>
      <c r="C17" s="5" t="s">
        <v>325</v>
      </c>
      <c r="D17" s="5" t="s">
        <v>58</v>
      </c>
      <c r="E17" s="6">
        <v>63068</v>
      </c>
      <c r="F17" s="7">
        <v>242.74873199999999</v>
      </c>
      <c r="G17" s="8">
        <v>2.4065840000000002E-2</v>
      </c>
      <c r="H17" s="100"/>
    </row>
    <row r="18" spans="1:8" x14ac:dyDescent="0.2">
      <c r="A18" s="4">
        <v>12</v>
      </c>
      <c r="B18" s="5" t="s">
        <v>278</v>
      </c>
      <c r="C18" s="5" t="s">
        <v>279</v>
      </c>
      <c r="D18" s="5" t="s">
        <v>28</v>
      </c>
      <c r="E18" s="6">
        <v>22353</v>
      </c>
      <c r="F18" s="7">
        <v>236.56179900000001</v>
      </c>
      <c r="G18" s="8">
        <v>2.3452474000000001E-2</v>
      </c>
      <c r="H18" s="100"/>
    </row>
    <row r="19" spans="1:8" x14ac:dyDescent="0.2">
      <c r="A19" s="4">
        <v>13</v>
      </c>
      <c r="B19" s="5" t="s">
        <v>184</v>
      </c>
      <c r="C19" s="5" t="s">
        <v>185</v>
      </c>
      <c r="D19" s="5" t="s">
        <v>172</v>
      </c>
      <c r="E19" s="6">
        <v>127326</v>
      </c>
      <c r="F19" s="7">
        <v>226.130976</v>
      </c>
      <c r="G19" s="8">
        <v>2.2418374000000001E-2</v>
      </c>
      <c r="H19" s="100"/>
    </row>
    <row r="20" spans="1:8" x14ac:dyDescent="0.2">
      <c r="A20" s="4">
        <v>14</v>
      </c>
      <c r="B20" s="5" t="s">
        <v>235</v>
      </c>
      <c r="C20" s="5" t="s">
        <v>236</v>
      </c>
      <c r="D20" s="5" t="s">
        <v>1005</v>
      </c>
      <c r="E20" s="6">
        <v>51380</v>
      </c>
      <c r="F20" s="7">
        <v>224.60767000000001</v>
      </c>
      <c r="G20" s="8">
        <v>2.2267354999999999E-2</v>
      </c>
      <c r="H20" s="100"/>
    </row>
    <row r="21" spans="1:8" ht="25.5" x14ac:dyDescent="0.2">
      <c r="A21" s="4">
        <v>15</v>
      </c>
      <c r="B21" s="5" t="s">
        <v>182</v>
      </c>
      <c r="C21" s="5" t="s">
        <v>944</v>
      </c>
      <c r="D21" s="5" t="s">
        <v>58</v>
      </c>
      <c r="E21" s="6">
        <v>9500</v>
      </c>
      <c r="F21" s="7">
        <v>221.85825</v>
      </c>
      <c r="G21" s="8">
        <v>2.1994779999999998E-2</v>
      </c>
      <c r="H21" s="100"/>
    </row>
    <row r="22" spans="1:8" x14ac:dyDescent="0.2">
      <c r="A22" s="4">
        <v>16</v>
      </c>
      <c r="B22" s="5" t="s">
        <v>161</v>
      </c>
      <c r="C22" s="5" t="s">
        <v>162</v>
      </c>
      <c r="D22" s="5" t="s">
        <v>163</v>
      </c>
      <c r="E22" s="6">
        <v>16680</v>
      </c>
      <c r="F22" s="7">
        <v>205.94795999999999</v>
      </c>
      <c r="G22" s="8">
        <v>2.0417451999999999E-2</v>
      </c>
      <c r="H22" s="100"/>
    </row>
    <row r="23" spans="1:8" x14ac:dyDescent="0.2">
      <c r="A23" s="4">
        <v>17</v>
      </c>
      <c r="B23" s="5" t="s">
        <v>469</v>
      </c>
      <c r="C23" s="5" t="s">
        <v>470</v>
      </c>
      <c r="D23" s="5" t="s">
        <v>193</v>
      </c>
      <c r="E23" s="6">
        <v>3589</v>
      </c>
      <c r="F23" s="7">
        <v>189.26591500000001</v>
      </c>
      <c r="G23" s="8">
        <v>1.8763612999999998E-2</v>
      </c>
      <c r="H23" s="100"/>
    </row>
    <row r="24" spans="1:8" x14ac:dyDescent="0.2">
      <c r="A24" s="4">
        <v>18</v>
      </c>
      <c r="B24" s="5" t="s">
        <v>471</v>
      </c>
      <c r="C24" s="5" t="s">
        <v>472</v>
      </c>
      <c r="D24" s="5" t="s">
        <v>63</v>
      </c>
      <c r="E24" s="6">
        <v>202773</v>
      </c>
      <c r="F24" s="7">
        <v>186.956706</v>
      </c>
      <c r="G24" s="8">
        <v>1.8534680000000001E-2</v>
      </c>
      <c r="H24" s="100"/>
    </row>
    <row r="25" spans="1:8" x14ac:dyDescent="0.2">
      <c r="A25" s="4">
        <v>19</v>
      </c>
      <c r="B25" s="5" t="s">
        <v>386</v>
      </c>
      <c r="C25" s="5" t="s">
        <v>387</v>
      </c>
      <c r="D25" s="5" t="s">
        <v>193</v>
      </c>
      <c r="E25" s="6">
        <v>2436</v>
      </c>
      <c r="F25" s="7">
        <v>183.949668</v>
      </c>
      <c r="G25" s="8">
        <v>1.8236565999999999E-2</v>
      </c>
      <c r="H25" s="100"/>
    </row>
    <row r="26" spans="1:8" x14ac:dyDescent="0.2">
      <c r="A26" s="4">
        <v>20</v>
      </c>
      <c r="B26" s="5" t="s">
        <v>309</v>
      </c>
      <c r="C26" s="5" t="s">
        <v>310</v>
      </c>
      <c r="D26" s="5" t="s">
        <v>58</v>
      </c>
      <c r="E26" s="6">
        <v>8109</v>
      </c>
      <c r="F26" s="7">
        <v>180.13738050000001</v>
      </c>
      <c r="G26" s="8">
        <v>1.7858619999999999E-2</v>
      </c>
      <c r="H26" s="100"/>
    </row>
    <row r="27" spans="1:8" x14ac:dyDescent="0.2">
      <c r="A27" s="4">
        <v>21</v>
      </c>
      <c r="B27" s="5" t="s">
        <v>154</v>
      </c>
      <c r="C27" s="5" t="s">
        <v>155</v>
      </c>
      <c r="D27" s="5" t="s">
        <v>156</v>
      </c>
      <c r="E27" s="6">
        <v>219114</v>
      </c>
      <c r="F27" s="7">
        <v>177.48233999999999</v>
      </c>
      <c r="G27" s="8">
        <v>1.7595402E-2</v>
      </c>
      <c r="H27" s="100"/>
    </row>
    <row r="28" spans="1:8" x14ac:dyDescent="0.2">
      <c r="A28" s="4">
        <v>22</v>
      </c>
      <c r="B28" s="5" t="s">
        <v>164</v>
      </c>
      <c r="C28" s="5" t="s">
        <v>947</v>
      </c>
      <c r="D28" s="5" t="s">
        <v>151</v>
      </c>
      <c r="E28" s="6">
        <v>24121</v>
      </c>
      <c r="F28" s="7">
        <v>174.7445845</v>
      </c>
      <c r="G28" s="8">
        <v>1.7323984000000001E-2</v>
      </c>
      <c r="H28" s="100"/>
    </row>
    <row r="29" spans="1:8" ht="25.5" x14ac:dyDescent="0.2">
      <c r="A29" s="4">
        <v>23</v>
      </c>
      <c r="B29" s="5" t="s">
        <v>180</v>
      </c>
      <c r="C29" s="5" t="s">
        <v>934</v>
      </c>
      <c r="D29" s="5" t="s">
        <v>146</v>
      </c>
      <c r="E29" s="6">
        <v>46003</v>
      </c>
      <c r="F29" s="7">
        <v>166.46185550000001</v>
      </c>
      <c r="G29" s="8">
        <v>1.6502843E-2</v>
      </c>
      <c r="H29" s="100"/>
    </row>
    <row r="30" spans="1:8" x14ac:dyDescent="0.2">
      <c r="A30" s="4">
        <v>24</v>
      </c>
      <c r="B30" s="5" t="s">
        <v>473</v>
      </c>
      <c r="C30" s="5" t="s">
        <v>474</v>
      </c>
      <c r="D30" s="5" t="s">
        <v>146</v>
      </c>
      <c r="E30" s="6">
        <v>14286</v>
      </c>
      <c r="F30" s="7">
        <v>158.42459700000001</v>
      </c>
      <c r="G30" s="8">
        <v>1.5706039000000001E-2</v>
      </c>
      <c r="H30" s="100"/>
    </row>
    <row r="31" spans="1:8" x14ac:dyDescent="0.2">
      <c r="A31" s="4">
        <v>25</v>
      </c>
      <c r="B31" s="5" t="s">
        <v>200</v>
      </c>
      <c r="C31" s="5" t="s">
        <v>201</v>
      </c>
      <c r="D31" s="5" t="s">
        <v>1003</v>
      </c>
      <c r="E31" s="6">
        <v>24745</v>
      </c>
      <c r="F31" s="7">
        <v>155.472835</v>
      </c>
      <c r="G31" s="8">
        <v>1.5413404E-2</v>
      </c>
      <c r="H31" s="100"/>
    </row>
    <row r="32" spans="1:8" ht="25.5" x14ac:dyDescent="0.2">
      <c r="A32" s="4">
        <v>26</v>
      </c>
      <c r="B32" s="5" t="s">
        <v>71</v>
      </c>
      <c r="C32" s="5" t="s">
        <v>72</v>
      </c>
      <c r="D32" s="5" t="s">
        <v>73</v>
      </c>
      <c r="E32" s="6">
        <v>26165</v>
      </c>
      <c r="F32" s="7">
        <v>145.41198750000001</v>
      </c>
      <c r="G32" s="8">
        <v>1.4415983E-2</v>
      </c>
      <c r="H32" s="100"/>
    </row>
    <row r="33" spans="1:8" x14ac:dyDescent="0.2">
      <c r="A33" s="4">
        <v>27</v>
      </c>
      <c r="B33" s="5" t="s">
        <v>177</v>
      </c>
      <c r="C33" s="5" t="s">
        <v>178</v>
      </c>
      <c r="D33" s="5" t="s">
        <v>47</v>
      </c>
      <c r="E33" s="6">
        <v>13628</v>
      </c>
      <c r="F33" s="7">
        <v>143.87079600000001</v>
      </c>
      <c r="G33" s="8">
        <v>1.4263191E-2</v>
      </c>
      <c r="H33" s="100"/>
    </row>
    <row r="34" spans="1:8" x14ac:dyDescent="0.2">
      <c r="A34" s="4">
        <v>28</v>
      </c>
      <c r="B34" s="5" t="s">
        <v>196</v>
      </c>
      <c r="C34" s="5" t="s">
        <v>197</v>
      </c>
      <c r="D34" s="5" t="s">
        <v>151</v>
      </c>
      <c r="E34" s="6">
        <v>19362</v>
      </c>
      <c r="F34" s="7">
        <v>142.70762099999999</v>
      </c>
      <c r="G34" s="8">
        <v>1.4147875000000001E-2</v>
      </c>
      <c r="H34" s="100"/>
    </row>
    <row r="35" spans="1:8" x14ac:dyDescent="0.2">
      <c r="A35" s="4">
        <v>29</v>
      </c>
      <c r="B35" s="5" t="s">
        <v>451</v>
      </c>
      <c r="C35" s="5" t="s">
        <v>452</v>
      </c>
      <c r="D35" s="5" t="s">
        <v>63</v>
      </c>
      <c r="E35" s="6">
        <v>53500</v>
      </c>
      <c r="F35" s="7">
        <v>141.50749999999999</v>
      </c>
      <c r="G35" s="8">
        <v>1.4028896000000001E-2</v>
      </c>
      <c r="H35" s="100"/>
    </row>
    <row r="36" spans="1:8" x14ac:dyDescent="0.2">
      <c r="A36" s="4">
        <v>30</v>
      </c>
      <c r="B36" s="5" t="s">
        <v>212</v>
      </c>
      <c r="C36" s="5" t="s">
        <v>213</v>
      </c>
      <c r="D36" s="5" t="s">
        <v>38</v>
      </c>
      <c r="E36" s="6">
        <v>19637</v>
      </c>
      <c r="F36" s="7">
        <v>140.77765299999999</v>
      </c>
      <c r="G36" s="8">
        <v>1.395654E-2</v>
      </c>
      <c r="H36" s="100"/>
    </row>
    <row r="37" spans="1:8" x14ac:dyDescent="0.2">
      <c r="A37" s="4">
        <v>31</v>
      </c>
      <c r="B37" s="5" t="s">
        <v>475</v>
      </c>
      <c r="C37" s="5" t="s">
        <v>476</v>
      </c>
      <c r="D37" s="5" t="s">
        <v>17</v>
      </c>
      <c r="E37" s="6">
        <v>108924</v>
      </c>
      <c r="F37" s="7">
        <v>136.97192999999999</v>
      </c>
      <c r="G37" s="8">
        <v>1.3579245E-2</v>
      </c>
      <c r="H37" s="100"/>
    </row>
    <row r="38" spans="1:8" x14ac:dyDescent="0.2">
      <c r="A38" s="4">
        <v>32</v>
      </c>
      <c r="B38" s="5" t="s">
        <v>198</v>
      </c>
      <c r="C38" s="5" t="s">
        <v>199</v>
      </c>
      <c r="D38" s="5" t="s">
        <v>156</v>
      </c>
      <c r="E38" s="6">
        <v>254112</v>
      </c>
      <c r="F38" s="7">
        <v>134.67936</v>
      </c>
      <c r="G38" s="8">
        <v>1.3351962E-2</v>
      </c>
      <c r="H38" s="100"/>
    </row>
    <row r="39" spans="1:8" x14ac:dyDescent="0.2">
      <c r="A39" s="4">
        <v>33</v>
      </c>
      <c r="B39" s="5" t="s">
        <v>204</v>
      </c>
      <c r="C39" s="5" t="s">
        <v>205</v>
      </c>
      <c r="D39" s="5" t="s">
        <v>1004</v>
      </c>
      <c r="E39" s="6">
        <v>47840</v>
      </c>
      <c r="F39" s="7">
        <v>130.07696000000001</v>
      </c>
      <c r="G39" s="8">
        <v>1.2895685E-2</v>
      </c>
      <c r="H39" s="100"/>
    </row>
    <row r="40" spans="1:8" x14ac:dyDescent="0.2">
      <c r="A40" s="4">
        <v>34</v>
      </c>
      <c r="B40" s="5" t="s">
        <v>210</v>
      </c>
      <c r="C40" s="5" t="s">
        <v>211</v>
      </c>
      <c r="D40" s="5" t="s">
        <v>193</v>
      </c>
      <c r="E40" s="6">
        <v>27841</v>
      </c>
      <c r="F40" s="7">
        <v>126.0501275</v>
      </c>
      <c r="G40" s="8">
        <v>1.2496470000000001E-2</v>
      </c>
      <c r="H40" s="100"/>
    </row>
    <row r="41" spans="1:8" x14ac:dyDescent="0.2">
      <c r="A41" s="4">
        <v>35</v>
      </c>
      <c r="B41" s="5" t="s">
        <v>208</v>
      </c>
      <c r="C41" s="5" t="s">
        <v>209</v>
      </c>
      <c r="D41" s="5" t="s">
        <v>163</v>
      </c>
      <c r="E41" s="6">
        <v>33876</v>
      </c>
      <c r="F41" s="7">
        <v>124.32492000000001</v>
      </c>
      <c r="G41" s="8">
        <v>1.2325434E-2</v>
      </c>
      <c r="H41" s="100"/>
    </row>
    <row r="42" spans="1:8" ht="25.5" x14ac:dyDescent="0.2">
      <c r="A42" s="4">
        <v>36</v>
      </c>
      <c r="B42" s="5" t="s">
        <v>214</v>
      </c>
      <c r="C42" s="5" t="s">
        <v>215</v>
      </c>
      <c r="D42" s="5" t="s">
        <v>25</v>
      </c>
      <c r="E42" s="6">
        <v>174549</v>
      </c>
      <c r="F42" s="7">
        <v>121.486104</v>
      </c>
      <c r="G42" s="8">
        <v>1.2043997000000001E-2</v>
      </c>
      <c r="H42" s="100"/>
    </row>
    <row r="43" spans="1:8" ht="25.5" x14ac:dyDescent="0.2">
      <c r="A43" s="4">
        <v>37</v>
      </c>
      <c r="B43" s="5" t="s">
        <v>266</v>
      </c>
      <c r="C43" s="5" t="s">
        <v>267</v>
      </c>
      <c r="D43" s="5" t="s">
        <v>25</v>
      </c>
      <c r="E43" s="6">
        <v>118628</v>
      </c>
      <c r="F43" s="7">
        <v>119.51770999999999</v>
      </c>
      <c r="G43" s="8">
        <v>1.1848852999999999E-2</v>
      </c>
      <c r="H43" s="100"/>
    </row>
    <row r="44" spans="1:8" x14ac:dyDescent="0.2">
      <c r="A44" s="4">
        <v>38</v>
      </c>
      <c r="B44" s="5" t="s">
        <v>477</v>
      </c>
      <c r="C44" s="5" t="s">
        <v>478</v>
      </c>
      <c r="D44" s="5" t="s">
        <v>163</v>
      </c>
      <c r="E44" s="6">
        <v>814</v>
      </c>
      <c r="F44" s="7">
        <v>109.96326000000001</v>
      </c>
      <c r="G44" s="8">
        <v>1.0901635E-2</v>
      </c>
      <c r="H44" s="100"/>
    </row>
    <row r="45" spans="1:8" x14ac:dyDescent="0.2">
      <c r="A45" s="4">
        <v>39</v>
      </c>
      <c r="B45" s="5" t="s">
        <v>229</v>
      </c>
      <c r="C45" s="5" t="s">
        <v>230</v>
      </c>
      <c r="D45" s="5" t="s">
        <v>193</v>
      </c>
      <c r="E45" s="6">
        <v>7795</v>
      </c>
      <c r="F45" s="7">
        <v>108.7675325</v>
      </c>
      <c r="G45" s="8">
        <v>1.0783091999999999E-2</v>
      </c>
      <c r="H45" s="100"/>
    </row>
    <row r="46" spans="1:8" ht="25.5" x14ac:dyDescent="0.2">
      <c r="A46" s="4">
        <v>40</v>
      </c>
      <c r="B46" s="5" t="s">
        <v>479</v>
      </c>
      <c r="C46" s="5" t="s">
        <v>958</v>
      </c>
      <c r="D46" s="5" t="s">
        <v>73</v>
      </c>
      <c r="E46" s="6">
        <v>801</v>
      </c>
      <c r="F46" s="7">
        <v>108.52348499999999</v>
      </c>
      <c r="G46" s="8">
        <v>1.0758897999999999E-2</v>
      </c>
      <c r="H46" s="100"/>
    </row>
    <row r="47" spans="1:8" x14ac:dyDescent="0.2">
      <c r="A47" s="4">
        <v>41</v>
      </c>
      <c r="B47" s="5" t="s">
        <v>453</v>
      </c>
      <c r="C47" s="5" t="s">
        <v>454</v>
      </c>
      <c r="D47" s="5" t="s">
        <v>156</v>
      </c>
      <c r="E47" s="6">
        <v>17966</v>
      </c>
      <c r="F47" s="7">
        <v>106.96956400000001</v>
      </c>
      <c r="G47" s="8">
        <v>1.0604844E-2</v>
      </c>
      <c r="H47" s="100"/>
    </row>
    <row r="48" spans="1:8" x14ac:dyDescent="0.2">
      <c r="A48" s="4">
        <v>42</v>
      </c>
      <c r="B48" s="5" t="s">
        <v>449</v>
      </c>
      <c r="C48" s="5" t="s">
        <v>450</v>
      </c>
      <c r="D48" s="5" t="s">
        <v>28</v>
      </c>
      <c r="E48" s="6">
        <v>19126</v>
      </c>
      <c r="F48" s="7">
        <v>104.781791</v>
      </c>
      <c r="G48" s="8">
        <v>1.038795E-2</v>
      </c>
      <c r="H48" s="100"/>
    </row>
    <row r="49" spans="1:8" ht="25.5" x14ac:dyDescent="0.2">
      <c r="A49" s="4">
        <v>43</v>
      </c>
      <c r="B49" s="5" t="s">
        <v>480</v>
      </c>
      <c r="C49" s="5" t="s">
        <v>481</v>
      </c>
      <c r="D49" s="5" t="s">
        <v>73</v>
      </c>
      <c r="E49" s="6">
        <v>20000</v>
      </c>
      <c r="F49" s="7">
        <v>103.91</v>
      </c>
      <c r="G49" s="8">
        <v>1.0301522E-2</v>
      </c>
      <c r="H49" s="100"/>
    </row>
    <row r="50" spans="1:8" ht="25.5" x14ac:dyDescent="0.2">
      <c r="A50" s="4">
        <v>44</v>
      </c>
      <c r="B50" s="5" t="s">
        <v>74</v>
      </c>
      <c r="C50" s="5" t="s">
        <v>75</v>
      </c>
      <c r="D50" s="5" t="s">
        <v>25</v>
      </c>
      <c r="E50" s="6">
        <v>2500</v>
      </c>
      <c r="F50" s="7">
        <v>103.87</v>
      </c>
      <c r="G50" s="8">
        <v>1.0297555999999999E-2</v>
      </c>
      <c r="H50" s="100"/>
    </row>
    <row r="51" spans="1:8" x14ac:dyDescent="0.2">
      <c r="A51" s="4">
        <v>45</v>
      </c>
      <c r="B51" s="5" t="s">
        <v>226</v>
      </c>
      <c r="C51" s="5" t="s">
        <v>227</v>
      </c>
      <c r="D51" s="5" t="s">
        <v>228</v>
      </c>
      <c r="E51" s="6">
        <v>66200</v>
      </c>
      <c r="F51" s="7">
        <v>103.6361</v>
      </c>
      <c r="G51" s="8">
        <v>1.0274368000000001E-2</v>
      </c>
      <c r="H51" s="100"/>
    </row>
    <row r="52" spans="1:8" x14ac:dyDescent="0.2">
      <c r="A52" s="4">
        <v>46</v>
      </c>
      <c r="B52" s="5" t="s">
        <v>231</v>
      </c>
      <c r="C52" s="5" t="s">
        <v>935</v>
      </c>
      <c r="D52" s="5" t="s">
        <v>156</v>
      </c>
      <c r="E52" s="6">
        <v>20705</v>
      </c>
      <c r="F52" s="7">
        <v>103.048785</v>
      </c>
      <c r="G52" s="8">
        <v>1.0216141999999999E-2</v>
      </c>
      <c r="H52" s="100"/>
    </row>
    <row r="53" spans="1:8" x14ac:dyDescent="0.2">
      <c r="A53" s="4">
        <v>47</v>
      </c>
      <c r="B53" s="5" t="s">
        <v>186</v>
      </c>
      <c r="C53" s="5" t="s">
        <v>187</v>
      </c>
      <c r="D53" s="5" t="s">
        <v>188</v>
      </c>
      <c r="E53" s="6">
        <v>14087</v>
      </c>
      <c r="F53" s="7">
        <v>102.4899685</v>
      </c>
      <c r="G53" s="8">
        <v>1.0160742E-2</v>
      </c>
      <c r="H53" s="100"/>
    </row>
    <row r="54" spans="1:8" x14ac:dyDescent="0.2">
      <c r="A54" s="4">
        <v>48</v>
      </c>
      <c r="B54" s="5" t="s">
        <v>482</v>
      </c>
      <c r="C54" s="5" t="s">
        <v>483</v>
      </c>
      <c r="D54" s="5" t="s">
        <v>38</v>
      </c>
      <c r="E54" s="6">
        <v>138600</v>
      </c>
      <c r="F54" s="7">
        <v>99.2376</v>
      </c>
      <c r="G54" s="8">
        <v>9.8383050000000003E-3</v>
      </c>
      <c r="H54" s="100"/>
    </row>
    <row r="55" spans="1:8" x14ac:dyDescent="0.2">
      <c r="A55" s="4">
        <v>49</v>
      </c>
      <c r="B55" s="5" t="s">
        <v>239</v>
      </c>
      <c r="C55" s="5" t="s">
        <v>240</v>
      </c>
      <c r="D55" s="5" t="s">
        <v>58</v>
      </c>
      <c r="E55" s="6">
        <v>21356</v>
      </c>
      <c r="F55" s="7">
        <v>97.628953999999993</v>
      </c>
      <c r="G55" s="8">
        <v>9.6788259999999997E-3</v>
      </c>
      <c r="H55" s="100"/>
    </row>
    <row r="56" spans="1:8" x14ac:dyDescent="0.2">
      <c r="A56" s="4">
        <v>50</v>
      </c>
      <c r="B56" s="5" t="s">
        <v>241</v>
      </c>
      <c r="C56" s="5" t="s">
        <v>242</v>
      </c>
      <c r="D56" s="5" t="s">
        <v>163</v>
      </c>
      <c r="E56" s="6">
        <v>16139</v>
      </c>
      <c r="F56" s="7">
        <v>96.123884000000004</v>
      </c>
      <c r="G56" s="8">
        <v>9.529615E-3</v>
      </c>
      <c r="H56" s="100"/>
    </row>
    <row r="57" spans="1:8" x14ac:dyDescent="0.2">
      <c r="A57" s="4">
        <v>51</v>
      </c>
      <c r="B57" s="5" t="s">
        <v>247</v>
      </c>
      <c r="C57" s="5" t="s">
        <v>248</v>
      </c>
      <c r="D57" s="5" t="s">
        <v>1005</v>
      </c>
      <c r="E57" s="6">
        <v>41485</v>
      </c>
      <c r="F57" s="7">
        <v>77.742890000000003</v>
      </c>
      <c r="G57" s="8">
        <v>7.7073439999999997E-3</v>
      </c>
      <c r="H57" s="100"/>
    </row>
    <row r="58" spans="1:8" x14ac:dyDescent="0.2">
      <c r="A58" s="4">
        <v>52</v>
      </c>
      <c r="B58" s="5" t="s">
        <v>484</v>
      </c>
      <c r="C58" s="5" t="s">
        <v>485</v>
      </c>
      <c r="D58" s="5" t="s">
        <v>1005</v>
      </c>
      <c r="E58" s="6">
        <v>58845</v>
      </c>
      <c r="F58" s="7">
        <v>76.410232500000006</v>
      </c>
      <c r="G58" s="8">
        <v>7.575226E-3</v>
      </c>
      <c r="H58" s="100"/>
    </row>
    <row r="59" spans="1:8" x14ac:dyDescent="0.2">
      <c r="A59" s="4">
        <v>53</v>
      </c>
      <c r="B59" s="5" t="s">
        <v>254</v>
      </c>
      <c r="C59" s="5" t="s">
        <v>255</v>
      </c>
      <c r="D59" s="5" t="s">
        <v>58</v>
      </c>
      <c r="E59" s="6">
        <v>51244</v>
      </c>
      <c r="F59" s="7">
        <v>71.152293999999998</v>
      </c>
      <c r="G59" s="8">
        <v>7.0539590000000003E-3</v>
      </c>
      <c r="H59" s="100"/>
    </row>
    <row r="60" spans="1:8" x14ac:dyDescent="0.2">
      <c r="A60" s="4">
        <v>54</v>
      </c>
      <c r="B60" s="5" t="s">
        <v>264</v>
      </c>
      <c r="C60" s="5" t="s">
        <v>265</v>
      </c>
      <c r="D60" s="5" t="s">
        <v>193</v>
      </c>
      <c r="E60" s="6">
        <v>7006</v>
      </c>
      <c r="F60" s="7">
        <v>69.058142000000004</v>
      </c>
      <c r="G60" s="8">
        <v>6.846347E-3</v>
      </c>
      <c r="H60" s="100"/>
    </row>
    <row r="61" spans="1:8" x14ac:dyDescent="0.2">
      <c r="A61" s="4">
        <v>55</v>
      </c>
      <c r="B61" s="5" t="s">
        <v>258</v>
      </c>
      <c r="C61" s="5" t="s">
        <v>259</v>
      </c>
      <c r="D61" s="5" t="s">
        <v>1006</v>
      </c>
      <c r="E61" s="6">
        <v>4651</v>
      </c>
      <c r="F61" s="7">
        <v>68.660387499999999</v>
      </c>
      <c r="G61" s="8">
        <v>6.8069150000000002E-3</v>
      </c>
      <c r="H61" s="100"/>
    </row>
    <row r="62" spans="1:8" x14ac:dyDescent="0.2">
      <c r="A62" s="4">
        <v>56</v>
      </c>
      <c r="B62" s="5" t="s">
        <v>268</v>
      </c>
      <c r="C62" s="5" t="s">
        <v>269</v>
      </c>
      <c r="D62" s="5" t="s">
        <v>1005</v>
      </c>
      <c r="E62" s="6">
        <v>155931</v>
      </c>
      <c r="F62" s="7">
        <v>55.199573999999998</v>
      </c>
      <c r="G62" s="8">
        <v>5.472424E-3</v>
      </c>
      <c r="H62" s="100"/>
    </row>
    <row r="63" spans="1:8" x14ac:dyDescent="0.2">
      <c r="A63" s="4">
        <v>57</v>
      </c>
      <c r="B63" s="5" t="s">
        <v>444</v>
      </c>
      <c r="C63" s="5" t="s">
        <v>445</v>
      </c>
      <c r="D63" s="5" t="s">
        <v>58</v>
      </c>
      <c r="E63" s="6">
        <v>6000</v>
      </c>
      <c r="F63" s="7">
        <v>50.73</v>
      </c>
      <c r="G63" s="8">
        <v>5.0293159999999998E-3</v>
      </c>
      <c r="H63" s="100"/>
    </row>
    <row r="64" spans="1:8" x14ac:dyDescent="0.2">
      <c r="A64" s="4">
        <v>58</v>
      </c>
      <c r="B64" s="5" t="s">
        <v>270</v>
      </c>
      <c r="C64" s="5" t="s">
        <v>271</v>
      </c>
      <c r="D64" s="5" t="s">
        <v>272</v>
      </c>
      <c r="E64" s="6">
        <v>21925</v>
      </c>
      <c r="F64" s="7">
        <v>28.579237500000001</v>
      </c>
      <c r="G64" s="8">
        <v>2.833314E-3</v>
      </c>
      <c r="H64" s="100"/>
    </row>
    <row r="65" spans="1:8" x14ac:dyDescent="0.2">
      <c r="A65" s="4">
        <v>59</v>
      </c>
      <c r="B65" s="5" t="s">
        <v>275</v>
      </c>
      <c r="C65" s="5" t="s">
        <v>276</v>
      </c>
      <c r="D65" s="5" t="s">
        <v>228</v>
      </c>
      <c r="E65" s="6">
        <v>22189</v>
      </c>
      <c r="F65" s="7">
        <v>6.1241640000000004</v>
      </c>
      <c r="G65" s="8">
        <v>6.0714299999999998E-4</v>
      </c>
      <c r="H65" s="100"/>
    </row>
    <row r="66" spans="1:8" x14ac:dyDescent="0.2">
      <c r="A66" s="15" t="s">
        <v>9</v>
      </c>
      <c r="B66" s="15" t="s">
        <v>9</v>
      </c>
      <c r="C66" s="3" t="s">
        <v>94</v>
      </c>
      <c r="D66" s="15" t="s">
        <v>9</v>
      </c>
      <c r="E66" s="15" t="s">
        <v>9</v>
      </c>
      <c r="F66" s="9">
        <v>9450.9588514999996</v>
      </c>
      <c r="G66" s="10">
        <v>0.93695755999999997</v>
      </c>
      <c r="H66" s="100"/>
    </row>
    <row r="67" spans="1:8" x14ac:dyDescent="0.2">
      <c r="A67" s="15" t="s">
        <v>9</v>
      </c>
      <c r="B67" s="15" t="s">
        <v>9</v>
      </c>
      <c r="C67" s="11" t="s">
        <v>9</v>
      </c>
      <c r="D67" s="15" t="s">
        <v>9</v>
      </c>
      <c r="E67" s="15" t="s">
        <v>9</v>
      </c>
      <c r="F67" s="12" t="s">
        <v>9</v>
      </c>
      <c r="G67" s="12" t="s">
        <v>9</v>
      </c>
      <c r="H67" s="100"/>
    </row>
    <row r="68" spans="1:8" x14ac:dyDescent="0.2">
      <c r="A68" s="15" t="s">
        <v>9</v>
      </c>
      <c r="B68" s="15" t="s">
        <v>9</v>
      </c>
      <c r="C68" s="3" t="s">
        <v>95</v>
      </c>
      <c r="D68" s="15" t="s">
        <v>9</v>
      </c>
      <c r="E68" s="15" t="s">
        <v>9</v>
      </c>
      <c r="F68" s="15" t="s">
        <v>9</v>
      </c>
      <c r="G68" s="15" t="s">
        <v>9</v>
      </c>
      <c r="H68" s="100"/>
    </row>
    <row r="69" spans="1:8" x14ac:dyDescent="0.2">
      <c r="A69" s="15" t="s">
        <v>9</v>
      </c>
      <c r="B69" s="15" t="s">
        <v>9</v>
      </c>
      <c r="C69" s="3" t="s">
        <v>94</v>
      </c>
      <c r="D69" s="15" t="s">
        <v>9</v>
      </c>
      <c r="E69" s="15" t="s">
        <v>9</v>
      </c>
      <c r="F69" s="13">
        <v>0</v>
      </c>
      <c r="G69" s="14">
        <v>0</v>
      </c>
      <c r="H69" s="100"/>
    </row>
    <row r="70" spans="1:8" x14ac:dyDescent="0.2">
      <c r="A70" s="15" t="s">
        <v>9</v>
      </c>
      <c r="B70" s="15" t="s">
        <v>9</v>
      </c>
      <c r="C70" s="11" t="s">
        <v>9</v>
      </c>
      <c r="D70" s="15" t="s">
        <v>9</v>
      </c>
      <c r="E70" s="15" t="s">
        <v>9</v>
      </c>
      <c r="F70" s="12" t="s">
        <v>9</v>
      </c>
      <c r="G70" s="12" t="s">
        <v>9</v>
      </c>
      <c r="H70" s="100"/>
    </row>
    <row r="71" spans="1:8" x14ac:dyDescent="0.2">
      <c r="A71" s="15" t="s">
        <v>9</v>
      </c>
      <c r="B71" s="15" t="s">
        <v>9</v>
      </c>
      <c r="C71" s="3" t="s">
        <v>96</v>
      </c>
      <c r="D71" s="15" t="s">
        <v>9</v>
      </c>
      <c r="E71" s="15" t="s">
        <v>9</v>
      </c>
      <c r="F71" s="15" t="s">
        <v>9</v>
      </c>
      <c r="G71" s="15" t="s">
        <v>9</v>
      </c>
      <c r="H71" s="100"/>
    </row>
    <row r="72" spans="1:8" x14ac:dyDescent="0.2">
      <c r="A72" s="15" t="s">
        <v>9</v>
      </c>
      <c r="B72" s="15" t="s">
        <v>9</v>
      </c>
      <c r="C72" s="3" t="s">
        <v>94</v>
      </c>
      <c r="D72" s="15" t="s">
        <v>9</v>
      </c>
      <c r="E72" s="15" t="s">
        <v>9</v>
      </c>
      <c r="F72" s="13">
        <v>0</v>
      </c>
      <c r="G72" s="14">
        <v>0</v>
      </c>
      <c r="H72" s="100"/>
    </row>
    <row r="73" spans="1:8" x14ac:dyDescent="0.2">
      <c r="A73" s="15" t="s">
        <v>9</v>
      </c>
      <c r="B73" s="15" t="s">
        <v>9</v>
      </c>
      <c r="C73" s="11" t="s">
        <v>9</v>
      </c>
      <c r="D73" s="15" t="s">
        <v>9</v>
      </c>
      <c r="E73" s="15" t="s">
        <v>9</v>
      </c>
      <c r="F73" s="12" t="s">
        <v>9</v>
      </c>
      <c r="G73" s="12" t="s">
        <v>9</v>
      </c>
      <c r="H73" s="100"/>
    </row>
    <row r="74" spans="1:8" x14ac:dyDescent="0.2">
      <c r="A74" s="15" t="s">
        <v>9</v>
      </c>
      <c r="B74" s="15" t="s">
        <v>9</v>
      </c>
      <c r="C74" s="3" t="s">
        <v>100</v>
      </c>
      <c r="D74" s="15" t="s">
        <v>9</v>
      </c>
      <c r="E74" s="15" t="s">
        <v>9</v>
      </c>
      <c r="F74" s="15" t="s">
        <v>9</v>
      </c>
      <c r="G74" s="15" t="s">
        <v>9</v>
      </c>
      <c r="H74" s="100"/>
    </row>
    <row r="75" spans="1:8" x14ac:dyDescent="0.2">
      <c r="A75" s="15" t="s">
        <v>9</v>
      </c>
      <c r="B75" s="15" t="s">
        <v>9</v>
      </c>
      <c r="C75" s="3" t="s">
        <v>94</v>
      </c>
      <c r="D75" s="15" t="s">
        <v>9</v>
      </c>
      <c r="E75" s="15" t="s">
        <v>9</v>
      </c>
      <c r="F75" s="13">
        <v>0</v>
      </c>
      <c r="G75" s="14">
        <v>0</v>
      </c>
      <c r="H75" s="100"/>
    </row>
    <row r="76" spans="1:8" x14ac:dyDescent="0.2">
      <c r="A76" s="15" t="s">
        <v>9</v>
      </c>
      <c r="B76" s="15" t="s">
        <v>9</v>
      </c>
      <c r="C76" s="11" t="s">
        <v>9</v>
      </c>
      <c r="D76" s="15" t="s">
        <v>9</v>
      </c>
      <c r="E76" s="15" t="s">
        <v>9</v>
      </c>
      <c r="F76" s="12" t="s">
        <v>9</v>
      </c>
      <c r="G76" s="12" t="s">
        <v>9</v>
      </c>
      <c r="H76" s="100"/>
    </row>
    <row r="77" spans="1:8" x14ac:dyDescent="0.2">
      <c r="A77" s="15" t="s">
        <v>9</v>
      </c>
      <c r="B77" s="15" t="s">
        <v>9</v>
      </c>
      <c r="C77" s="3" t="s">
        <v>101</v>
      </c>
      <c r="D77" s="15" t="s">
        <v>9</v>
      </c>
      <c r="E77" s="15" t="s">
        <v>9</v>
      </c>
      <c r="F77" s="12" t="s">
        <v>9</v>
      </c>
      <c r="G77" s="12" t="s">
        <v>9</v>
      </c>
      <c r="H77" s="100"/>
    </row>
    <row r="78" spans="1:8" x14ac:dyDescent="0.2">
      <c r="A78" s="15" t="s">
        <v>9</v>
      </c>
      <c r="B78" s="15" t="s">
        <v>9</v>
      </c>
      <c r="C78" s="3" t="s">
        <v>94</v>
      </c>
      <c r="D78" s="15" t="s">
        <v>9</v>
      </c>
      <c r="E78" s="15" t="s">
        <v>9</v>
      </c>
      <c r="F78" s="13">
        <v>0</v>
      </c>
      <c r="G78" s="14">
        <v>0</v>
      </c>
      <c r="H78" s="100"/>
    </row>
    <row r="79" spans="1:8" x14ac:dyDescent="0.2">
      <c r="A79" s="15" t="s">
        <v>9</v>
      </c>
      <c r="B79" s="15" t="s">
        <v>9</v>
      </c>
      <c r="C79" s="11" t="s">
        <v>9</v>
      </c>
      <c r="D79" s="15" t="s">
        <v>9</v>
      </c>
      <c r="E79" s="15" t="s">
        <v>9</v>
      </c>
      <c r="F79" s="12" t="s">
        <v>9</v>
      </c>
      <c r="G79" s="12" t="s">
        <v>9</v>
      </c>
      <c r="H79" s="100"/>
    </row>
    <row r="80" spans="1:8" x14ac:dyDescent="0.2">
      <c r="A80" s="15" t="s">
        <v>9</v>
      </c>
      <c r="B80" s="15" t="s">
        <v>9</v>
      </c>
      <c r="C80" s="3" t="s">
        <v>102</v>
      </c>
      <c r="D80" s="15" t="s">
        <v>9</v>
      </c>
      <c r="E80" s="15" t="s">
        <v>9</v>
      </c>
      <c r="F80" s="12" t="s">
        <v>9</v>
      </c>
      <c r="G80" s="12" t="s">
        <v>9</v>
      </c>
      <c r="H80" s="100"/>
    </row>
    <row r="81" spans="1:8" x14ac:dyDescent="0.2">
      <c r="A81" s="15" t="s">
        <v>9</v>
      </c>
      <c r="B81" s="15" t="s">
        <v>9</v>
      </c>
      <c r="C81" s="3" t="s">
        <v>94</v>
      </c>
      <c r="D81" s="15" t="s">
        <v>9</v>
      </c>
      <c r="E81" s="15" t="s">
        <v>9</v>
      </c>
      <c r="F81" s="13">
        <v>0</v>
      </c>
      <c r="G81" s="14">
        <v>0</v>
      </c>
      <c r="H81" s="100"/>
    </row>
    <row r="82" spans="1:8" x14ac:dyDescent="0.2">
      <c r="A82" s="15" t="s">
        <v>9</v>
      </c>
      <c r="B82" s="15" t="s">
        <v>9</v>
      </c>
      <c r="C82" s="11" t="s">
        <v>9</v>
      </c>
      <c r="D82" s="15" t="s">
        <v>9</v>
      </c>
      <c r="E82" s="15" t="s">
        <v>9</v>
      </c>
      <c r="F82" s="12" t="s">
        <v>9</v>
      </c>
      <c r="G82" s="12" t="s">
        <v>9</v>
      </c>
      <c r="H82" s="100"/>
    </row>
    <row r="83" spans="1:8" x14ac:dyDescent="0.2">
      <c r="A83" s="15" t="s">
        <v>9</v>
      </c>
      <c r="B83" s="15" t="s">
        <v>9</v>
      </c>
      <c r="C83" s="3" t="s">
        <v>104</v>
      </c>
      <c r="D83" s="15" t="s">
        <v>9</v>
      </c>
      <c r="E83" s="15" t="s">
        <v>9</v>
      </c>
      <c r="F83" s="9">
        <v>9450.9588514999996</v>
      </c>
      <c r="G83" s="10">
        <v>0.93695755999999997</v>
      </c>
      <c r="H83" s="100"/>
    </row>
    <row r="84" spans="1:8" x14ac:dyDescent="0.2">
      <c r="A84" s="15" t="s">
        <v>9</v>
      </c>
      <c r="B84" s="15" t="s">
        <v>9</v>
      </c>
      <c r="C84" s="11" t="s">
        <v>9</v>
      </c>
      <c r="D84" s="15" t="s">
        <v>9</v>
      </c>
      <c r="E84" s="15" t="s">
        <v>9</v>
      </c>
      <c r="F84" s="12" t="s">
        <v>9</v>
      </c>
      <c r="G84" s="12" t="s">
        <v>9</v>
      </c>
      <c r="H84" s="100"/>
    </row>
    <row r="85" spans="1:8" x14ac:dyDescent="0.2">
      <c r="A85" s="15" t="s">
        <v>9</v>
      </c>
      <c r="B85" s="15" t="s">
        <v>9</v>
      </c>
      <c r="C85" s="3" t="s">
        <v>105</v>
      </c>
      <c r="D85" s="15" t="s">
        <v>9</v>
      </c>
      <c r="E85" s="15" t="s">
        <v>9</v>
      </c>
      <c r="F85" s="12" t="s">
        <v>9</v>
      </c>
      <c r="G85" s="12" t="s">
        <v>9</v>
      </c>
      <c r="H85" s="100"/>
    </row>
    <row r="86" spans="1:8" ht="25.5" x14ac:dyDescent="0.2">
      <c r="A86" s="15" t="s">
        <v>9</v>
      </c>
      <c r="B86" s="15" t="s">
        <v>9</v>
      </c>
      <c r="C86" s="3" t="s">
        <v>11</v>
      </c>
      <c r="D86" s="15" t="s">
        <v>9</v>
      </c>
      <c r="E86" s="15" t="s">
        <v>9</v>
      </c>
      <c r="F86" s="12" t="s">
        <v>9</v>
      </c>
      <c r="G86" s="12" t="s">
        <v>9</v>
      </c>
      <c r="H86" s="100"/>
    </row>
    <row r="87" spans="1:8" x14ac:dyDescent="0.2">
      <c r="A87" s="15" t="s">
        <v>9</v>
      </c>
      <c r="B87" s="15" t="s">
        <v>9</v>
      </c>
      <c r="C87" s="3" t="s">
        <v>94</v>
      </c>
      <c r="D87" s="15" t="s">
        <v>9</v>
      </c>
      <c r="E87" s="15" t="s">
        <v>9</v>
      </c>
      <c r="F87" s="13">
        <v>0</v>
      </c>
      <c r="G87" s="14">
        <v>0</v>
      </c>
      <c r="H87" s="100"/>
    </row>
    <row r="88" spans="1:8" x14ac:dyDescent="0.2">
      <c r="A88" s="15" t="s">
        <v>9</v>
      </c>
      <c r="B88" s="15" t="s">
        <v>9</v>
      </c>
      <c r="C88" s="11" t="s">
        <v>9</v>
      </c>
      <c r="D88" s="15" t="s">
        <v>9</v>
      </c>
      <c r="E88" s="15" t="s">
        <v>9</v>
      </c>
      <c r="F88" s="12" t="s">
        <v>9</v>
      </c>
      <c r="G88" s="12" t="s">
        <v>9</v>
      </c>
      <c r="H88" s="100"/>
    </row>
    <row r="89" spans="1:8" x14ac:dyDescent="0.2">
      <c r="A89" s="15" t="s">
        <v>9</v>
      </c>
      <c r="B89" s="15" t="s">
        <v>9</v>
      </c>
      <c r="C89" s="3" t="s">
        <v>106</v>
      </c>
      <c r="D89" s="15" t="s">
        <v>9</v>
      </c>
      <c r="E89" s="15" t="s">
        <v>9</v>
      </c>
      <c r="F89" s="15" t="s">
        <v>9</v>
      </c>
      <c r="G89" s="15" t="s">
        <v>9</v>
      </c>
      <c r="H89" s="100"/>
    </row>
    <row r="90" spans="1:8" x14ac:dyDescent="0.2">
      <c r="A90" s="15" t="s">
        <v>9</v>
      </c>
      <c r="B90" s="15" t="s">
        <v>9</v>
      </c>
      <c r="C90" s="3" t="s">
        <v>94</v>
      </c>
      <c r="D90" s="15" t="s">
        <v>9</v>
      </c>
      <c r="E90" s="15" t="s">
        <v>9</v>
      </c>
      <c r="F90" s="13">
        <v>0</v>
      </c>
      <c r="G90" s="14">
        <v>0</v>
      </c>
      <c r="H90" s="100"/>
    </row>
    <row r="91" spans="1:8" x14ac:dyDescent="0.2">
      <c r="A91" s="15" t="s">
        <v>9</v>
      </c>
      <c r="B91" s="15" t="s">
        <v>9</v>
      </c>
      <c r="C91" s="11" t="s">
        <v>9</v>
      </c>
      <c r="D91" s="15" t="s">
        <v>9</v>
      </c>
      <c r="E91" s="15" t="s">
        <v>9</v>
      </c>
      <c r="F91" s="12" t="s">
        <v>9</v>
      </c>
      <c r="G91" s="12" t="s">
        <v>9</v>
      </c>
      <c r="H91" s="100"/>
    </row>
    <row r="92" spans="1:8" x14ac:dyDescent="0.2">
      <c r="A92" s="15" t="s">
        <v>9</v>
      </c>
      <c r="B92" s="15" t="s">
        <v>9</v>
      </c>
      <c r="C92" s="3" t="s">
        <v>107</v>
      </c>
      <c r="D92" s="15" t="s">
        <v>9</v>
      </c>
      <c r="E92" s="15" t="s">
        <v>9</v>
      </c>
      <c r="F92" s="15" t="s">
        <v>9</v>
      </c>
      <c r="G92" s="15" t="s">
        <v>9</v>
      </c>
      <c r="H92" s="100"/>
    </row>
    <row r="93" spans="1:8" x14ac:dyDescent="0.2">
      <c r="A93" s="15" t="s">
        <v>9</v>
      </c>
      <c r="B93" s="15" t="s">
        <v>9</v>
      </c>
      <c r="C93" s="3" t="s">
        <v>94</v>
      </c>
      <c r="D93" s="15" t="s">
        <v>9</v>
      </c>
      <c r="E93" s="15" t="s">
        <v>9</v>
      </c>
      <c r="F93" s="13">
        <v>0</v>
      </c>
      <c r="G93" s="14">
        <v>0</v>
      </c>
      <c r="H93" s="100"/>
    </row>
    <row r="94" spans="1:8" x14ac:dyDescent="0.2">
      <c r="A94" s="15" t="s">
        <v>9</v>
      </c>
      <c r="B94" s="15" t="s">
        <v>9</v>
      </c>
      <c r="C94" s="11" t="s">
        <v>9</v>
      </c>
      <c r="D94" s="15" t="s">
        <v>9</v>
      </c>
      <c r="E94" s="15" t="s">
        <v>9</v>
      </c>
      <c r="F94" s="12" t="s">
        <v>9</v>
      </c>
      <c r="G94" s="12" t="s">
        <v>9</v>
      </c>
      <c r="H94" s="100"/>
    </row>
    <row r="95" spans="1:8" x14ac:dyDescent="0.2">
      <c r="A95" s="15" t="s">
        <v>9</v>
      </c>
      <c r="B95" s="15" t="s">
        <v>9</v>
      </c>
      <c r="C95" s="3" t="s">
        <v>108</v>
      </c>
      <c r="D95" s="15" t="s">
        <v>9</v>
      </c>
      <c r="E95" s="15" t="s">
        <v>9</v>
      </c>
      <c r="F95" s="12" t="s">
        <v>9</v>
      </c>
      <c r="G95" s="12" t="s">
        <v>9</v>
      </c>
      <c r="H95" s="100"/>
    </row>
    <row r="96" spans="1:8" x14ac:dyDescent="0.2">
      <c r="A96" s="15" t="s">
        <v>9</v>
      </c>
      <c r="B96" s="15" t="s">
        <v>9</v>
      </c>
      <c r="C96" s="3" t="s">
        <v>94</v>
      </c>
      <c r="D96" s="15" t="s">
        <v>9</v>
      </c>
      <c r="E96" s="15" t="s">
        <v>9</v>
      </c>
      <c r="F96" s="13">
        <v>0</v>
      </c>
      <c r="G96" s="14">
        <v>0</v>
      </c>
      <c r="H96" s="100"/>
    </row>
    <row r="97" spans="1:8" x14ac:dyDescent="0.2">
      <c r="A97" s="15" t="s">
        <v>9</v>
      </c>
      <c r="B97" s="15" t="s">
        <v>9</v>
      </c>
      <c r="C97" s="11" t="s">
        <v>9</v>
      </c>
      <c r="D97" s="15" t="s">
        <v>9</v>
      </c>
      <c r="E97" s="15" t="s">
        <v>9</v>
      </c>
      <c r="F97" s="12" t="s">
        <v>9</v>
      </c>
      <c r="G97" s="12" t="s">
        <v>9</v>
      </c>
      <c r="H97" s="100"/>
    </row>
    <row r="98" spans="1:8" x14ac:dyDescent="0.2">
      <c r="A98" s="15" t="s">
        <v>9</v>
      </c>
      <c r="B98" s="15" t="s">
        <v>9</v>
      </c>
      <c r="C98" s="3" t="s">
        <v>109</v>
      </c>
      <c r="D98" s="15" t="s">
        <v>9</v>
      </c>
      <c r="E98" s="15" t="s">
        <v>9</v>
      </c>
      <c r="F98" s="9">
        <v>0</v>
      </c>
      <c r="G98" s="10">
        <v>0</v>
      </c>
      <c r="H98" s="100"/>
    </row>
    <row r="99" spans="1:8" x14ac:dyDescent="0.2">
      <c r="A99" s="15" t="s">
        <v>9</v>
      </c>
      <c r="B99" s="15" t="s">
        <v>9</v>
      </c>
      <c r="C99" s="11" t="s">
        <v>9</v>
      </c>
      <c r="D99" s="15" t="s">
        <v>9</v>
      </c>
      <c r="E99" s="15" t="s">
        <v>9</v>
      </c>
      <c r="F99" s="12" t="s">
        <v>9</v>
      </c>
      <c r="G99" s="12" t="s">
        <v>9</v>
      </c>
      <c r="H99" s="100"/>
    </row>
    <row r="100" spans="1:8" x14ac:dyDescent="0.2">
      <c r="A100" s="15" t="s">
        <v>9</v>
      </c>
      <c r="B100" s="15" t="s">
        <v>9</v>
      </c>
      <c r="C100" s="3" t="s">
        <v>110</v>
      </c>
      <c r="D100" s="15" t="s">
        <v>9</v>
      </c>
      <c r="E100" s="15" t="s">
        <v>9</v>
      </c>
      <c r="F100" s="12" t="s">
        <v>9</v>
      </c>
      <c r="G100" s="12" t="s">
        <v>9</v>
      </c>
      <c r="H100" s="100"/>
    </row>
    <row r="101" spans="1:8" x14ac:dyDescent="0.2">
      <c r="A101" s="15" t="s">
        <v>9</v>
      </c>
      <c r="B101" s="15" t="s">
        <v>9</v>
      </c>
      <c r="C101" s="3" t="s">
        <v>111</v>
      </c>
      <c r="D101" s="15" t="s">
        <v>9</v>
      </c>
      <c r="E101" s="15" t="s">
        <v>9</v>
      </c>
      <c r="F101" s="12" t="s">
        <v>9</v>
      </c>
      <c r="G101" s="12" t="s">
        <v>9</v>
      </c>
      <c r="H101" s="100"/>
    </row>
    <row r="102" spans="1:8" x14ac:dyDescent="0.2">
      <c r="A102" s="15" t="s">
        <v>9</v>
      </c>
      <c r="B102" s="15" t="s">
        <v>9</v>
      </c>
      <c r="C102" s="3" t="s">
        <v>94</v>
      </c>
      <c r="D102" s="15" t="s">
        <v>9</v>
      </c>
      <c r="E102" s="15" t="s">
        <v>9</v>
      </c>
      <c r="F102" s="13">
        <v>0</v>
      </c>
      <c r="G102" s="14">
        <v>0</v>
      </c>
      <c r="H102" s="100"/>
    </row>
    <row r="103" spans="1:8" x14ac:dyDescent="0.2">
      <c r="A103" s="15" t="s">
        <v>9</v>
      </c>
      <c r="B103" s="15" t="s">
        <v>9</v>
      </c>
      <c r="C103" s="11" t="s">
        <v>9</v>
      </c>
      <c r="D103" s="15" t="s">
        <v>9</v>
      </c>
      <c r="E103" s="15" t="s">
        <v>9</v>
      </c>
      <c r="F103" s="12" t="s">
        <v>9</v>
      </c>
      <c r="G103" s="12" t="s">
        <v>9</v>
      </c>
      <c r="H103" s="100"/>
    </row>
    <row r="104" spans="1:8" x14ac:dyDescent="0.2">
      <c r="A104" s="15" t="s">
        <v>9</v>
      </c>
      <c r="B104" s="15" t="s">
        <v>9</v>
      </c>
      <c r="C104" s="3" t="s">
        <v>112</v>
      </c>
      <c r="D104" s="15" t="s">
        <v>9</v>
      </c>
      <c r="E104" s="15" t="s">
        <v>9</v>
      </c>
      <c r="F104" s="12" t="s">
        <v>9</v>
      </c>
      <c r="G104" s="12" t="s">
        <v>9</v>
      </c>
      <c r="H104" s="100"/>
    </row>
    <row r="105" spans="1:8" x14ac:dyDescent="0.2">
      <c r="A105" s="15" t="s">
        <v>9</v>
      </c>
      <c r="B105" s="15" t="s">
        <v>9</v>
      </c>
      <c r="C105" s="3" t="s">
        <v>94</v>
      </c>
      <c r="D105" s="15" t="s">
        <v>9</v>
      </c>
      <c r="E105" s="15" t="s">
        <v>9</v>
      </c>
      <c r="F105" s="13">
        <v>0</v>
      </c>
      <c r="G105" s="14">
        <v>0</v>
      </c>
      <c r="H105" s="100"/>
    </row>
    <row r="106" spans="1:8" x14ac:dyDescent="0.2">
      <c r="A106" s="15" t="s">
        <v>9</v>
      </c>
      <c r="B106" s="15" t="s">
        <v>9</v>
      </c>
      <c r="C106" s="11" t="s">
        <v>9</v>
      </c>
      <c r="D106" s="15" t="s">
        <v>9</v>
      </c>
      <c r="E106" s="15" t="s">
        <v>9</v>
      </c>
      <c r="F106" s="12" t="s">
        <v>9</v>
      </c>
      <c r="G106" s="12" t="s">
        <v>9</v>
      </c>
      <c r="H106" s="100"/>
    </row>
    <row r="107" spans="1:8" x14ac:dyDescent="0.2">
      <c r="A107" s="15" t="s">
        <v>9</v>
      </c>
      <c r="B107" s="15" t="s">
        <v>9</v>
      </c>
      <c r="C107" s="3" t="s">
        <v>113</v>
      </c>
      <c r="D107" s="15" t="s">
        <v>9</v>
      </c>
      <c r="E107" s="15" t="s">
        <v>9</v>
      </c>
      <c r="F107" s="12" t="s">
        <v>9</v>
      </c>
      <c r="G107" s="12" t="s">
        <v>9</v>
      </c>
      <c r="H107" s="100"/>
    </row>
    <row r="108" spans="1:8" x14ac:dyDescent="0.2">
      <c r="A108" s="15" t="s">
        <v>9</v>
      </c>
      <c r="B108" s="15" t="s">
        <v>9</v>
      </c>
      <c r="C108" s="3" t="s">
        <v>94</v>
      </c>
      <c r="D108" s="15" t="s">
        <v>9</v>
      </c>
      <c r="E108" s="15" t="s">
        <v>9</v>
      </c>
      <c r="F108" s="13">
        <v>0</v>
      </c>
      <c r="G108" s="14">
        <v>0</v>
      </c>
      <c r="H108" s="100"/>
    </row>
    <row r="109" spans="1:8" x14ac:dyDescent="0.2">
      <c r="A109" s="15" t="s">
        <v>9</v>
      </c>
      <c r="B109" s="15" t="s">
        <v>9</v>
      </c>
      <c r="C109" s="11" t="s">
        <v>9</v>
      </c>
      <c r="D109" s="15" t="s">
        <v>9</v>
      </c>
      <c r="E109" s="15" t="s">
        <v>9</v>
      </c>
      <c r="F109" s="12" t="s">
        <v>9</v>
      </c>
      <c r="G109" s="12" t="s">
        <v>9</v>
      </c>
      <c r="H109" s="100"/>
    </row>
    <row r="110" spans="1:8" x14ac:dyDescent="0.2">
      <c r="A110" s="15" t="s">
        <v>9</v>
      </c>
      <c r="B110" s="15" t="s">
        <v>9</v>
      </c>
      <c r="C110" s="3" t="s">
        <v>114</v>
      </c>
      <c r="D110" s="15" t="s">
        <v>9</v>
      </c>
      <c r="E110" s="15" t="s">
        <v>9</v>
      </c>
      <c r="F110" s="12" t="s">
        <v>9</v>
      </c>
      <c r="G110" s="12" t="s">
        <v>9</v>
      </c>
      <c r="H110" s="100"/>
    </row>
    <row r="111" spans="1:8" x14ac:dyDescent="0.2">
      <c r="A111" s="4">
        <v>1</v>
      </c>
      <c r="B111" s="5"/>
      <c r="C111" s="5" t="s">
        <v>115</v>
      </c>
      <c r="D111" s="5"/>
      <c r="E111" s="15" t="s">
        <v>9</v>
      </c>
      <c r="F111" s="7">
        <v>638.39218300000005</v>
      </c>
      <c r="G111" s="8">
        <v>6.3289492000000003E-2</v>
      </c>
      <c r="H111" s="99">
        <v>3.2516689338443991</v>
      </c>
    </row>
    <row r="112" spans="1:8" x14ac:dyDescent="0.2">
      <c r="A112" s="4">
        <v>2</v>
      </c>
      <c r="B112" s="5"/>
      <c r="C112" s="5" t="s">
        <v>116</v>
      </c>
      <c r="D112" s="5"/>
      <c r="E112" s="15" t="s">
        <v>9</v>
      </c>
      <c r="F112" s="7">
        <v>87.465535099999997</v>
      </c>
      <c r="G112" s="8">
        <v>8.6712360000000006E-3</v>
      </c>
      <c r="H112" s="100">
        <v>3.350000000000001</v>
      </c>
    </row>
    <row r="113" spans="1:8" x14ac:dyDescent="0.2">
      <c r="A113" s="15" t="s">
        <v>9</v>
      </c>
      <c r="B113" s="15" t="s">
        <v>9</v>
      </c>
      <c r="C113" s="3" t="s">
        <v>94</v>
      </c>
      <c r="D113" s="15" t="s">
        <v>9</v>
      </c>
      <c r="E113" s="15" t="s">
        <v>9</v>
      </c>
      <c r="F113" s="9">
        <v>725.85771810000006</v>
      </c>
      <c r="G113" s="10">
        <v>7.1960728000000002E-2</v>
      </c>
      <c r="H113" s="100"/>
    </row>
    <row r="114" spans="1:8" x14ac:dyDescent="0.2">
      <c r="A114" s="15" t="s">
        <v>9</v>
      </c>
      <c r="B114" s="15" t="s">
        <v>9</v>
      </c>
      <c r="C114" s="11" t="s">
        <v>9</v>
      </c>
      <c r="D114" s="15" t="s">
        <v>9</v>
      </c>
      <c r="E114" s="15" t="s">
        <v>9</v>
      </c>
      <c r="F114" s="12" t="s">
        <v>9</v>
      </c>
      <c r="G114" s="12" t="s">
        <v>9</v>
      </c>
      <c r="H114" s="100"/>
    </row>
    <row r="115" spans="1:8" x14ac:dyDescent="0.2">
      <c r="A115" s="15" t="s">
        <v>9</v>
      </c>
      <c r="B115" s="15" t="s">
        <v>9</v>
      </c>
      <c r="C115" s="3" t="s">
        <v>117</v>
      </c>
      <c r="D115" s="15" t="s">
        <v>9</v>
      </c>
      <c r="E115" s="15" t="s">
        <v>9</v>
      </c>
      <c r="F115" s="9">
        <v>725.85771810000006</v>
      </c>
      <c r="G115" s="10">
        <v>7.1960728000000002E-2</v>
      </c>
      <c r="H115" s="100"/>
    </row>
    <row r="116" spans="1:8" x14ac:dyDescent="0.2">
      <c r="A116" s="15" t="s">
        <v>9</v>
      </c>
      <c r="B116" s="15" t="s">
        <v>9</v>
      </c>
      <c r="C116" s="12" t="s">
        <v>9</v>
      </c>
      <c r="D116" s="15" t="s">
        <v>9</v>
      </c>
      <c r="E116" s="15" t="s">
        <v>9</v>
      </c>
      <c r="F116" s="15" t="s">
        <v>9</v>
      </c>
      <c r="G116" s="15" t="s">
        <v>9</v>
      </c>
      <c r="H116" s="100"/>
    </row>
    <row r="117" spans="1:8" x14ac:dyDescent="0.2">
      <c r="A117" s="15" t="s">
        <v>9</v>
      </c>
      <c r="B117" s="15" t="s">
        <v>9</v>
      </c>
      <c r="C117" s="3" t="s">
        <v>118</v>
      </c>
      <c r="D117" s="15" t="s">
        <v>9</v>
      </c>
      <c r="E117" s="15" t="s">
        <v>9</v>
      </c>
      <c r="F117" s="15" t="s">
        <v>9</v>
      </c>
      <c r="G117" s="15" t="s">
        <v>9</v>
      </c>
      <c r="H117" s="100"/>
    </row>
    <row r="118" spans="1:8" x14ac:dyDescent="0.2">
      <c r="A118" s="15" t="s">
        <v>9</v>
      </c>
      <c r="B118" s="15" t="s">
        <v>9</v>
      </c>
      <c r="C118" s="3" t="s">
        <v>119</v>
      </c>
      <c r="D118" s="15" t="s">
        <v>9</v>
      </c>
      <c r="E118" s="15" t="s">
        <v>9</v>
      </c>
      <c r="F118" s="15" t="s">
        <v>9</v>
      </c>
      <c r="G118" s="15" t="s">
        <v>9</v>
      </c>
      <c r="H118" s="100"/>
    </row>
    <row r="119" spans="1:8" x14ac:dyDescent="0.2">
      <c r="A119" s="15" t="s">
        <v>9</v>
      </c>
      <c r="B119" s="15" t="s">
        <v>9</v>
      </c>
      <c r="C119" s="3" t="s">
        <v>94</v>
      </c>
      <c r="D119" s="15" t="s">
        <v>9</v>
      </c>
      <c r="E119" s="15" t="s">
        <v>9</v>
      </c>
      <c r="F119" s="13">
        <v>0</v>
      </c>
      <c r="G119" s="14">
        <v>0</v>
      </c>
      <c r="H119" s="100"/>
    </row>
    <row r="120" spans="1:8" x14ac:dyDescent="0.2">
      <c r="A120" s="15" t="s">
        <v>9</v>
      </c>
      <c r="B120" s="15" t="s">
        <v>9</v>
      </c>
      <c r="C120" s="11" t="s">
        <v>9</v>
      </c>
      <c r="D120" s="15" t="s">
        <v>9</v>
      </c>
      <c r="E120" s="15" t="s">
        <v>9</v>
      </c>
      <c r="F120" s="12" t="s">
        <v>9</v>
      </c>
      <c r="G120" s="12" t="s">
        <v>9</v>
      </c>
      <c r="H120" s="100"/>
    </row>
    <row r="121" spans="1:8" x14ac:dyDescent="0.2">
      <c r="A121" s="15" t="s">
        <v>9</v>
      </c>
      <c r="B121" s="15" t="s">
        <v>9</v>
      </c>
      <c r="C121" s="3" t="s">
        <v>120</v>
      </c>
      <c r="D121" s="15" t="s">
        <v>9</v>
      </c>
      <c r="E121" s="15" t="s">
        <v>9</v>
      </c>
      <c r="F121" s="15" t="s">
        <v>9</v>
      </c>
      <c r="G121" s="15" t="s">
        <v>9</v>
      </c>
      <c r="H121" s="100"/>
    </row>
    <row r="122" spans="1:8" x14ac:dyDescent="0.2">
      <c r="A122" s="15" t="s">
        <v>9</v>
      </c>
      <c r="B122" s="15" t="s">
        <v>9</v>
      </c>
      <c r="C122" s="3" t="s">
        <v>121</v>
      </c>
      <c r="D122" s="15" t="s">
        <v>9</v>
      </c>
      <c r="E122" s="15" t="s">
        <v>9</v>
      </c>
      <c r="F122" s="15" t="s">
        <v>9</v>
      </c>
      <c r="G122" s="15" t="s">
        <v>9</v>
      </c>
      <c r="H122" s="100"/>
    </row>
    <row r="123" spans="1:8" x14ac:dyDescent="0.2">
      <c r="A123" s="15" t="s">
        <v>9</v>
      </c>
      <c r="B123" s="15" t="s">
        <v>9</v>
      </c>
      <c r="C123" s="3" t="s">
        <v>94</v>
      </c>
      <c r="D123" s="15" t="s">
        <v>9</v>
      </c>
      <c r="E123" s="15" t="s">
        <v>9</v>
      </c>
      <c r="F123" s="13">
        <v>0</v>
      </c>
      <c r="G123" s="14">
        <v>0</v>
      </c>
      <c r="H123" s="100"/>
    </row>
    <row r="124" spans="1:8" x14ac:dyDescent="0.2">
      <c r="A124" s="15" t="s">
        <v>9</v>
      </c>
      <c r="B124" s="15" t="s">
        <v>9</v>
      </c>
      <c r="C124" s="11" t="s">
        <v>9</v>
      </c>
      <c r="D124" s="15" t="s">
        <v>9</v>
      </c>
      <c r="E124" s="15" t="s">
        <v>9</v>
      </c>
      <c r="F124" s="12" t="s">
        <v>9</v>
      </c>
      <c r="G124" s="12" t="s">
        <v>9</v>
      </c>
      <c r="H124" s="100"/>
    </row>
    <row r="125" spans="1:8" x14ac:dyDescent="0.2">
      <c r="A125" s="15" t="s">
        <v>9</v>
      </c>
      <c r="B125" s="15" t="s">
        <v>9</v>
      </c>
      <c r="C125" s="11" t="s">
        <v>9</v>
      </c>
      <c r="D125" s="15" t="s">
        <v>9</v>
      </c>
      <c r="E125" s="15" t="s">
        <v>9</v>
      </c>
      <c r="F125" s="12" t="s">
        <v>9</v>
      </c>
      <c r="G125" s="12" t="s">
        <v>9</v>
      </c>
      <c r="H125" s="100"/>
    </row>
    <row r="126" spans="1:8" ht="25.5" x14ac:dyDescent="0.2">
      <c r="A126" s="15" t="s">
        <v>9</v>
      </c>
      <c r="B126" s="15" t="s">
        <v>9</v>
      </c>
      <c r="C126" s="3" t="s">
        <v>122</v>
      </c>
      <c r="D126" s="15" t="s">
        <v>9</v>
      </c>
      <c r="E126" s="15" t="s">
        <v>9</v>
      </c>
      <c r="F126" s="12" t="s">
        <v>9</v>
      </c>
      <c r="G126" s="12" t="s">
        <v>9</v>
      </c>
      <c r="H126" s="100"/>
    </row>
    <row r="127" spans="1:8" x14ac:dyDescent="0.2">
      <c r="A127" s="15" t="s">
        <v>9</v>
      </c>
      <c r="B127" s="15" t="s">
        <v>9</v>
      </c>
      <c r="C127" s="3" t="s">
        <v>94</v>
      </c>
      <c r="D127" s="15" t="s">
        <v>9</v>
      </c>
      <c r="E127" s="15" t="s">
        <v>9</v>
      </c>
      <c r="F127" s="13">
        <v>0</v>
      </c>
      <c r="G127" s="14">
        <v>0</v>
      </c>
      <c r="H127" s="100"/>
    </row>
    <row r="128" spans="1:8" x14ac:dyDescent="0.2">
      <c r="A128" s="15" t="s">
        <v>9</v>
      </c>
      <c r="B128" s="15" t="s">
        <v>9</v>
      </c>
      <c r="C128" s="11" t="s">
        <v>9</v>
      </c>
      <c r="D128" s="15" t="s">
        <v>9</v>
      </c>
      <c r="E128" s="15" t="s">
        <v>9</v>
      </c>
      <c r="F128" s="12" t="s">
        <v>9</v>
      </c>
      <c r="G128" s="12" t="s">
        <v>9</v>
      </c>
      <c r="H128" s="100"/>
    </row>
    <row r="129" spans="1:8" x14ac:dyDescent="0.2">
      <c r="A129" s="15" t="s">
        <v>9</v>
      </c>
      <c r="B129" s="5" t="s">
        <v>9</v>
      </c>
      <c r="C129" s="5" t="s">
        <v>9</v>
      </c>
      <c r="D129" s="3" t="s">
        <v>9</v>
      </c>
      <c r="E129" s="15" t="s">
        <v>9</v>
      </c>
      <c r="F129" s="5" t="s">
        <v>9</v>
      </c>
      <c r="G129" s="15" t="s">
        <v>9</v>
      </c>
      <c r="H129" s="100"/>
    </row>
    <row r="130" spans="1:8" x14ac:dyDescent="0.2">
      <c r="A130" s="15" t="s">
        <v>9</v>
      </c>
      <c r="B130" s="5" t="s">
        <v>9</v>
      </c>
      <c r="C130" s="5" t="s">
        <v>124</v>
      </c>
      <c r="D130" s="5" t="s">
        <v>9</v>
      </c>
      <c r="E130" s="15" t="s">
        <v>9</v>
      </c>
      <c r="F130" s="7">
        <v>-89.957505380000001</v>
      </c>
      <c r="G130" s="8">
        <v>-8.9182870000000004E-3</v>
      </c>
      <c r="H130" s="100"/>
    </row>
    <row r="131" spans="1:8" x14ac:dyDescent="0.2">
      <c r="A131" s="11" t="s">
        <v>9</v>
      </c>
      <c r="B131" s="11" t="s">
        <v>9</v>
      </c>
      <c r="C131" s="3" t="s">
        <v>125</v>
      </c>
      <c r="D131" s="16" t="s">
        <v>9</v>
      </c>
      <c r="E131" s="16" t="s">
        <v>9</v>
      </c>
      <c r="F131" s="9">
        <v>10086.85906422</v>
      </c>
      <c r="G131" s="10">
        <v>1.0000000010000001</v>
      </c>
      <c r="H131" s="100"/>
    </row>
    <row r="132" spans="1:8" x14ac:dyDescent="0.2">
      <c r="A132" s="17" t="s">
        <v>9</v>
      </c>
      <c r="B132" s="17" t="s">
        <v>9</v>
      </c>
      <c r="C132" s="17" t="s">
        <v>9</v>
      </c>
      <c r="D132" s="18" t="s">
        <v>9</v>
      </c>
      <c r="E132" s="18" t="s">
        <v>9</v>
      </c>
      <c r="F132" s="18" t="s">
        <v>9</v>
      </c>
      <c r="G132" s="18" t="s">
        <v>9</v>
      </c>
      <c r="H132" s="142"/>
    </row>
    <row r="133" spans="1:8" x14ac:dyDescent="0.2">
      <c r="A133" s="19" t="s">
        <v>9</v>
      </c>
      <c r="B133" s="254" t="s">
        <v>9</v>
      </c>
      <c r="C133" s="254"/>
      <c r="D133" s="254"/>
      <c r="E133" s="254"/>
      <c r="F133" s="254"/>
      <c r="G133" s="20" t="s">
        <v>9</v>
      </c>
      <c r="H133" s="142"/>
    </row>
    <row r="134" spans="1:8" x14ac:dyDescent="0.2">
      <c r="A134" s="19" t="s">
        <v>9</v>
      </c>
      <c r="B134" s="254" t="s">
        <v>9</v>
      </c>
      <c r="C134" s="254"/>
      <c r="D134" s="254"/>
      <c r="E134" s="254"/>
      <c r="F134" s="254"/>
      <c r="G134" s="20" t="s">
        <v>9</v>
      </c>
      <c r="H134" s="142"/>
    </row>
    <row r="135" spans="1:8" x14ac:dyDescent="0.2">
      <c r="A135" s="19" t="s">
        <v>9</v>
      </c>
      <c r="B135" s="176" t="s">
        <v>9</v>
      </c>
      <c r="C135" s="176" t="s">
        <v>9</v>
      </c>
      <c r="D135" s="179" t="s">
        <v>9</v>
      </c>
      <c r="E135" s="20" t="s">
        <v>9</v>
      </c>
      <c r="F135" s="20" t="s">
        <v>9</v>
      </c>
      <c r="G135" s="20" t="s">
        <v>9</v>
      </c>
      <c r="H135" s="142"/>
    </row>
    <row r="136" spans="1:8" x14ac:dyDescent="0.2">
      <c r="A136" s="19" t="s">
        <v>9</v>
      </c>
      <c r="B136" s="247" t="s">
        <v>127</v>
      </c>
      <c r="C136" s="248"/>
      <c r="D136" s="182" t="s">
        <v>9</v>
      </c>
      <c r="E136" s="21" t="s">
        <v>9</v>
      </c>
      <c r="F136" s="20" t="s">
        <v>9</v>
      </c>
      <c r="G136" s="20" t="s">
        <v>9</v>
      </c>
      <c r="H136" s="142"/>
    </row>
    <row r="137" spans="1:8" ht="28.5" customHeight="1" x14ac:dyDescent="0.2">
      <c r="A137" s="19" t="s">
        <v>9</v>
      </c>
      <c r="B137" s="242" t="s">
        <v>128</v>
      </c>
      <c r="C137" s="243"/>
      <c r="D137" s="3" t="s">
        <v>129</v>
      </c>
      <c r="E137" s="21" t="s">
        <v>9</v>
      </c>
      <c r="F137" s="20" t="s">
        <v>9</v>
      </c>
      <c r="G137" s="20" t="s">
        <v>9</v>
      </c>
      <c r="H137" s="142"/>
    </row>
    <row r="138" spans="1:8" x14ac:dyDescent="0.2">
      <c r="A138" s="19" t="s">
        <v>9</v>
      </c>
      <c r="B138" s="240" t="s">
        <v>130</v>
      </c>
      <c r="C138" s="241"/>
      <c r="D138" s="177" t="s">
        <v>129</v>
      </c>
      <c r="E138" s="21" t="s">
        <v>9</v>
      </c>
      <c r="F138" s="20" t="s">
        <v>9</v>
      </c>
      <c r="G138" s="20" t="s">
        <v>9</v>
      </c>
      <c r="H138" s="142"/>
    </row>
    <row r="139" spans="1:8" x14ac:dyDescent="0.2">
      <c r="A139" s="19" t="s">
        <v>9</v>
      </c>
      <c r="B139" s="240" t="s">
        <v>131</v>
      </c>
      <c r="C139" s="241"/>
      <c r="D139" s="182" t="s">
        <v>9</v>
      </c>
      <c r="E139" s="21" t="s">
        <v>9</v>
      </c>
      <c r="F139" s="20" t="s">
        <v>9</v>
      </c>
      <c r="G139" s="20" t="s">
        <v>9</v>
      </c>
      <c r="H139" s="142"/>
    </row>
    <row r="140" spans="1:8" ht="25.5" x14ac:dyDescent="0.2">
      <c r="A140" s="25" t="s">
        <v>9</v>
      </c>
      <c r="B140" s="23" t="s">
        <v>9</v>
      </c>
      <c r="C140" s="23" t="s">
        <v>132</v>
      </c>
      <c r="D140" s="23" t="s">
        <v>133</v>
      </c>
      <c r="E140" s="25" t="s">
        <v>9</v>
      </c>
      <c r="F140" s="25" t="s">
        <v>9</v>
      </c>
      <c r="G140" s="25" t="s">
        <v>9</v>
      </c>
      <c r="H140" s="142"/>
    </row>
    <row r="141" spans="1:8" x14ac:dyDescent="0.2">
      <c r="A141" s="25" t="s">
        <v>9</v>
      </c>
      <c r="B141" s="23" t="s">
        <v>134</v>
      </c>
      <c r="C141" s="23" t="s">
        <v>135</v>
      </c>
      <c r="D141" s="23" t="s">
        <v>136</v>
      </c>
      <c r="E141" s="25" t="s">
        <v>9</v>
      </c>
      <c r="F141" s="25" t="s">
        <v>9</v>
      </c>
      <c r="G141" s="25" t="s">
        <v>9</v>
      </c>
      <c r="H141" s="142"/>
    </row>
    <row r="142" spans="1:8" x14ac:dyDescent="0.2">
      <c r="A142" s="25" t="s">
        <v>9</v>
      </c>
      <c r="B142" s="183" t="s">
        <v>137</v>
      </c>
      <c r="C142" s="184">
        <v>14.790800000000001</v>
      </c>
      <c r="D142" s="184">
        <v>15.2074</v>
      </c>
      <c r="E142" s="25" t="s">
        <v>9</v>
      </c>
      <c r="F142" s="73" t="s">
        <v>9</v>
      </c>
      <c r="G142" s="25" t="s">
        <v>9</v>
      </c>
      <c r="H142" s="142"/>
    </row>
    <row r="143" spans="1:8" x14ac:dyDescent="0.2">
      <c r="A143" s="25" t="s">
        <v>9</v>
      </c>
      <c r="B143" s="183" t="s">
        <v>921</v>
      </c>
      <c r="C143" s="184">
        <v>14.790800000000001</v>
      </c>
      <c r="D143" s="184">
        <v>15.2074</v>
      </c>
      <c r="E143" s="25" t="s">
        <v>9</v>
      </c>
      <c r="F143" s="73" t="s">
        <v>9</v>
      </c>
      <c r="G143" s="25" t="s">
        <v>9</v>
      </c>
      <c r="H143" s="142"/>
    </row>
    <row r="144" spans="1:8" x14ac:dyDescent="0.2">
      <c r="A144" s="25" t="s">
        <v>9</v>
      </c>
      <c r="B144" s="183" t="s">
        <v>138</v>
      </c>
      <c r="C144" s="184">
        <v>14.610799999999999</v>
      </c>
      <c r="D144" s="184">
        <v>15.017200000000001</v>
      </c>
      <c r="E144" s="25" t="s">
        <v>9</v>
      </c>
      <c r="F144" s="73" t="s">
        <v>9</v>
      </c>
      <c r="G144" s="25" t="s">
        <v>9</v>
      </c>
      <c r="H144" s="142"/>
    </row>
    <row r="145" spans="1:8" x14ac:dyDescent="0.2">
      <c r="A145" s="25" t="s">
        <v>9</v>
      </c>
      <c r="B145" s="183" t="s">
        <v>922</v>
      </c>
      <c r="C145" s="184">
        <v>14.610900000000001</v>
      </c>
      <c r="D145" s="184">
        <v>15.017300000000001</v>
      </c>
      <c r="E145" s="25" t="s">
        <v>9</v>
      </c>
      <c r="F145" s="73" t="s">
        <v>9</v>
      </c>
      <c r="G145" s="25" t="s">
        <v>9</v>
      </c>
      <c r="H145" s="142"/>
    </row>
    <row r="146" spans="1:8" x14ac:dyDescent="0.2">
      <c r="A146" s="25" t="s">
        <v>9</v>
      </c>
      <c r="B146" s="22" t="s">
        <v>9</v>
      </c>
      <c r="C146" s="22" t="s">
        <v>9</v>
      </c>
      <c r="D146" s="22" t="s">
        <v>9</v>
      </c>
      <c r="E146" s="25" t="s">
        <v>9</v>
      </c>
      <c r="F146" s="25" t="s">
        <v>9</v>
      </c>
      <c r="G146" s="25" t="s">
        <v>9</v>
      </c>
      <c r="H146" s="142"/>
    </row>
    <row r="147" spans="1:8" x14ac:dyDescent="0.2">
      <c r="A147" s="25" t="s">
        <v>9</v>
      </c>
      <c r="B147" s="240" t="s">
        <v>1012</v>
      </c>
      <c r="C147" s="241"/>
      <c r="D147" s="177" t="s">
        <v>129</v>
      </c>
      <c r="E147" s="25" t="s">
        <v>9</v>
      </c>
      <c r="F147" s="25" t="s">
        <v>9</v>
      </c>
      <c r="G147" s="25" t="s">
        <v>9</v>
      </c>
      <c r="H147" s="142"/>
    </row>
    <row r="148" spans="1:8" x14ac:dyDescent="0.2">
      <c r="A148" s="25" t="s">
        <v>9</v>
      </c>
      <c r="B148" s="98"/>
      <c r="C148" s="98"/>
      <c r="D148" s="26" t="s">
        <v>9</v>
      </c>
      <c r="E148" s="25" t="s">
        <v>9</v>
      </c>
      <c r="F148" s="25" t="s">
        <v>9</v>
      </c>
      <c r="G148" s="25" t="s">
        <v>9</v>
      </c>
      <c r="H148" s="142"/>
    </row>
    <row r="149" spans="1:8" x14ac:dyDescent="0.2">
      <c r="A149" s="25"/>
      <c r="B149" s="98" t="s">
        <v>923</v>
      </c>
      <c r="C149" s="98"/>
      <c r="D149" s="22"/>
      <c r="E149" s="25"/>
      <c r="F149" s="25"/>
      <c r="G149" s="25"/>
      <c r="H149" s="142"/>
    </row>
    <row r="150" spans="1:8" x14ac:dyDescent="0.2">
      <c r="A150" s="25" t="s">
        <v>9</v>
      </c>
      <c r="B150" s="185" t="s">
        <v>9</v>
      </c>
      <c r="C150" s="185" t="s">
        <v>9</v>
      </c>
      <c r="D150" s="22" t="s">
        <v>9</v>
      </c>
      <c r="E150" s="25" t="s">
        <v>9</v>
      </c>
      <c r="F150" s="25" t="s">
        <v>9</v>
      </c>
      <c r="G150" s="25" t="s">
        <v>9</v>
      </c>
      <c r="H150" s="142"/>
    </row>
    <row r="151" spans="1:8" x14ac:dyDescent="0.2">
      <c r="A151" s="25" t="s">
        <v>9</v>
      </c>
      <c r="B151" s="240" t="s">
        <v>139</v>
      </c>
      <c r="C151" s="241"/>
      <c r="D151" s="177" t="s">
        <v>129</v>
      </c>
      <c r="E151" s="25" t="s">
        <v>9</v>
      </c>
      <c r="F151" s="25" t="s">
        <v>9</v>
      </c>
      <c r="G151" s="25" t="s">
        <v>9</v>
      </c>
      <c r="H151" s="142"/>
    </row>
    <row r="152" spans="1:8" x14ac:dyDescent="0.2">
      <c r="A152" s="25" t="s">
        <v>9</v>
      </c>
      <c r="B152" s="240" t="s">
        <v>140</v>
      </c>
      <c r="C152" s="241"/>
      <c r="D152" s="177" t="s">
        <v>129</v>
      </c>
      <c r="E152" s="25" t="s">
        <v>9</v>
      </c>
      <c r="F152" s="25" t="s">
        <v>9</v>
      </c>
      <c r="G152" s="25" t="s">
        <v>9</v>
      </c>
      <c r="H152" s="142"/>
    </row>
    <row r="153" spans="1:8" x14ac:dyDescent="0.2">
      <c r="A153" s="25" t="s">
        <v>9</v>
      </c>
      <c r="B153" s="240" t="s">
        <v>141</v>
      </c>
      <c r="C153" s="241"/>
      <c r="D153" s="186">
        <v>0.40030953683380577</v>
      </c>
      <c r="E153" s="25" t="s">
        <v>9</v>
      </c>
      <c r="F153" s="73" t="s">
        <v>9</v>
      </c>
      <c r="G153" s="25" t="s">
        <v>9</v>
      </c>
      <c r="H153" s="142"/>
    </row>
    <row r="154" spans="1:8" x14ac:dyDescent="0.2">
      <c r="A154" s="25" t="s">
        <v>9</v>
      </c>
      <c r="B154" s="240" t="s">
        <v>142</v>
      </c>
      <c r="C154" s="241"/>
      <c r="D154" s="177" t="s">
        <v>129</v>
      </c>
      <c r="E154" s="25" t="s">
        <v>9</v>
      </c>
      <c r="F154" s="25" t="s">
        <v>9</v>
      </c>
      <c r="G154" s="25" t="s">
        <v>9</v>
      </c>
      <c r="H154" s="142"/>
    </row>
  </sheetData>
  <mergeCells count="14">
    <mergeCell ref="B136:C136"/>
    <mergeCell ref="B133:F133"/>
    <mergeCell ref="B134:F134"/>
    <mergeCell ref="A1:H1"/>
    <mergeCell ref="A2:H2"/>
    <mergeCell ref="A3:H3"/>
    <mergeCell ref="B153:C153"/>
    <mergeCell ref="B154:C154"/>
    <mergeCell ref="B137:C137"/>
    <mergeCell ref="B138:C138"/>
    <mergeCell ref="B139:C139"/>
    <mergeCell ref="B147:C147"/>
    <mergeCell ref="B151:C151"/>
    <mergeCell ref="B152:C152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outlinePr summaryBelow="0" summaryRight="0"/>
  </sheetPr>
  <dimension ref="A1:H129"/>
  <sheetViews>
    <sheetView showGridLines="0" workbookViewId="0">
      <selection activeCell="J1" sqref="J1"/>
    </sheetView>
  </sheetViews>
  <sheetFormatPr defaultRowHeight="15" x14ac:dyDescent="0.2"/>
  <cols>
    <col min="1" max="1" width="6.85546875" style="155" customWidth="1"/>
    <col min="2" max="2" width="20.5703125" style="155" customWidth="1"/>
    <col min="3" max="3" width="34.28515625" style="155" customWidth="1"/>
    <col min="4" max="4" width="17.85546875" style="155" customWidth="1"/>
    <col min="5" max="6" width="19.140625" style="155" customWidth="1"/>
    <col min="7" max="7" width="16.42578125" style="155" customWidth="1"/>
    <col min="8" max="16384" width="9.140625" style="155"/>
  </cols>
  <sheetData>
    <row r="1" spans="1:8" x14ac:dyDescent="0.2">
      <c r="A1" s="250" t="s">
        <v>0</v>
      </c>
      <c r="B1" s="250"/>
      <c r="C1" s="250"/>
      <c r="D1" s="250"/>
      <c r="E1" s="250"/>
      <c r="F1" s="250"/>
      <c r="G1" s="250"/>
      <c r="H1" s="250"/>
    </row>
    <row r="2" spans="1:8" x14ac:dyDescent="0.2">
      <c r="A2" s="251" t="s">
        <v>486</v>
      </c>
      <c r="B2" s="252"/>
      <c r="C2" s="252"/>
      <c r="D2" s="252"/>
      <c r="E2" s="252"/>
      <c r="F2" s="252"/>
      <c r="G2" s="252"/>
      <c r="H2" s="253"/>
    </row>
    <row r="3" spans="1:8" x14ac:dyDescent="0.2">
      <c r="A3" s="250" t="s">
        <v>1015</v>
      </c>
      <c r="B3" s="250"/>
      <c r="C3" s="250"/>
      <c r="D3" s="250"/>
      <c r="E3" s="250"/>
      <c r="F3" s="250"/>
      <c r="G3" s="250"/>
      <c r="H3" s="250"/>
    </row>
    <row r="4" spans="1:8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60" t="s">
        <v>6</v>
      </c>
      <c r="F4" s="160" t="s">
        <v>7</v>
      </c>
      <c r="G4" s="160" t="s">
        <v>8</v>
      </c>
      <c r="H4" s="161" t="s">
        <v>909</v>
      </c>
    </row>
    <row r="5" spans="1:8" x14ac:dyDescent="0.2">
      <c r="A5" s="15" t="s">
        <v>9</v>
      </c>
      <c r="B5" s="15" t="s">
        <v>9</v>
      </c>
      <c r="C5" s="3" t="s">
        <v>10</v>
      </c>
      <c r="D5" s="15" t="s">
        <v>9</v>
      </c>
      <c r="E5" s="15" t="s">
        <v>9</v>
      </c>
      <c r="F5" s="15" t="s">
        <v>9</v>
      </c>
      <c r="G5" s="15" t="s">
        <v>9</v>
      </c>
      <c r="H5" s="100"/>
    </row>
    <row r="6" spans="1:8" ht="25.5" x14ac:dyDescent="0.2">
      <c r="A6" s="15" t="s">
        <v>9</v>
      </c>
      <c r="B6" s="15" t="s">
        <v>9</v>
      </c>
      <c r="C6" s="3" t="s">
        <v>11</v>
      </c>
      <c r="D6" s="15" t="s">
        <v>9</v>
      </c>
      <c r="E6" s="15" t="s">
        <v>9</v>
      </c>
      <c r="F6" s="15" t="s">
        <v>9</v>
      </c>
      <c r="G6" s="15" t="s">
        <v>9</v>
      </c>
      <c r="H6" s="100"/>
    </row>
    <row r="7" spans="1:8" x14ac:dyDescent="0.2">
      <c r="A7" s="4">
        <v>1</v>
      </c>
      <c r="B7" s="5" t="s">
        <v>393</v>
      </c>
      <c r="C7" s="5" t="s">
        <v>394</v>
      </c>
      <c r="D7" s="5" t="s">
        <v>151</v>
      </c>
      <c r="E7" s="6">
        <v>854970</v>
      </c>
      <c r="F7" s="7">
        <v>11579.286195000001</v>
      </c>
      <c r="G7" s="8">
        <v>9.6638742E-2</v>
      </c>
      <c r="H7" s="100"/>
    </row>
    <row r="8" spans="1:8" x14ac:dyDescent="0.2">
      <c r="A8" s="4">
        <v>2</v>
      </c>
      <c r="B8" s="5" t="s">
        <v>20</v>
      </c>
      <c r="C8" s="5" t="s">
        <v>21</v>
      </c>
      <c r="D8" s="5" t="s">
        <v>22</v>
      </c>
      <c r="E8" s="6">
        <v>1900078</v>
      </c>
      <c r="F8" s="7">
        <v>11409.96839</v>
      </c>
      <c r="G8" s="8">
        <v>9.5225644999999998E-2</v>
      </c>
      <c r="H8" s="100"/>
    </row>
    <row r="9" spans="1:8" x14ac:dyDescent="0.2">
      <c r="A9" s="4">
        <v>3</v>
      </c>
      <c r="B9" s="5" t="s">
        <v>54</v>
      </c>
      <c r="C9" s="5" t="s">
        <v>55</v>
      </c>
      <c r="D9" s="5" t="s">
        <v>22</v>
      </c>
      <c r="E9" s="6">
        <v>780385</v>
      </c>
      <c r="F9" s="7">
        <v>11021.377355000001</v>
      </c>
      <c r="G9" s="8">
        <v>9.1982531000000006E-2</v>
      </c>
      <c r="H9" s="100"/>
    </row>
    <row r="10" spans="1:8" x14ac:dyDescent="0.2">
      <c r="A10" s="4">
        <v>4</v>
      </c>
      <c r="B10" s="5" t="s">
        <v>15</v>
      </c>
      <c r="C10" s="5" t="s">
        <v>16</v>
      </c>
      <c r="D10" s="5" t="s">
        <v>17</v>
      </c>
      <c r="E10" s="6">
        <v>429829</v>
      </c>
      <c r="F10" s="7">
        <v>8572.9394049999992</v>
      </c>
      <c r="G10" s="8">
        <v>7.1548286000000003E-2</v>
      </c>
      <c r="H10" s="100"/>
    </row>
    <row r="11" spans="1:8" x14ac:dyDescent="0.2">
      <c r="A11" s="4">
        <v>5</v>
      </c>
      <c r="B11" s="5" t="s">
        <v>29</v>
      </c>
      <c r="C11" s="5" t="s">
        <v>30</v>
      </c>
      <c r="D11" s="5" t="s">
        <v>31</v>
      </c>
      <c r="E11" s="6">
        <v>1268661</v>
      </c>
      <c r="F11" s="7">
        <v>6809.5379174999998</v>
      </c>
      <c r="G11" s="8">
        <v>5.6831238999999999E-2</v>
      </c>
      <c r="H11" s="100"/>
    </row>
    <row r="12" spans="1:8" x14ac:dyDescent="0.2">
      <c r="A12" s="4">
        <v>6</v>
      </c>
      <c r="B12" s="5" t="s">
        <v>409</v>
      </c>
      <c r="C12" s="5" t="s">
        <v>410</v>
      </c>
      <c r="D12" s="5" t="s">
        <v>151</v>
      </c>
      <c r="E12" s="6">
        <v>209248</v>
      </c>
      <c r="F12" s="7">
        <v>6352.0369119999996</v>
      </c>
      <c r="G12" s="8">
        <v>5.3013013999999997E-2</v>
      </c>
      <c r="H12" s="100"/>
    </row>
    <row r="13" spans="1:8" x14ac:dyDescent="0.2">
      <c r="A13" s="4">
        <v>7</v>
      </c>
      <c r="B13" s="5" t="s">
        <v>12</v>
      </c>
      <c r="C13" s="5" t="s">
        <v>13</v>
      </c>
      <c r="D13" s="5" t="s">
        <v>14</v>
      </c>
      <c r="E13" s="6">
        <v>471874</v>
      </c>
      <c r="F13" s="7">
        <v>6325.2350329999999</v>
      </c>
      <c r="G13" s="8">
        <v>5.2789330000000002E-2</v>
      </c>
      <c r="H13" s="100"/>
    </row>
    <row r="14" spans="1:8" x14ac:dyDescent="0.2">
      <c r="A14" s="4">
        <v>8</v>
      </c>
      <c r="B14" s="5" t="s">
        <v>397</v>
      </c>
      <c r="C14" s="5" t="s">
        <v>398</v>
      </c>
      <c r="D14" s="5" t="s">
        <v>22</v>
      </c>
      <c r="E14" s="6">
        <v>815112</v>
      </c>
      <c r="F14" s="7">
        <v>5827.2356879999998</v>
      </c>
      <c r="G14" s="8">
        <v>4.8633112999999999E-2</v>
      </c>
      <c r="H14" s="100"/>
    </row>
    <row r="15" spans="1:8" ht="25.5" x14ac:dyDescent="0.2">
      <c r="A15" s="4">
        <v>9</v>
      </c>
      <c r="B15" s="5" t="s">
        <v>395</v>
      </c>
      <c r="C15" s="5" t="s">
        <v>396</v>
      </c>
      <c r="D15" s="5" t="s">
        <v>156</v>
      </c>
      <c r="E15" s="6">
        <v>233917</v>
      </c>
      <c r="F15" s="7">
        <v>5661.0253169999996</v>
      </c>
      <c r="G15" s="8">
        <v>4.7245949000000002E-2</v>
      </c>
      <c r="H15" s="100"/>
    </row>
    <row r="16" spans="1:8" x14ac:dyDescent="0.2">
      <c r="A16" s="4">
        <v>10</v>
      </c>
      <c r="B16" s="5" t="s">
        <v>356</v>
      </c>
      <c r="C16" s="5" t="s">
        <v>357</v>
      </c>
      <c r="D16" s="5" t="s">
        <v>151</v>
      </c>
      <c r="E16" s="6">
        <v>580857</v>
      </c>
      <c r="F16" s="7">
        <v>5221.6140015000001</v>
      </c>
      <c r="G16" s="8">
        <v>4.3578697999999999E-2</v>
      </c>
      <c r="H16" s="100"/>
    </row>
    <row r="17" spans="1:8" x14ac:dyDescent="0.2">
      <c r="A17" s="4">
        <v>11</v>
      </c>
      <c r="B17" s="5" t="s">
        <v>69</v>
      </c>
      <c r="C17" s="5" t="s">
        <v>70</v>
      </c>
      <c r="D17" s="5" t="s">
        <v>17</v>
      </c>
      <c r="E17" s="6">
        <v>1105245</v>
      </c>
      <c r="F17" s="7">
        <v>4661.9234100000003</v>
      </c>
      <c r="G17" s="8">
        <v>3.8907615999999999E-2</v>
      </c>
      <c r="H17" s="100"/>
    </row>
    <row r="18" spans="1:8" x14ac:dyDescent="0.2">
      <c r="A18" s="4">
        <v>12</v>
      </c>
      <c r="B18" s="5" t="s">
        <v>399</v>
      </c>
      <c r="C18" s="5" t="s">
        <v>400</v>
      </c>
      <c r="D18" s="5" t="s">
        <v>22</v>
      </c>
      <c r="E18" s="6">
        <v>1241281</v>
      </c>
      <c r="F18" s="7">
        <v>4387.9283349999996</v>
      </c>
      <c r="G18" s="8">
        <v>3.6620899999999998E-2</v>
      </c>
      <c r="H18" s="100"/>
    </row>
    <row r="19" spans="1:8" x14ac:dyDescent="0.2">
      <c r="A19" s="4">
        <v>13</v>
      </c>
      <c r="B19" s="5" t="s">
        <v>407</v>
      </c>
      <c r="C19" s="5" t="s">
        <v>408</v>
      </c>
      <c r="D19" s="5" t="s">
        <v>193</v>
      </c>
      <c r="E19" s="6">
        <v>555225</v>
      </c>
      <c r="F19" s="7">
        <v>3633.6700125000002</v>
      </c>
      <c r="G19" s="8">
        <v>3.0325989000000001E-2</v>
      </c>
      <c r="H19" s="100"/>
    </row>
    <row r="20" spans="1:8" ht="25.5" x14ac:dyDescent="0.2">
      <c r="A20" s="4">
        <v>14</v>
      </c>
      <c r="B20" s="5" t="s">
        <v>326</v>
      </c>
      <c r="C20" s="5" t="s">
        <v>327</v>
      </c>
      <c r="D20" s="5" t="s">
        <v>73</v>
      </c>
      <c r="E20" s="6">
        <v>272296</v>
      </c>
      <c r="F20" s="7">
        <v>2588.309628</v>
      </c>
      <c r="G20" s="8">
        <v>2.160159E-2</v>
      </c>
      <c r="H20" s="100"/>
    </row>
    <row r="21" spans="1:8" ht="25.5" x14ac:dyDescent="0.2">
      <c r="A21" s="4">
        <v>15</v>
      </c>
      <c r="B21" s="5" t="s">
        <v>346</v>
      </c>
      <c r="C21" s="5" t="s">
        <v>347</v>
      </c>
      <c r="D21" s="5" t="s">
        <v>73</v>
      </c>
      <c r="E21" s="6">
        <v>378041</v>
      </c>
      <c r="F21" s="7">
        <v>2530.9844950000002</v>
      </c>
      <c r="G21" s="8">
        <v>2.1123164E-2</v>
      </c>
      <c r="H21" s="100"/>
    </row>
    <row r="22" spans="1:8" x14ac:dyDescent="0.2">
      <c r="A22" s="4">
        <v>16</v>
      </c>
      <c r="B22" s="5" t="s">
        <v>322</v>
      </c>
      <c r="C22" s="5" t="s">
        <v>323</v>
      </c>
      <c r="D22" s="5" t="s">
        <v>78</v>
      </c>
      <c r="E22" s="6">
        <v>493526</v>
      </c>
      <c r="F22" s="7">
        <v>2511.800577</v>
      </c>
      <c r="G22" s="8">
        <v>2.0963058E-2</v>
      </c>
      <c r="H22" s="100"/>
    </row>
    <row r="23" spans="1:8" ht="25.5" x14ac:dyDescent="0.2">
      <c r="A23" s="4">
        <v>17</v>
      </c>
      <c r="B23" s="5" t="s">
        <v>415</v>
      </c>
      <c r="C23" s="5" t="s">
        <v>416</v>
      </c>
      <c r="D23" s="5" t="s">
        <v>73</v>
      </c>
      <c r="E23" s="6">
        <v>95708</v>
      </c>
      <c r="F23" s="7">
        <v>2252.72705</v>
      </c>
      <c r="G23" s="8">
        <v>1.8800875000000002E-2</v>
      </c>
      <c r="H23" s="100"/>
    </row>
    <row r="24" spans="1:8" x14ac:dyDescent="0.2">
      <c r="A24" s="4">
        <v>18</v>
      </c>
      <c r="B24" s="5" t="s">
        <v>382</v>
      </c>
      <c r="C24" s="5" t="s">
        <v>383</v>
      </c>
      <c r="D24" s="5" t="s">
        <v>1009</v>
      </c>
      <c r="E24" s="6">
        <v>20342</v>
      </c>
      <c r="F24" s="7">
        <v>2246.092443</v>
      </c>
      <c r="G24" s="8">
        <v>1.8745503E-2</v>
      </c>
      <c r="H24" s="100"/>
    </row>
    <row r="25" spans="1:8" x14ac:dyDescent="0.2">
      <c r="A25" s="4">
        <v>19</v>
      </c>
      <c r="B25" s="5" t="s">
        <v>413</v>
      </c>
      <c r="C25" s="5" t="s">
        <v>414</v>
      </c>
      <c r="D25" s="5" t="s">
        <v>47</v>
      </c>
      <c r="E25" s="6">
        <v>204248</v>
      </c>
      <c r="F25" s="7">
        <v>2111.9243200000001</v>
      </c>
      <c r="G25" s="8">
        <v>1.7625759000000001E-2</v>
      </c>
      <c r="H25" s="100"/>
    </row>
    <row r="26" spans="1:8" ht="25.5" x14ac:dyDescent="0.2">
      <c r="A26" s="4">
        <v>20</v>
      </c>
      <c r="B26" s="5" t="s">
        <v>39</v>
      </c>
      <c r="C26" s="5" t="s">
        <v>40</v>
      </c>
      <c r="D26" s="5" t="s">
        <v>1001</v>
      </c>
      <c r="E26" s="6">
        <v>31653</v>
      </c>
      <c r="F26" s="7">
        <v>1987.4760435000001</v>
      </c>
      <c r="G26" s="8">
        <v>1.6587134999999999E-2</v>
      </c>
      <c r="H26" s="100"/>
    </row>
    <row r="27" spans="1:8" x14ac:dyDescent="0.2">
      <c r="A27" s="4">
        <v>21</v>
      </c>
      <c r="B27" s="5" t="s">
        <v>423</v>
      </c>
      <c r="C27" s="5" t="s">
        <v>424</v>
      </c>
      <c r="D27" s="5" t="s">
        <v>22</v>
      </c>
      <c r="E27" s="6">
        <v>100473</v>
      </c>
      <c r="F27" s="7">
        <v>1757.0718240000001</v>
      </c>
      <c r="G27" s="8">
        <v>1.4664221E-2</v>
      </c>
      <c r="H27" s="100"/>
    </row>
    <row r="28" spans="1:8" x14ac:dyDescent="0.2">
      <c r="A28" s="4">
        <v>22</v>
      </c>
      <c r="B28" s="5" t="s">
        <v>89</v>
      </c>
      <c r="C28" s="5" t="s">
        <v>90</v>
      </c>
      <c r="D28" s="5" t="s">
        <v>91</v>
      </c>
      <c r="E28" s="6">
        <v>1044911</v>
      </c>
      <c r="F28" s="7">
        <v>1177.614697</v>
      </c>
      <c r="G28" s="8">
        <v>9.8281710000000001E-3</v>
      </c>
      <c r="H28" s="100"/>
    </row>
    <row r="29" spans="1:8" x14ac:dyDescent="0.2">
      <c r="A29" s="4">
        <v>23</v>
      </c>
      <c r="B29" s="5" t="s">
        <v>433</v>
      </c>
      <c r="C29" s="5" t="s">
        <v>434</v>
      </c>
      <c r="D29" s="5" t="s">
        <v>193</v>
      </c>
      <c r="E29" s="6">
        <v>106035</v>
      </c>
      <c r="F29" s="7">
        <v>965.28962249999995</v>
      </c>
      <c r="G29" s="8">
        <v>8.0561420000000005E-3</v>
      </c>
      <c r="H29" s="100"/>
    </row>
    <row r="30" spans="1:8" x14ac:dyDescent="0.2">
      <c r="A30" s="4">
        <v>24</v>
      </c>
      <c r="B30" s="5" t="s">
        <v>401</v>
      </c>
      <c r="C30" s="5" t="s">
        <v>402</v>
      </c>
      <c r="D30" s="5" t="s">
        <v>91</v>
      </c>
      <c r="E30" s="6">
        <v>112017</v>
      </c>
      <c r="F30" s="7">
        <v>842.98393350000003</v>
      </c>
      <c r="G30" s="8">
        <v>7.0353999999999998E-3</v>
      </c>
      <c r="H30" s="100"/>
    </row>
    <row r="31" spans="1:8" x14ac:dyDescent="0.2">
      <c r="A31" s="4">
        <v>25</v>
      </c>
      <c r="B31" s="5" t="s">
        <v>336</v>
      </c>
      <c r="C31" s="5" t="s">
        <v>337</v>
      </c>
      <c r="D31" s="5" t="s">
        <v>146</v>
      </c>
      <c r="E31" s="6">
        <v>43142</v>
      </c>
      <c r="F31" s="7">
        <v>692.36438699999997</v>
      </c>
      <c r="G31" s="8">
        <v>5.7783549999999998E-3</v>
      </c>
      <c r="H31" s="100"/>
    </row>
    <row r="32" spans="1:8" ht="25.5" x14ac:dyDescent="0.2">
      <c r="A32" s="4">
        <v>26</v>
      </c>
      <c r="B32" s="5" t="s">
        <v>419</v>
      </c>
      <c r="C32" s="5" t="s">
        <v>420</v>
      </c>
      <c r="D32" s="5" t="s">
        <v>1009</v>
      </c>
      <c r="E32" s="6">
        <v>43750</v>
      </c>
      <c r="F32" s="7">
        <v>618.625</v>
      </c>
      <c r="G32" s="8">
        <v>5.1629379999999997E-3</v>
      </c>
      <c r="H32" s="100"/>
    </row>
    <row r="33" spans="1:8" ht="25.5" x14ac:dyDescent="0.2">
      <c r="A33" s="4">
        <v>27</v>
      </c>
      <c r="B33" s="5" t="s">
        <v>324</v>
      </c>
      <c r="C33" s="5" t="s">
        <v>325</v>
      </c>
      <c r="D33" s="5" t="s">
        <v>58</v>
      </c>
      <c r="E33" s="6">
        <v>152929</v>
      </c>
      <c r="F33" s="7">
        <v>588.62372100000005</v>
      </c>
      <c r="G33" s="8">
        <v>4.9125530000000001E-3</v>
      </c>
      <c r="H33" s="100"/>
    </row>
    <row r="34" spans="1:8" x14ac:dyDescent="0.2">
      <c r="A34" s="4">
        <v>28</v>
      </c>
      <c r="B34" s="5" t="s">
        <v>212</v>
      </c>
      <c r="C34" s="5" t="s">
        <v>213</v>
      </c>
      <c r="D34" s="5" t="s">
        <v>38</v>
      </c>
      <c r="E34" s="6">
        <v>77567</v>
      </c>
      <c r="F34" s="7">
        <v>556.07782299999997</v>
      </c>
      <c r="G34" s="8">
        <v>4.6409299999999997E-3</v>
      </c>
      <c r="H34" s="100"/>
    </row>
    <row r="35" spans="1:8" x14ac:dyDescent="0.2">
      <c r="A35" s="4">
        <v>29</v>
      </c>
      <c r="B35" s="5" t="s">
        <v>487</v>
      </c>
      <c r="C35" s="5" t="s">
        <v>488</v>
      </c>
      <c r="D35" s="5" t="s">
        <v>91</v>
      </c>
      <c r="E35" s="6">
        <v>8255</v>
      </c>
      <c r="F35" s="7">
        <v>532.91390750000005</v>
      </c>
      <c r="G35" s="8">
        <v>4.4476079999999996E-3</v>
      </c>
      <c r="H35" s="100"/>
    </row>
    <row r="36" spans="1:8" x14ac:dyDescent="0.2">
      <c r="A36" s="4">
        <v>30</v>
      </c>
      <c r="B36" s="5" t="s">
        <v>297</v>
      </c>
      <c r="C36" s="5" t="s">
        <v>298</v>
      </c>
      <c r="D36" s="5" t="s">
        <v>22</v>
      </c>
      <c r="E36" s="6">
        <v>46574</v>
      </c>
      <c r="F36" s="7">
        <v>37.305774</v>
      </c>
      <c r="G36" s="8">
        <v>3.1134799999999997E-4</v>
      </c>
      <c r="H36" s="100"/>
    </row>
    <row r="37" spans="1:8" x14ac:dyDescent="0.2">
      <c r="A37" s="15" t="s">
        <v>9</v>
      </c>
      <c r="B37" s="15" t="s">
        <v>9</v>
      </c>
      <c r="C37" s="3" t="s">
        <v>94</v>
      </c>
      <c r="D37" s="15" t="s">
        <v>9</v>
      </c>
      <c r="E37" s="15" t="s">
        <v>9</v>
      </c>
      <c r="F37" s="9">
        <v>115461.9632175</v>
      </c>
      <c r="G37" s="10">
        <v>0.96362580200000003</v>
      </c>
      <c r="H37" s="100"/>
    </row>
    <row r="38" spans="1:8" x14ac:dyDescent="0.2">
      <c r="A38" s="15" t="s">
        <v>9</v>
      </c>
      <c r="B38" s="15" t="s">
        <v>9</v>
      </c>
      <c r="C38" s="11" t="s">
        <v>9</v>
      </c>
      <c r="D38" s="15" t="s">
        <v>9</v>
      </c>
      <c r="E38" s="15" t="s">
        <v>9</v>
      </c>
      <c r="F38" s="12" t="s">
        <v>9</v>
      </c>
      <c r="G38" s="12" t="s">
        <v>9</v>
      </c>
      <c r="H38" s="100"/>
    </row>
    <row r="39" spans="1:8" x14ac:dyDescent="0.2">
      <c r="A39" s="15" t="s">
        <v>9</v>
      </c>
      <c r="B39" s="15" t="s">
        <v>9</v>
      </c>
      <c r="C39" s="3" t="s">
        <v>95</v>
      </c>
      <c r="D39" s="15" t="s">
        <v>9</v>
      </c>
      <c r="E39" s="15" t="s">
        <v>9</v>
      </c>
      <c r="F39" s="15" t="s">
        <v>9</v>
      </c>
      <c r="G39" s="15" t="s">
        <v>9</v>
      </c>
      <c r="H39" s="100"/>
    </row>
    <row r="40" spans="1:8" x14ac:dyDescent="0.2">
      <c r="A40" s="15" t="s">
        <v>9</v>
      </c>
      <c r="B40" s="15" t="s">
        <v>9</v>
      </c>
      <c r="C40" s="3" t="s">
        <v>94</v>
      </c>
      <c r="D40" s="15" t="s">
        <v>9</v>
      </c>
      <c r="E40" s="15" t="s">
        <v>9</v>
      </c>
      <c r="F40" s="13">
        <v>0</v>
      </c>
      <c r="G40" s="14">
        <v>0</v>
      </c>
      <c r="H40" s="100"/>
    </row>
    <row r="41" spans="1:8" x14ac:dyDescent="0.2">
      <c r="A41" s="15" t="s">
        <v>9</v>
      </c>
      <c r="B41" s="15" t="s">
        <v>9</v>
      </c>
      <c r="C41" s="11" t="s">
        <v>9</v>
      </c>
      <c r="D41" s="15" t="s">
        <v>9</v>
      </c>
      <c r="E41" s="15" t="s">
        <v>9</v>
      </c>
      <c r="F41" s="12" t="s">
        <v>9</v>
      </c>
      <c r="G41" s="12" t="s">
        <v>9</v>
      </c>
      <c r="H41" s="100"/>
    </row>
    <row r="42" spans="1:8" x14ac:dyDescent="0.2">
      <c r="A42" s="15" t="s">
        <v>9</v>
      </c>
      <c r="B42" s="15" t="s">
        <v>9</v>
      </c>
      <c r="C42" s="3" t="s">
        <v>96</v>
      </c>
      <c r="D42" s="15" t="s">
        <v>9</v>
      </c>
      <c r="E42" s="15" t="s">
        <v>9</v>
      </c>
      <c r="F42" s="15" t="s">
        <v>9</v>
      </c>
      <c r="G42" s="15" t="s">
        <v>9</v>
      </c>
      <c r="H42" s="100"/>
    </row>
    <row r="43" spans="1:8" x14ac:dyDescent="0.2">
      <c r="A43" s="15" t="s">
        <v>9</v>
      </c>
      <c r="B43" s="15" t="s">
        <v>9</v>
      </c>
      <c r="C43" s="3" t="s">
        <v>94</v>
      </c>
      <c r="D43" s="15" t="s">
        <v>9</v>
      </c>
      <c r="E43" s="15" t="s">
        <v>9</v>
      </c>
      <c r="F43" s="13">
        <v>0</v>
      </c>
      <c r="G43" s="14">
        <v>0</v>
      </c>
      <c r="H43" s="100"/>
    </row>
    <row r="44" spans="1:8" x14ac:dyDescent="0.2">
      <c r="A44" s="15" t="s">
        <v>9</v>
      </c>
      <c r="B44" s="15" t="s">
        <v>9</v>
      </c>
      <c r="C44" s="11" t="s">
        <v>9</v>
      </c>
      <c r="D44" s="15" t="s">
        <v>9</v>
      </c>
      <c r="E44" s="15" t="s">
        <v>9</v>
      </c>
      <c r="F44" s="12" t="s">
        <v>9</v>
      </c>
      <c r="G44" s="12" t="s">
        <v>9</v>
      </c>
      <c r="H44" s="100"/>
    </row>
    <row r="45" spans="1:8" x14ac:dyDescent="0.2">
      <c r="A45" s="15" t="s">
        <v>9</v>
      </c>
      <c r="B45" s="15" t="s">
        <v>9</v>
      </c>
      <c r="C45" s="3" t="s">
        <v>100</v>
      </c>
      <c r="D45" s="15" t="s">
        <v>9</v>
      </c>
      <c r="E45" s="15" t="s">
        <v>9</v>
      </c>
      <c r="F45" s="15" t="s">
        <v>9</v>
      </c>
      <c r="G45" s="15" t="s">
        <v>9</v>
      </c>
      <c r="H45" s="100"/>
    </row>
    <row r="46" spans="1:8" x14ac:dyDescent="0.2">
      <c r="A46" s="15" t="s">
        <v>9</v>
      </c>
      <c r="B46" s="15" t="s">
        <v>9</v>
      </c>
      <c r="C46" s="3" t="s">
        <v>94</v>
      </c>
      <c r="D46" s="15" t="s">
        <v>9</v>
      </c>
      <c r="E46" s="15" t="s">
        <v>9</v>
      </c>
      <c r="F46" s="13">
        <v>0</v>
      </c>
      <c r="G46" s="14">
        <v>0</v>
      </c>
      <c r="H46" s="100"/>
    </row>
    <row r="47" spans="1:8" x14ac:dyDescent="0.2">
      <c r="A47" s="15" t="s">
        <v>9</v>
      </c>
      <c r="B47" s="15" t="s">
        <v>9</v>
      </c>
      <c r="C47" s="11" t="s">
        <v>9</v>
      </c>
      <c r="D47" s="15" t="s">
        <v>9</v>
      </c>
      <c r="E47" s="15" t="s">
        <v>9</v>
      </c>
      <c r="F47" s="12" t="s">
        <v>9</v>
      </c>
      <c r="G47" s="12" t="s">
        <v>9</v>
      </c>
      <c r="H47" s="100"/>
    </row>
    <row r="48" spans="1:8" x14ac:dyDescent="0.2">
      <c r="A48" s="15" t="s">
        <v>9</v>
      </c>
      <c r="B48" s="15" t="s">
        <v>9</v>
      </c>
      <c r="C48" s="3" t="s">
        <v>101</v>
      </c>
      <c r="D48" s="15" t="s">
        <v>9</v>
      </c>
      <c r="E48" s="15" t="s">
        <v>9</v>
      </c>
      <c r="F48" s="12" t="s">
        <v>9</v>
      </c>
      <c r="G48" s="12" t="s">
        <v>9</v>
      </c>
      <c r="H48" s="100"/>
    </row>
    <row r="49" spans="1:8" x14ac:dyDescent="0.2">
      <c r="A49" s="15" t="s">
        <v>9</v>
      </c>
      <c r="B49" s="15" t="s">
        <v>9</v>
      </c>
      <c r="C49" s="3" t="s">
        <v>94</v>
      </c>
      <c r="D49" s="15" t="s">
        <v>9</v>
      </c>
      <c r="E49" s="15" t="s">
        <v>9</v>
      </c>
      <c r="F49" s="13">
        <v>0</v>
      </c>
      <c r="G49" s="14">
        <v>0</v>
      </c>
      <c r="H49" s="100"/>
    </row>
    <row r="50" spans="1:8" x14ac:dyDescent="0.2">
      <c r="A50" s="15" t="s">
        <v>9</v>
      </c>
      <c r="B50" s="15" t="s">
        <v>9</v>
      </c>
      <c r="C50" s="11" t="s">
        <v>9</v>
      </c>
      <c r="D50" s="15" t="s">
        <v>9</v>
      </c>
      <c r="E50" s="15" t="s">
        <v>9</v>
      </c>
      <c r="F50" s="12" t="s">
        <v>9</v>
      </c>
      <c r="G50" s="12" t="s">
        <v>9</v>
      </c>
      <c r="H50" s="100"/>
    </row>
    <row r="51" spans="1:8" x14ac:dyDescent="0.2">
      <c r="A51" s="15" t="s">
        <v>9</v>
      </c>
      <c r="B51" s="15" t="s">
        <v>9</v>
      </c>
      <c r="C51" s="3" t="s">
        <v>102</v>
      </c>
      <c r="D51" s="15" t="s">
        <v>9</v>
      </c>
      <c r="E51" s="15" t="s">
        <v>9</v>
      </c>
      <c r="F51" s="12" t="s">
        <v>9</v>
      </c>
      <c r="G51" s="12" t="s">
        <v>9</v>
      </c>
      <c r="H51" s="100"/>
    </row>
    <row r="52" spans="1:8" x14ac:dyDescent="0.2">
      <c r="A52" s="15" t="s">
        <v>9</v>
      </c>
      <c r="B52" s="15" t="s">
        <v>9</v>
      </c>
      <c r="C52" s="3" t="s">
        <v>94</v>
      </c>
      <c r="D52" s="15" t="s">
        <v>9</v>
      </c>
      <c r="E52" s="15" t="s">
        <v>9</v>
      </c>
      <c r="F52" s="13">
        <v>0</v>
      </c>
      <c r="G52" s="14">
        <v>0</v>
      </c>
      <c r="H52" s="100"/>
    </row>
    <row r="53" spans="1:8" x14ac:dyDescent="0.2">
      <c r="A53" s="15" t="s">
        <v>9</v>
      </c>
      <c r="B53" s="15" t="s">
        <v>9</v>
      </c>
      <c r="C53" s="11" t="s">
        <v>9</v>
      </c>
      <c r="D53" s="15" t="s">
        <v>9</v>
      </c>
      <c r="E53" s="15" t="s">
        <v>9</v>
      </c>
      <c r="F53" s="12" t="s">
        <v>9</v>
      </c>
      <c r="G53" s="12" t="s">
        <v>9</v>
      </c>
      <c r="H53" s="100"/>
    </row>
    <row r="54" spans="1:8" x14ac:dyDescent="0.2">
      <c r="A54" s="15" t="s">
        <v>9</v>
      </c>
      <c r="B54" s="15" t="s">
        <v>9</v>
      </c>
      <c r="C54" s="3" t="s">
        <v>104</v>
      </c>
      <c r="D54" s="15" t="s">
        <v>9</v>
      </c>
      <c r="E54" s="15" t="s">
        <v>9</v>
      </c>
      <c r="F54" s="9">
        <v>115461.9632175</v>
      </c>
      <c r="G54" s="10">
        <v>0.96362580200000003</v>
      </c>
      <c r="H54" s="100"/>
    </row>
    <row r="55" spans="1:8" x14ac:dyDescent="0.2">
      <c r="A55" s="15" t="s">
        <v>9</v>
      </c>
      <c r="B55" s="15" t="s">
        <v>9</v>
      </c>
      <c r="C55" s="11" t="s">
        <v>9</v>
      </c>
      <c r="D55" s="15" t="s">
        <v>9</v>
      </c>
      <c r="E55" s="15" t="s">
        <v>9</v>
      </c>
      <c r="F55" s="12" t="s">
        <v>9</v>
      </c>
      <c r="G55" s="12" t="s">
        <v>9</v>
      </c>
      <c r="H55" s="100"/>
    </row>
    <row r="56" spans="1:8" x14ac:dyDescent="0.2">
      <c r="A56" s="15" t="s">
        <v>9</v>
      </c>
      <c r="B56" s="15" t="s">
        <v>9</v>
      </c>
      <c r="C56" s="3" t="s">
        <v>105</v>
      </c>
      <c r="D56" s="15" t="s">
        <v>9</v>
      </c>
      <c r="E56" s="15" t="s">
        <v>9</v>
      </c>
      <c r="F56" s="12" t="s">
        <v>9</v>
      </c>
      <c r="G56" s="12" t="s">
        <v>9</v>
      </c>
      <c r="H56" s="100"/>
    </row>
    <row r="57" spans="1:8" ht="25.5" x14ac:dyDescent="0.2">
      <c r="A57" s="15" t="s">
        <v>9</v>
      </c>
      <c r="B57" s="15" t="s">
        <v>9</v>
      </c>
      <c r="C57" s="3" t="s">
        <v>11</v>
      </c>
      <c r="D57" s="15" t="s">
        <v>9</v>
      </c>
      <c r="E57" s="15" t="s">
        <v>9</v>
      </c>
      <c r="F57" s="12" t="s">
        <v>9</v>
      </c>
      <c r="G57" s="12" t="s">
        <v>9</v>
      </c>
      <c r="H57" s="100"/>
    </row>
    <row r="58" spans="1:8" x14ac:dyDescent="0.2">
      <c r="A58" s="15" t="s">
        <v>9</v>
      </c>
      <c r="B58" s="15" t="s">
        <v>9</v>
      </c>
      <c r="C58" s="3" t="s">
        <v>94</v>
      </c>
      <c r="D58" s="15" t="s">
        <v>9</v>
      </c>
      <c r="E58" s="15" t="s">
        <v>9</v>
      </c>
      <c r="F58" s="13">
        <v>0</v>
      </c>
      <c r="G58" s="14">
        <v>0</v>
      </c>
      <c r="H58" s="100"/>
    </row>
    <row r="59" spans="1:8" x14ac:dyDescent="0.2">
      <c r="A59" s="15" t="s">
        <v>9</v>
      </c>
      <c r="B59" s="15" t="s">
        <v>9</v>
      </c>
      <c r="C59" s="11" t="s">
        <v>9</v>
      </c>
      <c r="D59" s="15" t="s">
        <v>9</v>
      </c>
      <c r="E59" s="15" t="s">
        <v>9</v>
      </c>
      <c r="F59" s="12" t="s">
        <v>9</v>
      </c>
      <c r="G59" s="12" t="s">
        <v>9</v>
      </c>
      <c r="H59" s="100"/>
    </row>
    <row r="60" spans="1:8" x14ac:dyDescent="0.2">
      <c r="A60" s="15" t="s">
        <v>9</v>
      </c>
      <c r="B60" s="15" t="s">
        <v>9</v>
      </c>
      <c r="C60" s="3" t="s">
        <v>106</v>
      </c>
      <c r="D60" s="15" t="s">
        <v>9</v>
      </c>
      <c r="E60" s="15" t="s">
        <v>9</v>
      </c>
      <c r="F60" s="15" t="s">
        <v>9</v>
      </c>
      <c r="G60" s="15" t="s">
        <v>9</v>
      </c>
      <c r="H60" s="100"/>
    </row>
    <row r="61" spans="1:8" x14ac:dyDescent="0.2">
      <c r="A61" s="15" t="s">
        <v>9</v>
      </c>
      <c r="B61" s="15" t="s">
        <v>9</v>
      </c>
      <c r="C61" s="3" t="s">
        <v>94</v>
      </c>
      <c r="D61" s="15" t="s">
        <v>9</v>
      </c>
      <c r="E61" s="15" t="s">
        <v>9</v>
      </c>
      <c r="F61" s="13">
        <v>0</v>
      </c>
      <c r="G61" s="14">
        <v>0</v>
      </c>
      <c r="H61" s="100"/>
    </row>
    <row r="62" spans="1:8" x14ac:dyDescent="0.2">
      <c r="A62" s="15" t="s">
        <v>9</v>
      </c>
      <c r="B62" s="15" t="s">
        <v>9</v>
      </c>
      <c r="C62" s="11" t="s">
        <v>9</v>
      </c>
      <c r="D62" s="15" t="s">
        <v>9</v>
      </c>
      <c r="E62" s="15" t="s">
        <v>9</v>
      </c>
      <c r="F62" s="12" t="s">
        <v>9</v>
      </c>
      <c r="G62" s="12" t="s">
        <v>9</v>
      </c>
      <c r="H62" s="100"/>
    </row>
    <row r="63" spans="1:8" x14ac:dyDescent="0.2">
      <c r="A63" s="15" t="s">
        <v>9</v>
      </c>
      <c r="B63" s="15" t="s">
        <v>9</v>
      </c>
      <c r="C63" s="3" t="s">
        <v>107</v>
      </c>
      <c r="D63" s="15" t="s">
        <v>9</v>
      </c>
      <c r="E63" s="15" t="s">
        <v>9</v>
      </c>
      <c r="F63" s="15" t="s">
        <v>9</v>
      </c>
      <c r="G63" s="15" t="s">
        <v>9</v>
      </c>
      <c r="H63" s="100"/>
    </row>
    <row r="64" spans="1:8" x14ac:dyDescent="0.2">
      <c r="A64" s="15" t="s">
        <v>9</v>
      </c>
      <c r="B64" s="15" t="s">
        <v>9</v>
      </c>
      <c r="C64" s="3" t="s">
        <v>94</v>
      </c>
      <c r="D64" s="15" t="s">
        <v>9</v>
      </c>
      <c r="E64" s="15" t="s">
        <v>9</v>
      </c>
      <c r="F64" s="13">
        <v>0</v>
      </c>
      <c r="G64" s="14">
        <v>0</v>
      </c>
      <c r="H64" s="100"/>
    </row>
    <row r="65" spans="1:8" x14ac:dyDescent="0.2">
      <c r="A65" s="15" t="s">
        <v>9</v>
      </c>
      <c r="B65" s="15" t="s">
        <v>9</v>
      </c>
      <c r="C65" s="11" t="s">
        <v>9</v>
      </c>
      <c r="D65" s="15" t="s">
        <v>9</v>
      </c>
      <c r="E65" s="15" t="s">
        <v>9</v>
      </c>
      <c r="F65" s="12" t="s">
        <v>9</v>
      </c>
      <c r="G65" s="12" t="s">
        <v>9</v>
      </c>
      <c r="H65" s="100"/>
    </row>
    <row r="66" spans="1:8" x14ac:dyDescent="0.2">
      <c r="A66" s="15" t="s">
        <v>9</v>
      </c>
      <c r="B66" s="15" t="s">
        <v>9</v>
      </c>
      <c r="C66" s="3" t="s">
        <v>108</v>
      </c>
      <c r="D66" s="15" t="s">
        <v>9</v>
      </c>
      <c r="E66" s="15" t="s">
        <v>9</v>
      </c>
      <c r="F66" s="12" t="s">
        <v>9</v>
      </c>
      <c r="G66" s="12" t="s">
        <v>9</v>
      </c>
      <c r="H66" s="100"/>
    </row>
    <row r="67" spans="1:8" x14ac:dyDescent="0.2">
      <c r="A67" s="15" t="s">
        <v>9</v>
      </c>
      <c r="B67" s="15" t="s">
        <v>9</v>
      </c>
      <c r="C67" s="3" t="s">
        <v>94</v>
      </c>
      <c r="D67" s="15" t="s">
        <v>9</v>
      </c>
      <c r="E67" s="15" t="s">
        <v>9</v>
      </c>
      <c r="F67" s="13">
        <v>0</v>
      </c>
      <c r="G67" s="14">
        <v>0</v>
      </c>
      <c r="H67" s="100"/>
    </row>
    <row r="68" spans="1:8" x14ac:dyDescent="0.2">
      <c r="A68" s="15" t="s">
        <v>9</v>
      </c>
      <c r="B68" s="15" t="s">
        <v>9</v>
      </c>
      <c r="C68" s="11" t="s">
        <v>9</v>
      </c>
      <c r="D68" s="15" t="s">
        <v>9</v>
      </c>
      <c r="E68" s="15" t="s">
        <v>9</v>
      </c>
      <c r="F68" s="12" t="s">
        <v>9</v>
      </c>
      <c r="G68" s="12" t="s">
        <v>9</v>
      </c>
      <c r="H68" s="100"/>
    </row>
    <row r="69" spans="1:8" x14ac:dyDescent="0.2">
      <c r="A69" s="15" t="s">
        <v>9</v>
      </c>
      <c r="B69" s="15" t="s">
        <v>9</v>
      </c>
      <c r="C69" s="3" t="s">
        <v>109</v>
      </c>
      <c r="D69" s="15" t="s">
        <v>9</v>
      </c>
      <c r="E69" s="15" t="s">
        <v>9</v>
      </c>
      <c r="F69" s="9">
        <v>0</v>
      </c>
      <c r="G69" s="10">
        <v>0</v>
      </c>
      <c r="H69" s="100"/>
    </row>
    <row r="70" spans="1:8" x14ac:dyDescent="0.2">
      <c r="A70" s="15" t="s">
        <v>9</v>
      </c>
      <c r="B70" s="15" t="s">
        <v>9</v>
      </c>
      <c r="C70" s="11" t="s">
        <v>9</v>
      </c>
      <c r="D70" s="15" t="s">
        <v>9</v>
      </c>
      <c r="E70" s="15" t="s">
        <v>9</v>
      </c>
      <c r="F70" s="12" t="s">
        <v>9</v>
      </c>
      <c r="G70" s="12" t="s">
        <v>9</v>
      </c>
      <c r="H70" s="100"/>
    </row>
    <row r="71" spans="1:8" x14ac:dyDescent="0.2">
      <c r="A71" s="15" t="s">
        <v>9</v>
      </c>
      <c r="B71" s="15" t="s">
        <v>9</v>
      </c>
      <c r="C71" s="3" t="s">
        <v>110</v>
      </c>
      <c r="D71" s="15" t="s">
        <v>9</v>
      </c>
      <c r="E71" s="15" t="s">
        <v>9</v>
      </c>
      <c r="F71" s="12" t="s">
        <v>9</v>
      </c>
      <c r="G71" s="12" t="s">
        <v>9</v>
      </c>
      <c r="H71" s="100"/>
    </row>
    <row r="72" spans="1:8" x14ac:dyDescent="0.2">
      <c r="A72" s="15" t="s">
        <v>9</v>
      </c>
      <c r="B72" s="15" t="s">
        <v>9</v>
      </c>
      <c r="C72" s="3" t="s">
        <v>111</v>
      </c>
      <c r="D72" s="15" t="s">
        <v>9</v>
      </c>
      <c r="E72" s="15" t="s">
        <v>9</v>
      </c>
      <c r="F72" s="12" t="s">
        <v>9</v>
      </c>
      <c r="G72" s="12" t="s">
        <v>9</v>
      </c>
      <c r="H72" s="100"/>
    </row>
    <row r="73" spans="1:8" x14ac:dyDescent="0.2">
      <c r="A73" s="15" t="s">
        <v>9</v>
      </c>
      <c r="B73" s="15" t="s">
        <v>9</v>
      </c>
      <c r="C73" s="3" t="s">
        <v>94</v>
      </c>
      <c r="D73" s="15" t="s">
        <v>9</v>
      </c>
      <c r="E73" s="15" t="s">
        <v>9</v>
      </c>
      <c r="F73" s="13">
        <v>0</v>
      </c>
      <c r="G73" s="14">
        <v>0</v>
      </c>
      <c r="H73" s="100"/>
    </row>
    <row r="74" spans="1:8" x14ac:dyDescent="0.2">
      <c r="A74" s="15" t="s">
        <v>9</v>
      </c>
      <c r="B74" s="15" t="s">
        <v>9</v>
      </c>
      <c r="C74" s="11" t="s">
        <v>9</v>
      </c>
      <c r="D74" s="15" t="s">
        <v>9</v>
      </c>
      <c r="E74" s="15" t="s">
        <v>9</v>
      </c>
      <c r="F74" s="12" t="s">
        <v>9</v>
      </c>
      <c r="G74" s="12" t="s">
        <v>9</v>
      </c>
      <c r="H74" s="100"/>
    </row>
    <row r="75" spans="1:8" x14ac:dyDescent="0.2">
      <c r="A75" s="15" t="s">
        <v>9</v>
      </c>
      <c r="B75" s="15" t="s">
        <v>9</v>
      </c>
      <c r="C75" s="3" t="s">
        <v>112</v>
      </c>
      <c r="D75" s="15" t="s">
        <v>9</v>
      </c>
      <c r="E75" s="15" t="s">
        <v>9</v>
      </c>
      <c r="F75" s="12" t="s">
        <v>9</v>
      </c>
      <c r="G75" s="12" t="s">
        <v>9</v>
      </c>
      <c r="H75" s="100"/>
    </row>
    <row r="76" spans="1:8" x14ac:dyDescent="0.2">
      <c r="A76" s="15" t="s">
        <v>9</v>
      </c>
      <c r="B76" s="15" t="s">
        <v>9</v>
      </c>
      <c r="C76" s="3" t="s">
        <v>94</v>
      </c>
      <c r="D76" s="15" t="s">
        <v>9</v>
      </c>
      <c r="E76" s="15" t="s">
        <v>9</v>
      </c>
      <c r="F76" s="13">
        <v>0</v>
      </c>
      <c r="G76" s="14">
        <v>0</v>
      </c>
      <c r="H76" s="100"/>
    </row>
    <row r="77" spans="1:8" x14ac:dyDescent="0.2">
      <c r="A77" s="15" t="s">
        <v>9</v>
      </c>
      <c r="B77" s="15" t="s">
        <v>9</v>
      </c>
      <c r="C77" s="11" t="s">
        <v>9</v>
      </c>
      <c r="D77" s="15" t="s">
        <v>9</v>
      </c>
      <c r="E77" s="15" t="s">
        <v>9</v>
      </c>
      <c r="F77" s="12" t="s">
        <v>9</v>
      </c>
      <c r="G77" s="12" t="s">
        <v>9</v>
      </c>
      <c r="H77" s="100"/>
    </row>
    <row r="78" spans="1:8" x14ac:dyDescent="0.2">
      <c r="A78" s="15" t="s">
        <v>9</v>
      </c>
      <c r="B78" s="15" t="s">
        <v>9</v>
      </c>
      <c r="C78" s="3" t="s">
        <v>113</v>
      </c>
      <c r="D78" s="15" t="s">
        <v>9</v>
      </c>
      <c r="E78" s="15" t="s">
        <v>9</v>
      </c>
      <c r="F78" s="12" t="s">
        <v>9</v>
      </c>
      <c r="G78" s="12" t="s">
        <v>9</v>
      </c>
      <c r="H78" s="100"/>
    </row>
    <row r="79" spans="1:8" x14ac:dyDescent="0.2">
      <c r="A79" s="15" t="s">
        <v>9</v>
      </c>
      <c r="B79" s="15" t="s">
        <v>9</v>
      </c>
      <c r="C79" s="3" t="s">
        <v>94</v>
      </c>
      <c r="D79" s="15" t="s">
        <v>9</v>
      </c>
      <c r="E79" s="15" t="s">
        <v>9</v>
      </c>
      <c r="F79" s="13">
        <v>0</v>
      </c>
      <c r="G79" s="14">
        <v>0</v>
      </c>
      <c r="H79" s="100"/>
    </row>
    <row r="80" spans="1:8" x14ac:dyDescent="0.2">
      <c r="A80" s="15" t="s">
        <v>9</v>
      </c>
      <c r="B80" s="15" t="s">
        <v>9</v>
      </c>
      <c r="C80" s="11" t="s">
        <v>9</v>
      </c>
      <c r="D80" s="15" t="s">
        <v>9</v>
      </c>
      <c r="E80" s="15" t="s">
        <v>9</v>
      </c>
      <c r="F80" s="12" t="s">
        <v>9</v>
      </c>
      <c r="G80" s="12" t="s">
        <v>9</v>
      </c>
      <c r="H80" s="100"/>
    </row>
    <row r="81" spans="1:8" x14ac:dyDescent="0.2">
      <c r="A81" s="15" t="s">
        <v>9</v>
      </c>
      <c r="B81" s="15" t="s">
        <v>9</v>
      </c>
      <c r="C81" s="3" t="s">
        <v>114</v>
      </c>
      <c r="D81" s="15" t="s">
        <v>9</v>
      </c>
      <c r="E81" s="15" t="s">
        <v>9</v>
      </c>
      <c r="F81" s="12" t="s">
        <v>9</v>
      </c>
      <c r="G81" s="12" t="s">
        <v>9</v>
      </c>
      <c r="H81" s="100"/>
    </row>
    <row r="82" spans="1:8" x14ac:dyDescent="0.2">
      <c r="A82" s="4">
        <v>1</v>
      </c>
      <c r="B82" s="5"/>
      <c r="C82" s="5" t="s">
        <v>115</v>
      </c>
      <c r="D82" s="5"/>
      <c r="E82" s="15" t="s">
        <v>9</v>
      </c>
      <c r="F82" s="7">
        <v>1824.3531224999999</v>
      </c>
      <c r="G82" s="8">
        <v>1.5225739E-2</v>
      </c>
      <c r="H82" s="99">
        <v>3.2516689338443991</v>
      </c>
    </row>
    <row r="83" spans="1:8" x14ac:dyDescent="0.2">
      <c r="A83" s="4">
        <v>2</v>
      </c>
      <c r="B83" s="5"/>
      <c r="C83" s="5" t="s">
        <v>116</v>
      </c>
      <c r="D83" s="5"/>
      <c r="E83" s="15" t="s">
        <v>9</v>
      </c>
      <c r="F83" s="7">
        <v>249.95302269999999</v>
      </c>
      <c r="G83" s="8">
        <v>2.0860649999999998E-3</v>
      </c>
      <c r="H83" s="100">
        <v>3.350000000000001</v>
      </c>
    </row>
    <row r="84" spans="1:8" x14ac:dyDescent="0.2">
      <c r="A84" s="15" t="s">
        <v>9</v>
      </c>
      <c r="B84" s="15" t="s">
        <v>9</v>
      </c>
      <c r="C84" s="3" t="s">
        <v>94</v>
      </c>
      <c r="D84" s="15" t="s">
        <v>9</v>
      </c>
      <c r="E84" s="15" t="s">
        <v>9</v>
      </c>
      <c r="F84" s="9">
        <v>2074.3061452000002</v>
      </c>
      <c r="G84" s="10">
        <v>1.7311804E-2</v>
      </c>
      <c r="H84" s="100"/>
    </row>
    <row r="85" spans="1:8" x14ac:dyDescent="0.2">
      <c r="A85" s="15" t="s">
        <v>9</v>
      </c>
      <c r="B85" s="15" t="s">
        <v>9</v>
      </c>
      <c r="C85" s="11" t="s">
        <v>9</v>
      </c>
      <c r="D85" s="15" t="s">
        <v>9</v>
      </c>
      <c r="E85" s="15" t="s">
        <v>9</v>
      </c>
      <c r="F85" s="12" t="s">
        <v>9</v>
      </c>
      <c r="G85" s="12" t="s">
        <v>9</v>
      </c>
      <c r="H85" s="100"/>
    </row>
    <row r="86" spans="1:8" x14ac:dyDescent="0.2">
      <c r="A86" s="15" t="s">
        <v>9</v>
      </c>
      <c r="B86" s="15" t="s">
        <v>9</v>
      </c>
      <c r="C86" s="3" t="s">
        <v>117</v>
      </c>
      <c r="D86" s="15" t="s">
        <v>9</v>
      </c>
      <c r="E86" s="15" t="s">
        <v>9</v>
      </c>
      <c r="F86" s="9">
        <v>2074.3061452000002</v>
      </c>
      <c r="G86" s="10">
        <v>1.7311804E-2</v>
      </c>
      <c r="H86" s="100"/>
    </row>
    <row r="87" spans="1:8" x14ac:dyDescent="0.2">
      <c r="A87" s="15" t="s">
        <v>9</v>
      </c>
      <c r="B87" s="15" t="s">
        <v>9</v>
      </c>
      <c r="C87" s="12" t="s">
        <v>9</v>
      </c>
      <c r="D87" s="15" t="s">
        <v>9</v>
      </c>
      <c r="E87" s="15" t="s">
        <v>9</v>
      </c>
      <c r="F87" s="15" t="s">
        <v>9</v>
      </c>
      <c r="G87" s="15" t="s">
        <v>9</v>
      </c>
      <c r="H87" s="100"/>
    </row>
    <row r="88" spans="1:8" x14ac:dyDescent="0.2">
      <c r="A88" s="15" t="s">
        <v>9</v>
      </c>
      <c r="B88" s="15" t="s">
        <v>9</v>
      </c>
      <c r="C88" s="3" t="s">
        <v>118</v>
      </c>
      <c r="D88" s="15" t="s">
        <v>9</v>
      </c>
      <c r="E88" s="15" t="s">
        <v>9</v>
      </c>
      <c r="F88" s="15" t="s">
        <v>9</v>
      </c>
      <c r="G88" s="15" t="s">
        <v>9</v>
      </c>
      <c r="H88" s="100"/>
    </row>
    <row r="89" spans="1:8" x14ac:dyDescent="0.2">
      <c r="A89" s="15" t="s">
        <v>9</v>
      </c>
      <c r="B89" s="15" t="s">
        <v>9</v>
      </c>
      <c r="C89" s="3" t="s">
        <v>119</v>
      </c>
      <c r="D89" s="15" t="s">
        <v>9</v>
      </c>
      <c r="E89" s="15" t="s">
        <v>9</v>
      </c>
      <c r="F89" s="15" t="s">
        <v>9</v>
      </c>
      <c r="G89" s="15" t="s">
        <v>9</v>
      </c>
      <c r="H89" s="100"/>
    </row>
    <row r="90" spans="1:8" x14ac:dyDescent="0.2">
      <c r="A90" s="15" t="s">
        <v>9</v>
      </c>
      <c r="B90" s="15" t="s">
        <v>9</v>
      </c>
      <c r="C90" s="3" t="s">
        <v>94</v>
      </c>
      <c r="D90" s="15" t="s">
        <v>9</v>
      </c>
      <c r="E90" s="15" t="s">
        <v>9</v>
      </c>
      <c r="F90" s="13">
        <v>0</v>
      </c>
      <c r="G90" s="14">
        <v>0</v>
      </c>
      <c r="H90" s="100"/>
    </row>
    <row r="91" spans="1:8" x14ac:dyDescent="0.2">
      <c r="A91" s="15" t="s">
        <v>9</v>
      </c>
      <c r="B91" s="15" t="s">
        <v>9</v>
      </c>
      <c r="C91" s="11" t="s">
        <v>9</v>
      </c>
      <c r="D91" s="15" t="s">
        <v>9</v>
      </c>
      <c r="E91" s="15" t="s">
        <v>9</v>
      </c>
      <c r="F91" s="12" t="s">
        <v>9</v>
      </c>
      <c r="G91" s="12" t="s">
        <v>9</v>
      </c>
      <c r="H91" s="100"/>
    </row>
    <row r="92" spans="1:8" x14ac:dyDescent="0.2">
      <c r="A92" s="15" t="s">
        <v>9</v>
      </c>
      <c r="B92" s="15" t="s">
        <v>9</v>
      </c>
      <c r="C92" s="3" t="s">
        <v>120</v>
      </c>
      <c r="D92" s="15" t="s">
        <v>9</v>
      </c>
      <c r="E92" s="15" t="s">
        <v>9</v>
      </c>
      <c r="F92" s="15" t="s">
        <v>9</v>
      </c>
      <c r="G92" s="15" t="s">
        <v>9</v>
      </c>
      <c r="H92" s="100"/>
    </row>
    <row r="93" spans="1:8" x14ac:dyDescent="0.2">
      <c r="A93" s="15" t="s">
        <v>9</v>
      </c>
      <c r="B93" s="15" t="s">
        <v>9</v>
      </c>
      <c r="C93" s="3" t="s">
        <v>121</v>
      </c>
      <c r="D93" s="15" t="s">
        <v>9</v>
      </c>
      <c r="E93" s="15" t="s">
        <v>9</v>
      </c>
      <c r="F93" s="15" t="s">
        <v>9</v>
      </c>
      <c r="G93" s="15" t="s">
        <v>9</v>
      </c>
      <c r="H93" s="100"/>
    </row>
    <row r="94" spans="1:8" x14ac:dyDescent="0.2">
      <c r="A94" s="15" t="s">
        <v>9</v>
      </c>
      <c r="B94" s="15" t="s">
        <v>9</v>
      </c>
      <c r="C94" s="3" t="s">
        <v>94</v>
      </c>
      <c r="D94" s="15" t="s">
        <v>9</v>
      </c>
      <c r="E94" s="15" t="s">
        <v>9</v>
      </c>
      <c r="F94" s="13">
        <v>0</v>
      </c>
      <c r="G94" s="14">
        <v>0</v>
      </c>
      <c r="H94" s="100"/>
    </row>
    <row r="95" spans="1:8" x14ac:dyDescent="0.2">
      <c r="A95" s="15" t="s">
        <v>9</v>
      </c>
      <c r="B95" s="15" t="s">
        <v>9</v>
      </c>
      <c r="C95" s="11" t="s">
        <v>9</v>
      </c>
      <c r="D95" s="15" t="s">
        <v>9</v>
      </c>
      <c r="E95" s="15" t="s">
        <v>9</v>
      </c>
      <c r="F95" s="12" t="s">
        <v>9</v>
      </c>
      <c r="G95" s="12" t="s">
        <v>9</v>
      </c>
      <c r="H95" s="100"/>
    </row>
    <row r="96" spans="1:8" x14ac:dyDescent="0.2">
      <c r="A96" s="15" t="s">
        <v>9</v>
      </c>
      <c r="B96" s="15" t="s">
        <v>9</v>
      </c>
      <c r="C96" s="11" t="s">
        <v>9</v>
      </c>
      <c r="D96" s="15" t="s">
        <v>9</v>
      </c>
      <c r="E96" s="15" t="s">
        <v>9</v>
      </c>
      <c r="F96" s="12" t="s">
        <v>9</v>
      </c>
      <c r="G96" s="12" t="s">
        <v>9</v>
      </c>
      <c r="H96" s="100"/>
    </row>
    <row r="97" spans="1:8" ht="25.5" x14ac:dyDescent="0.2">
      <c r="A97" s="15" t="s">
        <v>9</v>
      </c>
      <c r="B97" s="15" t="s">
        <v>9</v>
      </c>
      <c r="C97" s="3" t="s">
        <v>122</v>
      </c>
      <c r="D97" s="15" t="s">
        <v>9</v>
      </c>
      <c r="E97" s="15" t="s">
        <v>9</v>
      </c>
      <c r="F97" s="12" t="s">
        <v>9</v>
      </c>
      <c r="G97" s="12" t="s">
        <v>9</v>
      </c>
      <c r="H97" s="100"/>
    </row>
    <row r="98" spans="1:8" x14ac:dyDescent="0.2">
      <c r="A98" s="15" t="s">
        <v>9</v>
      </c>
      <c r="B98" s="15" t="s">
        <v>9</v>
      </c>
      <c r="C98" s="3" t="s">
        <v>94</v>
      </c>
      <c r="D98" s="15" t="s">
        <v>9</v>
      </c>
      <c r="E98" s="15" t="s">
        <v>9</v>
      </c>
      <c r="F98" s="13">
        <v>0</v>
      </c>
      <c r="G98" s="14">
        <v>0</v>
      </c>
      <c r="H98" s="100"/>
    </row>
    <row r="99" spans="1:8" x14ac:dyDescent="0.2">
      <c r="A99" s="15" t="s">
        <v>9</v>
      </c>
      <c r="B99" s="15" t="s">
        <v>9</v>
      </c>
      <c r="C99" s="11" t="s">
        <v>9</v>
      </c>
      <c r="D99" s="15" t="s">
        <v>9</v>
      </c>
      <c r="E99" s="15" t="s">
        <v>9</v>
      </c>
      <c r="F99" s="12" t="s">
        <v>9</v>
      </c>
      <c r="G99" s="12" t="s">
        <v>9</v>
      </c>
      <c r="H99" s="100"/>
    </row>
    <row r="100" spans="1:8" x14ac:dyDescent="0.2">
      <c r="A100" s="15" t="s">
        <v>9</v>
      </c>
      <c r="B100" s="5" t="s">
        <v>9</v>
      </c>
      <c r="C100" s="5" t="s">
        <v>9</v>
      </c>
      <c r="D100" s="3" t="s">
        <v>9</v>
      </c>
      <c r="E100" s="15" t="s">
        <v>9</v>
      </c>
      <c r="F100" s="5" t="s">
        <v>9</v>
      </c>
      <c r="G100" s="15" t="s">
        <v>9</v>
      </c>
      <c r="H100" s="100"/>
    </row>
    <row r="101" spans="1:8" x14ac:dyDescent="0.2">
      <c r="A101" s="15" t="s">
        <v>9</v>
      </c>
      <c r="B101" s="5" t="s">
        <v>9</v>
      </c>
      <c r="C101" s="5" t="s">
        <v>124</v>
      </c>
      <c r="D101" s="5" t="s">
        <v>9</v>
      </c>
      <c r="E101" s="15" t="s">
        <v>9</v>
      </c>
      <c r="F101" s="7">
        <v>2284.0625538200002</v>
      </c>
      <c r="G101" s="8">
        <v>1.9062394999999999E-2</v>
      </c>
      <c r="H101" s="100"/>
    </row>
    <row r="102" spans="1:8" x14ac:dyDescent="0.2">
      <c r="A102" s="11" t="s">
        <v>9</v>
      </c>
      <c r="B102" s="11" t="s">
        <v>9</v>
      </c>
      <c r="C102" s="3" t="s">
        <v>125</v>
      </c>
      <c r="D102" s="16" t="s">
        <v>9</v>
      </c>
      <c r="E102" s="16" t="s">
        <v>9</v>
      </c>
      <c r="F102" s="9">
        <v>119820.33191782</v>
      </c>
      <c r="G102" s="10">
        <v>1</v>
      </c>
      <c r="H102" s="100"/>
    </row>
    <row r="103" spans="1:8" x14ac:dyDescent="0.2">
      <c r="A103" s="17" t="s">
        <v>9</v>
      </c>
      <c r="B103" s="17" t="s">
        <v>9</v>
      </c>
      <c r="C103" s="17" t="s">
        <v>9</v>
      </c>
      <c r="D103" s="18" t="s">
        <v>9</v>
      </c>
      <c r="E103" s="18" t="s">
        <v>9</v>
      </c>
      <c r="F103" s="18" t="s">
        <v>9</v>
      </c>
      <c r="G103" s="18" t="s">
        <v>9</v>
      </c>
      <c r="H103" s="142"/>
    </row>
    <row r="104" spans="1:8" x14ac:dyDescent="0.2">
      <c r="A104" s="19" t="s">
        <v>9</v>
      </c>
      <c r="B104" s="254" t="s">
        <v>9</v>
      </c>
      <c r="C104" s="254"/>
      <c r="D104" s="254"/>
      <c r="E104" s="254"/>
      <c r="F104" s="254"/>
      <c r="G104" s="20" t="s">
        <v>9</v>
      </c>
      <c r="H104" s="142"/>
    </row>
    <row r="105" spans="1:8" x14ac:dyDescent="0.2">
      <c r="A105" s="19" t="s">
        <v>9</v>
      </c>
      <c r="B105" s="254" t="s">
        <v>9</v>
      </c>
      <c r="C105" s="254"/>
      <c r="D105" s="254"/>
      <c r="E105" s="254"/>
      <c r="F105" s="254"/>
      <c r="G105" s="20" t="s">
        <v>9</v>
      </c>
      <c r="H105" s="142"/>
    </row>
    <row r="106" spans="1:8" x14ac:dyDescent="0.2">
      <c r="A106" s="19" t="s">
        <v>9</v>
      </c>
      <c r="B106" s="19" t="s">
        <v>9</v>
      </c>
      <c r="C106" s="19" t="s">
        <v>9</v>
      </c>
      <c r="D106" s="20" t="s">
        <v>9</v>
      </c>
      <c r="E106" s="20" t="s">
        <v>9</v>
      </c>
      <c r="F106" s="20" t="s">
        <v>9</v>
      </c>
      <c r="G106" s="20" t="s">
        <v>9</v>
      </c>
      <c r="H106" s="142"/>
    </row>
    <row r="107" spans="1:8" x14ac:dyDescent="0.2">
      <c r="A107" s="19" t="s">
        <v>9</v>
      </c>
      <c r="B107" s="247" t="s">
        <v>127</v>
      </c>
      <c r="C107" s="248"/>
      <c r="D107" s="182" t="s">
        <v>9</v>
      </c>
      <c r="E107" s="21" t="s">
        <v>9</v>
      </c>
      <c r="F107" s="20" t="s">
        <v>9</v>
      </c>
      <c r="G107" s="20" t="s">
        <v>9</v>
      </c>
      <c r="H107" s="142"/>
    </row>
    <row r="108" spans="1:8" ht="28.5" customHeight="1" x14ac:dyDescent="0.2">
      <c r="A108" s="19" t="s">
        <v>9</v>
      </c>
      <c r="B108" s="242" t="s">
        <v>128</v>
      </c>
      <c r="C108" s="243"/>
      <c r="D108" s="3" t="s">
        <v>129</v>
      </c>
      <c r="E108" s="21" t="s">
        <v>9</v>
      </c>
      <c r="F108" s="20" t="s">
        <v>9</v>
      </c>
      <c r="G108" s="20" t="s">
        <v>9</v>
      </c>
      <c r="H108" s="142"/>
    </row>
    <row r="109" spans="1:8" x14ac:dyDescent="0.2">
      <c r="A109" s="19" t="s">
        <v>9</v>
      </c>
      <c r="B109" s="240" t="s">
        <v>130</v>
      </c>
      <c r="C109" s="241"/>
      <c r="D109" s="177" t="s">
        <v>129</v>
      </c>
      <c r="E109" s="21" t="s">
        <v>9</v>
      </c>
      <c r="F109" s="20" t="s">
        <v>9</v>
      </c>
      <c r="G109" s="20" t="s">
        <v>9</v>
      </c>
      <c r="H109" s="142"/>
    </row>
    <row r="110" spans="1:8" x14ac:dyDescent="0.2">
      <c r="A110" s="19" t="s">
        <v>9</v>
      </c>
      <c r="B110" s="240" t="s">
        <v>131</v>
      </c>
      <c r="C110" s="241"/>
      <c r="D110" s="182" t="s">
        <v>9</v>
      </c>
      <c r="E110" s="21" t="s">
        <v>9</v>
      </c>
      <c r="F110" s="20" t="s">
        <v>9</v>
      </c>
      <c r="G110" s="20" t="s">
        <v>9</v>
      </c>
      <c r="H110" s="142"/>
    </row>
    <row r="111" spans="1:8" ht="25.5" x14ac:dyDescent="0.2">
      <c r="A111" s="25" t="s">
        <v>9</v>
      </c>
      <c r="B111" s="23" t="s">
        <v>9</v>
      </c>
      <c r="C111" s="23" t="s">
        <v>132</v>
      </c>
      <c r="D111" s="23" t="s">
        <v>133</v>
      </c>
      <c r="E111" s="25" t="s">
        <v>9</v>
      </c>
      <c r="F111" s="25" t="s">
        <v>9</v>
      </c>
      <c r="G111" s="25" t="s">
        <v>9</v>
      </c>
      <c r="H111" s="142"/>
    </row>
    <row r="112" spans="1:8" x14ac:dyDescent="0.2">
      <c r="A112" s="25" t="s">
        <v>9</v>
      </c>
      <c r="B112" s="23" t="s">
        <v>134</v>
      </c>
      <c r="C112" s="23" t="s">
        <v>135</v>
      </c>
      <c r="D112" s="23" t="s">
        <v>136</v>
      </c>
      <c r="E112" s="25" t="s">
        <v>9</v>
      </c>
      <c r="F112" s="25" t="s">
        <v>9</v>
      </c>
      <c r="G112" s="25" t="s">
        <v>9</v>
      </c>
      <c r="H112" s="142"/>
    </row>
    <row r="113" spans="1:8" x14ac:dyDescent="0.2">
      <c r="A113" s="25" t="s">
        <v>9</v>
      </c>
      <c r="B113" s="183" t="s">
        <v>137</v>
      </c>
      <c r="C113" s="184">
        <v>242.20570000000001</v>
      </c>
      <c r="D113" s="184">
        <v>240.53059999999999</v>
      </c>
      <c r="E113" s="25" t="s">
        <v>9</v>
      </c>
      <c r="F113" s="73" t="s">
        <v>9</v>
      </c>
      <c r="G113" s="25" t="s">
        <v>9</v>
      </c>
      <c r="H113" s="142"/>
    </row>
    <row r="114" spans="1:8" x14ac:dyDescent="0.2">
      <c r="A114" s="25" t="s">
        <v>9</v>
      </c>
      <c r="B114" s="183" t="s">
        <v>921</v>
      </c>
      <c r="C114" s="184">
        <v>17.160699999999999</v>
      </c>
      <c r="D114" s="184">
        <v>15.8925</v>
      </c>
      <c r="E114" s="25" t="s">
        <v>9</v>
      </c>
      <c r="F114" s="73" t="s">
        <v>9</v>
      </c>
      <c r="G114" s="25" t="s">
        <v>9</v>
      </c>
      <c r="H114" s="142"/>
    </row>
    <row r="115" spans="1:8" ht="25.5" x14ac:dyDescent="0.2">
      <c r="A115" s="25" t="s">
        <v>9</v>
      </c>
      <c r="B115" s="183" t="s">
        <v>391</v>
      </c>
      <c r="C115" s="184">
        <v>247.5575</v>
      </c>
      <c r="D115" s="184">
        <v>245.84370000000001</v>
      </c>
      <c r="E115" s="25" t="s">
        <v>9</v>
      </c>
      <c r="F115" s="73" t="s">
        <v>9</v>
      </c>
      <c r="G115" s="25" t="s">
        <v>9</v>
      </c>
      <c r="H115" s="142"/>
    </row>
    <row r="116" spans="1:8" x14ac:dyDescent="0.2">
      <c r="A116" s="25" t="s">
        <v>9</v>
      </c>
      <c r="B116" s="183" t="s">
        <v>138</v>
      </c>
      <c r="C116" s="184">
        <v>227.99879999999999</v>
      </c>
      <c r="D116" s="184">
        <v>226.23920000000001</v>
      </c>
      <c r="E116" s="25" t="s">
        <v>9</v>
      </c>
      <c r="F116" s="73" t="s">
        <v>9</v>
      </c>
      <c r="G116" s="25" t="s">
        <v>9</v>
      </c>
      <c r="H116" s="142"/>
    </row>
    <row r="117" spans="1:8" x14ac:dyDescent="0.2">
      <c r="A117" s="25" t="s">
        <v>9</v>
      </c>
      <c r="B117" s="183" t="s">
        <v>922</v>
      </c>
      <c r="C117" s="184">
        <v>15.9657</v>
      </c>
      <c r="D117" s="184">
        <v>14.773</v>
      </c>
      <c r="E117" s="25" t="s">
        <v>9</v>
      </c>
      <c r="F117" s="73" t="s">
        <v>9</v>
      </c>
      <c r="G117" s="25" t="s">
        <v>9</v>
      </c>
      <c r="H117" s="142"/>
    </row>
    <row r="118" spans="1:8" x14ac:dyDescent="0.2">
      <c r="A118" s="25" t="s">
        <v>9</v>
      </c>
      <c r="B118" s="22" t="s">
        <v>9</v>
      </c>
      <c r="C118" s="22" t="s">
        <v>9</v>
      </c>
      <c r="D118" s="22" t="s">
        <v>9</v>
      </c>
      <c r="E118" s="25" t="s">
        <v>9</v>
      </c>
      <c r="F118" s="25" t="s">
        <v>9</v>
      </c>
      <c r="G118" s="25" t="s">
        <v>9</v>
      </c>
      <c r="H118" s="142"/>
    </row>
    <row r="119" spans="1:8" x14ac:dyDescent="0.2">
      <c r="A119" s="25" t="s">
        <v>9</v>
      </c>
      <c r="B119" s="257" t="s">
        <v>1012</v>
      </c>
      <c r="C119" s="258"/>
      <c r="D119" s="190"/>
      <c r="E119" s="25" t="s">
        <v>9</v>
      </c>
      <c r="F119" s="25" t="s">
        <v>9</v>
      </c>
      <c r="G119" s="25" t="s">
        <v>9</v>
      </c>
      <c r="H119" s="142"/>
    </row>
    <row r="120" spans="1:8" x14ac:dyDescent="0.2">
      <c r="A120" s="25" t="s">
        <v>9</v>
      </c>
      <c r="B120" s="191" t="s">
        <v>134</v>
      </c>
      <c r="C120" s="191" t="s">
        <v>867</v>
      </c>
      <c r="D120" s="191" t="s">
        <v>868</v>
      </c>
      <c r="E120" s="25" t="s">
        <v>9</v>
      </c>
      <c r="F120" s="25" t="s">
        <v>9</v>
      </c>
      <c r="G120" s="25" t="s">
        <v>9</v>
      </c>
      <c r="H120" s="142"/>
    </row>
    <row r="121" spans="1:8" x14ac:dyDescent="0.2">
      <c r="A121" s="25" t="s">
        <v>9</v>
      </c>
      <c r="B121" s="192" t="s">
        <v>921</v>
      </c>
      <c r="C121" s="193">
        <v>1.1679999999999999</v>
      </c>
      <c r="D121" s="193">
        <v>0</v>
      </c>
      <c r="E121" s="25" t="s">
        <v>9</v>
      </c>
      <c r="F121" s="73" t="s">
        <v>9</v>
      </c>
      <c r="G121" s="25" t="s">
        <v>9</v>
      </c>
      <c r="H121" s="142"/>
    </row>
    <row r="122" spans="1:8" x14ac:dyDescent="0.2">
      <c r="A122" s="25" t="s">
        <v>9</v>
      </c>
      <c r="B122" s="192" t="s">
        <v>922</v>
      </c>
      <c r="C122" s="193">
        <v>1.0860000000000001</v>
      </c>
      <c r="D122" s="193">
        <v>1.0860000000000001</v>
      </c>
      <c r="E122" s="25" t="s">
        <v>9</v>
      </c>
      <c r="F122" s="73" t="s">
        <v>9</v>
      </c>
      <c r="G122" s="25" t="s">
        <v>9</v>
      </c>
      <c r="H122" s="142"/>
    </row>
    <row r="123" spans="1:8" x14ac:dyDescent="0.2">
      <c r="A123" s="25"/>
      <c r="B123" s="233"/>
      <c r="C123" s="235"/>
      <c r="D123" s="235"/>
      <c r="E123" s="25"/>
      <c r="F123" s="232"/>
      <c r="G123" s="25"/>
      <c r="H123" s="142"/>
    </row>
    <row r="124" spans="1:8" customFormat="1" ht="18" customHeight="1" x14ac:dyDescent="0.2">
      <c r="A124" s="234"/>
      <c r="B124" s="259" t="s">
        <v>923</v>
      </c>
      <c r="C124" s="259"/>
      <c r="D124" s="259"/>
      <c r="E124" s="259"/>
      <c r="F124" s="259"/>
      <c r="G124" s="234"/>
    </row>
    <row r="125" spans="1:8" x14ac:dyDescent="0.2">
      <c r="A125" s="25" t="s">
        <v>9</v>
      </c>
      <c r="B125" s="185" t="s">
        <v>9</v>
      </c>
      <c r="C125" s="185" t="s">
        <v>9</v>
      </c>
      <c r="D125" s="22" t="s">
        <v>9</v>
      </c>
      <c r="E125" s="25" t="s">
        <v>9</v>
      </c>
      <c r="F125" s="25" t="s">
        <v>9</v>
      </c>
      <c r="G125" s="25" t="s">
        <v>9</v>
      </c>
      <c r="H125" s="142"/>
    </row>
    <row r="126" spans="1:8" x14ac:dyDescent="0.2">
      <c r="A126" s="25" t="s">
        <v>9</v>
      </c>
      <c r="B126" s="240" t="s">
        <v>139</v>
      </c>
      <c r="C126" s="241"/>
      <c r="D126" s="177" t="s">
        <v>129</v>
      </c>
      <c r="E126" s="25" t="s">
        <v>9</v>
      </c>
      <c r="F126" s="25" t="s">
        <v>9</v>
      </c>
      <c r="G126" s="25" t="s">
        <v>9</v>
      </c>
      <c r="H126" s="142"/>
    </row>
    <row r="127" spans="1:8" x14ac:dyDescent="0.2">
      <c r="A127" s="25" t="s">
        <v>9</v>
      </c>
      <c r="B127" s="240" t="s">
        <v>140</v>
      </c>
      <c r="C127" s="241"/>
      <c r="D127" s="177" t="s">
        <v>129</v>
      </c>
      <c r="E127" s="25" t="s">
        <v>9</v>
      </c>
      <c r="F127" s="25" t="s">
        <v>9</v>
      </c>
      <c r="G127" s="25" t="s">
        <v>9</v>
      </c>
      <c r="H127" s="142"/>
    </row>
    <row r="128" spans="1:8" x14ac:dyDescent="0.2">
      <c r="A128" s="25" t="s">
        <v>9</v>
      </c>
      <c r="B128" s="240" t="s">
        <v>141</v>
      </c>
      <c r="C128" s="241"/>
      <c r="D128" s="186">
        <v>0.68653048366769975</v>
      </c>
      <c r="E128" s="25" t="s">
        <v>9</v>
      </c>
      <c r="F128" s="73" t="s">
        <v>9</v>
      </c>
      <c r="G128" s="25" t="s">
        <v>9</v>
      </c>
      <c r="H128" s="142"/>
    </row>
    <row r="129" spans="1:8" x14ac:dyDescent="0.2">
      <c r="A129" s="25" t="s">
        <v>9</v>
      </c>
      <c r="B129" s="240" t="s">
        <v>142</v>
      </c>
      <c r="C129" s="241"/>
      <c r="D129" s="177" t="s">
        <v>129</v>
      </c>
      <c r="E129" s="25" t="s">
        <v>9</v>
      </c>
      <c r="F129" s="25" t="s">
        <v>9</v>
      </c>
      <c r="G129" s="25" t="s">
        <v>9</v>
      </c>
      <c r="H129" s="142"/>
    </row>
  </sheetData>
  <mergeCells count="15">
    <mergeCell ref="B107:C107"/>
    <mergeCell ref="B104:F104"/>
    <mergeCell ref="B105:F105"/>
    <mergeCell ref="A1:H1"/>
    <mergeCell ref="A2:H2"/>
    <mergeCell ref="A3:H3"/>
    <mergeCell ref="B128:C128"/>
    <mergeCell ref="B129:C129"/>
    <mergeCell ref="B108:C108"/>
    <mergeCell ref="B109:C109"/>
    <mergeCell ref="B110:C110"/>
    <mergeCell ref="B119:C119"/>
    <mergeCell ref="B126:C126"/>
    <mergeCell ref="B127:C127"/>
    <mergeCell ref="B124:F124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outlinePr summaryBelow="0" summaryRight="0"/>
  </sheetPr>
  <dimension ref="A1:H161"/>
  <sheetViews>
    <sheetView showGridLines="0" workbookViewId="0">
      <selection activeCell="J1" sqref="J1"/>
    </sheetView>
  </sheetViews>
  <sheetFormatPr defaultRowHeight="15" x14ac:dyDescent="0.2"/>
  <cols>
    <col min="1" max="1" width="6.85546875" style="155" customWidth="1"/>
    <col min="2" max="2" width="20.5703125" style="155" customWidth="1"/>
    <col min="3" max="3" width="34.28515625" style="155" customWidth="1"/>
    <col min="4" max="4" width="17.85546875" style="155" customWidth="1"/>
    <col min="5" max="6" width="19.140625" style="155" customWidth="1"/>
    <col min="7" max="7" width="16.42578125" style="155" customWidth="1"/>
    <col min="8" max="16384" width="9.140625" style="155"/>
  </cols>
  <sheetData>
    <row r="1" spans="1:8" x14ac:dyDescent="0.2">
      <c r="A1" s="250" t="s">
        <v>0</v>
      </c>
      <c r="B1" s="250"/>
      <c r="C1" s="250"/>
      <c r="D1" s="250"/>
      <c r="E1" s="250"/>
      <c r="F1" s="250"/>
      <c r="G1" s="250"/>
      <c r="H1" s="250"/>
    </row>
    <row r="2" spans="1:8" x14ac:dyDescent="0.2">
      <c r="A2" s="251" t="s">
        <v>489</v>
      </c>
      <c r="B2" s="252"/>
      <c r="C2" s="252"/>
      <c r="D2" s="252"/>
      <c r="E2" s="252"/>
      <c r="F2" s="252"/>
      <c r="G2" s="252"/>
      <c r="H2" s="253"/>
    </row>
    <row r="3" spans="1:8" x14ac:dyDescent="0.2">
      <c r="A3" s="250" t="s">
        <v>1015</v>
      </c>
      <c r="B3" s="250"/>
      <c r="C3" s="250"/>
      <c r="D3" s="250"/>
      <c r="E3" s="250"/>
      <c r="F3" s="250"/>
      <c r="G3" s="250"/>
      <c r="H3" s="250"/>
    </row>
    <row r="4" spans="1:8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60" t="s">
        <v>6</v>
      </c>
      <c r="F4" s="160" t="s">
        <v>7</v>
      </c>
      <c r="G4" s="160" t="s">
        <v>8</v>
      </c>
      <c r="H4" s="161" t="s">
        <v>909</v>
      </c>
    </row>
    <row r="5" spans="1:8" x14ac:dyDescent="0.2">
      <c r="A5" s="15" t="s">
        <v>9</v>
      </c>
      <c r="B5" s="15" t="s">
        <v>9</v>
      </c>
      <c r="C5" s="3" t="s">
        <v>10</v>
      </c>
      <c r="D5" s="15" t="s">
        <v>9</v>
      </c>
      <c r="E5" s="15" t="s">
        <v>9</v>
      </c>
      <c r="F5" s="15" t="s">
        <v>9</v>
      </c>
      <c r="G5" s="15" t="s">
        <v>9</v>
      </c>
      <c r="H5" s="100"/>
    </row>
    <row r="6" spans="1:8" ht="25.5" x14ac:dyDescent="0.2">
      <c r="A6" s="15" t="s">
        <v>9</v>
      </c>
      <c r="B6" s="15" t="s">
        <v>9</v>
      </c>
      <c r="C6" s="3" t="s">
        <v>11</v>
      </c>
      <c r="D6" s="15" t="s">
        <v>9</v>
      </c>
      <c r="E6" s="15" t="s">
        <v>9</v>
      </c>
      <c r="F6" s="15" t="s">
        <v>9</v>
      </c>
      <c r="G6" s="15" t="s">
        <v>9</v>
      </c>
      <c r="H6" s="100"/>
    </row>
    <row r="7" spans="1:8" x14ac:dyDescent="0.2">
      <c r="A7" s="4">
        <v>1</v>
      </c>
      <c r="B7" s="5" t="s">
        <v>147</v>
      </c>
      <c r="C7" s="5" t="s">
        <v>148</v>
      </c>
      <c r="D7" s="5" t="s">
        <v>146</v>
      </c>
      <c r="E7" s="6">
        <v>23765</v>
      </c>
      <c r="F7" s="7">
        <v>295.51777499999997</v>
      </c>
      <c r="G7" s="8">
        <v>6.4346282000000005E-2</v>
      </c>
      <c r="H7" s="100"/>
    </row>
    <row r="8" spans="1:8" x14ac:dyDescent="0.2">
      <c r="A8" s="4">
        <v>2</v>
      </c>
      <c r="B8" s="5" t="s">
        <v>144</v>
      </c>
      <c r="C8" s="5" t="s">
        <v>145</v>
      </c>
      <c r="D8" s="5" t="s">
        <v>146</v>
      </c>
      <c r="E8" s="6">
        <v>5323</v>
      </c>
      <c r="F8" s="7">
        <v>182.48308599999999</v>
      </c>
      <c r="G8" s="8">
        <v>3.9734015999999997E-2</v>
      </c>
      <c r="H8" s="100"/>
    </row>
    <row r="9" spans="1:8" ht="25.5" x14ac:dyDescent="0.2">
      <c r="A9" s="4">
        <v>3</v>
      </c>
      <c r="B9" s="5" t="s">
        <v>34</v>
      </c>
      <c r="C9" s="5" t="s">
        <v>35</v>
      </c>
      <c r="D9" s="5" t="s">
        <v>1001</v>
      </c>
      <c r="E9" s="6">
        <v>4347</v>
      </c>
      <c r="F9" s="7">
        <v>121.994208</v>
      </c>
      <c r="G9" s="8">
        <v>2.6563119E-2</v>
      </c>
      <c r="H9" s="100"/>
    </row>
    <row r="10" spans="1:8" x14ac:dyDescent="0.2">
      <c r="A10" s="4">
        <v>4</v>
      </c>
      <c r="B10" s="5" t="s">
        <v>461</v>
      </c>
      <c r="C10" s="5" t="s">
        <v>462</v>
      </c>
      <c r="D10" s="5" t="s">
        <v>193</v>
      </c>
      <c r="E10" s="6">
        <v>43121</v>
      </c>
      <c r="F10" s="7">
        <v>114.3353315</v>
      </c>
      <c r="G10" s="8">
        <v>2.4895469E-2</v>
      </c>
      <c r="H10" s="100"/>
    </row>
    <row r="11" spans="1:8" x14ac:dyDescent="0.2">
      <c r="A11" s="4">
        <v>5</v>
      </c>
      <c r="B11" s="5" t="s">
        <v>157</v>
      </c>
      <c r="C11" s="5" t="s">
        <v>158</v>
      </c>
      <c r="D11" s="5" t="s">
        <v>28</v>
      </c>
      <c r="E11" s="6">
        <v>20729</v>
      </c>
      <c r="F11" s="7">
        <v>107.977361</v>
      </c>
      <c r="G11" s="8">
        <v>2.3511079000000001E-2</v>
      </c>
      <c r="H11" s="100"/>
    </row>
    <row r="12" spans="1:8" x14ac:dyDescent="0.2">
      <c r="A12" s="4">
        <v>6</v>
      </c>
      <c r="B12" s="5" t="s">
        <v>159</v>
      </c>
      <c r="C12" s="5" t="s">
        <v>160</v>
      </c>
      <c r="D12" s="5" t="s">
        <v>58</v>
      </c>
      <c r="E12" s="6">
        <v>29649</v>
      </c>
      <c r="F12" s="7">
        <v>103.7715</v>
      </c>
      <c r="G12" s="8">
        <v>2.2595291E-2</v>
      </c>
      <c r="H12" s="100"/>
    </row>
    <row r="13" spans="1:8" x14ac:dyDescent="0.2">
      <c r="A13" s="4">
        <v>7</v>
      </c>
      <c r="B13" s="5" t="s">
        <v>440</v>
      </c>
      <c r="C13" s="5" t="s">
        <v>441</v>
      </c>
      <c r="D13" s="5" t="s">
        <v>58</v>
      </c>
      <c r="E13" s="6">
        <v>38034</v>
      </c>
      <c r="F13" s="7">
        <v>102.577698</v>
      </c>
      <c r="G13" s="8">
        <v>2.2335351999999999E-2</v>
      </c>
      <c r="H13" s="100"/>
    </row>
    <row r="14" spans="1:8" x14ac:dyDescent="0.2">
      <c r="A14" s="4">
        <v>8</v>
      </c>
      <c r="B14" s="5" t="s">
        <v>50</v>
      </c>
      <c r="C14" s="5" t="s">
        <v>51</v>
      </c>
      <c r="D14" s="5" t="s">
        <v>28</v>
      </c>
      <c r="E14" s="6">
        <v>11361</v>
      </c>
      <c r="F14" s="7">
        <v>100.4823645</v>
      </c>
      <c r="G14" s="8">
        <v>2.1879111999999999E-2</v>
      </c>
      <c r="H14" s="100"/>
    </row>
    <row r="15" spans="1:8" x14ac:dyDescent="0.2">
      <c r="A15" s="4">
        <v>9</v>
      </c>
      <c r="B15" s="5" t="s">
        <v>282</v>
      </c>
      <c r="C15" s="5" t="s">
        <v>283</v>
      </c>
      <c r="D15" s="5" t="s">
        <v>28</v>
      </c>
      <c r="E15" s="6">
        <v>25503</v>
      </c>
      <c r="F15" s="7">
        <v>97.332199500000002</v>
      </c>
      <c r="G15" s="8">
        <v>2.1193192999999999E-2</v>
      </c>
      <c r="H15" s="100"/>
    </row>
    <row r="16" spans="1:8" x14ac:dyDescent="0.2">
      <c r="A16" s="4">
        <v>10</v>
      </c>
      <c r="B16" s="5" t="s">
        <v>154</v>
      </c>
      <c r="C16" s="5" t="s">
        <v>155</v>
      </c>
      <c r="D16" s="5" t="s">
        <v>156</v>
      </c>
      <c r="E16" s="6">
        <v>119023</v>
      </c>
      <c r="F16" s="7">
        <v>96.408630000000002</v>
      </c>
      <c r="G16" s="8">
        <v>2.0992093999999999E-2</v>
      </c>
      <c r="H16" s="100"/>
    </row>
    <row r="17" spans="1:8" x14ac:dyDescent="0.2">
      <c r="A17" s="4">
        <v>11</v>
      </c>
      <c r="B17" s="5" t="s">
        <v>173</v>
      </c>
      <c r="C17" s="5" t="s">
        <v>949</v>
      </c>
      <c r="D17" s="5" t="s">
        <v>28</v>
      </c>
      <c r="E17" s="6">
        <v>21370</v>
      </c>
      <c r="F17" s="7">
        <v>95.438419999999994</v>
      </c>
      <c r="G17" s="8">
        <v>2.0780839999999998E-2</v>
      </c>
      <c r="H17" s="100"/>
    </row>
    <row r="18" spans="1:8" ht="25.5" x14ac:dyDescent="0.2">
      <c r="A18" s="4">
        <v>12</v>
      </c>
      <c r="B18" s="5" t="s">
        <v>166</v>
      </c>
      <c r="C18" s="5" t="s">
        <v>948</v>
      </c>
      <c r="D18" s="5" t="s">
        <v>1001</v>
      </c>
      <c r="E18" s="6">
        <v>38165</v>
      </c>
      <c r="F18" s="7">
        <v>90.489215000000002</v>
      </c>
      <c r="G18" s="8">
        <v>1.9703195999999999E-2</v>
      </c>
      <c r="H18" s="100"/>
    </row>
    <row r="19" spans="1:8" x14ac:dyDescent="0.2">
      <c r="A19" s="4">
        <v>13</v>
      </c>
      <c r="B19" s="5" t="s">
        <v>26</v>
      </c>
      <c r="C19" s="5" t="s">
        <v>27</v>
      </c>
      <c r="D19" s="5" t="s">
        <v>28</v>
      </c>
      <c r="E19" s="6">
        <v>9617</v>
      </c>
      <c r="F19" s="7">
        <v>88.082103000000004</v>
      </c>
      <c r="G19" s="8">
        <v>1.9179069E-2</v>
      </c>
      <c r="H19" s="100"/>
    </row>
    <row r="20" spans="1:8" ht="25.5" x14ac:dyDescent="0.2">
      <c r="A20" s="4">
        <v>14</v>
      </c>
      <c r="B20" s="5" t="s">
        <v>152</v>
      </c>
      <c r="C20" s="5" t="s">
        <v>153</v>
      </c>
      <c r="D20" s="5" t="s">
        <v>1001</v>
      </c>
      <c r="E20" s="6">
        <v>53324</v>
      </c>
      <c r="F20" s="7">
        <v>87.024767999999995</v>
      </c>
      <c r="G20" s="8">
        <v>1.8948843999999999E-2</v>
      </c>
      <c r="H20" s="100"/>
    </row>
    <row r="21" spans="1:8" x14ac:dyDescent="0.2">
      <c r="A21" s="4">
        <v>15</v>
      </c>
      <c r="B21" s="5" t="s">
        <v>168</v>
      </c>
      <c r="C21" s="5" t="s">
        <v>169</v>
      </c>
      <c r="D21" s="5" t="s">
        <v>151</v>
      </c>
      <c r="E21" s="6">
        <v>43793</v>
      </c>
      <c r="F21" s="7">
        <v>86.3816925</v>
      </c>
      <c r="G21" s="8">
        <v>1.880882E-2</v>
      </c>
      <c r="H21" s="100"/>
    </row>
    <row r="22" spans="1:8" x14ac:dyDescent="0.2">
      <c r="A22" s="4">
        <v>16</v>
      </c>
      <c r="B22" s="5" t="s">
        <v>48</v>
      </c>
      <c r="C22" s="5" t="s">
        <v>49</v>
      </c>
      <c r="D22" s="5" t="s">
        <v>28</v>
      </c>
      <c r="E22" s="6">
        <v>6053</v>
      </c>
      <c r="F22" s="7">
        <v>84.993199500000003</v>
      </c>
      <c r="G22" s="8">
        <v>1.8506489000000001E-2</v>
      </c>
      <c r="H22" s="100"/>
    </row>
    <row r="23" spans="1:8" x14ac:dyDescent="0.2">
      <c r="A23" s="4">
        <v>17</v>
      </c>
      <c r="B23" s="5" t="s">
        <v>448</v>
      </c>
      <c r="C23" s="5" t="s">
        <v>957</v>
      </c>
      <c r="D23" s="5" t="s">
        <v>228</v>
      </c>
      <c r="E23" s="6">
        <v>17368</v>
      </c>
      <c r="F23" s="7">
        <v>84.087171999999995</v>
      </c>
      <c r="G23" s="8">
        <v>1.8309209999999999E-2</v>
      </c>
      <c r="H23" s="100"/>
    </row>
    <row r="24" spans="1:8" x14ac:dyDescent="0.2">
      <c r="A24" s="4">
        <v>18</v>
      </c>
      <c r="B24" s="5" t="s">
        <v>291</v>
      </c>
      <c r="C24" s="5" t="s">
        <v>292</v>
      </c>
      <c r="D24" s="5" t="s">
        <v>163</v>
      </c>
      <c r="E24" s="6">
        <v>2600</v>
      </c>
      <c r="F24" s="7">
        <v>81.3215</v>
      </c>
      <c r="G24" s="8">
        <v>1.7707009999999999E-2</v>
      </c>
      <c r="H24" s="100"/>
    </row>
    <row r="25" spans="1:8" x14ac:dyDescent="0.2">
      <c r="A25" s="4">
        <v>19</v>
      </c>
      <c r="B25" s="5" t="s">
        <v>184</v>
      </c>
      <c r="C25" s="5" t="s">
        <v>185</v>
      </c>
      <c r="D25" s="5" t="s">
        <v>172</v>
      </c>
      <c r="E25" s="6">
        <v>43980</v>
      </c>
      <c r="F25" s="7">
        <v>78.10848</v>
      </c>
      <c r="G25" s="8">
        <v>1.7007404E-2</v>
      </c>
      <c r="H25" s="100"/>
    </row>
    <row r="26" spans="1:8" x14ac:dyDescent="0.2">
      <c r="A26" s="4">
        <v>20</v>
      </c>
      <c r="B26" s="5" t="s">
        <v>164</v>
      </c>
      <c r="C26" s="5" t="s">
        <v>947</v>
      </c>
      <c r="D26" s="5" t="s">
        <v>151</v>
      </c>
      <c r="E26" s="6">
        <v>10540</v>
      </c>
      <c r="F26" s="7">
        <v>76.357029999999995</v>
      </c>
      <c r="G26" s="8">
        <v>1.6626042000000001E-2</v>
      </c>
      <c r="H26" s="100"/>
    </row>
    <row r="27" spans="1:8" ht="25.5" x14ac:dyDescent="0.2">
      <c r="A27" s="4">
        <v>21</v>
      </c>
      <c r="B27" s="5" t="s">
        <v>180</v>
      </c>
      <c r="C27" s="5" t="s">
        <v>934</v>
      </c>
      <c r="D27" s="5" t="s">
        <v>146</v>
      </c>
      <c r="E27" s="6">
        <v>20365</v>
      </c>
      <c r="F27" s="7">
        <v>73.690752500000002</v>
      </c>
      <c r="G27" s="8">
        <v>1.6045485000000002E-2</v>
      </c>
      <c r="H27" s="100"/>
    </row>
    <row r="28" spans="1:8" x14ac:dyDescent="0.2">
      <c r="A28" s="4">
        <v>22</v>
      </c>
      <c r="B28" s="5" t="s">
        <v>191</v>
      </c>
      <c r="C28" s="5" t="s">
        <v>192</v>
      </c>
      <c r="D28" s="5" t="s">
        <v>193</v>
      </c>
      <c r="E28" s="6">
        <v>21655</v>
      </c>
      <c r="F28" s="7">
        <v>71.136674999999997</v>
      </c>
      <c r="G28" s="8">
        <v>1.5489358E-2</v>
      </c>
      <c r="H28" s="100"/>
    </row>
    <row r="29" spans="1:8" ht="25.5" x14ac:dyDescent="0.2">
      <c r="A29" s="4">
        <v>23</v>
      </c>
      <c r="B29" s="5" t="s">
        <v>194</v>
      </c>
      <c r="C29" s="5" t="s">
        <v>195</v>
      </c>
      <c r="D29" s="5" t="s">
        <v>73</v>
      </c>
      <c r="E29" s="6">
        <v>19144</v>
      </c>
      <c r="F29" s="7">
        <v>70.306340000000006</v>
      </c>
      <c r="G29" s="8">
        <v>1.5308560000000001E-2</v>
      </c>
      <c r="H29" s="100"/>
    </row>
    <row r="30" spans="1:8" x14ac:dyDescent="0.2">
      <c r="A30" s="4">
        <v>24</v>
      </c>
      <c r="B30" s="5" t="s">
        <v>177</v>
      </c>
      <c r="C30" s="5" t="s">
        <v>178</v>
      </c>
      <c r="D30" s="5" t="s">
        <v>47</v>
      </c>
      <c r="E30" s="6">
        <v>6485</v>
      </c>
      <c r="F30" s="7">
        <v>68.462145000000007</v>
      </c>
      <c r="G30" s="8">
        <v>1.4907003E-2</v>
      </c>
      <c r="H30" s="100"/>
    </row>
    <row r="31" spans="1:8" x14ac:dyDescent="0.2">
      <c r="A31" s="4">
        <v>25</v>
      </c>
      <c r="B31" s="5" t="s">
        <v>189</v>
      </c>
      <c r="C31" s="5" t="s">
        <v>190</v>
      </c>
      <c r="D31" s="5" t="s">
        <v>151</v>
      </c>
      <c r="E31" s="6">
        <v>3337</v>
      </c>
      <c r="F31" s="7">
        <v>68.018071000000006</v>
      </c>
      <c r="G31" s="8">
        <v>1.481031E-2</v>
      </c>
      <c r="H31" s="100"/>
    </row>
    <row r="32" spans="1:8" x14ac:dyDescent="0.2">
      <c r="A32" s="4">
        <v>26</v>
      </c>
      <c r="B32" s="5" t="s">
        <v>198</v>
      </c>
      <c r="C32" s="5" t="s">
        <v>199</v>
      </c>
      <c r="D32" s="5" t="s">
        <v>156</v>
      </c>
      <c r="E32" s="6">
        <v>120781</v>
      </c>
      <c r="F32" s="7">
        <v>64.013930000000002</v>
      </c>
      <c r="G32" s="8">
        <v>1.3938445000000001E-2</v>
      </c>
      <c r="H32" s="100"/>
    </row>
    <row r="33" spans="1:8" x14ac:dyDescent="0.2">
      <c r="A33" s="4">
        <v>27</v>
      </c>
      <c r="B33" s="5" t="s">
        <v>204</v>
      </c>
      <c r="C33" s="5" t="s">
        <v>205</v>
      </c>
      <c r="D33" s="5" t="s">
        <v>1004</v>
      </c>
      <c r="E33" s="6">
        <v>23447</v>
      </c>
      <c r="F33" s="7">
        <v>63.752392999999998</v>
      </c>
      <c r="G33" s="8">
        <v>1.3881498000000001E-2</v>
      </c>
      <c r="H33" s="100"/>
    </row>
    <row r="34" spans="1:8" x14ac:dyDescent="0.2">
      <c r="A34" s="4">
        <v>28</v>
      </c>
      <c r="B34" s="5" t="s">
        <v>202</v>
      </c>
      <c r="C34" s="5" t="s">
        <v>203</v>
      </c>
      <c r="D34" s="5" t="s">
        <v>38</v>
      </c>
      <c r="E34" s="6">
        <v>76388</v>
      </c>
      <c r="F34" s="7">
        <v>63.058293999999997</v>
      </c>
      <c r="G34" s="8">
        <v>1.3730365E-2</v>
      </c>
      <c r="H34" s="100"/>
    </row>
    <row r="35" spans="1:8" x14ac:dyDescent="0.2">
      <c r="A35" s="4">
        <v>29</v>
      </c>
      <c r="B35" s="5" t="s">
        <v>278</v>
      </c>
      <c r="C35" s="5" t="s">
        <v>279</v>
      </c>
      <c r="D35" s="5" t="s">
        <v>28</v>
      </c>
      <c r="E35" s="6">
        <v>5952</v>
      </c>
      <c r="F35" s="7">
        <v>62.990015999999997</v>
      </c>
      <c r="G35" s="8">
        <v>1.3715498E-2</v>
      </c>
      <c r="H35" s="100"/>
    </row>
    <row r="36" spans="1:8" x14ac:dyDescent="0.2">
      <c r="A36" s="4">
        <v>30</v>
      </c>
      <c r="B36" s="5" t="s">
        <v>196</v>
      </c>
      <c r="C36" s="5" t="s">
        <v>197</v>
      </c>
      <c r="D36" s="5" t="s">
        <v>151</v>
      </c>
      <c r="E36" s="6">
        <v>8436</v>
      </c>
      <c r="F36" s="7">
        <v>62.177537999999998</v>
      </c>
      <c r="G36" s="8">
        <v>1.3538588000000001E-2</v>
      </c>
      <c r="H36" s="100"/>
    </row>
    <row r="37" spans="1:8" x14ac:dyDescent="0.2">
      <c r="A37" s="4">
        <v>31</v>
      </c>
      <c r="B37" s="5" t="s">
        <v>208</v>
      </c>
      <c r="C37" s="5" t="s">
        <v>209</v>
      </c>
      <c r="D37" s="5" t="s">
        <v>163</v>
      </c>
      <c r="E37" s="6">
        <v>16867</v>
      </c>
      <c r="F37" s="7">
        <v>61.901890000000002</v>
      </c>
      <c r="G37" s="8">
        <v>1.3478568E-2</v>
      </c>
      <c r="H37" s="100"/>
    </row>
    <row r="38" spans="1:8" ht="25.5" x14ac:dyDescent="0.2">
      <c r="A38" s="4">
        <v>32</v>
      </c>
      <c r="B38" s="5" t="s">
        <v>214</v>
      </c>
      <c r="C38" s="5" t="s">
        <v>215</v>
      </c>
      <c r="D38" s="5" t="s">
        <v>25</v>
      </c>
      <c r="E38" s="6">
        <v>88535</v>
      </c>
      <c r="F38" s="7">
        <v>61.620359999999998</v>
      </c>
      <c r="G38" s="8">
        <v>1.3417268E-2</v>
      </c>
      <c r="H38" s="100"/>
    </row>
    <row r="39" spans="1:8" x14ac:dyDescent="0.2">
      <c r="A39" s="4">
        <v>33</v>
      </c>
      <c r="B39" s="5" t="s">
        <v>446</v>
      </c>
      <c r="C39" s="5" t="s">
        <v>447</v>
      </c>
      <c r="D39" s="5" t="s">
        <v>156</v>
      </c>
      <c r="E39" s="6">
        <v>19816</v>
      </c>
      <c r="F39" s="7">
        <v>60.230732000000003</v>
      </c>
      <c r="G39" s="8">
        <v>1.3114689000000001E-2</v>
      </c>
      <c r="H39" s="100"/>
    </row>
    <row r="40" spans="1:8" x14ac:dyDescent="0.2">
      <c r="A40" s="4">
        <v>34</v>
      </c>
      <c r="B40" s="5" t="s">
        <v>210</v>
      </c>
      <c r="C40" s="5" t="s">
        <v>211</v>
      </c>
      <c r="D40" s="5" t="s">
        <v>193</v>
      </c>
      <c r="E40" s="6">
        <v>13152</v>
      </c>
      <c r="F40" s="7">
        <v>59.545679999999997</v>
      </c>
      <c r="G40" s="8">
        <v>1.2965525E-2</v>
      </c>
      <c r="H40" s="100"/>
    </row>
    <row r="41" spans="1:8" x14ac:dyDescent="0.2">
      <c r="A41" s="4">
        <v>35</v>
      </c>
      <c r="B41" s="5" t="s">
        <v>36</v>
      </c>
      <c r="C41" s="5" t="s">
        <v>37</v>
      </c>
      <c r="D41" s="5" t="s">
        <v>38</v>
      </c>
      <c r="E41" s="6">
        <v>23287</v>
      </c>
      <c r="F41" s="7">
        <v>58.310648</v>
      </c>
      <c r="G41" s="8">
        <v>1.2696608E-2</v>
      </c>
      <c r="H41" s="100"/>
    </row>
    <row r="42" spans="1:8" x14ac:dyDescent="0.2">
      <c r="A42" s="4">
        <v>36</v>
      </c>
      <c r="B42" s="5" t="s">
        <v>175</v>
      </c>
      <c r="C42" s="5" t="s">
        <v>176</v>
      </c>
      <c r="D42" s="5" t="s">
        <v>53</v>
      </c>
      <c r="E42" s="6">
        <v>15558</v>
      </c>
      <c r="F42" s="7">
        <v>57.354567000000003</v>
      </c>
      <c r="G42" s="8">
        <v>1.248843E-2</v>
      </c>
      <c r="H42" s="100"/>
    </row>
    <row r="43" spans="1:8" x14ac:dyDescent="0.2">
      <c r="A43" s="4">
        <v>37</v>
      </c>
      <c r="B43" s="5" t="s">
        <v>170</v>
      </c>
      <c r="C43" s="5" t="s">
        <v>171</v>
      </c>
      <c r="D43" s="5" t="s">
        <v>172</v>
      </c>
      <c r="E43" s="6">
        <v>5448</v>
      </c>
      <c r="F43" s="7">
        <v>55.847448</v>
      </c>
      <c r="G43" s="8">
        <v>1.2160269E-2</v>
      </c>
      <c r="H43" s="100"/>
    </row>
    <row r="44" spans="1:8" ht="25.5" x14ac:dyDescent="0.2">
      <c r="A44" s="4">
        <v>38</v>
      </c>
      <c r="B44" s="5" t="s">
        <v>442</v>
      </c>
      <c r="C44" s="5" t="s">
        <v>443</v>
      </c>
      <c r="D44" s="5" t="s">
        <v>25</v>
      </c>
      <c r="E44" s="6">
        <v>5300</v>
      </c>
      <c r="F44" s="7">
        <v>55.586399999999998</v>
      </c>
      <c r="G44" s="8">
        <v>1.2103427999999999E-2</v>
      </c>
      <c r="H44" s="100"/>
    </row>
    <row r="45" spans="1:8" x14ac:dyDescent="0.2">
      <c r="A45" s="4">
        <v>39</v>
      </c>
      <c r="B45" s="5" t="s">
        <v>186</v>
      </c>
      <c r="C45" s="5" t="s">
        <v>187</v>
      </c>
      <c r="D45" s="5" t="s">
        <v>188</v>
      </c>
      <c r="E45" s="6">
        <v>7639</v>
      </c>
      <c r="F45" s="7">
        <v>55.577544500000002</v>
      </c>
      <c r="G45" s="8">
        <v>1.2101499999999999E-2</v>
      </c>
      <c r="H45" s="100"/>
    </row>
    <row r="46" spans="1:8" x14ac:dyDescent="0.2">
      <c r="A46" s="4">
        <v>40</v>
      </c>
      <c r="B46" s="5" t="s">
        <v>224</v>
      </c>
      <c r="C46" s="5" t="s">
        <v>225</v>
      </c>
      <c r="D46" s="5" t="s">
        <v>58</v>
      </c>
      <c r="E46" s="6">
        <v>8964</v>
      </c>
      <c r="F46" s="7">
        <v>55.545425999999999</v>
      </c>
      <c r="G46" s="8">
        <v>1.2094506E-2</v>
      </c>
      <c r="H46" s="100"/>
    </row>
    <row r="47" spans="1:8" x14ac:dyDescent="0.2">
      <c r="A47" s="4">
        <v>41</v>
      </c>
      <c r="B47" s="5" t="s">
        <v>218</v>
      </c>
      <c r="C47" s="5" t="s">
        <v>219</v>
      </c>
      <c r="D47" s="5" t="s">
        <v>156</v>
      </c>
      <c r="E47" s="6">
        <v>9488</v>
      </c>
      <c r="F47" s="7">
        <v>55.167976000000003</v>
      </c>
      <c r="G47" s="8">
        <v>1.201232E-2</v>
      </c>
      <c r="H47" s="100"/>
    </row>
    <row r="48" spans="1:8" x14ac:dyDescent="0.2">
      <c r="A48" s="4">
        <v>42</v>
      </c>
      <c r="B48" s="5" t="s">
        <v>212</v>
      </c>
      <c r="C48" s="5" t="s">
        <v>213</v>
      </c>
      <c r="D48" s="5" t="s">
        <v>38</v>
      </c>
      <c r="E48" s="6">
        <v>7315</v>
      </c>
      <c r="F48" s="7">
        <v>52.441234999999999</v>
      </c>
      <c r="G48" s="8">
        <v>1.1418597000000001E-2</v>
      </c>
      <c r="H48" s="100"/>
    </row>
    <row r="49" spans="1:8" x14ac:dyDescent="0.2">
      <c r="A49" s="4">
        <v>43</v>
      </c>
      <c r="B49" s="5" t="s">
        <v>229</v>
      </c>
      <c r="C49" s="5" t="s">
        <v>230</v>
      </c>
      <c r="D49" s="5" t="s">
        <v>193</v>
      </c>
      <c r="E49" s="6">
        <v>3687</v>
      </c>
      <c r="F49" s="7">
        <v>51.446554499999998</v>
      </c>
      <c r="G49" s="8">
        <v>1.1202014999999999E-2</v>
      </c>
      <c r="H49" s="100"/>
    </row>
    <row r="50" spans="1:8" x14ac:dyDescent="0.2">
      <c r="A50" s="4">
        <v>44</v>
      </c>
      <c r="B50" s="5" t="s">
        <v>231</v>
      </c>
      <c r="C50" s="5" t="s">
        <v>935</v>
      </c>
      <c r="D50" s="5" t="s">
        <v>156</v>
      </c>
      <c r="E50" s="6">
        <v>9999</v>
      </c>
      <c r="F50" s="7">
        <v>49.765022999999999</v>
      </c>
      <c r="G50" s="8">
        <v>1.0835877000000001E-2</v>
      </c>
      <c r="H50" s="100"/>
    </row>
    <row r="51" spans="1:8" x14ac:dyDescent="0.2">
      <c r="A51" s="4">
        <v>45</v>
      </c>
      <c r="B51" s="5" t="s">
        <v>235</v>
      </c>
      <c r="C51" s="5" t="s">
        <v>236</v>
      </c>
      <c r="D51" s="5" t="s">
        <v>1005</v>
      </c>
      <c r="E51" s="6">
        <v>11125</v>
      </c>
      <c r="F51" s="7">
        <v>48.632937499999997</v>
      </c>
      <c r="G51" s="8">
        <v>1.0589375999999999E-2</v>
      </c>
      <c r="H51" s="100"/>
    </row>
    <row r="52" spans="1:8" x14ac:dyDescent="0.2">
      <c r="A52" s="4">
        <v>46</v>
      </c>
      <c r="B52" s="5" t="s">
        <v>222</v>
      </c>
      <c r="C52" s="5" t="s">
        <v>950</v>
      </c>
      <c r="D52" s="5" t="s">
        <v>28</v>
      </c>
      <c r="E52" s="6">
        <v>44803</v>
      </c>
      <c r="F52" s="7">
        <v>48.2304295</v>
      </c>
      <c r="G52" s="8">
        <v>1.0501732999999999E-2</v>
      </c>
      <c r="H52" s="100"/>
    </row>
    <row r="53" spans="1:8" x14ac:dyDescent="0.2">
      <c r="A53" s="4">
        <v>47</v>
      </c>
      <c r="B53" s="5" t="s">
        <v>451</v>
      </c>
      <c r="C53" s="5" t="s">
        <v>452</v>
      </c>
      <c r="D53" s="5" t="s">
        <v>63</v>
      </c>
      <c r="E53" s="6">
        <v>17787</v>
      </c>
      <c r="F53" s="7">
        <v>47.046615000000003</v>
      </c>
      <c r="G53" s="8">
        <v>1.0243968000000001E-2</v>
      </c>
      <c r="H53" s="100"/>
    </row>
    <row r="54" spans="1:8" x14ac:dyDescent="0.2">
      <c r="A54" s="4">
        <v>48</v>
      </c>
      <c r="B54" s="5" t="s">
        <v>241</v>
      </c>
      <c r="C54" s="5" t="s">
        <v>242</v>
      </c>
      <c r="D54" s="5" t="s">
        <v>163</v>
      </c>
      <c r="E54" s="6">
        <v>7781</v>
      </c>
      <c r="F54" s="7">
        <v>46.343635999999996</v>
      </c>
      <c r="G54" s="8">
        <v>1.0090900999999999E-2</v>
      </c>
      <c r="H54" s="100"/>
    </row>
    <row r="55" spans="1:8" x14ac:dyDescent="0.2">
      <c r="A55" s="4">
        <v>49</v>
      </c>
      <c r="B55" s="5" t="s">
        <v>239</v>
      </c>
      <c r="C55" s="5" t="s">
        <v>240</v>
      </c>
      <c r="D55" s="5" t="s">
        <v>58</v>
      </c>
      <c r="E55" s="6">
        <v>10128</v>
      </c>
      <c r="F55" s="7">
        <v>46.300151999999997</v>
      </c>
      <c r="G55" s="8">
        <v>1.0081433000000001E-2</v>
      </c>
      <c r="H55" s="100"/>
    </row>
    <row r="56" spans="1:8" x14ac:dyDescent="0.2">
      <c r="A56" s="4">
        <v>50</v>
      </c>
      <c r="B56" s="5" t="s">
        <v>249</v>
      </c>
      <c r="C56" s="5" t="s">
        <v>952</v>
      </c>
      <c r="D56" s="5" t="s">
        <v>251</v>
      </c>
      <c r="E56" s="6">
        <v>20689</v>
      </c>
      <c r="F56" s="7">
        <v>43.829646500000003</v>
      </c>
      <c r="G56" s="8">
        <v>9.5435030000000001E-3</v>
      </c>
      <c r="H56" s="100"/>
    </row>
    <row r="57" spans="1:8" x14ac:dyDescent="0.2">
      <c r="A57" s="4">
        <v>51</v>
      </c>
      <c r="B57" s="5" t="s">
        <v>245</v>
      </c>
      <c r="C57" s="5" t="s">
        <v>246</v>
      </c>
      <c r="D57" s="5" t="s">
        <v>22</v>
      </c>
      <c r="E57" s="6">
        <v>46910</v>
      </c>
      <c r="F57" s="7">
        <v>42.523915000000002</v>
      </c>
      <c r="G57" s="8">
        <v>9.2591919999999994E-3</v>
      </c>
      <c r="H57" s="100"/>
    </row>
    <row r="58" spans="1:8" x14ac:dyDescent="0.2">
      <c r="A58" s="4">
        <v>52</v>
      </c>
      <c r="B58" s="5" t="s">
        <v>449</v>
      </c>
      <c r="C58" s="5" t="s">
        <v>450</v>
      </c>
      <c r="D58" s="5" t="s">
        <v>28</v>
      </c>
      <c r="E58" s="6">
        <v>7747</v>
      </c>
      <c r="F58" s="7">
        <v>42.441939499999997</v>
      </c>
      <c r="G58" s="8">
        <v>9.2413430000000008E-3</v>
      </c>
      <c r="H58" s="100"/>
    </row>
    <row r="59" spans="1:8" x14ac:dyDescent="0.2">
      <c r="A59" s="4">
        <v>53</v>
      </c>
      <c r="B59" s="5" t="s">
        <v>200</v>
      </c>
      <c r="C59" s="5" t="s">
        <v>201</v>
      </c>
      <c r="D59" s="5" t="s">
        <v>1003</v>
      </c>
      <c r="E59" s="6">
        <v>6605</v>
      </c>
      <c r="F59" s="7">
        <v>41.499215</v>
      </c>
      <c r="G59" s="8">
        <v>9.0360730000000004E-3</v>
      </c>
      <c r="H59" s="100"/>
    </row>
    <row r="60" spans="1:8" x14ac:dyDescent="0.2">
      <c r="A60" s="4">
        <v>54</v>
      </c>
      <c r="B60" s="5" t="s">
        <v>455</v>
      </c>
      <c r="C60" s="5" t="s">
        <v>456</v>
      </c>
      <c r="D60" s="5" t="s">
        <v>1006</v>
      </c>
      <c r="E60" s="6">
        <v>79061</v>
      </c>
      <c r="F60" s="7">
        <v>41.309372500000002</v>
      </c>
      <c r="G60" s="8">
        <v>8.9947369999999992E-3</v>
      </c>
      <c r="H60" s="100"/>
    </row>
    <row r="61" spans="1:8" x14ac:dyDescent="0.2">
      <c r="A61" s="4">
        <v>55</v>
      </c>
      <c r="B61" s="5" t="s">
        <v>216</v>
      </c>
      <c r="C61" s="5" t="s">
        <v>217</v>
      </c>
      <c r="D61" s="5" t="s">
        <v>1005</v>
      </c>
      <c r="E61" s="6">
        <v>19248</v>
      </c>
      <c r="F61" s="7">
        <v>40.555535999999996</v>
      </c>
      <c r="G61" s="8">
        <v>8.8305959999999996E-3</v>
      </c>
      <c r="H61" s="100"/>
    </row>
    <row r="62" spans="1:8" x14ac:dyDescent="0.2">
      <c r="A62" s="4">
        <v>56</v>
      </c>
      <c r="B62" s="5" t="s">
        <v>453</v>
      </c>
      <c r="C62" s="5" t="s">
        <v>454</v>
      </c>
      <c r="D62" s="5" t="s">
        <v>156</v>
      </c>
      <c r="E62" s="6">
        <v>6785</v>
      </c>
      <c r="F62" s="7">
        <v>40.397889999999997</v>
      </c>
      <c r="G62" s="8">
        <v>8.7962700000000001E-3</v>
      </c>
      <c r="H62" s="100"/>
    </row>
    <row r="63" spans="1:8" x14ac:dyDescent="0.2">
      <c r="A63" s="4">
        <v>57</v>
      </c>
      <c r="B63" s="5" t="s">
        <v>254</v>
      </c>
      <c r="C63" s="5" t="s">
        <v>255</v>
      </c>
      <c r="D63" s="5" t="s">
        <v>58</v>
      </c>
      <c r="E63" s="6">
        <v>28401</v>
      </c>
      <c r="F63" s="7">
        <v>39.434788500000003</v>
      </c>
      <c r="G63" s="8">
        <v>8.5865630000000002E-3</v>
      </c>
      <c r="H63" s="100"/>
    </row>
    <row r="64" spans="1:8" x14ac:dyDescent="0.2">
      <c r="A64" s="4">
        <v>58</v>
      </c>
      <c r="B64" s="5" t="s">
        <v>226</v>
      </c>
      <c r="C64" s="5" t="s">
        <v>227</v>
      </c>
      <c r="D64" s="5" t="s">
        <v>228</v>
      </c>
      <c r="E64" s="6">
        <v>24756</v>
      </c>
      <c r="F64" s="7">
        <v>38.755518000000002</v>
      </c>
      <c r="G64" s="8">
        <v>8.4386579999999999E-3</v>
      </c>
      <c r="H64" s="100"/>
    </row>
    <row r="65" spans="1:8" x14ac:dyDescent="0.2">
      <c r="A65" s="4">
        <v>59</v>
      </c>
      <c r="B65" s="5" t="s">
        <v>247</v>
      </c>
      <c r="C65" s="5" t="s">
        <v>248</v>
      </c>
      <c r="D65" s="5" t="s">
        <v>1005</v>
      </c>
      <c r="E65" s="6">
        <v>19697</v>
      </c>
      <c r="F65" s="7">
        <v>36.912177999999997</v>
      </c>
      <c r="G65" s="8">
        <v>8.0372880000000001E-3</v>
      </c>
      <c r="H65" s="100"/>
    </row>
    <row r="66" spans="1:8" x14ac:dyDescent="0.2">
      <c r="A66" s="4">
        <v>60</v>
      </c>
      <c r="B66" s="5" t="s">
        <v>262</v>
      </c>
      <c r="C66" s="5" t="s">
        <v>263</v>
      </c>
      <c r="D66" s="5" t="s">
        <v>146</v>
      </c>
      <c r="E66" s="6">
        <v>2348</v>
      </c>
      <c r="F66" s="7">
        <v>36.331778</v>
      </c>
      <c r="G66" s="8">
        <v>7.9109109999999996E-3</v>
      </c>
      <c r="H66" s="100"/>
    </row>
    <row r="67" spans="1:8" ht="25.5" x14ac:dyDescent="0.2">
      <c r="A67" s="4">
        <v>61</v>
      </c>
      <c r="B67" s="5" t="s">
        <v>243</v>
      </c>
      <c r="C67" s="5" t="s">
        <v>244</v>
      </c>
      <c r="D67" s="5" t="s">
        <v>1007</v>
      </c>
      <c r="E67" s="6">
        <v>48131</v>
      </c>
      <c r="F67" s="7">
        <v>35.905726000000001</v>
      </c>
      <c r="G67" s="8">
        <v>7.8181420000000001E-3</v>
      </c>
      <c r="H67" s="100"/>
    </row>
    <row r="68" spans="1:8" x14ac:dyDescent="0.2">
      <c r="A68" s="4">
        <v>62</v>
      </c>
      <c r="B68" s="5" t="s">
        <v>264</v>
      </c>
      <c r="C68" s="5" t="s">
        <v>265</v>
      </c>
      <c r="D68" s="5" t="s">
        <v>193</v>
      </c>
      <c r="E68" s="6">
        <v>3517</v>
      </c>
      <c r="F68" s="7">
        <v>34.667068999999998</v>
      </c>
      <c r="G68" s="8">
        <v>7.5484360000000004E-3</v>
      </c>
      <c r="H68" s="100"/>
    </row>
    <row r="69" spans="1:8" x14ac:dyDescent="0.2">
      <c r="A69" s="4">
        <v>63</v>
      </c>
      <c r="B69" s="5" t="s">
        <v>258</v>
      </c>
      <c r="C69" s="5" t="s">
        <v>259</v>
      </c>
      <c r="D69" s="5" t="s">
        <v>1006</v>
      </c>
      <c r="E69" s="6">
        <v>2177</v>
      </c>
      <c r="F69" s="7">
        <v>32.1379625</v>
      </c>
      <c r="G69" s="8">
        <v>6.997746E-3</v>
      </c>
      <c r="H69" s="100"/>
    </row>
    <row r="70" spans="1:8" x14ac:dyDescent="0.2">
      <c r="A70" s="4">
        <v>64</v>
      </c>
      <c r="B70" s="5" t="s">
        <v>268</v>
      </c>
      <c r="C70" s="5" t="s">
        <v>269</v>
      </c>
      <c r="D70" s="5" t="s">
        <v>1005</v>
      </c>
      <c r="E70" s="6">
        <v>52351</v>
      </c>
      <c r="F70" s="7">
        <v>18.532253999999998</v>
      </c>
      <c r="G70" s="8">
        <v>4.0352280000000001E-3</v>
      </c>
      <c r="H70" s="100"/>
    </row>
    <row r="71" spans="1:8" x14ac:dyDescent="0.2">
      <c r="A71" s="4">
        <v>65</v>
      </c>
      <c r="B71" s="5" t="s">
        <v>270</v>
      </c>
      <c r="C71" s="5" t="s">
        <v>271</v>
      </c>
      <c r="D71" s="5" t="s">
        <v>272</v>
      </c>
      <c r="E71" s="6">
        <v>12360</v>
      </c>
      <c r="F71" s="7">
        <v>16.111260000000001</v>
      </c>
      <c r="G71" s="8">
        <v>3.5080789999999999E-3</v>
      </c>
      <c r="H71" s="100"/>
    </row>
    <row r="72" spans="1:8" ht="25.5" x14ac:dyDescent="0.2">
      <c r="A72" s="4">
        <v>66</v>
      </c>
      <c r="B72" s="5" t="s">
        <v>457</v>
      </c>
      <c r="C72" s="5" t="s">
        <v>458</v>
      </c>
      <c r="D72" s="5" t="s">
        <v>25</v>
      </c>
      <c r="E72" s="6">
        <v>10383</v>
      </c>
      <c r="F72" s="7">
        <v>12.4544085</v>
      </c>
      <c r="G72" s="8">
        <v>2.7118329999999999E-3</v>
      </c>
      <c r="H72" s="100"/>
    </row>
    <row r="73" spans="1:8" x14ac:dyDescent="0.2">
      <c r="A73" s="15" t="s">
        <v>9</v>
      </c>
      <c r="B73" s="15" t="s">
        <v>9</v>
      </c>
      <c r="C73" s="3" t="s">
        <v>94</v>
      </c>
      <c r="D73" s="15" t="s">
        <v>9</v>
      </c>
      <c r="E73" s="15" t="s">
        <v>9</v>
      </c>
      <c r="F73" s="9">
        <v>4463.4655990000001</v>
      </c>
      <c r="G73" s="10">
        <v>0.97187864999999996</v>
      </c>
      <c r="H73" s="100"/>
    </row>
    <row r="74" spans="1:8" x14ac:dyDescent="0.2">
      <c r="A74" s="15" t="s">
        <v>9</v>
      </c>
      <c r="B74" s="15" t="s">
        <v>9</v>
      </c>
      <c r="C74" s="11" t="s">
        <v>9</v>
      </c>
      <c r="D74" s="15" t="s">
        <v>9</v>
      </c>
      <c r="E74" s="15" t="s">
        <v>9</v>
      </c>
      <c r="F74" s="12" t="s">
        <v>9</v>
      </c>
      <c r="G74" s="12" t="s">
        <v>9</v>
      </c>
      <c r="H74" s="100"/>
    </row>
    <row r="75" spans="1:8" x14ac:dyDescent="0.2">
      <c r="A75" s="15" t="s">
        <v>9</v>
      </c>
      <c r="B75" s="15" t="s">
        <v>9</v>
      </c>
      <c r="C75" s="3" t="s">
        <v>95</v>
      </c>
      <c r="D75" s="15" t="s">
        <v>9</v>
      </c>
      <c r="E75" s="15" t="s">
        <v>9</v>
      </c>
      <c r="F75" s="15" t="s">
        <v>9</v>
      </c>
      <c r="G75" s="15" t="s">
        <v>9</v>
      </c>
      <c r="H75" s="100"/>
    </row>
    <row r="76" spans="1:8" x14ac:dyDescent="0.2">
      <c r="A76" s="15" t="s">
        <v>9</v>
      </c>
      <c r="B76" s="15" t="s">
        <v>9</v>
      </c>
      <c r="C76" s="3" t="s">
        <v>94</v>
      </c>
      <c r="D76" s="15" t="s">
        <v>9</v>
      </c>
      <c r="E76" s="15" t="s">
        <v>9</v>
      </c>
      <c r="F76" s="13">
        <v>0</v>
      </c>
      <c r="G76" s="14">
        <v>0</v>
      </c>
      <c r="H76" s="100"/>
    </row>
    <row r="77" spans="1:8" x14ac:dyDescent="0.2">
      <c r="A77" s="15" t="s">
        <v>9</v>
      </c>
      <c r="B77" s="15" t="s">
        <v>9</v>
      </c>
      <c r="C77" s="11" t="s">
        <v>9</v>
      </c>
      <c r="D77" s="15" t="s">
        <v>9</v>
      </c>
      <c r="E77" s="15" t="s">
        <v>9</v>
      </c>
      <c r="F77" s="12" t="s">
        <v>9</v>
      </c>
      <c r="G77" s="12" t="s">
        <v>9</v>
      </c>
      <c r="H77" s="100"/>
    </row>
    <row r="78" spans="1:8" x14ac:dyDescent="0.2">
      <c r="A78" s="15" t="s">
        <v>9</v>
      </c>
      <c r="B78" s="15" t="s">
        <v>9</v>
      </c>
      <c r="C78" s="3" t="s">
        <v>96</v>
      </c>
      <c r="D78" s="15" t="s">
        <v>9</v>
      </c>
      <c r="E78" s="15" t="s">
        <v>9</v>
      </c>
      <c r="F78" s="15" t="s">
        <v>9</v>
      </c>
      <c r="G78" s="15" t="s">
        <v>9</v>
      </c>
      <c r="H78" s="100"/>
    </row>
    <row r="79" spans="1:8" x14ac:dyDescent="0.2">
      <c r="A79" s="15" t="s">
        <v>9</v>
      </c>
      <c r="B79" s="15" t="s">
        <v>9</v>
      </c>
      <c r="C79" s="3" t="s">
        <v>94</v>
      </c>
      <c r="D79" s="15" t="s">
        <v>9</v>
      </c>
      <c r="E79" s="15" t="s">
        <v>9</v>
      </c>
      <c r="F79" s="13">
        <v>0</v>
      </c>
      <c r="G79" s="14">
        <v>0</v>
      </c>
      <c r="H79" s="100"/>
    </row>
    <row r="80" spans="1:8" x14ac:dyDescent="0.2">
      <c r="A80" s="15" t="s">
        <v>9</v>
      </c>
      <c r="B80" s="15" t="s">
        <v>9</v>
      </c>
      <c r="C80" s="11" t="s">
        <v>9</v>
      </c>
      <c r="D80" s="15" t="s">
        <v>9</v>
      </c>
      <c r="E80" s="15" t="s">
        <v>9</v>
      </c>
      <c r="F80" s="12" t="s">
        <v>9</v>
      </c>
      <c r="G80" s="12" t="s">
        <v>9</v>
      </c>
      <c r="H80" s="100"/>
    </row>
    <row r="81" spans="1:8" x14ac:dyDescent="0.2">
      <c r="A81" s="15" t="s">
        <v>9</v>
      </c>
      <c r="B81" s="15" t="s">
        <v>9</v>
      </c>
      <c r="C81" s="3" t="s">
        <v>100</v>
      </c>
      <c r="D81" s="15" t="s">
        <v>9</v>
      </c>
      <c r="E81" s="15" t="s">
        <v>9</v>
      </c>
      <c r="F81" s="15" t="s">
        <v>9</v>
      </c>
      <c r="G81" s="15" t="s">
        <v>9</v>
      </c>
      <c r="H81" s="100"/>
    </row>
    <row r="82" spans="1:8" x14ac:dyDescent="0.2">
      <c r="A82" s="15" t="s">
        <v>9</v>
      </c>
      <c r="B82" s="15" t="s">
        <v>9</v>
      </c>
      <c r="C82" s="3" t="s">
        <v>94</v>
      </c>
      <c r="D82" s="15" t="s">
        <v>9</v>
      </c>
      <c r="E82" s="15" t="s">
        <v>9</v>
      </c>
      <c r="F82" s="13">
        <v>0</v>
      </c>
      <c r="G82" s="14">
        <v>0</v>
      </c>
      <c r="H82" s="100"/>
    </row>
    <row r="83" spans="1:8" x14ac:dyDescent="0.2">
      <c r="A83" s="15" t="s">
        <v>9</v>
      </c>
      <c r="B83" s="15" t="s">
        <v>9</v>
      </c>
      <c r="C83" s="11" t="s">
        <v>9</v>
      </c>
      <c r="D83" s="15" t="s">
        <v>9</v>
      </c>
      <c r="E83" s="15" t="s">
        <v>9</v>
      </c>
      <c r="F83" s="12" t="s">
        <v>9</v>
      </c>
      <c r="G83" s="12" t="s">
        <v>9</v>
      </c>
      <c r="H83" s="100"/>
    </row>
    <row r="84" spans="1:8" x14ac:dyDescent="0.2">
      <c r="A84" s="15" t="s">
        <v>9</v>
      </c>
      <c r="B84" s="15" t="s">
        <v>9</v>
      </c>
      <c r="C84" s="3" t="s">
        <v>101</v>
      </c>
      <c r="D84" s="15" t="s">
        <v>9</v>
      </c>
      <c r="E84" s="15" t="s">
        <v>9</v>
      </c>
      <c r="F84" s="12" t="s">
        <v>9</v>
      </c>
      <c r="G84" s="12" t="s">
        <v>9</v>
      </c>
      <c r="H84" s="100"/>
    </row>
    <row r="85" spans="1:8" x14ac:dyDescent="0.2">
      <c r="A85" s="15" t="s">
        <v>9</v>
      </c>
      <c r="B85" s="15" t="s">
        <v>9</v>
      </c>
      <c r="C85" s="3" t="s">
        <v>94</v>
      </c>
      <c r="D85" s="15" t="s">
        <v>9</v>
      </c>
      <c r="E85" s="15" t="s">
        <v>9</v>
      </c>
      <c r="F85" s="13">
        <v>0</v>
      </c>
      <c r="G85" s="14">
        <v>0</v>
      </c>
      <c r="H85" s="100"/>
    </row>
    <row r="86" spans="1:8" x14ac:dyDescent="0.2">
      <c r="A86" s="15" t="s">
        <v>9</v>
      </c>
      <c r="B86" s="15" t="s">
        <v>9</v>
      </c>
      <c r="C86" s="11" t="s">
        <v>9</v>
      </c>
      <c r="D86" s="15" t="s">
        <v>9</v>
      </c>
      <c r="E86" s="15" t="s">
        <v>9</v>
      </c>
      <c r="F86" s="12" t="s">
        <v>9</v>
      </c>
      <c r="G86" s="12" t="s">
        <v>9</v>
      </c>
      <c r="H86" s="100"/>
    </row>
    <row r="87" spans="1:8" x14ac:dyDescent="0.2">
      <c r="A87" s="15" t="s">
        <v>9</v>
      </c>
      <c r="B87" s="15" t="s">
        <v>9</v>
      </c>
      <c r="C87" s="3" t="s">
        <v>102</v>
      </c>
      <c r="D87" s="15" t="s">
        <v>9</v>
      </c>
      <c r="E87" s="15" t="s">
        <v>9</v>
      </c>
      <c r="F87" s="12" t="s">
        <v>9</v>
      </c>
      <c r="G87" s="12" t="s">
        <v>9</v>
      </c>
      <c r="H87" s="100"/>
    </row>
    <row r="88" spans="1:8" x14ac:dyDescent="0.2">
      <c r="A88" s="15" t="s">
        <v>9</v>
      </c>
      <c r="B88" s="15" t="s">
        <v>9</v>
      </c>
      <c r="C88" s="3" t="s">
        <v>94</v>
      </c>
      <c r="D88" s="15" t="s">
        <v>9</v>
      </c>
      <c r="E88" s="15" t="s">
        <v>9</v>
      </c>
      <c r="F88" s="13">
        <v>0</v>
      </c>
      <c r="G88" s="14">
        <v>0</v>
      </c>
      <c r="H88" s="100"/>
    </row>
    <row r="89" spans="1:8" x14ac:dyDescent="0.2">
      <c r="A89" s="15" t="s">
        <v>9</v>
      </c>
      <c r="B89" s="15" t="s">
        <v>9</v>
      </c>
      <c r="C89" s="11" t="s">
        <v>9</v>
      </c>
      <c r="D89" s="15" t="s">
        <v>9</v>
      </c>
      <c r="E89" s="15" t="s">
        <v>9</v>
      </c>
      <c r="F89" s="12" t="s">
        <v>9</v>
      </c>
      <c r="G89" s="12" t="s">
        <v>9</v>
      </c>
      <c r="H89" s="100"/>
    </row>
    <row r="90" spans="1:8" x14ac:dyDescent="0.2">
      <c r="A90" s="15" t="s">
        <v>9</v>
      </c>
      <c r="B90" s="15" t="s">
        <v>9</v>
      </c>
      <c r="C90" s="3" t="s">
        <v>104</v>
      </c>
      <c r="D90" s="15" t="s">
        <v>9</v>
      </c>
      <c r="E90" s="15" t="s">
        <v>9</v>
      </c>
      <c r="F90" s="9">
        <v>4463.4655990000001</v>
      </c>
      <c r="G90" s="10">
        <v>0.97187864999999996</v>
      </c>
      <c r="H90" s="100"/>
    </row>
    <row r="91" spans="1:8" x14ac:dyDescent="0.2">
      <c r="A91" s="15" t="s">
        <v>9</v>
      </c>
      <c r="B91" s="15" t="s">
        <v>9</v>
      </c>
      <c r="C91" s="11" t="s">
        <v>9</v>
      </c>
      <c r="D91" s="15" t="s">
        <v>9</v>
      </c>
      <c r="E91" s="15" t="s">
        <v>9</v>
      </c>
      <c r="F91" s="12" t="s">
        <v>9</v>
      </c>
      <c r="G91" s="12" t="s">
        <v>9</v>
      </c>
      <c r="H91" s="100"/>
    </row>
    <row r="92" spans="1:8" x14ac:dyDescent="0.2">
      <c r="A92" s="15" t="s">
        <v>9</v>
      </c>
      <c r="B92" s="15" t="s">
        <v>9</v>
      </c>
      <c r="C92" s="3" t="s">
        <v>105</v>
      </c>
      <c r="D92" s="15" t="s">
        <v>9</v>
      </c>
      <c r="E92" s="15" t="s">
        <v>9</v>
      </c>
      <c r="F92" s="12" t="s">
        <v>9</v>
      </c>
      <c r="G92" s="12" t="s">
        <v>9</v>
      </c>
      <c r="H92" s="100"/>
    </row>
    <row r="93" spans="1:8" ht="25.5" x14ac:dyDescent="0.2">
      <c r="A93" s="15" t="s">
        <v>9</v>
      </c>
      <c r="B93" s="15" t="s">
        <v>9</v>
      </c>
      <c r="C93" s="3" t="s">
        <v>11</v>
      </c>
      <c r="D93" s="15" t="s">
        <v>9</v>
      </c>
      <c r="E93" s="15" t="s">
        <v>9</v>
      </c>
      <c r="F93" s="12" t="s">
        <v>9</v>
      </c>
      <c r="G93" s="12" t="s">
        <v>9</v>
      </c>
      <c r="H93" s="100"/>
    </row>
    <row r="94" spans="1:8" x14ac:dyDescent="0.2">
      <c r="A94" s="15" t="s">
        <v>9</v>
      </c>
      <c r="B94" s="15" t="s">
        <v>9</v>
      </c>
      <c r="C94" s="3" t="s">
        <v>94</v>
      </c>
      <c r="D94" s="15" t="s">
        <v>9</v>
      </c>
      <c r="E94" s="15" t="s">
        <v>9</v>
      </c>
      <c r="F94" s="13">
        <v>0</v>
      </c>
      <c r="G94" s="14">
        <v>0</v>
      </c>
      <c r="H94" s="100"/>
    </row>
    <row r="95" spans="1:8" x14ac:dyDescent="0.2">
      <c r="A95" s="15" t="s">
        <v>9</v>
      </c>
      <c r="B95" s="15" t="s">
        <v>9</v>
      </c>
      <c r="C95" s="11" t="s">
        <v>9</v>
      </c>
      <c r="D95" s="15" t="s">
        <v>9</v>
      </c>
      <c r="E95" s="15" t="s">
        <v>9</v>
      </c>
      <c r="F95" s="12" t="s">
        <v>9</v>
      </c>
      <c r="G95" s="12" t="s">
        <v>9</v>
      </c>
      <c r="H95" s="100"/>
    </row>
    <row r="96" spans="1:8" x14ac:dyDescent="0.2">
      <c r="A96" s="15" t="s">
        <v>9</v>
      </c>
      <c r="B96" s="15" t="s">
        <v>9</v>
      </c>
      <c r="C96" s="3" t="s">
        <v>106</v>
      </c>
      <c r="D96" s="15" t="s">
        <v>9</v>
      </c>
      <c r="E96" s="15" t="s">
        <v>9</v>
      </c>
      <c r="F96" s="15" t="s">
        <v>9</v>
      </c>
      <c r="G96" s="15" t="s">
        <v>9</v>
      </c>
      <c r="H96" s="100"/>
    </row>
    <row r="97" spans="1:8" x14ac:dyDescent="0.2">
      <c r="A97" s="15" t="s">
        <v>9</v>
      </c>
      <c r="B97" s="15" t="s">
        <v>9</v>
      </c>
      <c r="C97" s="3" t="s">
        <v>94</v>
      </c>
      <c r="D97" s="15" t="s">
        <v>9</v>
      </c>
      <c r="E97" s="15" t="s">
        <v>9</v>
      </c>
      <c r="F97" s="13">
        <v>0</v>
      </c>
      <c r="G97" s="14">
        <v>0</v>
      </c>
      <c r="H97" s="100"/>
    </row>
    <row r="98" spans="1:8" x14ac:dyDescent="0.2">
      <c r="A98" s="15" t="s">
        <v>9</v>
      </c>
      <c r="B98" s="15" t="s">
        <v>9</v>
      </c>
      <c r="C98" s="11" t="s">
        <v>9</v>
      </c>
      <c r="D98" s="15" t="s">
        <v>9</v>
      </c>
      <c r="E98" s="15" t="s">
        <v>9</v>
      </c>
      <c r="F98" s="12" t="s">
        <v>9</v>
      </c>
      <c r="G98" s="12" t="s">
        <v>9</v>
      </c>
      <c r="H98" s="100"/>
    </row>
    <row r="99" spans="1:8" x14ac:dyDescent="0.2">
      <c r="A99" s="15" t="s">
        <v>9</v>
      </c>
      <c r="B99" s="15" t="s">
        <v>9</v>
      </c>
      <c r="C99" s="3" t="s">
        <v>107</v>
      </c>
      <c r="D99" s="15" t="s">
        <v>9</v>
      </c>
      <c r="E99" s="15" t="s">
        <v>9</v>
      </c>
      <c r="F99" s="15" t="s">
        <v>9</v>
      </c>
      <c r="G99" s="15" t="s">
        <v>9</v>
      </c>
      <c r="H99" s="100"/>
    </row>
    <row r="100" spans="1:8" x14ac:dyDescent="0.2">
      <c r="A100" s="15" t="s">
        <v>9</v>
      </c>
      <c r="B100" s="15" t="s">
        <v>9</v>
      </c>
      <c r="C100" s="3" t="s">
        <v>94</v>
      </c>
      <c r="D100" s="15" t="s">
        <v>9</v>
      </c>
      <c r="E100" s="15" t="s">
        <v>9</v>
      </c>
      <c r="F100" s="13">
        <v>0</v>
      </c>
      <c r="G100" s="14">
        <v>0</v>
      </c>
      <c r="H100" s="100"/>
    </row>
    <row r="101" spans="1:8" x14ac:dyDescent="0.2">
      <c r="A101" s="15" t="s">
        <v>9</v>
      </c>
      <c r="B101" s="15" t="s">
        <v>9</v>
      </c>
      <c r="C101" s="11" t="s">
        <v>9</v>
      </c>
      <c r="D101" s="15" t="s">
        <v>9</v>
      </c>
      <c r="E101" s="15" t="s">
        <v>9</v>
      </c>
      <c r="F101" s="12" t="s">
        <v>9</v>
      </c>
      <c r="G101" s="12" t="s">
        <v>9</v>
      </c>
      <c r="H101" s="100"/>
    </row>
    <row r="102" spans="1:8" x14ac:dyDescent="0.2">
      <c r="A102" s="15" t="s">
        <v>9</v>
      </c>
      <c r="B102" s="15" t="s">
        <v>9</v>
      </c>
      <c r="C102" s="3" t="s">
        <v>108</v>
      </c>
      <c r="D102" s="15" t="s">
        <v>9</v>
      </c>
      <c r="E102" s="15" t="s">
        <v>9</v>
      </c>
      <c r="F102" s="12" t="s">
        <v>9</v>
      </c>
      <c r="G102" s="12" t="s">
        <v>9</v>
      </c>
      <c r="H102" s="100"/>
    </row>
    <row r="103" spans="1:8" x14ac:dyDescent="0.2">
      <c r="A103" s="15" t="s">
        <v>9</v>
      </c>
      <c r="B103" s="15" t="s">
        <v>9</v>
      </c>
      <c r="C103" s="3" t="s">
        <v>94</v>
      </c>
      <c r="D103" s="15" t="s">
        <v>9</v>
      </c>
      <c r="E103" s="15" t="s">
        <v>9</v>
      </c>
      <c r="F103" s="13">
        <v>0</v>
      </c>
      <c r="G103" s="14">
        <v>0</v>
      </c>
      <c r="H103" s="100"/>
    </row>
    <row r="104" spans="1:8" x14ac:dyDescent="0.2">
      <c r="A104" s="15" t="s">
        <v>9</v>
      </c>
      <c r="B104" s="15" t="s">
        <v>9</v>
      </c>
      <c r="C104" s="11" t="s">
        <v>9</v>
      </c>
      <c r="D104" s="15" t="s">
        <v>9</v>
      </c>
      <c r="E104" s="15" t="s">
        <v>9</v>
      </c>
      <c r="F104" s="12" t="s">
        <v>9</v>
      </c>
      <c r="G104" s="12" t="s">
        <v>9</v>
      </c>
      <c r="H104" s="100"/>
    </row>
    <row r="105" spans="1:8" x14ac:dyDescent="0.2">
      <c r="A105" s="15" t="s">
        <v>9</v>
      </c>
      <c r="B105" s="15" t="s">
        <v>9</v>
      </c>
      <c r="C105" s="3" t="s">
        <v>109</v>
      </c>
      <c r="D105" s="15" t="s">
        <v>9</v>
      </c>
      <c r="E105" s="15" t="s">
        <v>9</v>
      </c>
      <c r="F105" s="9">
        <v>0</v>
      </c>
      <c r="G105" s="10">
        <v>0</v>
      </c>
      <c r="H105" s="100"/>
    </row>
    <row r="106" spans="1:8" x14ac:dyDescent="0.2">
      <c r="A106" s="15" t="s">
        <v>9</v>
      </c>
      <c r="B106" s="15" t="s">
        <v>9</v>
      </c>
      <c r="C106" s="11" t="s">
        <v>9</v>
      </c>
      <c r="D106" s="15" t="s">
        <v>9</v>
      </c>
      <c r="E106" s="15" t="s">
        <v>9</v>
      </c>
      <c r="F106" s="12" t="s">
        <v>9</v>
      </c>
      <c r="G106" s="12" t="s">
        <v>9</v>
      </c>
      <c r="H106" s="100"/>
    </row>
    <row r="107" spans="1:8" x14ac:dyDescent="0.2">
      <c r="A107" s="15" t="s">
        <v>9</v>
      </c>
      <c r="B107" s="15" t="s">
        <v>9</v>
      </c>
      <c r="C107" s="3" t="s">
        <v>110</v>
      </c>
      <c r="D107" s="15" t="s">
        <v>9</v>
      </c>
      <c r="E107" s="15" t="s">
        <v>9</v>
      </c>
      <c r="F107" s="12" t="s">
        <v>9</v>
      </c>
      <c r="G107" s="12" t="s">
        <v>9</v>
      </c>
      <c r="H107" s="100"/>
    </row>
    <row r="108" spans="1:8" x14ac:dyDescent="0.2">
      <c r="A108" s="15" t="s">
        <v>9</v>
      </c>
      <c r="B108" s="15" t="s">
        <v>9</v>
      </c>
      <c r="C108" s="3" t="s">
        <v>111</v>
      </c>
      <c r="D108" s="15" t="s">
        <v>9</v>
      </c>
      <c r="E108" s="15" t="s">
        <v>9</v>
      </c>
      <c r="F108" s="12" t="s">
        <v>9</v>
      </c>
      <c r="G108" s="12" t="s">
        <v>9</v>
      </c>
      <c r="H108" s="100"/>
    </row>
    <row r="109" spans="1:8" x14ac:dyDescent="0.2">
      <c r="A109" s="15" t="s">
        <v>9</v>
      </c>
      <c r="B109" s="15" t="s">
        <v>9</v>
      </c>
      <c r="C109" s="3" t="s">
        <v>94</v>
      </c>
      <c r="D109" s="15" t="s">
        <v>9</v>
      </c>
      <c r="E109" s="15" t="s">
        <v>9</v>
      </c>
      <c r="F109" s="13">
        <v>0</v>
      </c>
      <c r="G109" s="14">
        <v>0</v>
      </c>
      <c r="H109" s="100"/>
    </row>
    <row r="110" spans="1:8" x14ac:dyDescent="0.2">
      <c r="A110" s="15" t="s">
        <v>9</v>
      </c>
      <c r="B110" s="15" t="s">
        <v>9</v>
      </c>
      <c r="C110" s="11" t="s">
        <v>9</v>
      </c>
      <c r="D110" s="15" t="s">
        <v>9</v>
      </c>
      <c r="E110" s="15" t="s">
        <v>9</v>
      </c>
      <c r="F110" s="12" t="s">
        <v>9</v>
      </c>
      <c r="G110" s="12" t="s">
        <v>9</v>
      </c>
      <c r="H110" s="100"/>
    </row>
    <row r="111" spans="1:8" x14ac:dyDescent="0.2">
      <c r="A111" s="15" t="s">
        <v>9</v>
      </c>
      <c r="B111" s="15" t="s">
        <v>9</v>
      </c>
      <c r="C111" s="3" t="s">
        <v>112</v>
      </c>
      <c r="D111" s="15" t="s">
        <v>9</v>
      </c>
      <c r="E111" s="15" t="s">
        <v>9</v>
      </c>
      <c r="F111" s="12" t="s">
        <v>9</v>
      </c>
      <c r="G111" s="12" t="s">
        <v>9</v>
      </c>
      <c r="H111" s="100"/>
    </row>
    <row r="112" spans="1:8" x14ac:dyDescent="0.2">
      <c r="A112" s="15" t="s">
        <v>9</v>
      </c>
      <c r="B112" s="15" t="s">
        <v>9</v>
      </c>
      <c r="C112" s="3" t="s">
        <v>94</v>
      </c>
      <c r="D112" s="15" t="s">
        <v>9</v>
      </c>
      <c r="E112" s="15" t="s">
        <v>9</v>
      </c>
      <c r="F112" s="13">
        <v>0</v>
      </c>
      <c r="G112" s="14">
        <v>0</v>
      </c>
      <c r="H112" s="100"/>
    </row>
    <row r="113" spans="1:8" x14ac:dyDescent="0.2">
      <c r="A113" s="15" t="s">
        <v>9</v>
      </c>
      <c r="B113" s="15" t="s">
        <v>9</v>
      </c>
      <c r="C113" s="11" t="s">
        <v>9</v>
      </c>
      <c r="D113" s="15" t="s">
        <v>9</v>
      </c>
      <c r="E113" s="15" t="s">
        <v>9</v>
      </c>
      <c r="F113" s="12" t="s">
        <v>9</v>
      </c>
      <c r="G113" s="12" t="s">
        <v>9</v>
      </c>
      <c r="H113" s="100"/>
    </row>
    <row r="114" spans="1:8" x14ac:dyDescent="0.2">
      <c r="A114" s="15" t="s">
        <v>9</v>
      </c>
      <c r="B114" s="15" t="s">
        <v>9</v>
      </c>
      <c r="C114" s="3" t="s">
        <v>113</v>
      </c>
      <c r="D114" s="15" t="s">
        <v>9</v>
      </c>
      <c r="E114" s="15" t="s">
        <v>9</v>
      </c>
      <c r="F114" s="12" t="s">
        <v>9</v>
      </c>
      <c r="G114" s="12" t="s">
        <v>9</v>
      </c>
      <c r="H114" s="100"/>
    </row>
    <row r="115" spans="1:8" x14ac:dyDescent="0.2">
      <c r="A115" s="15" t="s">
        <v>9</v>
      </c>
      <c r="B115" s="15" t="s">
        <v>9</v>
      </c>
      <c r="C115" s="3" t="s">
        <v>94</v>
      </c>
      <c r="D115" s="15" t="s">
        <v>9</v>
      </c>
      <c r="E115" s="15" t="s">
        <v>9</v>
      </c>
      <c r="F115" s="13">
        <v>0</v>
      </c>
      <c r="G115" s="14">
        <v>0</v>
      </c>
      <c r="H115" s="100"/>
    </row>
    <row r="116" spans="1:8" x14ac:dyDescent="0.2">
      <c r="A116" s="15" t="s">
        <v>9</v>
      </c>
      <c r="B116" s="15" t="s">
        <v>9</v>
      </c>
      <c r="C116" s="11" t="s">
        <v>9</v>
      </c>
      <c r="D116" s="15" t="s">
        <v>9</v>
      </c>
      <c r="E116" s="15" t="s">
        <v>9</v>
      </c>
      <c r="F116" s="12" t="s">
        <v>9</v>
      </c>
      <c r="G116" s="12" t="s">
        <v>9</v>
      </c>
      <c r="H116" s="100"/>
    </row>
    <row r="117" spans="1:8" x14ac:dyDescent="0.2">
      <c r="A117" s="15" t="s">
        <v>9</v>
      </c>
      <c r="B117" s="15" t="s">
        <v>9</v>
      </c>
      <c r="C117" s="3" t="s">
        <v>114</v>
      </c>
      <c r="D117" s="15" t="s">
        <v>9</v>
      </c>
      <c r="E117" s="15" t="s">
        <v>9</v>
      </c>
      <c r="F117" s="12" t="s">
        <v>9</v>
      </c>
      <c r="G117" s="12" t="s">
        <v>9</v>
      </c>
      <c r="H117" s="100"/>
    </row>
    <row r="118" spans="1:8" x14ac:dyDescent="0.2">
      <c r="A118" s="4">
        <v>1</v>
      </c>
      <c r="B118" s="5"/>
      <c r="C118" s="5" t="s">
        <v>115</v>
      </c>
      <c r="D118" s="5"/>
      <c r="E118" s="15" t="s">
        <v>9</v>
      </c>
      <c r="F118" s="7">
        <v>139.9593945</v>
      </c>
      <c r="G118" s="8">
        <v>3.0474873E-2</v>
      </c>
      <c r="H118" s="99">
        <v>3.2516689338443991</v>
      </c>
    </row>
    <row r="119" spans="1:8" x14ac:dyDescent="0.2">
      <c r="A119" s="4">
        <v>2</v>
      </c>
      <c r="B119" s="5"/>
      <c r="C119" s="5" t="s">
        <v>116</v>
      </c>
      <c r="D119" s="5"/>
      <c r="E119" s="15" t="s">
        <v>9</v>
      </c>
      <c r="F119" s="7">
        <v>19.175684499999999</v>
      </c>
      <c r="G119" s="8">
        <v>4.1753290000000002E-3</v>
      </c>
      <c r="H119" s="100">
        <v>3.350000000000001</v>
      </c>
    </row>
    <row r="120" spans="1:8" x14ac:dyDescent="0.2">
      <c r="A120" s="15" t="s">
        <v>9</v>
      </c>
      <c r="B120" s="15" t="s">
        <v>9</v>
      </c>
      <c r="C120" s="3" t="s">
        <v>94</v>
      </c>
      <c r="D120" s="15" t="s">
        <v>9</v>
      </c>
      <c r="E120" s="15" t="s">
        <v>9</v>
      </c>
      <c r="F120" s="9">
        <v>159.13507899999999</v>
      </c>
      <c r="G120" s="10">
        <v>3.4650201999999998E-2</v>
      </c>
      <c r="H120" s="100"/>
    </row>
    <row r="121" spans="1:8" x14ac:dyDescent="0.2">
      <c r="A121" s="15" t="s">
        <v>9</v>
      </c>
      <c r="B121" s="15" t="s">
        <v>9</v>
      </c>
      <c r="C121" s="11" t="s">
        <v>9</v>
      </c>
      <c r="D121" s="15" t="s">
        <v>9</v>
      </c>
      <c r="E121" s="15" t="s">
        <v>9</v>
      </c>
      <c r="F121" s="12" t="s">
        <v>9</v>
      </c>
      <c r="G121" s="12" t="s">
        <v>9</v>
      </c>
      <c r="H121" s="100"/>
    </row>
    <row r="122" spans="1:8" x14ac:dyDescent="0.2">
      <c r="A122" s="15" t="s">
        <v>9</v>
      </c>
      <c r="B122" s="15" t="s">
        <v>9</v>
      </c>
      <c r="C122" s="3" t="s">
        <v>117</v>
      </c>
      <c r="D122" s="15" t="s">
        <v>9</v>
      </c>
      <c r="E122" s="15" t="s">
        <v>9</v>
      </c>
      <c r="F122" s="9">
        <v>159.13507899999999</v>
      </c>
      <c r="G122" s="10">
        <v>3.4650201999999998E-2</v>
      </c>
      <c r="H122" s="100"/>
    </row>
    <row r="123" spans="1:8" x14ac:dyDescent="0.2">
      <c r="A123" s="15" t="s">
        <v>9</v>
      </c>
      <c r="B123" s="15" t="s">
        <v>9</v>
      </c>
      <c r="C123" s="12" t="s">
        <v>9</v>
      </c>
      <c r="D123" s="15" t="s">
        <v>9</v>
      </c>
      <c r="E123" s="15" t="s">
        <v>9</v>
      </c>
      <c r="F123" s="15" t="s">
        <v>9</v>
      </c>
      <c r="G123" s="15" t="s">
        <v>9</v>
      </c>
      <c r="H123" s="100"/>
    </row>
    <row r="124" spans="1:8" x14ac:dyDescent="0.2">
      <c r="A124" s="15" t="s">
        <v>9</v>
      </c>
      <c r="B124" s="15" t="s">
        <v>9</v>
      </c>
      <c r="C124" s="3" t="s">
        <v>118</v>
      </c>
      <c r="D124" s="15" t="s">
        <v>9</v>
      </c>
      <c r="E124" s="15" t="s">
        <v>9</v>
      </c>
      <c r="F124" s="15" t="s">
        <v>9</v>
      </c>
      <c r="G124" s="15" t="s">
        <v>9</v>
      </c>
      <c r="H124" s="100"/>
    </row>
    <row r="125" spans="1:8" x14ac:dyDescent="0.2">
      <c r="A125" s="15" t="s">
        <v>9</v>
      </c>
      <c r="B125" s="15" t="s">
        <v>9</v>
      </c>
      <c r="C125" s="3" t="s">
        <v>119</v>
      </c>
      <c r="D125" s="15" t="s">
        <v>9</v>
      </c>
      <c r="E125" s="15" t="s">
        <v>9</v>
      </c>
      <c r="F125" s="15" t="s">
        <v>9</v>
      </c>
      <c r="G125" s="15" t="s">
        <v>9</v>
      </c>
      <c r="H125" s="100"/>
    </row>
    <row r="126" spans="1:8" x14ac:dyDescent="0.2">
      <c r="A126" s="15" t="s">
        <v>9</v>
      </c>
      <c r="B126" s="15" t="s">
        <v>9</v>
      </c>
      <c r="C126" s="3" t="s">
        <v>94</v>
      </c>
      <c r="D126" s="15" t="s">
        <v>9</v>
      </c>
      <c r="E126" s="15" t="s">
        <v>9</v>
      </c>
      <c r="F126" s="13">
        <v>0</v>
      </c>
      <c r="G126" s="14">
        <v>0</v>
      </c>
      <c r="H126" s="100"/>
    </row>
    <row r="127" spans="1:8" x14ac:dyDescent="0.2">
      <c r="A127" s="15" t="s">
        <v>9</v>
      </c>
      <c r="B127" s="15" t="s">
        <v>9</v>
      </c>
      <c r="C127" s="11" t="s">
        <v>9</v>
      </c>
      <c r="D127" s="15" t="s">
        <v>9</v>
      </c>
      <c r="E127" s="15" t="s">
        <v>9</v>
      </c>
      <c r="F127" s="12" t="s">
        <v>9</v>
      </c>
      <c r="G127" s="12" t="s">
        <v>9</v>
      </c>
      <c r="H127" s="100"/>
    </row>
    <row r="128" spans="1:8" x14ac:dyDescent="0.2">
      <c r="A128" s="15" t="s">
        <v>9</v>
      </c>
      <c r="B128" s="15" t="s">
        <v>9</v>
      </c>
      <c r="C128" s="3" t="s">
        <v>120</v>
      </c>
      <c r="D128" s="15" t="s">
        <v>9</v>
      </c>
      <c r="E128" s="15" t="s">
        <v>9</v>
      </c>
      <c r="F128" s="15" t="s">
        <v>9</v>
      </c>
      <c r="G128" s="15" t="s">
        <v>9</v>
      </c>
      <c r="H128" s="100"/>
    </row>
    <row r="129" spans="1:8" x14ac:dyDescent="0.2">
      <c r="A129" s="15" t="s">
        <v>9</v>
      </c>
      <c r="B129" s="15" t="s">
        <v>9</v>
      </c>
      <c r="C129" s="3" t="s">
        <v>121</v>
      </c>
      <c r="D129" s="15" t="s">
        <v>9</v>
      </c>
      <c r="E129" s="15" t="s">
        <v>9</v>
      </c>
      <c r="F129" s="15" t="s">
        <v>9</v>
      </c>
      <c r="G129" s="15" t="s">
        <v>9</v>
      </c>
      <c r="H129" s="100"/>
    </row>
    <row r="130" spans="1:8" x14ac:dyDescent="0.2">
      <c r="A130" s="15" t="s">
        <v>9</v>
      </c>
      <c r="B130" s="15" t="s">
        <v>9</v>
      </c>
      <c r="C130" s="3" t="s">
        <v>94</v>
      </c>
      <c r="D130" s="15" t="s">
        <v>9</v>
      </c>
      <c r="E130" s="15" t="s">
        <v>9</v>
      </c>
      <c r="F130" s="13">
        <v>0</v>
      </c>
      <c r="G130" s="14">
        <v>0</v>
      </c>
      <c r="H130" s="100"/>
    </row>
    <row r="131" spans="1:8" x14ac:dyDescent="0.2">
      <c r="A131" s="15" t="s">
        <v>9</v>
      </c>
      <c r="B131" s="15" t="s">
        <v>9</v>
      </c>
      <c r="C131" s="11" t="s">
        <v>9</v>
      </c>
      <c r="D131" s="15" t="s">
        <v>9</v>
      </c>
      <c r="E131" s="15" t="s">
        <v>9</v>
      </c>
      <c r="F131" s="12" t="s">
        <v>9</v>
      </c>
      <c r="G131" s="12" t="s">
        <v>9</v>
      </c>
      <c r="H131" s="100"/>
    </row>
    <row r="132" spans="1:8" x14ac:dyDescent="0.2">
      <c r="A132" s="15" t="s">
        <v>9</v>
      </c>
      <c r="B132" s="15" t="s">
        <v>9</v>
      </c>
      <c r="C132" s="11" t="s">
        <v>9</v>
      </c>
      <c r="D132" s="15" t="s">
        <v>9</v>
      </c>
      <c r="E132" s="15" t="s">
        <v>9</v>
      </c>
      <c r="F132" s="12" t="s">
        <v>9</v>
      </c>
      <c r="G132" s="12" t="s">
        <v>9</v>
      </c>
      <c r="H132" s="100"/>
    </row>
    <row r="133" spans="1:8" ht="25.5" x14ac:dyDescent="0.2">
      <c r="A133" s="15" t="s">
        <v>9</v>
      </c>
      <c r="B133" s="15" t="s">
        <v>9</v>
      </c>
      <c r="C133" s="3" t="s">
        <v>122</v>
      </c>
      <c r="D133" s="15" t="s">
        <v>9</v>
      </c>
      <c r="E133" s="15" t="s">
        <v>9</v>
      </c>
      <c r="F133" s="12" t="s">
        <v>9</v>
      </c>
      <c r="G133" s="12" t="s">
        <v>9</v>
      </c>
      <c r="H133" s="100"/>
    </row>
    <row r="134" spans="1:8" x14ac:dyDescent="0.2">
      <c r="A134" s="15" t="s">
        <v>9</v>
      </c>
      <c r="B134" s="15" t="s">
        <v>9</v>
      </c>
      <c r="C134" s="3" t="s">
        <v>94</v>
      </c>
      <c r="D134" s="15" t="s">
        <v>9</v>
      </c>
      <c r="E134" s="15" t="s">
        <v>9</v>
      </c>
      <c r="F134" s="13">
        <v>0</v>
      </c>
      <c r="G134" s="14">
        <v>0</v>
      </c>
      <c r="H134" s="100"/>
    </row>
    <row r="135" spans="1:8" x14ac:dyDescent="0.2">
      <c r="A135" s="15" t="s">
        <v>9</v>
      </c>
      <c r="B135" s="15" t="s">
        <v>9</v>
      </c>
      <c r="C135" s="11" t="s">
        <v>9</v>
      </c>
      <c r="D135" s="15" t="s">
        <v>9</v>
      </c>
      <c r="E135" s="15" t="s">
        <v>9</v>
      </c>
      <c r="F135" s="12" t="s">
        <v>9</v>
      </c>
      <c r="G135" s="12" t="s">
        <v>9</v>
      </c>
      <c r="H135" s="100"/>
    </row>
    <row r="136" spans="1:8" x14ac:dyDescent="0.2">
      <c r="A136" s="15" t="s">
        <v>9</v>
      </c>
      <c r="B136" s="5" t="s">
        <v>9</v>
      </c>
      <c r="C136" s="5" t="s">
        <v>9</v>
      </c>
      <c r="D136" s="3" t="s">
        <v>9</v>
      </c>
      <c r="E136" s="15" t="s">
        <v>9</v>
      </c>
      <c r="F136" s="5" t="s">
        <v>9</v>
      </c>
      <c r="G136" s="15" t="s">
        <v>9</v>
      </c>
      <c r="H136" s="100"/>
    </row>
    <row r="137" spans="1:8" x14ac:dyDescent="0.2">
      <c r="A137" s="15" t="s">
        <v>9</v>
      </c>
      <c r="B137" s="5" t="s">
        <v>9</v>
      </c>
      <c r="C137" s="5" t="s">
        <v>124</v>
      </c>
      <c r="D137" s="5" t="s">
        <v>9</v>
      </c>
      <c r="E137" s="15" t="s">
        <v>9</v>
      </c>
      <c r="F137" s="7">
        <v>-29.984517090000001</v>
      </c>
      <c r="G137" s="8">
        <v>-6.5288530000000003E-3</v>
      </c>
      <c r="H137" s="100"/>
    </row>
    <row r="138" spans="1:8" x14ac:dyDescent="0.2">
      <c r="A138" s="11" t="s">
        <v>9</v>
      </c>
      <c r="B138" s="11" t="s">
        <v>9</v>
      </c>
      <c r="C138" s="3" t="s">
        <v>125</v>
      </c>
      <c r="D138" s="16" t="s">
        <v>9</v>
      </c>
      <c r="E138" s="16" t="s">
        <v>9</v>
      </c>
      <c r="F138" s="9">
        <v>4592.61616091</v>
      </c>
      <c r="G138" s="10">
        <v>0.99999999900000003</v>
      </c>
      <c r="H138" s="100"/>
    </row>
    <row r="139" spans="1:8" x14ac:dyDescent="0.2">
      <c r="A139" s="17" t="s">
        <v>9</v>
      </c>
      <c r="B139" s="17" t="s">
        <v>9</v>
      </c>
      <c r="C139" s="17" t="s">
        <v>9</v>
      </c>
      <c r="D139" s="18" t="s">
        <v>9</v>
      </c>
      <c r="E139" s="18" t="s">
        <v>9</v>
      </c>
      <c r="F139" s="18" t="s">
        <v>9</v>
      </c>
      <c r="G139" s="18" t="s">
        <v>9</v>
      </c>
      <c r="H139" s="142"/>
    </row>
    <row r="140" spans="1:8" x14ac:dyDescent="0.2">
      <c r="A140" s="19" t="s">
        <v>9</v>
      </c>
      <c r="B140" s="254" t="s">
        <v>9</v>
      </c>
      <c r="C140" s="254"/>
      <c r="D140" s="254"/>
      <c r="E140" s="254"/>
      <c r="F140" s="254"/>
      <c r="G140" s="20" t="s">
        <v>9</v>
      </c>
      <c r="H140" s="142"/>
    </row>
    <row r="141" spans="1:8" x14ac:dyDescent="0.2">
      <c r="A141" s="19" t="s">
        <v>9</v>
      </c>
      <c r="B141" s="254" t="s">
        <v>9</v>
      </c>
      <c r="C141" s="254"/>
      <c r="D141" s="254"/>
      <c r="E141" s="254"/>
      <c r="F141" s="254"/>
      <c r="G141" s="20" t="s">
        <v>9</v>
      </c>
      <c r="H141" s="142"/>
    </row>
    <row r="142" spans="1:8" x14ac:dyDescent="0.2">
      <c r="A142" s="19" t="s">
        <v>9</v>
      </c>
      <c r="B142" s="176" t="s">
        <v>9</v>
      </c>
      <c r="C142" s="176" t="s">
        <v>9</v>
      </c>
      <c r="D142" s="179" t="s">
        <v>9</v>
      </c>
      <c r="E142" s="20" t="s">
        <v>9</v>
      </c>
      <c r="F142" s="20" t="s">
        <v>9</v>
      </c>
      <c r="G142" s="20" t="s">
        <v>9</v>
      </c>
      <c r="H142" s="142"/>
    </row>
    <row r="143" spans="1:8" x14ac:dyDescent="0.2">
      <c r="A143" s="19" t="s">
        <v>9</v>
      </c>
      <c r="B143" s="247" t="s">
        <v>127</v>
      </c>
      <c r="C143" s="248"/>
      <c r="D143" s="182" t="s">
        <v>9</v>
      </c>
      <c r="E143" s="21" t="s">
        <v>9</v>
      </c>
      <c r="F143" s="20" t="s">
        <v>9</v>
      </c>
      <c r="G143" s="20" t="s">
        <v>9</v>
      </c>
      <c r="H143" s="142"/>
    </row>
    <row r="144" spans="1:8" ht="28.5" customHeight="1" x14ac:dyDescent="0.2">
      <c r="A144" s="19" t="s">
        <v>9</v>
      </c>
      <c r="B144" s="242" t="s">
        <v>128</v>
      </c>
      <c r="C144" s="243"/>
      <c r="D144" s="3" t="s">
        <v>129</v>
      </c>
      <c r="E144" s="21" t="s">
        <v>9</v>
      </c>
      <c r="F144" s="20" t="s">
        <v>9</v>
      </c>
      <c r="G144" s="20" t="s">
        <v>9</v>
      </c>
      <c r="H144" s="142"/>
    </row>
    <row r="145" spans="1:8" x14ac:dyDescent="0.2">
      <c r="A145" s="19" t="s">
        <v>9</v>
      </c>
      <c r="B145" s="240" t="s">
        <v>130</v>
      </c>
      <c r="C145" s="241"/>
      <c r="D145" s="177" t="s">
        <v>129</v>
      </c>
      <c r="E145" s="21" t="s">
        <v>9</v>
      </c>
      <c r="F145" s="20" t="s">
        <v>9</v>
      </c>
      <c r="G145" s="20" t="s">
        <v>9</v>
      </c>
      <c r="H145" s="142"/>
    </row>
    <row r="146" spans="1:8" x14ac:dyDescent="0.2">
      <c r="A146" s="19" t="s">
        <v>9</v>
      </c>
      <c r="B146" s="240" t="s">
        <v>131</v>
      </c>
      <c r="C146" s="241"/>
      <c r="D146" s="182" t="s">
        <v>9</v>
      </c>
      <c r="E146" s="21" t="s">
        <v>9</v>
      </c>
      <c r="F146" s="20" t="s">
        <v>9</v>
      </c>
      <c r="G146" s="20" t="s">
        <v>9</v>
      </c>
      <c r="H146" s="142"/>
    </row>
    <row r="147" spans="1:8" ht="25.5" x14ac:dyDescent="0.2">
      <c r="A147" s="25" t="s">
        <v>9</v>
      </c>
      <c r="B147" s="23" t="s">
        <v>9</v>
      </c>
      <c r="C147" s="23" t="s">
        <v>132</v>
      </c>
      <c r="D147" s="23" t="s">
        <v>133</v>
      </c>
      <c r="E147" s="25" t="s">
        <v>9</v>
      </c>
      <c r="F147" s="25" t="s">
        <v>9</v>
      </c>
      <c r="G147" s="25" t="s">
        <v>9</v>
      </c>
      <c r="H147" s="142"/>
    </row>
    <row r="148" spans="1:8" x14ac:dyDescent="0.2">
      <c r="A148" s="25" t="s">
        <v>9</v>
      </c>
      <c r="B148" s="23" t="s">
        <v>134</v>
      </c>
      <c r="C148" s="23" t="s">
        <v>135</v>
      </c>
      <c r="D148" s="23" t="s">
        <v>136</v>
      </c>
      <c r="E148" s="25" t="s">
        <v>9</v>
      </c>
      <c r="F148" s="25" t="s">
        <v>9</v>
      </c>
      <c r="G148" s="25" t="s">
        <v>9</v>
      </c>
      <c r="H148" s="142"/>
    </row>
    <row r="149" spans="1:8" x14ac:dyDescent="0.2">
      <c r="A149" s="25" t="s">
        <v>9</v>
      </c>
      <c r="B149" s="183" t="s">
        <v>137</v>
      </c>
      <c r="C149" s="184">
        <v>10.3782</v>
      </c>
      <c r="D149" s="184">
        <v>10.904999999999999</v>
      </c>
      <c r="E149" s="25" t="s">
        <v>9</v>
      </c>
      <c r="F149" s="73" t="s">
        <v>9</v>
      </c>
      <c r="G149" s="25" t="s">
        <v>9</v>
      </c>
      <c r="H149" s="142"/>
    </row>
    <row r="150" spans="1:8" x14ac:dyDescent="0.2">
      <c r="A150" s="25" t="s">
        <v>9</v>
      </c>
      <c r="B150" s="183" t="s">
        <v>921</v>
      </c>
      <c r="C150" s="184">
        <v>10.3782</v>
      </c>
      <c r="D150" s="184">
        <v>10.904999999999999</v>
      </c>
      <c r="E150" s="25" t="s">
        <v>9</v>
      </c>
      <c r="F150" s="73" t="s">
        <v>9</v>
      </c>
      <c r="G150" s="25" t="s">
        <v>9</v>
      </c>
      <c r="H150" s="142"/>
    </row>
    <row r="151" spans="1:8" x14ac:dyDescent="0.2">
      <c r="A151" s="25" t="s">
        <v>9</v>
      </c>
      <c r="B151" s="183" t="s">
        <v>138</v>
      </c>
      <c r="C151" s="184">
        <v>10.1525</v>
      </c>
      <c r="D151" s="184">
        <v>10.6669</v>
      </c>
      <c r="E151" s="25" t="s">
        <v>9</v>
      </c>
      <c r="F151" s="73" t="s">
        <v>9</v>
      </c>
      <c r="G151" s="25" t="s">
        <v>9</v>
      </c>
      <c r="H151" s="142"/>
    </row>
    <row r="152" spans="1:8" x14ac:dyDescent="0.2">
      <c r="A152" s="25" t="s">
        <v>9</v>
      </c>
      <c r="B152" s="183" t="s">
        <v>922</v>
      </c>
      <c r="C152" s="184">
        <v>10.1526</v>
      </c>
      <c r="D152" s="184">
        <v>10.667</v>
      </c>
      <c r="E152" s="25" t="s">
        <v>9</v>
      </c>
      <c r="F152" s="73" t="s">
        <v>9</v>
      </c>
      <c r="G152" s="25" t="s">
        <v>9</v>
      </c>
      <c r="H152" s="142"/>
    </row>
    <row r="153" spans="1:8" x14ac:dyDescent="0.2">
      <c r="A153" s="25" t="s">
        <v>9</v>
      </c>
      <c r="B153" s="22" t="s">
        <v>9</v>
      </c>
      <c r="C153" s="22" t="s">
        <v>9</v>
      </c>
      <c r="D153" s="22" t="s">
        <v>9</v>
      </c>
      <c r="E153" s="25" t="s">
        <v>9</v>
      </c>
      <c r="F153" s="25" t="s">
        <v>9</v>
      </c>
      <c r="G153" s="25" t="s">
        <v>9</v>
      </c>
      <c r="H153" s="142"/>
    </row>
    <row r="154" spans="1:8" x14ac:dyDescent="0.2">
      <c r="A154" s="25" t="s">
        <v>9</v>
      </c>
      <c r="B154" s="240" t="s">
        <v>1012</v>
      </c>
      <c r="C154" s="241"/>
      <c r="D154" s="177" t="s">
        <v>129</v>
      </c>
      <c r="E154" s="25" t="s">
        <v>9</v>
      </c>
      <c r="F154" s="25" t="s">
        <v>9</v>
      </c>
      <c r="G154" s="25" t="s">
        <v>9</v>
      </c>
      <c r="H154" s="142"/>
    </row>
    <row r="155" spans="1:8" x14ac:dyDescent="0.2">
      <c r="A155" s="25" t="s">
        <v>9</v>
      </c>
      <c r="B155" s="98"/>
      <c r="C155" s="98"/>
      <c r="D155" s="26" t="s">
        <v>9</v>
      </c>
      <c r="E155" s="25" t="s">
        <v>9</v>
      </c>
      <c r="F155" s="25" t="s">
        <v>9</v>
      </c>
      <c r="G155" s="25" t="s">
        <v>9</v>
      </c>
      <c r="H155" s="142"/>
    </row>
    <row r="156" spans="1:8" s="238" customFormat="1" ht="12.75" x14ac:dyDescent="0.2">
      <c r="B156" s="246" t="s">
        <v>923</v>
      </c>
      <c r="C156" s="246"/>
      <c r="D156" s="246"/>
      <c r="E156" s="246"/>
      <c r="F156" s="246"/>
    </row>
    <row r="157" spans="1:8" x14ac:dyDescent="0.2">
      <c r="A157" s="25" t="s">
        <v>9</v>
      </c>
      <c r="B157" s="185" t="s">
        <v>9</v>
      </c>
      <c r="C157" s="185" t="s">
        <v>9</v>
      </c>
      <c r="D157" s="22" t="s">
        <v>9</v>
      </c>
      <c r="E157" s="25" t="s">
        <v>9</v>
      </c>
      <c r="F157" s="25" t="s">
        <v>9</v>
      </c>
      <c r="G157" s="25" t="s">
        <v>9</v>
      </c>
      <c r="H157" s="142"/>
    </row>
    <row r="158" spans="1:8" x14ac:dyDescent="0.2">
      <c r="A158" s="25" t="s">
        <v>9</v>
      </c>
      <c r="B158" s="240" t="s">
        <v>139</v>
      </c>
      <c r="C158" s="241"/>
      <c r="D158" s="177" t="s">
        <v>129</v>
      </c>
      <c r="E158" s="25" t="s">
        <v>9</v>
      </c>
      <c r="F158" s="25" t="s">
        <v>9</v>
      </c>
      <c r="G158" s="25" t="s">
        <v>9</v>
      </c>
      <c r="H158" s="142"/>
    </row>
    <row r="159" spans="1:8" x14ac:dyDescent="0.2">
      <c r="A159" s="25" t="s">
        <v>9</v>
      </c>
      <c r="B159" s="240" t="s">
        <v>140</v>
      </c>
      <c r="C159" s="241"/>
      <c r="D159" s="177" t="s">
        <v>129</v>
      </c>
      <c r="E159" s="25" t="s">
        <v>9</v>
      </c>
      <c r="F159" s="25" t="s">
        <v>9</v>
      </c>
      <c r="G159" s="25" t="s">
        <v>9</v>
      </c>
      <c r="H159" s="142"/>
    </row>
    <row r="160" spans="1:8" x14ac:dyDescent="0.2">
      <c r="A160" s="25" t="s">
        <v>9</v>
      </c>
      <c r="B160" s="240" t="s">
        <v>141</v>
      </c>
      <c r="C160" s="241"/>
      <c r="D160" s="186">
        <v>0.399658759626004</v>
      </c>
      <c r="E160" s="25" t="s">
        <v>9</v>
      </c>
      <c r="F160" s="73" t="s">
        <v>9</v>
      </c>
      <c r="G160" s="25" t="s">
        <v>9</v>
      </c>
      <c r="H160" s="142"/>
    </row>
    <row r="161" spans="1:8" x14ac:dyDescent="0.2">
      <c r="A161" s="25" t="s">
        <v>9</v>
      </c>
      <c r="B161" s="240" t="s">
        <v>142</v>
      </c>
      <c r="C161" s="241"/>
      <c r="D161" s="177" t="s">
        <v>129</v>
      </c>
      <c r="E161" s="25" t="s">
        <v>9</v>
      </c>
      <c r="F161" s="25" t="s">
        <v>9</v>
      </c>
      <c r="G161" s="25" t="s">
        <v>9</v>
      </c>
      <c r="H161" s="142"/>
    </row>
  </sheetData>
  <mergeCells count="15">
    <mergeCell ref="B143:C143"/>
    <mergeCell ref="B140:F140"/>
    <mergeCell ref="B141:F141"/>
    <mergeCell ref="A1:H1"/>
    <mergeCell ref="A2:H2"/>
    <mergeCell ref="A3:H3"/>
    <mergeCell ref="B160:C160"/>
    <mergeCell ref="B161:C161"/>
    <mergeCell ref="B144:C144"/>
    <mergeCell ref="B145:C145"/>
    <mergeCell ref="B146:C146"/>
    <mergeCell ref="B154:C154"/>
    <mergeCell ref="B158:C158"/>
    <mergeCell ref="B159:C159"/>
    <mergeCell ref="B156:F156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outlinePr summaryBelow="0" summaryRight="0"/>
  </sheetPr>
  <dimension ref="A1:H160"/>
  <sheetViews>
    <sheetView showGridLines="0" workbookViewId="0">
      <selection activeCell="J1" sqref="J1"/>
    </sheetView>
  </sheetViews>
  <sheetFormatPr defaultRowHeight="15" x14ac:dyDescent="0.2"/>
  <cols>
    <col min="1" max="1" width="6.85546875" style="155" customWidth="1"/>
    <col min="2" max="2" width="20.5703125" style="155" customWidth="1"/>
    <col min="3" max="3" width="34.28515625" style="155" customWidth="1"/>
    <col min="4" max="4" width="17.85546875" style="155" customWidth="1"/>
    <col min="5" max="6" width="19.140625" style="155" customWidth="1"/>
    <col min="7" max="7" width="16.42578125" style="155" customWidth="1"/>
    <col min="8" max="16384" width="9.140625" style="155"/>
  </cols>
  <sheetData>
    <row r="1" spans="1:8" x14ac:dyDescent="0.2">
      <c r="A1" s="250" t="s">
        <v>0</v>
      </c>
      <c r="B1" s="250"/>
      <c r="C1" s="250"/>
      <c r="D1" s="250"/>
      <c r="E1" s="250"/>
      <c r="F1" s="250"/>
      <c r="G1" s="250"/>
      <c r="H1" s="250"/>
    </row>
    <row r="2" spans="1:8" x14ac:dyDescent="0.2">
      <c r="A2" s="251" t="s">
        <v>490</v>
      </c>
      <c r="B2" s="252"/>
      <c r="C2" s="252"/>
      <c r="D2" s="252"/>
      <c r="E2" s="252"/>
      <c r="F2" s="252"/>
      <c r="G2" s="252"/>
      <c r="H2" s="253"/>
    </row>
    <row r="3" spans="1:8" x14ac:dyDescent="0.2">
      <c r="A3" s="250" t="s">
        <v>1015</v>
      </c>
      <c r="B3" s="250"/>
      <c r="C3" s="250"/>
      <c r="D3" s="250"/>
      <c r="E3" s="250"/>
      <c r="F3" s="250"/>
      <c r="G3" s="250"/>
      <c r="H3" s="250"/>
    </row>
    <row r="4" spans="1:8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60" t="s">
        <v>6</v>
      </c>
      <c r="F4" s="160" t="s">
        <v>7</v>
      </c>
      <c r="G4" s="160" t="s">
        <v>8</v>
      </c>
      <c r="H4" s="161" t="s">
        <v>909</v>
      </c>
    </row>
    <row r="5" spans="1:8" x14ac:dyDescent="0.2">
      <c r="A5" s="15" t="s">
        <v>9</v>
      </c>
      <c r="B5" s="15" t="s">
        <v>9</v>
      </c>
      <c r="C5" s="3" t="s">
        <v>10</v>
      </c>
      <c r="D5" s="15" t="s">
        <v>9</v>
      </c>
      <c r="E5" s="15" t="s">
        <v>9</v>
      </c>
      <c r="F5" s="15" t="s">
        <v>9</v>
      </c>
      <c r="G5" s="15" t="s">
        <v>9</v>
      </c>
      <c r="H5" s="100"/>
    </row>
    <row r="6" spans="1:8" ht="25.5" x14ac:dyDescent="0.2">
      <c r="A6" s="15" t="s">
        <v>9</v>
      </c>
      <c r="B6" s="15" t="s">
        <v>9</v>
      </c>
      <c r="C6" s="3" t="s">
        <v>11</v>
      </c>
      <c r="D6" s="15" t="s">
        <v>9</v>
      </c>
      <c r="E6" s="15" t="s">
        <v>9</v>
      </c>
      <c r="F6" s="15" t="s">
        <v>9</v>
      </c>
      <c r="G6" s="15" t="s">
        <v>9</v>
      </c>
      <c r="H6" s="100"/>
    </row>
    <row r="7" spans="1:8" x14ac:dyDescent="0.2">
      <c r="A7" s="4">
        <v>1</v>
      </c>
      <c r="B7" s="5" t="s">
        <v>144</v>
      </c>
      <c r="C7" s="5" t="s">
        <v>145</v>
      </c>
      <c r="D7" s="5" t="s">
        <v>146</v>
      </c>
      <c r="E7" s="6">
        <v>4173</v>
      </c>
      <c r="F7" s="7">
        <v>143.058786</v>
      </c>
      <c r="G7" s="8">
        <v>3.9498995000000002E-2</v>
      </c>
      <c r="H7" s="100"/>
    </row>
    <row r="8" spans="1:8" x14ac:dyDescent="0.2">
      <c r="A8" s="4">
        <v>2</v>
      </c>
      <c r="B8" s="5" t="s">
        <v>26</v>
      </c>
      <c r="C8" s="5" t="s">
        <v>27</v>
      </c>
      <c r="D8" s="5" t="s">
        <v>28</v>
      </c>
      <c r="E8" s="6">
        <v>13204</v>
      </c>
      <c r="F8" s="7">
        <v>120.935436</v>
      </c>
      <c r="G8" s="8">
        <v>3.3390665999999999E-2</v>
      </c>
      <c r="H8" s="100"/>
    </row>
    <row r="9" spans="1:8" ht="25.5" x14ac:dyDescent="0.2">
      <c r="A9" s="4">
        <v>3</v>
      </c>
      <c r="B9" s="5" t="s">
        <v>152</v>
      </c>
      <c r="C9" s="5" t="s">
        <v>153</v>
      </c>
      <c r="D9" s="5" t="s">
        <v>1001</v>
      </c>
      <c r="E9" s="6">
        <v>59961</v>
      </c>
      <c r="F9" s="7">
        <v>97.856352000000001</v>
      </c>
      <c r="G9" s="8">
        <v>2.7018456E-2</v>
      </c>
      <c r="H9" s="100"/>
    </row>
    <row r="10" spans="1:8" x14ac:dyDescent="0.2">
      <c r="A10" s="4">
        <v>4</v>
      </c>
      <c r="B10" s="5" t="s">
        <v>461</v>
      </c>
      <c r="C10" s="5" t="s">
        <v>462</v>
      </c>
      <c r="D10" s="5" t="s">
        <v>193</v>
      </c>
      <c r="E10" s="6">
        <v>36279</v>
      </c>
      <c r="F10" s="7">
        <v>96.193768500000004</v>
      </c>
      <c r="G10" s="8">
        <v>2.6559412000000001E-2</v>
      </c>
      <c r="H10" s="100"/>
    </row>
    <row r="11" spans="1:8" ht="25.5" x14ac:dyDescent="0.2">
      <c r="A11" s="4">
        <v>5</v>
      </c>
      <c r="B11" s="5" t="s">
        <v>34</v>
      </c>
      <c r="C11" s="5" t="s">
        <v>35</v>
      </c>
      <c r="D11" s="5" t="s">
        <v>1001</v>
      </c>
      <c r="E11" s="6">
        <v>3402</v>
      </c>
      <c r="F11" s="7">
        <v>95.473727999999994</v>
      </c>
      <c r="G11" s="8">
        <v>2.6360606000000002E-2</v>
      </c>
      <c r="H11" s="100"/>
    </row>
    <row r="12" spans="1:8" x14ac:dyDescent="0.2">
      <c r="A12" s="4">
        <v>6</v>
      </c>
      <c r="B12" s="5" t="s">
        <v>50</v>
      </c>
      <c r="C12" s="5" t="s">
        <v>51</v>
      </c>
      <c r="D12" s="5" t="s">
        <v>28</v>
      </c>
      <c r="E12" s="6">
        <v>9615</v>
      </c>
      <c r="F12" s="7">
        <v>85.0398675</v>
      </c>
      <c r="G12" s="8">
        <v>2.3479783000000001E-2</v>
      </c>
      <c r="H12" s="100"/>
    </row>
    <row r="13" spans="1:8" x14ac:dyDescent="0.2">
      <c r="A13" s="4">
        <v>7</v>
      </c>
      <c r="B13" s="5" t="s">
        <v>159</v>
      </c>
      <c r="C13" s="5" t="s">
        <v>160</v>
      </c>
      <c r="D13" s="5" t="s">
        <v>58</v>
      </c>
      <c r="E13" s="6">
        <v>24144</v>
      </c>
      <c r="F13" s="7">
        <v>84.504000000000005</v>
      </c>
      <c r="G13" s="8">
        <v>2.3331828999999998E-2</v>
      </c>
      <c r="H13" s="100"/>
    </row>
    <row r="14" spans="1:8" x14ac:dyDescent="0.2">
      <c r="A14" s="4">
        <v>8</v>
      </c>
      <c r="B14" s="5" t="s">
        <v>440</v>
      </c>
      <c r="C14" s="5" t="s">
        <v>441</v>
      </c>
      <c r="D14" s="5" t="s">
        <v>58</v>
      </c>
      <c r="E14" s="6">
        <v>31195</v>
      </c>
      <c r="F14" s="7">
        <v>84.132914999999997</v>
      </c>
      <c r="G14" s="8">
        <v>2.3229370999999999E-2</v>
      </c>
      <c r="H14" s="100"/>
    </row>
    <row r="15" spans="1:8" x14ac:dyDescent="0.2">
      <c r="A15" s="4">
        <v>9</v>
      </c>
      <c r="B15" s="5" t="s">
        <v>157</v>
      </c>
      <c r="C15" s="5" t="s">
        <v>158</v>
      </c>
      <c r="D15" s="5" t="s">
        <v>28</v>
      </c>
      <c r="E15" s="6">
        <v>15959</v>
      </c>
      <c r="F15" s="7">
        <v>83.130431000000002</v>
      </c>
      <c r="G15" s="8">
        <v>2.2952581999999999E-2</v>
      </c>
      <c r="H15" s="100"/>
    </row>
    <row r="16" spans="1:8" x14ac:dyDescent="0.2">
      <c r="A16" s="4">
        <v>10</v>
      </c>
      <c r="B16" s="5" t="s">
        <v>291</v>
      </c>
      <c r="C16" s="5" t="s">
        <v>292</v>
      </c>
      <c r="D16" s="5" t="s">
        <v>163</v>
      </c>
      <c r="E16" s="6">
        <v>2551</v>
      </c>
      <c r="F16" s="7">
        <v>79.788902500000006</v>
      </c>
      <c r="G16" s="8">
        <v>2.2029975E-2</v>
      </c>
      <c r="H16" s="100"/>
    </row>
    <row r="17" spans="1:8" x14ac:dyDescent="0.2">
      <c r="A17" s="4">
        <v>11</v>
      </c>
      <c r="B17" s="5" t="s">
        <v>282</v>
      </c>
      <c r="C17" s="5" t="s">
        <v>283</v>
      </c>
      <c r="D17" s="5" t="s">
        <v>28</v>
      </c>
      <c r="E17" s="6">
        <v>20151</v>
      </c>
      <c r="F17" s="7">
        <v>76.906291499999995</v>
      </c>
      <c r="G17" s="8">
        <v>2.1234077000000001E-2</v>
      </c>
      <c r="H17" s="100"/>
    </row>
    <row r="18" spans="1:8" x14ac:dyDescent="0.2">
      <c r="A18" s="4">
        <v>12</v>
      </c>
      <c r="B18" s="5" t="s">
        <v>154</v>
      </c>
      <c r="C18" s="5" t="s">
        <v>155</v>
      </c>
      <c r="D18" s="5" t="s">
        <v>156</v>
      </c>
      <c r="E18" s="6">
        <v>94761</v>
      </c>
      <c r="F18" s="7">
        <v>76.756410000000002</v>
      </c>
      <c r="G18" s="8">
        <v>2.1192694000000002E-2</v>
      </c>
      <c r="H18" s="100"/>
    </row>
    <row r="19" spans="1:8" ht="25.5" x14ac:dyDescent="0.2">
      <c r="A19" s="4">
        <v>13</v>
      </c>
      <c r="B19" s="5" t="s">
        <v>166</v>
      </c>
      <c r="C19" s="5" t="s">
        <v>948</v>
      </c>
      <c r="D19" s="5" t="s">
        <v>1001</v>
      </c>
      <c r="E19" s="6">
        <v>30295</v>
      </c>
      <c r="F19" s="7">
        <v>71.829445000000007</v>
      </c>
      <c r="G19" s="8">
        <v>1.9832342999999999E-2</v>
      </c>
      <c r="H19" s="100"/>
    </row>
    <row r="20" spans="1:8" x14ac:dyDescent="0.2">
      <c r="A20" s="4">
        <v>14</v>
      </c>
      <c r="B20" s="5" t="s">
        <v>168</v>
      </c>
      <c r="C20" s="5" t="s">
        <v>169</v>
      </c>
      <c r="D20" s="5" t="s">
        <v>151</v>
      </c>
      <c r="E20" s="6">
        <v>34865</v>
      </c>
      <c r="F20" s="7">
        <v>68.771212500000004</v>
      </c>
      <c r="G20" s="8">
        <v>1.8987955000000001E-2</v>
      </c>
      <c r="H20" s="100"/>
    </row>
    <row r="21" spans="1:8" x14ac:dyDescent="0.2">
      <c r="A21" s="4">
        <v>15</v>
      </c>
      <c r="B21" s="5" t="s">
        <v>173</v>
      </c>
      <c r="C21" s="5" t="s">
        <v>949</v>
      </c>
      <c r="D21" s="5" t="s">
        <v>28</v>
      </c>
      <c r="E21" s="6">
        <v>14991</v>
      </c>
      <c r="F21" s="7">
        <v>66.949805999999995</v>
      </c>
      <c r="G21" s="8">
        <v>1.8485059000000002E-2</v>
      </c>
      <c r="H21" s="100"/>
    </row>
    <row r="22" spans="1:8" x14ac:dyDescent="0.2">
      <c r="A22" s="4">
        <v>16</v>
      </c>
      <c r="B22" s="5" t="s">
        <v>48</v>
      </c>
      <c r="C22" s="5" t="s">
        <v>49</v>
      </c>
      <c r="D22" s="5" t="s">
        <v>28</v>
      </c>
      <c r="E22" s="6">
        <v>4704</v>
      </c>
      <c r="F22" s="7">
        <v>66.051215999999997</v>
      </c>
      <c r="G22" s="8">
        <v>1.8236954999999999E-2</v>
      </c>
      <c r="H22" s="100"/>
    </row>
    <row r="23" spans="1:8" x14ac:dyDescent="0.2">
      <c r="A23" s="4">
        <v>17</v>
      </c>
      <c r="B23" s="5" t="s">
        <v>448</v>
      </c>
      <c r="C23" s="5" t="s">
        <v>957</v>
      </c>
      <c r="D23" s="5" t="s">
        <v>228</v>
      </c>
      <c r="E23" s="6">
        <v>12694</v>
      </c>
      <c r="F23" s="7">
        <v>61.458001000000003</v>
      </c>
      <c r="G23" s="8">
        <v>1.6968753999999999E-2</v>
      </c>
      <c r="H23" s="100"/>
    </row>
    <row r="24" spans="1:8" x14ac:dyDescent="0.2">
      <c r="A24" s="4">
        <v>18</v>
      </c>
      <c r="B24" s="5" t="s">
        <v>164</v>
      </c>
      <c r="C24" s="5" t="s">
        <v>947</v>
      </c>
      <c r="D24" s="5" t="s">
        <v>151</v>
      </c>
      <c r="E24" s="6">
        <v>8476</v>
      </c>
      <c r="F24" s="7">
        <v>61.404381999999998</v>
      </c>
      <c r="G24" s="8">
        <v>1.6953948999999999E-2</v>
      </c>
      <c r="H24" s="100"/>
    </row>
    <row r="25" spans="1:8" x14ac:dyDescent="0.2">
      <c r="A25" s="4">
        <v>19</v>
      </c>
      <c r="B25" s="5" t="s">
        <v>170</v>
      </c>
      <c r="C25" s="5" t="s">
        <v>171</v>
      </c>
      <c r="D25" s="5" t="s">
        <v>172</v>
      </c>
      <c r="E25" s="6">
        <v>5981</v>
      </c>
      <c r="F25" s="7">
        <v>61.311230999999999</v>
      </c>
      <c r="G25" s="8">
        <v>1.6928229999999999E-2</v>
      </c>
      <c r="H25" s="100"/>
    </row>
    <row r="26" spans="1:8" x14ac:dyDescent="0.2">
      <c r="A26" s="4">
        <v>20</v>
      </c>
      <c r="B26" s="5" t="s">
        <v>278</v>
      </c>
      <c r="C26" s="5" t="s">
        <v>279</v>
      </c>
      <c r="D26" s="5" t="s">
        <v>28</v>
      </c>
      <c r="E26" s="6">
        <v>5782</v>
      </c>
      <c r="F26" s="7">
        <v>61.190905999999998</v>
      </c>
      <c r="G26" s="8">
        <v>1.6895008E-2</v>
      </c>
      <c r="H26" s="100"/>
    </row>
    <row r="27" spans="1:8" ht="25.5" x14ac:dyDescent="0.2">
      <c r="A27" s="4">
        <v>21</v>
      </c>
      <c r="B27" s="5" t="s">
        <v>180</v>
      </c>
      <c r="C27" s="5" t="s">
        <v>934</v>
      </c>
      <c r="D27" s="5" t="s">
        <v>146</v>
      </c>
      <c r="E27" s="6">
        <v>16414</v>
      </c>
      <c r="F27" s="7">
        <v>59.394058999999999</v>
      </c>
      <c r="G27" s="8">
        <v>1.6398892000000002E-2</v>
      </c>
      <c r="H27" s="100"/>
    </row>
    <row r="28" spans="1:8" x14ac:dyDescent="0.2">
      <c r="A28" s="4">
        <v>22</v>
      </c>
      <c r="B28" s="5" t="s">
        <v>184</v>
      </c>
      <c r="C28" s="5" t="s">
        <v>185</v>
      </c>
      <c r="D28" s="5" t="s">
        <v>172</v>
      </c>
      <c r="E28" s="6">
        <v>31828</v>
      </c>
      <c r="F28" s="7">
        <v>56.526527999999999</v>
      </c>
      <c r="G28" s="8">
        <v>1.5607157999999999E-2</v>
      </c>
      <c r="H28" s="100"/>
    </row>
    <row r="29" spans="1:8" x14ac:dyDescent="0.2">
      <c r="A29" s="4">
        <v>23</v>
      </c>
      <c r="B29" s="5" t="s">
        <v>212</v>
      </c>
      <c r="C29" s="5" t="s">
        <v>213</v>
      </c>
      <c r="D29" s="5" t="s">
        <v>38</v>
      </c>
      <c r="E29" s="6">
        <v>7763</v>
      </c>
      <c r="F29" s="7">
        <v>55.652946999999998</v>
      </c>
      <c r="G29" s="8">
        <v>1.5365959E-2</v>
      </c>
      <c r="H29" s="100"/>
    </row>
    <row r="30" spans="1:8" x14ac:dyDescent="0.2">
      <c r="A30" s="4">
        <v>24</v>
      </c>
      <c r="B30" s="5" t="s">
        <v>189</v>
      </c>
      <c r="C30" s="5" t="s">
        <v>190</v>
      </c>
      <c r="D30" s="5" t="s">
        <v>151</v>
      </c>
      <c r="E30" s="6">
        <v>2633</v>
      </c>
      <c r="F30" s="7">
        <v>53.668438999999999</v>
      </c>
      <c r="G30" s="8">
        <v>1.4818029999999999E-2</v>
      </c>
      <c r="H30" s="100"/>
    </row>
    <row r="31" spans="1:8" ht="25.5" x14ac:dyDescent="0.2">
      <c r="A31" s="4">
        <v>25</v>
      </c>
      <c r="B31" s="5" t="s">
        <v>194</v>
      </c>
      <c r="C31" s="5" t="s">
        <v>195</v>
      </c>
      <c r="D31" s="5" t="s">
        <v>73</v>
      </c>
      <c r="E31" s="6">
        <v>14589</v>
      </c>
      <c r="F31" s="7">
        <v>53.5781025</v>
      </c>
      <c r="G31" s="8">
        <v>1.4793087999999999E-2</v>
      </c>
      <c r="H31" s="100"/>
    </row>
    <row r="32" spans="1:8" x14ac:dyDescent="0.2">
      <c r="A32" s="4">
        <v>26</v>
      </c>
      <c r="B32" s="5" t="s">
        <v>191</v>
      </c>
      <c r="C32" s="5" t="s">
        <v>192</v>
      </c>
      <c r="D32" s="5" t="s">
        <v>193</v>
      </c>
      <c r="E32" s="6">
        <v>15988</v>
      </c>
      <c r="F32" s="7">
        <v>52.520580000000002</v>
      </c>
      <c r="G32" s="8">
        <v>1.4501103E-2</v>
      </c>
      <c r="H32" s="100"/>
    </row>
    <row r="33" spans="1:8" x14ac:dyDescent="0.2">
      <c r="A33" s="4">
        <v>27</v>
      </c>
      <c r="B33" s="5" t="s">
        <v>202</v>
      </c>
      <c r="C33" s="5" t="s">
        <v>203</v>
      </c>
      <c r="D33" s="5" t="s">
        <v>38</v>
      </c>
      <c r="E33" s="6">
        <v>62965</v>
      </c>
      <c r="F33" s="7">
        <v>51.977607499999998</v>
      </c>
      <c r="G33" s="8">
        <v>1.4351186E-2</v>
      </c>
      <c r="H33" s="100"/>
    </row>
    <row r="34" spans="1:8" x14ac:dyDescent="0.2">
      <c r="A34" s="4">
        <v>28</v>
      </c>
      <c r="B34" s="5" t="s">
        <v>446</v>
      </c>
      <c r="C34" s="5" t="s">
        <v>447</v>
      </c>
      <c r="D34" s="5" t="s">
        <v>156</v>
      </c>
      <c r="E34" s="6">
        <v>17000</v>
      </c>
      <c r="F34" s="7">
        <v>51.671500000000002</v>
      </c>
      <c r="G34" s="8">
        <v>1.4266668999999999E-2</v>
      </c>
      <c r="H34" s="100"/>
    </row>
    <row r="35" spans="1:8" x14ac:dyDescent="0.2">
      <c r="A35" s="4">
        <v>29</v>
      </c>
      <c r="B35" s="5" t="s">
        <v>196</v>
      </c>
      <c r="C35" s="5" t="s">
        <v>197</v>
      </c>
      <c r="D35" s="5" t="s">
        <v>151</v>
      </c>
      <c r="E35" s="6">
        <v>6942</v>
      </c>
      <c r="F35" s="7">
        <v>51.166010999999997</v>
      </c>
      <c r="G35" s="8">
        <v>1.4127102000000001E-2</v>
      </c>
      <c r="H35" s="100"/>
    </row>
    <row r="36" spans="1:8" x14ac:dyDescent="0.2">
      <c r="A36" s="4">
        <v>30</v>
      </c>
      <c r="B36" s="5" t="s">
        <v>177</v>
      </c>
      <c r="C36" s="5" t="s">
        <v>178</v>
      </c>
      <c r="D36" s="5" t="s">
        <v>47</v>
      </c>
      <c r="E36" s="6">
        <v>4808</v>
      </c>
      <c r="F36" s="7">
        <v>50.758056000000003</v>
      </c>
      <c r="G36" s="8">
        <v>1.4014464000000001E-2</v>
      </c>
      <c r="H36" s="100"/>
    </row>
    <row r="37" spans="1:8" x14ac:dyDescent="0.2">
      <c r="A37" s="4">
        <v>31</v>
      </c>
      <c r="B37" s="5" t="s">
        <v>210</v>
      </c>
      <c r="C37" s="5" t="s">
        <v>211</v>
      </c>
      <c r="D37" s="5" t="s">
        <v>193</v>
      </c>
      <c r="E37" s="6">
        <v>10775</v>
      </c>
      <c r="F37" s="7">
        <v>48.783812500000003</v>
      </c>
      <c r="G37" s="8">
        <v>1.3469369E-2</v>
      </c>
      <c r="H37" s="100"/>
    </row>
    <row r="38" spans="1:8" x14ac:dyDescent="0.2">
      <c r="A38" s="4">
        <v>32</v>
      </c>
      <c r="B38" s="5" t="s">
        <v>200</v>
      </c>
      <c r="C38" s="5" t="s">
        <v>201</v>
      </c>
      <c r="D38" s="5" t="s">
        <v>1003</v>
      </c>
      <c r="E38" s="6">
        <v>7761</v>
      </c>
      <c r="F38" s="7">
        <v>48.762363000000001</v>
      </c>
      <c r="G38" s="8">
        <v>1.3463447E-2</v>
      </c>
      <c r="H38" s="100"/>
    </row>
    <row r="39" spans="1:8" x14ac:dyDescent="0.2">
      <c r="A39" s="4">
        <v>33</v>
      </c>
      <c r="B39" s="5" t="s">
        <v>36</v>
      </c>
      <c r="C39" s="5" t="s">
        <v>37</v>
      </c>
      <c r="D39" s="5" t="s">
        <v>38</v>
      </c>
      <c r="E39" s="6">
        <v>19233</v>
      </c>
      <c r="F39" s="7">
        <v>48.159432000000002</v>
      </c>
      <c r="G39" s="8">
        <v>1.3296975000000001E-2</v>
      </c>
      <c r="H39" s="100"/>
    </row>
    <row r="40" spans="1:8" x14ac:dyDescent="0.2">
      <c r="A40" s="4">
        <v>34</v>
      </c>
      <c r="B40" s="5" t="s">
        <v>198</v>
      </c>
      <c r="C40" s="5" t="s">
        <v>199</v>
      </c>
      <c r="D40" s="5" t="s">
        <v>156</v>
      </c>
      <c r="E40" s="6">
        <v>89246</v>
      </c>
      <c r="F40" s="7">
        <v>47.300379999999997</v>
      </c>
      <c r="G40" s="8">
        <v>1.3059787999999999E-2</v>
      </c>
      <c r="H40" s="100"/>
    </row>
    <row r="41" spans="1:8" x14ac:dyDescent="0.2">
      <c r="A41" s="4">
        <v>35</v>
      </c>
      <c r="B41" s="5" t="s">
        <v>226</v>
      </c>
      <c r="C41" s="5" t="s">
        <v>227</v>
      </c>
      <c r="D41" s="5" t="s">
        <v>228</v>
      </c>
      <c r="E41" s="6">
        <v>29206</v>
      </c>
      <c r="F41" s="7">
        <v>45.721992999999998</v>
      </c>
      <c r="G41" s="8">
        <v>1.2623990999999999E-2</v>
      </c>
      <c r="H41" s="100"/>
    </row>
    <row r="42" spans="1:8" x14ac:dyDescent="0.2">
      <c r="A42" s="4">
        <v>36</v>
      </c>
      <c r="B42" s="5" t="s">
        <v>204</v>
      </c>
      <c r="C42" s="5" t="s">
        <v>205</v>
      </c>
      <c r="D42" s="5" t="s">
        <v>1004</v>
      </c>
      <c r="E42" s="6">
        <v>16760</v>
      </c>
      <c r="F42" s="7">
        <v>45.570439999999998</v>
      </c>
      <c r="G42" s="8">
        <v>1.2582146000000001E-2</v>
      </c>
      <c r="H42" s="100"/>
    </row>
    <row r="43" spans="1:8" x14ac:dyDescent="0.2">
      <c r="A43" s="4">
        <v>37</v>
      </c>
      <c r="B43" s="5" t="s">
        <v>208</v>
      </c>
      <c r="C43" s="5" t="s">
        <v>209</v>
      </c>
      <c r="D43" s="5" t="s">
        <v>163</v>
      </c>
      <c r="E43" s="6">
        <v>12084</v>
      </c>
      <c r="F43" s="7">
        <v>44.348280000000003</v>
      </c>
      <c r="G43" s="8">
        <v>1.2244704E-2</v>
      </c>
      <c r="H43" s="100"/>
    </row>
    <row r="44" spans="1:8" x14ac:dyDescent="0.2">
      <c r="A44" s="4">
        <v>38</v>
      </c>
      <c r="B44" s="5" t="s">
        <v>186</v>
      </c>
      <c r="C44" s="5" t="s">
        <v>187</v>
      </c>
      <c r="D44" s="5" t="s">
        <v>188</v>
      </c>
      <c r="E44" s="6">
        <v>6011</v>
      </c>
      <c r="F44" s="7">
        <v>43.733030499999998</v>
      </c>
      <c r="G44" s="8">
        <v>1.2074832000000001E-2</v>
      </c>
      <c r="H44" s="100"/>
    </row>
    <row r="45" spans="1:8" x14ac:dyDescent="0.2">
      <c r="A45" s="4">
        <v>39</v>
      </c>
      <c r="B45" s="5" t="s">
        <v>175</v>
      </c>
      <c r="C45" s="5" t="s">
        <v>176</v>
      </c>
      <c r="D45" s="5" t="s">
        <v>53</v>
      </c>
      <c r="E45" s="6">
        <v>11831</v>
      </c>
      <c r="F45" s="7">
        <v>43.614981499999999</v>
      </c>
      <c r="G45" s="8">
        <v>1.2042238E-2</v>
      </c>
      <c r="H45" s="100"/>
    </row>
    <row r="46" spans="1:8" ht="25.5" x14ac:dyDescent="0.2">
      <c r="A46" s="4">
        <v>40</v>
      </c>
      <c r="B46" s="5" t="s">
        <v>214</v>
      </c>
      <c r="C46" s="5" t="s">
        <v>215</v>
      </c>
      <c r="D46" s="5" t="s">
        <v>25</v>
      </c>
      <c r="E46" s="6">
        <v>62303</v>
      </c>
      <c r="F46" s="7">
        <v>43.362887999999998</v>
      </c>
      <c r="G46" s="8">
        <v>1.1972633999999999E-2</v>
      </c>
      <c r="H46" s="100"/>
    </row>
    <row r="47" spans="1:8" ht="25.5" x14ac:dyDescent="0.2">
      <c r="A47" s="4">
        <v>41</v>
      </c>
      <c r="B47" s="5" t="s">
        <v>442</v>
      </c>
      <c r="C47" s="5" t="s">
        <v>443</v>
      </c>
      <c r="D47" s="5" t="s">
        <v>25</v>
      </c>
      <c r="E47" s="6">
        <v>3915</v>
      </c>
      <c r="F47" s="7">
        <v>41.060519999999997</v>
      </c>
      <c r="G47" s="8">
        <v>1.1336943E-2</v>
      </c>
      <c r="H47" s="100"/>
    </row>
    <row r="48" spans="1:8" x14ac:dyDescent="0.2">
      <c r="A48" s="4">
        <v>42</v>
      </c>
      <c r="B48" s="5" t="s">
        <v>451</v>
      </c>
      <c r="C48" s="5" t="s">
        <v>452</v>
      </c>
      <c r="D48" s="5" t="s">
        <v>63</v>
      </c>
      <c r="E48" s="6">
        <v>15500</v>
      </c>
      <c r="F48" s="7">
        <v>40.997500000000002</v>
      </c>
      <c r="G48" s="8">
        <v>1.1319543E-2</v>
      </c>
      <c r="H48" s="100"/>
    </row>
    <row r="49" spans="1:8" x14ac:dyDescent="0.2">
      <c r="A49" s="4">
        <v>43</v>
      </c>
      <c r="B49" s="5" t="s">
        <v>218</v>
      </c>
      <c r="C49" s="5" t="s">
        <v>219</v>
      </c>
      <c r="D49" s="5" t="s">
        <v>156</v>
      </c>
      <c r="E49" s="6">
        <v>7021</v>
      </c>
      <c r="F49" s="7">
        <v>40.823604500000002</v>
      </c>
      <c r="G49" s="8">
        <v>1.127153E-2</v>
      </c>
      <c r="H49" s="100"/>
    </row>
    <row r="50" spans="1:8" x14ac:dyDescent="0.2">
      <c r="A50" s="4">
        <v>44</v>
      </c>
      <c r="B50" s="5" t="s">
        <v>224</v>
      </c>
      <c r="C50" s="5" t="s">
        <v>225</v>
      </c>
      <c r="D50" s="5" t="s">
        <v>58</v>
      </c>
      <c r="E50" s="6">
        <v>6332</v>
      </c>
      <c r="F50" s="7">
        <v>39.236238</v>
      </c>
      <c r="G50" s="8">
        <v>1.0833252999999999E-2</v>
      </c>
      <c r="H50" s="100"/>
    </row>
    <row r="51" spans="1:8" x14ac:dyDescent="0.2">
      <c r="A51" s="4">
        <v>45</v>
      </c>
      <c r="B51" s="5" t="s">
        <v>222</v>
      </c>
      <c r="C51" s="5" t="s">
        <v>950</v>
      </c>
      <c r="D51" s="5" t="s">
        <v>28</v>
      </c>
      <c r="E51" s="6">
        <v>35891</v>
      </c>
      <c r="F51" s="7">
        <v>38.636661500000002</v>
      </c>
      <c r="G51" s="8">
        <v>1.0667708E-2</v>
      </c>
      <c r="H51" s="100"/>
    </row>
    <row r="52" spans="1:8" x14ac:dyDescent="0.2">
      <c r="A52" s="4">
        <v>46</v>
      </c>
      <c r="B52" s="5" t="s">
        <v>229</v>
      </c>
      <c r="C52" s="5" t="s">
        <v>230</v>
      </c>
      <c r="D52" s="5" t="s">
        <v>193</v>
      </c>
      <c r="E52" s="6">
        <v>2735</v>
      </c>
      <c r="F52" s="7">
        <v>38.162822499999997</v>
      </c>
      <c r="G52" s="8">
        <v>1.0536879000000001E-2</v>
      </c>
      <c r="H52" s="100"/>
    </row>
    <row r="53" spans="1:8" x14ac:dyDescent="0.2">
      <c r="A53" s="4">
        <v>47</v>
      </c>
      <c r="B53" s="5" t="s">
        <v>241</v>
      </c>
      <c r="C53" s="5" t="s">
        <v>242</v>
      </c>
      <c r="D53" s="5" t="s">
        <v>163</v>
      </c>
      <c r="E53" s="6">
        <v>6278</v>
      </c>
      <c r="F53" s="7">
        <v>37.391767999999999</v>
      </c>
      <c r="G53" s="8">
        <v>1.0323987999999999E-2</v>
      </c>
      <c r="H53" s="100"/>
    </row>
    <row r="54" spans="1:8" x14ac:dyDescent="0.2">
      <c r="A54" s="4">
        <v>48</v>
      </c>
      <c r="B54" s="5" t="s">
        <v>231</v>
      </c>
      <c r="C54" s="5" t="s">
        <v>935</v>
      </c>
      <c r="D54" s="5" t="s">
        <v>156</v>
      </c>
      <c r="E54" s="6">
        <v>7384</v>
      </c>
      <c r="F54" s="7">
        <v>36.750168000000002</v>
      </c>
      <c r="G54" s="8">
        <v>1.0146841E-2</v>
      </c>
      <c r="H54" s="100"/>
    </row>
    <row r="55" spans="1:8" x14ac:dyDescent="0.2">
      <c r="A55" s="4">
        <v>49</v>
      </c>
      <c r="B55" s="5" t="s">
        <v>449</v>
      </c>
      <c r="C55" s="5" t="s">
        <v>450</v>
      </c>
      <c r="D55" s="5" t="s">
        <v>28</v>
      </c>
      <c r="E55" s="6">
        <v>6668</v>
      </c>
      <c r="F55" s="7">
        <v>36.530638000000003</v>
      </c>
      <c r="G55" s="8">
        <v>1.0086227999999999E-2</v>
      </c>
      <c r="H55" s="100"/>
    </row>
    <row r="56" spans="1:8" x14ac:dyDescent="0.2">
      <c r="A56" s="4">
        <v>50</v>
      </c>
      <c r="B56" s="5" t="s">
        <v>235</v>
      </c>
      <c r="C56" s="5" t="s">
        <v>236</v>
      </c>
      <c r="D56" s="5" t="s">
        <v>1005</v>
      </c>
      <c r="E56" s="6">
        <v>7984</v>
      </c>
      <c r="F56" s="7">
        <v>34.902056000000002</v>
      </c>
      <c r="G56" s="8">
        <v>9.636571E-3</v>
      </c>
      <c r="H56" s="100"/>
    </row>
    <row r="57" spans="1:8" x14ac:dyDescent="0.2">
      <c r="A57" s="4">
        <v>51</v>
      </c>
      <c r="B57" s="5" t="s">
        <v>239</v>
      </c>
      <c r="C57" s="5" t="s">
        <v>240</v>
      </c>
      <c r="D57" s="5" t="s">
        <v>58</v>
      </c>
      <c r="E57" s="6">
        <v>7524</v>
      </c>
      <c r="F57" s="7">
        <v>34.395966000000001</v>
      </c>
      <c r="G57" s="8">
        <v>9.4968380000000005E-3</v>
      </c>
      <c r="H57" s="100"/>
    </row>
    <row r="58" spans="1:8" x14ac:dyDescent="0.2">
      <c r="A58" s="4">
        <v>52</v>
      </c>
      <c r="B58" s="5" t="s">
        <v>245</v>
      </c>
      <c r="C58" s="5" t="s">
        <v>246</v>
      </c>
      <c r="D58" s="5" t="s">
        <v>22</v>
      </c>
      <c r="E58" s="6">
        <v>36492</v>
      </c>
      <c r="F58" s="7">
        <v>33.079998000000003</v>
      </c>
      <c r="G58" s="8">
        <v>9.1334950000000002E-3</v>
      </c>
      <c r="H58" s="100"/>
    </row>
    <row r="59" spans="1:8" x14ac:dyDescent="0.2">
      <c r="A59" s="4">
        <v>53</v>
      </c>
      <c r="B59" s="5" t="s">
        <v>455</v>
      </c>
      <c r="C59" s="5" t="s">
        <v>456</v>
      </c>
      <c r="D59" s="5" t="s">
        <v>1006</v>
      </c>
      <c r="E59" s="6">
        <v>57920</v>
      </c>
      <c r="F59" s="7">
        <v>30.263200000000001</v>
      </c>
      <c r="G59" s="8">
        <v>8.3557679999999995E-3</v>
      </c>
      <c r="H59" s="100"/>
    </row>
    <row r="60" spans="1:8" x14ac:dyDescent="0.2">
      <c r="A60" s="4">
        <v>54</v>
      </c>
      <c r="B60" s="5" t="s">
        <v>453</v>
      </c>
      <c r="C60" s="5" t="s">
        <v>454</v>
      </c>
      <c r="D60" s="5" t="s">
        <v>156</v>
      </c>
      <c r="E60" s="6">
        <v>5021</v>
      </c>
      <c r="F60" s="7">
        <v>29.895033999999999</v>
      </c>
      <c r="G60" s="8">
        <v>8.2541160000000006E-3</v>
      </c>
      <c r="H60" s="100"/>
    </row>
    <row r="61" spans="1:8" x14ac:dyDescent="0.2">
      <c r="A61" s="4">
        <v>55</v>
      </c>
      <c r="B61" s="5" t="s">
        <v>216</v>
      </c>
      <c r="C61" s="5" t="s">
        <v>217</v>
      </c>
      <c r="D61" s="5" t="s">
        <v>1005</v>
      </c>
      <c r="E61" s="6">
        <v>14184</v>
      </c>
      <c r="F61" s="7">
        <v>29.885687999999998</v>
      </c>
      <c r="G61" s="8">
        <v>8.2515350000000008E-3</v>
      </c>
      <c r="H61" s="100"/>
    </row>
    <row r="62" spans="1:8" x14ac:dyDescent="0.2">
      <c r="A62" s="4">
        <v>56</v>
      </c>
      <c r="B62" s="5" t="s">
        <v>249</v>
      </c>
      <c r="C62" s="5" t="s">
        <v>952</v>
      </c>
      <c r="D62" s="5" t="s">
        <v>251</v>
      </c>
      <c r="E62" s="6">
        <v>13420</v>
      </c>
      <c r="F62" s="7">
        <v>28.43027</v>
      </c>
      <c r="G62" s="8">
        <v>7.8496899999999994E-3</v>
      </c>
      <c r="H62" s="100"/>
    </row>
    <row r="63" spans="1:8" x14ac:dyDescent="0.2">
      <c r="A63" s="4">
        <v>57</v>
      </c>
      <c r="B63" s="5" t="s">
        <v>247</v>
      </c>
      <c r="C63" s="5" t="s">
        <v>248</v>
      </c>
      <c r="D63" s="5" t="s">
        <v>1005</v>
      </c>
      <c r="E63" s="6">
        <v>14763</v>
      </c>
      <c r="F63" s="7">
        <v>27.665862000000001</v>
      </c>
      <c r="G63" s="8">
        <v>7.638634E-3</v>
      </c>
      <c r="H63" s="100"/>
    </row>
    <row r="64" spans="1:8" x14ac:dyDescent="0.2">
      <c r="A64" s="4">
        <v>58</v>
      </c>
      <c r="B64" s="5" t="s">
        <v>264</v>
      </c>
      <c r="C64" s="5" t="s">
        <v>265</v>
      </c>
      <c r="D64" s="5" t="s">
        <v>193</v>
      </c>
      <c r="E64" s="6">
        <v>2585</v>
      </c>
      <c r="F64" s="7">
        <v>25.480345</v>
      </c>
      <c r="G64" s="8">
        <v>7.0352059999999996E-3</v>
      </c>
      <c r="H64" s="100"/>
    </row>
    <row r="65" spans="1:8" x14ac:dyDescent="0.2">
      <c r="A65" s="4">
        <v>59</v>
      </c>
      <c r="B65" s="5" t="s">
        <v>254</v>
      </c>
      <c r="C65" s="5" t="s">
        <v>255</v>
      </c>
      <c r="D65" s="5" t="s">
        <v>58</v>
      </c>
      <c r="E65" s="6">
        <v>18334</v>
      </c>
      <c r="F65" s="7">
        <v>25.456759000000002</v>
      </c>
      <c r="G65" s="8">
        <v>7.0286940000000003E-3</v>
      </c>
      <c r="H65" s="100"/>
    </row>
    <row r="66" spans="1:8" ht="25.5" x14ac:dyDescent="0.2">
      <c r="A66" s="4">
        <v>60</v>
      </c>
      <c r="B66" s="5" t="s">
        <v>243</v>
      </c>
      <c r="C66" s="5" t="s">
        <v>244</v>
      </c>
      <c r="D66" s="5" t="s">
        <v>1007</v>
      </c>
      <c r="E66" s="6">
        <v>33958</v>
      </c>
      <c r="F66" s="7">
        <v>25.332668000000002</v>
      </c>
      <c r="G66" s="8">
        <v>6.9944320000000001E-3</v>
      </c>
      <c r="H66" s="100"/>
    </row>
    <row r="67" spans="1:8" x14ac:dyDescent="0.2">
      <c r="A67" s="4">
        <v>61</v>
      </c>
      <c r="B67" s="5" t="s">
        <v>258</v>
      </c>
      <c r="C67" s="5" t="s">
        <v>259</v>
      </c>
      <c r="D67" s="5" t="s">
        <v>1006</v>
      </c>
      <c r="E67" s="6">
        <v>1658</v>
      </c>
      <c r="F67" s="7">
        <v>24.476224999999999</v>
      </c>
      <c r="G67" s="8">
        <v>6.7579650000000003E-3</v>
      </c>
      <c r="H67" s="100"/>
    </row>
    <row r="68" spans="1:8" x14ac:dyDescent="0.2">
      <c r="A68" s="4">
        <v>62</v>
      </c>
      <c r="B68" s="5" t="s">
        <v>262</v>
      </c>
      <c r="C68" s="5" t="s">
        <v>263</v>
      </c>
      <c r="D68" s="5" t="s">
        <v>146</v>
      </c>
      <c r="E68" s="6">
        <v>1512</v>
      </c>
      <c r="F68" s="7">
        <v>23.395931999999998</v>
      </c>
      <c r="G68" s="8">
        <v>6.4596929999999999E-3</v>
      </c>
      <c r="H68" s="100"/>
    </row>
    <row r="69" spans="1:8" x14ac:dyDescent="0.2">
      <c r="A69" s="4">
        <v>63</v>
      </c>
      <c r="B69" s="5" t="s">
        <v>268</v>
      </c>
      <c r="C69" s="5" t="s">
        <v>269</v>
      </c>
      <c r="D69" s="5" t="s">
        <v>1005</v>
      </c>
      <c r="E69" s="6">
        <v>36863</v>
      </c>
      <c r="F69" s="7">
        <v>13.049502</v>
      </c>
      <c r="G69" s="8">
        <v>3.6030099999999998E-3</v>
      </c>
      <c r="H69" s="100"/>
    </row>
    <row r="70" spans="1:8" x14ac:dyDescent="0.2">
      <c r="A70" s="4">
        <v>64</v>
      </c>
      <c r="B70" s="5" t="s">
        <v>270</v>
      </c>
      <c r="C70" s="5" t="s">
        <v>271</v>
      </c>
      <c r="D70" s="5" t="s">
        <v>272</v>
      </c>
      <c r="E70" s="6">
        <v>9158</v>
      </c>
      <c r="F70" s="7">
        <v>11.937453</v>
      </c>
      <c r="G70" s="8">
        <v>3.2959700000000001E-3</v>
      </c>
      <c r="H70" s="100"/>
    </row>
    <row r="71" spans="1:8" ht="25.5" x14ac:dyDescent="0.2">
      <c r="A71" s="4">
        <v>65</v>
      </c>
      <c r="B71" s="5" t="s">
        <v>457</v>
      </c>
      <c r="C71" s="5" t="s">
        <v>458</v>
      </c>
      <c r="D71" s="5" t="s">
        <v>25</v>
      </c>
      <c r="E71" s="6">
        <v>9118</v>
      </c>
      <c r="F71" s="7">
        <v>10.937041000000001</v>
      </c>
      <c r="G71" s="8">
        <v>3.019753E-3</v>
      </c>
      <c r="H71" s="100"/>
    </row>
    <row r="72" spans="1:8" x14ac:dyDescent="0.2">
      <c r="A72" s="15" t="s">
        <v>9</v>
      </c>
      <c r="B72" s="15" t="s">
        <v>9</v>
      </c>
      <c r="C72" s="3" t="s">
        <v>94</v>
      </c>
      <c r="D72" s="15" t="s">
        <v>9</v>
      </c>
      <c r="E72" s="15" t="s">
        <v>9</v>
      </c>
      <c r="F72" s="9">
        <v>3397.1884375</v>
      </c>
      <c r="G72" s="10">
        <v>0.93797475699999999</v>
      </c>
      <c r="H72" s="100"/>
    </row>
    <row r="73" spans="1:8" x14ac:dyDescent="0.2">
      <c r="A73" s="15" t="s">
        <v>9</v>
      </c>
      <c r="B73" s="15" t="s">
        <v>9</v>
      </c>
      <c r="C73" s="11" t="s">
        <v>9</v>
      </c>
      <c r="D73" s="15" t="s">
        <v>9</v>
      </c>
      <c r="E73" s="15" t="s">
        <v>9</v>
      </c>
      <c r="F73" s="12" t="s">
        <v>9</v>
      </c>
      <c r="G73" s="12" t="s">
        <v>9</v>
      </c>
      <c r="H73" s="100"/>
    </row>
    <row r="74" spans="1:8" x14ac:dyDescent="0.2">
      <c r="A74" s="15" t="s">
        <v>9</v>
      </c>
      <c r="B74" s="15" t="s">
        <v>9</v>
      </c>
      <c r="C74" s="3" t="s">
        <v>95</v>
      </c>
      <c r="D74" s="15" t="s">
        <v>9</v>
      </c>
      <c r="E74" s="15" t="s">
        <v>9</v>
      </c>
      <c r="F74" s="15" t="s">
        <v>9</v>
      </c>
      <c r="G74" s="15" t="s">
        <v>9</v>
      </c>
      <c r="H74" s="100"/>
    </row>
    <row r="75" spans="1:8" x14ac:dyDescent="0.2">
      <c r="A75" s="15" t="s">
        <v>9</v>
      </c>
      <c r="B75" s="15" t="s">
        <v>9</v>
      </c>
      <c r="C75" s="3" t="s">
        <v>94</v>
      </c>
      <c r="D75" s="15" t="s">
        <v>9</v>
      </c>
      <c r="E75" s="15" t="s">
        <v>9</v>
      </c>
      <c r="F75" s="13">
        <v>0</v>
      </c>
      <c r="G75" s="14">
        <v>0</v>
      </c>
      <c r="H75" s="100"/>
    </row>
    <row r="76" spans="1:8" x14ac:dyDescent="0.2">
      <c r="A76" s="15" t="s">
        <v>9</v>
      </c>
      <c r="B76" s="15" t="s">
        <v>9</v>
      </c>
      <c r="C76" s="11" t="s">
        <v>9</v>
      </c>
      <c r="D76" s="15" t="s">
        <v>9</v>
      </c>
      <c r="E76" s="15" t="s">
        <v>9</v>
      </c>
      <c r="F76" s="12" t="s">
        <v>9</v>
      </c>
      <c r="G76" s="12" t="s">
        <v>9</v>
      </c>
      <c r="H76" s="100"/>
    </row>
    <row r="77" spans="1:8" x14ac:dyDescent="0.2">
      <c r="A77" s="15" t="s">
        <v>9</v>
      </c>
      <c r="B77" s="15" t="s">
        <v>9</v>
      </c>
      <c r="C77" s="3" t="s">
        <v>96</v>
      </c>
      <c r="D77" s="15" t="s">
        <v>9</v>
      </c>
      <c r="E77" s="15" t="s">
        <v>9</v>
      </c>
      <c r="F77" s="15" t="s">
        <v>9</v>
      </c>
      <c r="G77" s="15" t="s">
        <v>9</v>
      </c>
      <c r="H77" s="100"/>
    </row>
    <row r="78" spans="1:8" x14ac:dyDescent="0.2">
      <c r="A78" s="15" t="s">
        <v>9</v>
      </c>
      <c r="B78" s="15" t="s">
        <v>9</v>
      </c>
      <c r="C78" s="3" t="s">
        <v>94</v>
      </c>
      <c r="D78" s="15" t="s">
        <v>9</v>
      </c>
      <c r="E78" s="15" t="s">
        <v>9</v>
      </c>
      <c r="F78" s="13">
        <v>0</v>
      </c>
      <c r="G78" s="14">
        <v>0</v>
      </c>
      <c r="H78" s="100"/>
    </row>
    <row r="79" spans="1:8" x14ac:dyDescent="0.2">
      <c r="A79" s="15" t="s">
        <v>9</v>
      </c>
      <c r="B79" s="15" t="s">
        <v>9</v>
      </c>
      <c r="C79" s="11" t="s">
        <v>9</v>
      </c>
      <c r="D79" s="15" t="s">
        <v>9</v>
      </c>
      <c r="E79" s="15" t="s">
        <v>9</v>
      </c>
      <c r="F79" s="12" t="s">
        <v>9</v>
      </c>
      <c r="G79" s="12" t="s">
        <v>9</v>
      </c>
      <c r="H79" s="100"/>
    </row>
    <row r="80" spans="1:8" x14ac:dyDescent="0.2">
      <c r="A80" s="15" t="s">
        <v>9</v>
      </c>
      <c r="B80" s="15" t="s">
        <v>9</v>
      </c>
      <c r="C80" s="3" t="s">
        <v>100</v>
      </c>
      <c r="D80" s="15" t="s">
        <v>9</v>
      </c>
      <c r="E80" s="15" t="s">
        <v>9</v>
      </c>
      <c r="F80" s="15" t="s">
        <v>9</v>
      </c>
      <c r="G80" s="15" t="s">
        <v>9</v>
      </c>
      <c r="H80" s="100"/>
    </row>
    <row r="81" spans="1:8" x14ac:dyDescent="0.2">
      <c r="A81" s="15" t="s">
        <v>9</v>
      </c>
      <c r="B81" s="15" t="s">
        <v>9</v>
      </c>
      <c r="C81" s="3" t="s">
        <v>94</v>
      </c>
      <c r="D81" s="15" t="s">
        <v>9</v>
      </c>
      <c r="E81" s="15" t="s">
        <v>9</v>
      </c>
      <c r="F81" s="13">
        <v>0</v>
      </c>
      <c r="G81" s="14">
        <v>0</v>
      </c>
      <c r="H81" s="100"/>
    </row>
    <row r="82" spans="1:8" x14ac:dyDescent="0.2">
      <c r="A82" s="15" t="s">
        <v>9</v>
      </c>
      <c r="B82" s="15" t="s">
        <v>9</v>
      </c>
      <c r="C82" s="11" t="s">
        <v>9</v>
      </c>
      <c r="D82" s="15" t="s">
        <v>9</v>
      </c>
      <c r="E82" s="15" t="s">
        <v>9</v>
      </c>
      <c r="F82" s="12" t="s">
        <v>9</v>
      </c>
      <c r="G82" s="12" t="s">
        <v>9</v>
      </c>
      <c r="H82" s="100"/>
    </row>
    <row r="83" spans="1:8" x14ac:dyDescent="0.2">
      <c r="A83" s="15" t="s">
        <v>9</v>
      </c>
      <c r="B83" s="15" t="s">
        <v>9</v>
      </c>
      <c r="C83" s="3" t="s">
        <v>101</v>
      </c>
      <c r="D83" s="15" t="s">
        <v>9</v>
      </c>
      <c r="E83" s="15" t="s">
        <v>9</v>
      </c>
      <c r="F83" s="12" t="s">
        <v>9</v>
      </c>
      <c r="G83" s="12" t="s">
        <v>9</v>
      </c>
      <c r="H83" s="100"/>
    </row>
    <row r="84" spans="1:8" x14ac:dyDescent="0.2">
      <c r="A84" s="15" t="s">
        <v>9</v>
      </c>
      <c r="B84" s="15" t="s">
        <v>9</v>
      </c>
      <c r="C84" s="3" t="s">
        <v>94</v>
      </c>
      <c r="D84" s="15" t="s">
        <v>9</v>
      </c>
      <c r="E84" s="15" t="s">
        <v>9</v>
      </c>
      <c r="F84" s="13">
        <v>0</v>
      </c>
      <c r="G84" s="14">
        <v>0</v>
      </c>
      <c r="H84" s="100"/>
    </row>
    <row r="85" spans="1:8" x14ac:dyDescent="0.2">
      <c r="A85" s="15" t="s">
        <v>9</v>
      </c>
      <c r="B85" s="15" t="s">
        <v>9</v>
      </c>
      <c r="C85" s="11" t="s">
        <v>9</v>
      </c>
      <c r="D85" s="15" t="s">
        <v>9</v>
      </c>
      <c r="E85" s="15" t="s">
        <v>9</v>
      </c>
      <c r="F85" s="12" t="s">
        <v>9</v>
      </c>
      <c r="G85" s="12" t="s">
        <v>9</v>
      </c>
      <c r="H85" s="100"/>
    </row>
    <row r="86" spans="1:8" x14ac:dyDescent="0.2">
      <c r="A86" s="15" t="s">
        <v>9</v>
      </c>
      <c r="B86" s="15" t="s">
        <v>9</v>
      </c>
      <c r="C86" s="3" t="s">
        <v>102</v>
      </c>
      <c r="D86" s="15" t="s">
        <v>9</v>
      </c>
      <c r="E86" s="15" t="s">
        <v>9</v>
      </c>
      <c r="F86" s="12" t="s">
        <v>9</v>
      </c>
      <c r="G86" s="12" t="s">
        <v>9</v>
      </c>
      <c r="H86" s="100"/>
    </row>
    <row r="87" spans="1:8" x14ac:dyDescent="0.2">
      <c r="A87" s="15" t="s">
        <v>9</v>
      </c>
      <c r="B87" s="15" t="s">
        <v>9</v>
      </c>
      <c r="C87" s="3" t="s">
        <v>94</v>
      </c>
      <c r="D87" s="15" t="s">
        <v>9</v>
      </c>
      <c r="E87" s="15" t="s">
        <v>9</v>
      </c>
      <c r="F87" s="13">
        <v>0</v>
      </c>
      <c r="G87" s="14">
        <v>0</v>
      </c>
      <c r="H87" s="100"/>
    </row>
    <row r="88" spans="1:8" x14ac:dyDescent="0.2">
      <c r="A88" s="15" t="s">
        <v>9</v>
      </c>
      <c r="B88" s="15" t="s">
        <v>9</v>
      </c>
      <c r="C88" s="11" t="s">
        <v>9</v>
      </c>
      <c r="D88" s="15" t="s">
        <v>9</v>
      </c>
      <c r="E88" s="15" t="s">
        <v>9</v>
      </c>
      <c r="F88" s="12" t="s">
        <v>9</v>
      </c>
      <c r="G88" s="12" t="s">
        <v>9</v>
      </c>
      <c r="H88" s="100"/>
    </row>
    <row r="89" spans="1:8" x14ac:dyDescent="0.2">
      <c r="A89" s="15" t="s">
        <v>9</v>
      </c>
      <c r="B89" s="15" t="s">
        <v>9</v>
      </c>
      <c r="C89" s="3" t="s">
        <v>104</v>
      </c>
      <c r="D89" s="15" t="s">
        <v>9</v>
      </c>
      <c r="E89" s="15" t="s">
        <v>9</v>
      </c>
      <c r="F89" s="9">
        <v>3397.1884375</v>
      </c>
      <c r="G89" s="10">
        <v>0.93797475699999999</v>
      </c>
      <c r="H89" s="100"/>
    </row>
    <row r="90" spans="1:8" x14ac:dyDescent="0.2">
      <c r="A90" s="15" t="s">
        <v>9</v>
      </c>
      <c r="B90" s="15" t="s">
        <v>9</v>
      </c>
      <c r="C90" s="11" t="s">
        <v>9</v>
      </c>
      <c r="D90" s="15" t="s">
        <v>9</v>
      </c>
      <c r="E90" s="15" t="s">
        <v>9</v>
      </c>
      <c r="F90" s="12" t="s">
        <v>9</v>
      </c>
      <c r="G90" s="12" t="s">
        <v>9</v>
      </c>
      <c r="H90" s="100"/>
    </row>
    <row r="91" spans="1:8" x14ac:dyDescent="0.2">
      <c r="A91" s="15" t="s">
        <v>9</v>
      </c>
      <c r="B91" s="15" t="s">
        <v>9</v>
      </c>
      <c r="C91" s="3" t="s">
        <v>105</v>
      </c>
      <c r="D91" s="15" t="s">
        <v>9</v>
      </c>
      <c r="E91" s="15" t="s">
        <v>9</v>
      </c>
      <c r="F91" s="12" t="s">
        <v>9</v>
      </c>
      <c r="G91" s="12" t="s">
        <v>9</v>
      </c>
      <c r="H91" s="100"/>
    </row>
    <row r="92" spans="1:8" ht="25.5" x14ac:dyDescent="0.2">
      <c r="A92" s="15" t="s">
        <v>9</v>
      </c>
      <c r="B92" s="15" t="s">
        <v>9</v>
      </c>
      <c r="C92" s="3" t="s">
        <v>11</v>
      </c>
      <c r="D92" s="15" t="s">
        <v>9</v>
      </c>
      <c r="E92" s="15" t="s">
        <v>9</v>
      </c>
      <c r="F92" s="12" t="s">
        <v>9</v>
      </c>
      <c r="G92" s="12" t="s">
        <v>9</v>
      </c>
      <c r="H92" s="100"/>
    </row>
    <row r="93" spans="1:8" x14ac:dyDescent="0.2">
      <c r="A93" s="15" t="s">
        <v>9</v>
      </c>
      <c r="B93" s="15" t="s">
        <v>9</v>
      </c>
      <c r="C93" s="3" t="s">
        <v>94</v>
      </c>
      <c r="D93" s="15" t="s">
        <v>9</v>
      </c>
      <c r="E93" s="15" t="s">
        <v>9</v>
      </c>
      <c r="F93" s="13">
        <v>0</v>
      </c>
      <c r="G93" s="14">
        <v>0</v>
      </c>
      <c r="H93" s="100"/>
    </row>
    <row r="94" spans="1:8" x14ac:dyDescent="0.2">
      <c r="A94" s="15" t="s">
        <v>9</v>
      </c>
      <c r="B94" s="15" t="s">
        <v>9</v>
      </c>
      <c r="C94" s="11" t="s">
        <v>9</v>
      </c>
      <c r="D94" s="15" t="s">
        <v>9</v>
      </c>
      <c r="E94" s="15" t="s">
        <v>9</v>
      </c>
      <c r="F94" s="12" t="s">
        <v>9</v>
      </c>
      <c r="G94" s="12" t="s">
        <v>9</v>
      </c>
      <c r="H94" s="100"/>
    </row>
    <row r="95" spans="1:8" x14ac:dyDescent="0.2">
      <c r="A95" s="15" t="s">
        <v>9</v>
      </c>
      <c r="B95" s="15" t="s">
        <v>9</v>
      </c>
      <c r="C95" s="3" t="s">
        <v>106</v>
      </c>
      <c r="D95" s="15" t="s">
        <v>9</v>
      </c>
      <c r="E95" s="15" t="s">
        <v>9</v>
      </c>
      <c r="F95" s="15" t="s">
        <v>9</v>
      </c>
      <c r="G95" s="15" t="s">
        <v>9</v>
      </c>
      <c r="H95" s="100"/>
    </row>
    <row r="96" spans="1:8" x14ac:dyDescent="0.2">
      <c r="A96" s="15" t="s">
        <v>9</v>
      </c>
      <c r="B96" s="15" t="s">
        <v>9</v>
      </c>
      <c r="C96" s="3" t="s">
        <v>94</v>
      </c>
      <c r="D96" s="15" t="s">
        <v>9</v>
      </c>
      <c r="E96" s="15" t="s">
        <v>9</v>
      </c>
      <c r="F96" s="13">
        <v>0</v>
      </c>
      <c r="G96" s="14">
        <v>0</v>
      </c>
      <c r="H96" s="100"/>
    </row>
    <row r="97" spans="1:8" x14ac:dyDescent="0.2">
      <c r="A97" s="15" t="s">
        <v>9</v>
      </c>
      <c r="B97" s="15" t="s">
        <v>9</v>
      </c>
      <c r="C97" s="11" t="s">
        <v>9</v>
      </c>
      <c r="D97" s="15" t="s">
        <v>9</v>
      </c>
      <c r="E97" s="15" t="s">
        <v>9</v>
      </c>
      <c r="F97" s="12" t="s">
        <v>9</v>
      </c>
      <c r="G97" s="12" t="s">
        <v>9</v>
      </c>
      <c r="H97" s="100"/>
    </row>
    <row r="98" spans="1:8" x14ac:dyDescent="0.2">
      <c r="A98" s="15" t="s">
        <v>9</v>
      </c>
      <c r="B98" s="15" t="s">
        <v>9</v>
      </c>
      <c r="C98" s="3" t="s">
        <v>107</v>
      </c>
      <c r="D98" s="15" t="s">
        <v>9</v>
      </c>
      <c r="E98" s="15" t="s">
        <v>9</v>
      </c>
      <c r="F98" s="15" t="s">
        <v>9</v>
      </c>
      <c r="G98" s="15" t="s">
        <v>9</v>
      </c>
      <c r="H98" s="100"/>
    </row>
    <row r="99" spans="1:8" x14ac:dyDescent="0.2">
      <c r="A99" s="15" t="s">
        <v>9</v>
      </c>
      <c r="B99" s="15" t="s">
        <v>9</v>
      </c>
      <c r="C99" s="3" t="s">
        <v>94</v>
      </c>
      <c r="D99" s="15" t="s">
        <v>9</v>
      </c>
      <c r="E99" s="15" t="s">
        <v>9</v>
      </c>
      <c r="F99" s="13">
        <v>0</v>
      </c>
      <c r="G99" s="14">
        <v>0</v>
      </c>
      <c r="H99" s="100"/>
    </row>
    <row r="100" spans="1:8" x14ac:dyDescent="0.2">
      <c r="A100" s="15" t="s">
        <v>9</v>
      </c>
      <c r="B100" s="15" t="s">
        <v>9</v>
      </c>
      <c r="C100" s="11" t="s">
        <v>9</v>
      </c>
      <c r="D100" s="15" t="s">
        <v>9</v>
      </c>
      <c r="E100" s="15" t="s">
        <v>9</v>
      </c>
      <c r="F100" s="12" t="s">
        <v>9</v>
      </c>
      <c r="G100" s="12" t="s">
        <v>9</v>
      </c>
      <c r="H100" s="100"/>
    </row>
    <row r="101" spans="1:8" x14ac:dyDescent="0.2">
      <c r="A101" s="15" t="s">
        <v>9</v>
      </c>
      <c r="B101" s="15" t="s">
        <v>9</v>
      </c>
      <c r="C101" s="3" t="s">
        <v>108</v>
      </c>
      <c r="D101" s="15" t="s">
        <v>9</v>
      </c>
      <c r="E101" s="15" t="s">
        <v>9</v>
      </c>
      <c r="F101" s="12" t="s">
        <v>9</v>
      </c>
      <c r="G101" s="12" t="s">
        <v>9</v>
      </c>
      <c r="H101" s="100"/>
    </row>
    <row r="102" spans="1:8" x14ac:dyDescent="0.2">
      <c r="A102" s="15" t="s">
        <v>9</v>
      </c>
      <c r="B102" s="15" t="s">
        <v>9</v>
      </c>
      <c r="C102" s="3" t="s">
        <v>94</v>
      </c>
      <c r="D102" s="15" t="s">
        <v>9</v>
      </c>
      <c r="E102" s="15" t="s">
        <v>9</v>
      </c>
      <c r="F102" s="13">
        <v>0</v>
      </c>
      <c r="G102" s="14">
        <v>0</v>
      </c>
      <c r="H102" s="100"/>
    </row>
    <row r="103" spans="1:8" x14ac:dyDescent="0.2">
      <c r="A103" s="15" t="s">
        <v>9</v>
      </c>
      <c r="B103" s="15" t="s">
        <v>9</v>
      </c>
      <c r="C103" s="11" t="s">
        <v>9</v>
      </c>
      <c r="D103" s="15" t="s">
        <v>9</v>
      </c>
      <c r="E103" s="15" t="s">
        <v>9</v>
      </c>
      <c r="F103" s="12" t="s">
        <v>9</v>
      </c>
      <c r="G103" s="12" t="s">
        <v>9</v>
      </c>
      <c r="H103" s="100"/>
    </row>
    <row r="104" spans="1:8" x14ac:dyDescent="0.2">
      <c r="A104" s="15" t="s">
        <v>9</v>
      </c>
      <c r="B104" s="15" t="s">
        <v>9</v>
      </c>
      <c r="C104" s="3" t="s">
        <v>109</v>
      </c>
      <c r="D104" s="15" t="s">
        <v>9</v>
      </c>
      <c r="E104" s="15" t="s">
        <v>9</v>
      </c>
      <c r="F104" s="9">
        <v>0</v>
      </c>
      <c r="G104" s="10">
        <v>0</v>
      </c>
      <c r="H104" s="100"/>
    </row>
    <row r="105" spans="1:8" x14ac:dyDescent="0.2">
      <c r="A105" s="15" t="s">
        <v>9</v>
      </c>
      <c r="B105" s="15" t="s">
        <v>9</v>
      </c>
      <c r="C105" s="11" t="s">
        <v>9</v>
      </c>
      <c r="D105" s="15" t="s">
        <v>9</v>
      </c>
      <c r="E105" s="15" t="s">
        <v>9</v>
      </c>
      <c r="F105" s="12" t="s">
        <v>9</v>
      </c>
      <c r="G105" s="12" t="s">
        <v>9</v>
      </c>
      <c r="H105" s="100"/>
    </row>
    <row r="106" spans="1:8" x14ac:dyDescent="0.2">
      <c r="A106" s="15" t="s">
        <v>9</v>
      </c>
      <c r="B106" s="15" t="s">
        <v>9</v>
      </c>
      <c r="C106" s="3" t="s">
        <v>110</v>
      </c>
      <c r="D106" s="15" t="s">
        <v>9</v>
      </c>
      <c r="E106" s="15" t="s">
        <v>9</v>
      </c>
      <c r="F106" s="12" t="s">
        <v>9</v>
      </c>
      <c r="G106" s="12" t="s">
        <v>9</v>
      </c>
      <c r="H106" s="100"/>
    </row>
    <row r="107" spans="1:8" x14ac:dyDescent="0.2">
      <c r="A107" s="15" t="s">
        <v>9</v>
      </c>
      <c r="B107" s="15" t="s">
        <v>9</v>
      </c>
      <c r="C107" s="3" t="s">
        <v>111</v>
      </c>
      <c r="D107" s="15" t="s">
        <v>9</v>
      </c>
      <c r="E107" s="15" t="s">
        <v>9</v>
      </c>
      <c r="F107" s="12" t="s">
        <v>9</v>
      </c>
      <c r="G107" s="12" t="s">
        <v>9</v>
      </c>
      <c r="H107" s="100"/>
    </row>
    <row r="108" spans="1:8" x14ac:dyDescent="0.2">
      <c r="A108" s="15" t="s">
        <v>9</v>
      </c>
      <c r="B108" s="15" t="s">
        <v>9</v>
      </c>
      <c r="C108" s="3" t="s">
        <v>94</v>
      </c>
      <c r="D108" s="15" t="s">
        <v>9</v>
      </c>
      <c r="E108" s="15" t="s">
        <v>9</v>
      </c>
      <c r="F108" s="13">
        <v>0</v>
      </c>
      <c r="G108" s="14">
        <v>0</v>
      </c>
      <c r="H108" s="100"/>
    </row>
    <row r="109" spans="1:8" x14ac:dyDescent="0.2">
      <c r="A109" s="15" t="s">
        <v>9</v>
      </c>
      <c r="B109" s="15" t="s">
        <v>9</v>
      </c>
      <c r="C109" s="11" t="s">
        <v>9</v>
      </c>
      <c r="D109" s="15" t="s">
        <v>9</v>
      </c>
      <c r="E109" s="15" t="s">
        <v>9</v>
      </c>
      <c r="F109" s="12" t="s">
        <v>9</v>
      </c>
      <c r="G109" s="12" t="s">
        <v>9</v>
      </c>
      <c r="H109" s="100"/>
    </row>
    <row r="110" spans="1:8" x14ac:dyDescent="0.2">
      <c r="A110" s="15" t="s">
        <v>9</v>
      </c>
      <c r="B110" s="15" t="s">
        <v>9</v>
      </c>
      <c r="C110" s="3" t="s">
        <v>112</v>
      </c>
      <c r="D110" s="15" t="s">
        <v>9</v>
      </c>
      <c r="E110" s="15" t="s">
        <v>9</v>
      </c>
      <c r="F110" s="12" t="s">
        <v>9</v>
      </c>
      <c r="G110" s="12" t="s">
        <v>9</v>
      </c>
      <c r="H110" s="100"/>
    </row>
    <row r="111" spans="1:8" x14ac:dyDescent="0.2">
      <c r="A111" s="15" t="s">
        <v>9</v>
      </c>
      <c r="B111" s="15" t="s">
        <v>9</v>
      </c>
      <c r="C111" s="3" t="s">
        <v>94</v>
      </c>
      <c r="D111" s="15" t="s">
        <v>9</v>
      </c>
      <c r="E111" s="15" t="s">
        <v>9</v>
      </c>
      <c r="F111" s="13">
        <v>0</v>
      </c>
      <c r="G111" s="14">
        <v>0</v>
      </c>
      <c r="H111" s="100"/>
    </row>
    <row r="112" spans="1:8" x14ac:dyDescent="0.2">
      <c r="A112" s="15" t="s">
        <v>9</v>
      </c>
      <c r="B112" s="15" t="s">
        <v>9</v>
      </c>
      <c r="C112" s="11" t="s">
        <v>9</v>
      </c>
      <c r="D112" s="15" t="s">
        <v>9</v>
      </c>
      <c r="E112" s="15" t="s">
        <v>9</v>
      </c>
      <c r="F112" s="12" t="s">
        <v>9</v>
      </c>
      <c r="G112" s="12" t="s">
        <v>9</v>
      </c>
      <c r="H112" s="100"/>
    </row>
    <row r="113" spans="1:8" x14ac:dyDescent="0.2">
      <c r="A113" s="15" t="s">
        <v>9</v>
      </c>
      <c r="B113" s="15" t="s">
        <v>9</v>
      </c>
      <c r="C113" s="3" t="s">
        <v>113</v>
      </c>
      <c r="D113" s="15" t="s">
        <v>9</v>
      </c>
      <c r="E113" s="15" t="s">
        <v>9</v>
      </c>
      <c r="F113" s="12" t="s">
        <v>9</v>
      </c>
      <c r="G113" s="12" t="s">
        <v>9</v>
      </c>
      <c r="H113" s="100"/>
    </row>
    <row r="114" spans="1:8" x14ac:dyDescent="0.2">
      <c r="A114" s="15" t="s">
        <v>9</v>
      </c>
      <c r="B114" s="15" t="s">
        <v>9</v>
      </c>
      <c r="C114" s="3" t="s">
        <v>94</v>
      </c>
      <c r="D114" s="15" t="s">
        <v>9</v>
      </c>
      <c r="E114" s="15" t="s">
        <v>9</v>
      </c>
      <c r="F114" s="13">
        <v>0</v>
      </c>
      <c r="G114" s="14">
        <v>0</v>
      </c>
      <c r="H114" s="100"/>
    </row>
    <row r="115" spans="1:8" x14ac:dyDescent="0.2">
      <c r="A115" s="15" t="s">
        <v>9</v>
      </c>
      <c r="B115" s="15" t="s">
        <v>9</v>
      </c>
      <c r="C115" s="11" t="s">
        <v>9</v>
      </c>
      <c r="D115" s="15" t="s">
        <v>9</v>
      </c>
      <c r="E115" s="15" t="s">
        <v>9</v>
      </c>
      <c r="F115" s="12" t="s">
        <v>9</v>
      </c>
      <c r="G115" s="12" t="s">
        <v>9</v>
      </c>
      <c r="H115" s="100"/>
    </row>
    <row r="116" spans="1:8" x14ac:dyDescent="0.2">
      <c r="A116" s="15" t="s">
        <v>9</v>
      </c>
      <c r="B116" s="15" t="s">
        <v>9</v>
      </c>
      <c r="C116" s="3" t="s">
        <v>114</v>
      </c>
      <c r="D116" s="15" t="s">
        <v>9</v>
      </c>
      <c r="E116" s="15" t="s">
        <v>9</v>
      </c>
      <c r="F116" s="12" t="s">
        <v>9</v>
      </c>
      <c r="G116" s="12" t="s">
        <v>9</v>
      </c>
      <c r="H116" s="100"/>
    </row>
    <row r="117" spans="1:8" x14ac:dyDescent="0.2">
      <c r="A117" s="4">
        <v>1</v>
      </c>
      <c r="B117" s="5"/>
      <c r="C117" s="5" t="s">
        <v>115</v>
      </c>
      <c r="D117" s="5"/>
      <c r="E117" s="15" t="s">
        <v>9</v>
      </c>
      <c r="F117" s="7">
        <v>187.86739059999999</v>
      </c>
      <c r="G117" s="8">
        <v>5.1870795999999997E-2</v>
      </c>
      <c r="H117" s="99">
        <v>3.2516689338443991</v>
      </c>
    </row>
    <row r="118" spans="1:8" x14ac:dyDescent="0.2">
      <c r="A118" s="4">
        <v>2</v>
      </c>
      <c r="B118" s="5"/>
      <c r="C118" s="5" t="s">
        <v>116</v>
      </c>
      <c r="D118" s="5"/>
      <c r="E118" s="15" t="s">
        <v>9</v>
      </c>
      <c r="F118" s="7">
        <v>25.7395602</v>
      </c>
      <c r="G118" s="8">
        <v>7.1067760000000004E-3</v>
      </c>
      <c r="H118" s="100">
        <v>3.350000000000001</v>
      </c>
    </row>
    <row r="119" spans="1:8" x14ac:dyDescent="0.2">
      <c r="A119" s="15" t="s">
        <v>9</v>
      </c>
      <c r="B119" s="15" t="s">
        <v>9</v>
      </c>
      <c r="C119" s="3" t="s">
        <v>94</v>
      </c>
      <c r="D119" s="15" t="s">
        <v>9</v>
      </c>
      <c r="E119" s="15" t="s">
        <v>9</v>
      </c>
      <c r="F119" s="9">
        <v>213.60695079999999</v>
      </c>
      <c r="G119" s="10">
        <v>5.8977571999999999E-2</v>
      </c>
      <c r="H119" s="100"/>
    </row>
    <row r="120" spans="1:8" x14ac:dyDescent="0.2">
      <c r="A120" s="15" t="s">
        <v>9</v>
      </c>
      <c r="B120" s="15" t="s">
        <v>9</v>
      </c>
      <c r="C120" s="11" t="s">
        <v>9</v>
      </c>
      <c r="D120" s="15" t="s">
        <v>9</v>
      </c>
      <c r="E120" s="15" t="s">
        <v>9</v>
      </c>
      <c r="F120" s="12" t="s">
        <v>9</v>
      </c>
      <c r="G120" s="12" t="s">
        <v>9</v>
      </c>
      <c r="H120" s="100"/>
    </row>
    <row r="121" spans="1:8" x14ac:dyDescent="0.2">
      <c r="A121" s="15" t="s">
        <v>9</v>
      </c>
      <c r="B121" s="15" t="s">
        <v>9</v>
      </c>
      <c r="C121" s="3" t="s">
        <v>117</v>
      </c>
      <c r="D121" s="15" t="s">
        <v>9</v>
      </c>
      <c r="E121" s="15" t="s">
        <v>9</v>
      </c>
      <c r="F121" s="9">
        <v>213.60695079999999</v>
      </c>
      <c r="G121" s="10">
        <v>5.8977571999999999E-2</v>
      </c>
      <c r="H121" s="100"/>
    </row>
    <row r="122" spans="1:8" x14ac:dyDescent="0.2">
      <c r="A122" s="15" t="s">
        <v>9</v>
      </c>
      <c r="B122" s="15" t="s">
        <v>9</v>
      </c>
      <c r="C122" s="12" t="s">
        <v>9</v>
      </c>
      <c r="D122" s="15" t="s">
        <v>9</v>
      </c>
      <c r="E122" s="15" t="s">
        <v>9</v>
      </c>
      <c r="F122" s="15" t="s">
        <v>9</v>
      </c>
      <c r="G122" s="15" t="s">
        <v>9</v>
      </c>
      <c r="H122" s="100"/>
    </row>
    <row r="123" spans="1:8" x14ac:dyDescent="0.2">
      <c r="A123" s="15" t="s">
        <v>9</v>
      </c>
      <c r="B123" s="15" t="s">
        <v>9</v>
      </c>
      <c r="C123" s="3" t="s">
        <v>118</v>
      </c>
      <c r="D123" s="15" t="s">
        <v>9</v>
      </c>
      <c r="E123" s="15" t="s">
        <v>9</v>
      </c>
      <c r="F123" s="15" t="s">
        <v>9</v>
      </c>
      <c r="G123" s="15" t="s">
        <v>9</v>
      </c>
      <c r="H123" s="100"/>
    </row>
    <row r="124" spans="1:8" x14ac:dyDescent="0.2">
      <c r="A124" s="15" t="s">
        <v>9</v>
      </c>
      <c r="B124" s="15" t="s">
        <v>9</v>
      </c>
      <c r="C124" s="3" t="s">
        <v>119</v>
      </c>
      <c r="D124" s="15" t="s">
        <v>9</v>
      </c>
      <c r="E124" s="15" t="s">
        <v>9</v>
      </c>
      <c r="F124" s="15" t="s">
        <v>9</v>
      </c>
      <c r="G124" s="15" t="s">
        <v>9</v>
      </c>
      <c r="H124" s="100"/>
    </row>
    <row r="125" spans="1:8" x14ac:dyDescent="0.2">
      <c r="A125" s="15" t="s">
        <v>9</v>
      </c>
      <c r="B125" s="15" t="s">
        <v>9</v>
      </c>
      <c r="C125" s="3" t="s">
        <v>94</v>
      </c>
      <c r="D125" s="15" t="s">
        <v>9</v>
      </c>
      <c r="E125" s="15" t="s">
        <v>9</v>
      </c>
      <c r="F125" s="13">
        <v>0</v>
      </c>
      <c r="G125" s="14">
        <v>0</v>
      </c>
      <c r="H125" s="100"/>
    </row>
    <row r="126" spans="1:8" x14ac:dyDescent="0.2">
      <c r="A126" s="15" t="s">
        <v>9</v>
      </c>
      <c r="B126" s="15" t="s">
        <v>9</v>
      </c>
      <c r="C126" s="11" t="s">
        <v>9</v>
      </c>
      <c r="D126" s="15" t="s">
        <v>9</v>
      </c>
      <c r="E126" s="15" t="s">
        <v>9</v>
      </c>
      <c r="F126" s="12" t="s">
        <v>9</v>
      </c>
      <c r="G126" s="12" t="s">
        <v>9</v>
      </c>
      <c r="H126" s="100"/>
    </row>
    <row r="127" spans="1:8" x14ac:dyDescent="0.2">
      <c r="A127" s="15" t="s">
        <v>9</v>
      </c>
      <c r="B127" s="15" t="s">
        <v>9</v>
      </c>
      <c r="C127" s="3" t="s">
        <v>120</v>
      </c>
      <c r="D127" s="15" t="s">
        <v>9</v>
      </c>
      <c r="E127" s="15" t="s">
        <v>9</v>
      </c>
      <c r="F127" s="15" t="s">
        <v>9</v>
      </c>
      <c r="G127" s="15" t="s">
        <v>9</v>
      </c>
      <c r="H127" s="100"/>
    </row>
    <row r="128" spans="1:8" x14ac:dyDescent="0.2">
      <c r="A128" s="15" t="s">
        <v>9</v>
      </c>
      <c r="B128" s="15" t="s">
        <v>9</v>
      </c>
      <c r="C128" s="3" t="s">
        <v>121</v>
      </c>
      <c r="D128" s="15" t="s">
        <v>9</v>
      </c>
      <c r="E128" s="15" t="s">
        <v>9</v>
      </c>
      <c r="F128" s="15" t="s">
        <v>9</v>
      </c>
      <c r="G128" s="15" t="s">
        <v>9</v>
      </c>
      <c r="H128" s="100"/>
    </row>
    <row r="129" spans="1:8" x14ac:dyDescent="0.2">
      <c r="A129" s="15" t="s">
        <v>9</v>
      </c>
      <c r="B129" s="15" t="s">
        <v>9</v>
      </c>
      <c r="C129" s="3" t="s">
        <v>94</v>
      </c>
      <c r="D129" s="15" t="s">
        <v>9</v>
      </c>
      <c r="E129" s="15" t="s">
        <v>9</v>
      </c>
      <c r="F129" s="13">
        <v>0</v>
      </c>
      <c r="G129" s="14">
        <v>0</v>
      </c>
      <c r="H129" s="100"/>
    </row>
    <row r="130" spans="1:8" x14ac:dyDescent="0.2">
      <c r="A130" s="15" t="s">
        <v>9</v>
      </c>
      <c r="B130" s="15" t="s">
        <v>9</v>
      </c>
      <c r="C130" s="11" t="s">
        <v>9</v>
      </c>
      <c r="D130" s="15" t="s">
        <v>9</v>
      </c>
      <c r="E130" s="15" t="s">
        <v>9</v>
      </c>
      <c r="F130" s="12" t="s">
        <v>9</v>
      </c>
      <c r="G130" s="12" t="s">
        <v>9</v>
      </c>
      <c r="H130" s="100"/>
    </row>
    <row r="131" spans="1:8" x14ac:dyDescent="0.2">
      <c r="A131" s="15" t="s">
        <v>9</v>
      </c>
      <c r="B131" s="15" t="s">
        <v>9</v>
      </c>
      <c r="C131" s="11" t="s">
        <v>9</v>
      </c>
      <c r="D131" s="15" t="s">
        <v>9</v>
      </c>
      <c r="E131" s="15" t="s">
        <v>9</v>
      </c>
      <c r="F131" s="12" t="s">
        <v>9</v>
      </c>
      <c r="G131" s="12" t="s">
        <v>9</v>
      </c>
      <c r="H131" s="100"/>
    </row>
    <row r="132" spans="1:8" ht="25.5" x14ac:dyDescent="0.2">
      <c r="A132" s="15" t="s">
        <v>9</v>
      </c>
      <c r="B132" s="15" t="s">
        <v>9</v>
      </c>
      <c r="C132" s="3" t="s">
        <v>122</v>
      </c>
      <c r="D132" s="15" t="s">
        <v>9</v>
      </c>
      <c r="E132" s="15" t="s">
        <v>9</v>
      </c>
      <c r="F132" s="12" t="s">
        <v>9</v>
      </c>
      <c r="G132" s="12" t="s">
        <v>9</v>
      </c>
      <c r="H132" s="100"/>
    </row>
    <row r="133" spans="1:8" x14ac:dyDescent="0.2">
      <c r="A133" s="15" t="s">
        <v>9</v>
      </c>
      <c r="B133" s="15" t="s">
        <v>9</v>
      </c>
      <c r="C133" s="3" t="s">
        <v>94</v>
      </c>
      <c r="D133" s="15" t="s">
        <v>9</v>
      </c>
      <c r="E133" s="15" t="s">
        <v>9</v>
      </c>
      <c r="F133" s="13">
        <v>0</v>
      </c>
      <c r="G133" s="14">
        <v>0</v>
      </c>
      <c r="H133" s="100"/>
    </row>
    <row r="134" spans="1:8" x14ac:dyDescent="0.2">
      <c r="A134" s="15" t="s">
        <v>9</v>
      </c>
      <c r="B134" s="15" t="s">
        <v>9</v>
      </c>
      <c r="C134" s="11" t="s">
        <v>9</v>
      </c>
      <c r="D134" s="15" t="s">
        <v>9</v>
      </c>
      <c r="E134" s="15" t="s">
        <v>9</v>
      </c>
      <c r="F134" s="12" t="s">
        <v>9</v>
      </c>
      <c r="G134" s="12" t="s">
        <v>9</v>
      </c>
      <c r="H134" s="100"/>
    </row>
    <row r="135" spans="1:8" x14ac:dyDescent="0.2">
      <c r="A135" s="15" t="s">
        <v>9</v>
      </c>
      <c r="B135" s="5" t="s">
        <v>9</v>
      </c>
      <c r="C135" s="5" t="s">
        <v>9</v>
      </c>
      <c r="D135" s="3" t="s">
        <v>9</v>
      </c>
      <c r="E135" s="15" t="s">
        <v>9</v>
      </c>
      <c r="F135" s="5" t="s">
        <v>9</v>
      </c>
      <c r="G135" s="15" t="s">
        <v>9</v>
      </c>
      <c r="H135" s="100"/>
    </row>
    <row r="136" spans="1:8" x14ac:dyDescent="0.2">
      <c r="A136" s="15" t="s">
        <v>9</v>
      </c>
      <c r="B136" s="5" t="s">
        <v>9</v>
      </c>
      <c r="C136" s="5" t="s">
        <v>124</v>
      </c>
      <c r="D136" s="5" t="s">
        <v>9</v>
      </c>
      <c r="E136" s="15" t="s">
        <v>9</v>
      </c>
      <c r="F136" s="7">
        <v>11.038171910000001</v>
      </c>
      <c r="G136" s="8">
        <v>3.0476750000000001E-3</v>
      </c>
      <c r="H136" s="100"/>
    </row>
    <row r="137" spans="1:8" x14ac:dyDescent="0.2">
      <c r="A137" s="11" t="s">
        <v>9</v>
      </c>
      <c r="B137" s="11" t="s">
        <v>9</v>
      </c>
      <c r="C137" s="3" t="s">
        <v>125</v>
      </c>
      <c r="D137" s="16" t="s">
        <v>9</v>
      </c>
      <c r="E137" s="16" t="s">
        <v>9</v>
      </c>
      <c r="F137" s="9">
        <v>3621.8335602100001</v>
      </c>
      <c r="G137" s="10">
        <v>1.0000000040000001</v>
      </c>
      <c r="H137" s="100"/>
    </row>
    <row r="138" spans="1:8" x14ac:dyDescent="0.2">
      <c r="A138" s="17" t="s">
        <v>9</v>
      </c>
      <c r="B138" s="17" t="s">
        <v>9</v>
      </c>
      <c r="C138" s="17" t="s">
        <v>9</v>
      </c>
      <c r="D138" s="18" t="s">
        <v>9</v>
      </c>
      <c r="E138" s="18" t="s">
        <v>9</v>
      </c>
      <c r="F138" s="18" t="s">
        <v>9</v>
      </c>
      <c r="G138" s="18" t="s">
        <v>9</v>
      </c>
      <c r="H138" s="142"/>
    </row>
    <row r="139" spans="1:8" x14ac:dyDescent="0.2">
      <c r="A139" s="19" t="s">
        <v>9</v>
      </c>
      <c r="B139" s="254" t="s">
        <v>9</v>
      </c>
      <c r="C139" s="254"/>
      <c r="D139" s="254"/>
      <c r="E139" s="254"/>
      <c r="F139" s="254"/>
      <c r="G139" s="20" t="s">
        <v>9</v>
      </c>
      <c r="H139" s="142"/>
    </row>
    <row r="140" spans="1:8" x14ac:dyDescent="0.2">
      <c r="A140" s="19" t="s">
        <v>9</v>
      </c>
      <c r="B140" s="254" t="s">
        <v>9</v>
      </c>
      <c r="C140" s="254"/>
      <c r="D140" s="254"/>
      <c r="E140" s="254"/>
      <c r="F140" s="254"/>
      <c r="G140" s="20" t="s">
        <v>9</v>
      </c>
      <c r="H140" s="142"/>
    </row>
    <row r="141" spans="1:8" x14ac:dyDescent="0.2">
      <c r="A141" s="19" t="s">
        <v>9</v>
      </c>
      <c r="B141" s="19" t="s">
        <v>9</v>
      </c>
      <c r="C141" s="19" t="s">
        <v>9</v>
      </c>
      <c r="D141" s="20" t="s">
        <v>9</v>
      </c>
      <c r="E141" s="20" t="s">
        <v>9</v>
      </c>
      <c r="F141" s="20" t="s">
        <v>9</v>
      </c>
      <c r="G141" s="20" t="s">
        <v>9</v>
      </c>
      <c r="H141" s="142"/>
    </row>
    <row r="142" spans="1:8" x14ac:dyDescent="0.2">
      <c r="A142" s="19" t="s">
        <v>9</v>
      </c>
      <c r="B142" s="247" t="s">
        <v>127</v>
      </c>
      <c r="C142" s="248"/>
      <c r="D142" s="182" t="s">
        <v>9</v>
      </c>
      <c r="E142" s="21" t="s">
        <v>9</v>
      </c>
      <c r="F142" s="20" t="s">
        <v>9</v>
      </c>
      <c r="G142" s="20" t="s">
        <v>9</v>
      </c>
      <c r="H142" s="142"/>
    </row>
    <row r="143" spans="1:8" ht="28.5" customHeight="1" x14ac:dyDescent="0.2">
      <c r="A143" s="19" t="s">
        <v>9</v>
      </c>
      <c r="B143" s="242" t="s">
        <v>128</v>
      </c>
      <c r="C143" s="243"/>
      <c r="D143" s="3" t="s">
        <v>129</v>
      </c>
      <c r="E143" s="21" t="s">
        <v>9</v>
      </c>
      <c r="F143" s="20" t="s">
        <v>9</v>
      </c>
      <c r="G143" s="20" t="s">
        <v>9</v>
      </c>
      <c r="H143" s="142"/>
    </row>
    <row r="144" spans="1:8" x14ac:dyDescent="0.2">
      <c r="A144" s="19" t="s">
        <v>9</v>
      </c>
      <c r="B144" s="240" t="s">
        <v>130</v>
      </c>
      <c r="C144" s="241"/>
      <c r="D144" s="177" t="s">
        <v>129</v>
      </c>
      <c r="E144" s="21" t="s">
        <v>9</v>
      </c>
      <c r="F144" s="20" t="s">
        <v>9</v>
      </c>
      <c r="G144" s="20" t="s">
        <v>9</v>
      </c>
      <c r="H144" s="142"/>
    </row>
    <row r="145" spans="1:8" x14ac:dyDescent="0.2">
      <c r="A145" s="19" t="s">
        <v>9</v>
      </c>
      <c r="B145" s="240" t="s">
        <v>131</v>
      </c>
      <c r="C145" s="241"/>
      <c r="D145" s="182" t="s">
        <v>9</v>
      </c>
      <c r="E145" s="21" t="s">
        <v>9</v>
      </c>
      <c r="F145" s="20" t="s">
        <v>9</v>
      </c>
      <c r="G145" s="20" t="s">
        <v>9</v>
      </c>
      <c r="H145" s="142"/>
    </row>
    <row r="146" spans="1:8" ht="25.5" x14ac:dyDescent="0.2">
      <c r="A146" s="25" t="s">
        <v>9</v>
      </c>
      <c r="B146" s="23" t="s">
        <v>9</v>
      </c>
      <c r="C146" s="23" t="s">
        <v>132</v>
      </c>
      <c r="D146" s="23" t="s">
        <v>133</v>
      </c>
      <c r="E146" s="25" t="s">
        <v>9</v>
      </c>
      <c r="F146" s="25" t="s">
        <v>9</v>
      </c>
      <c r="G146" s="25" t="s">
        <v>9</v>
      </c>
      <c r="H146" s="142"/>
    </row>
    <row r="147" spans="1:8" x14ac:dyDescent="0.2">
      <c r="A147" s="25" t="s">
        <v>9</v>
      </c>
      <c r="B147" s="23" t="s">
        <v>134</v>
      </c>
      <c r="C147" s="23" t="s">
        <v>135</v>
      </c>
      <c r="D147" s="23" t="s">
        <v>136</v>
      </c>
      <c r="E147" s="25" t="s">
        <v>9</v>
      </c>
      <c r="F147" s="25" t="s">
        <v>9</v>
      </c>
      <c r="G147" s="25" t="s">
        <v>9</v>
      </c>
      <c r="H147" s="142"/>
    </row>
    <row r="148" spans="1:8" x14ac:dyDescent="0.2">
      <c r="A148" s="25" t="s">
        <v>9</v>
      </c>
      <c r="B148" s="183" t="s">
        <v>137</v>
      </c>
      <c r="C148" s="184">
        <v>12.0183</v>
      </c>
      <c r="D148" s="184">
        <v>12.475899999999999</v>
      </c>
      <c r="E148" s="25" t="s">
        <v>9</v>
      </c>
      <c r="F148" s="73" t="s">
        <v>9</v>
      </c>
      <c r="G148" s="25" t="s">
        <v>9</v>
      </c>
      <c r="H148" s="142"/>
    </row>
    <row r="149" spans="1:8" x14ac:dyDescent="0.2">
      <c r="A149" s="25" t="s">
        <v>9</v>
      </c>
      <c r="B149" s="183" t="s">
        <v>921</v>
      </c>
      <c r="C149" s="184">
        <v>12.0183</v>
      </c>
      <c r="D149" s="184">
        <v>12.475899999999999</v>
      </c>
      <c r="E149" s="25" t="s">
        <v>9</v>
      </c>
      <c r="F149" s="73" t="s">
        <v>9</v>
      </c>
      <c r="G149" s="25" t="s">
        <v>9</v>
      </c>
      <c r="H149" s="142"/>
    </row>
    <row r="150" spans="1:8" x14ac:dyDescent="0.2">
      <c r="A150" s="25" t="s">
        <v>9</v>
      </c>
      <c r="B150" s="183" t="s">
        <v>138</v>
      </c>
      <c r="C150" s="184">
        <v>11.896699999999999</v>
      </c>
      <c r="D150" s="184">
        <v>12.3467</v>
      </c>
      <c r="E150" s="25" t="s">
        <v>9</v>
      </c>
      <c r="F150" s="73" t="s">
        <v>9</v>
      </c>
      <c r="G150" s="25" t="s">
        <v>9</v>
      </c>
      <c r="H150" s="142"/>
    </row>
    <row r="151" spans="1:8" x14ac:dyDescent="0.2">
      <c r="A151" s="25" t="s">
        <v>9</v>
      </c>
      <c r="B151" s="183" t="s">
        <v>922</v>
      </c>
      <c r="C151" s="184">
        <v>11.896699999999999</v>
      </c>
      <c r="D151" s="184">
        <v>12.3467</v>
      </c>
      <c r="E151" s="25" t="s">
        <v>9</v>
      </c>
      <c r="F151" s="73" t="s">
        <v>9</v>
      </c>
      <c r="G151" s="25" t="s">
        <v>9</v>
      </c>
      <c r="H151" s="142"/>
    </row>
    <row r="152" spans="1:8" x14ac:dyDescent="0.2">
      <c r="A152" s="25" t="s">
        <v>9</v>
      </c>
      <c r="B152" s="22" t="s">
        <v>9</v>
      </c>
      <c r="C152" s="22" t="s">
        <v>9</v>
      </c>
      <c r="D152" s="22" t="s">
        <v>9</v>
      </c>
      <c r="E152" s="25" t="s">
        <v>9</v>
      </c>
      <c r="F152" s="25" t="s">
        <v>9</v>
      </c>
      <c r="G152" s="25" t="s">
        <v>9</v>
      </c>
      <c r="H152" s="142"/>
    </row>
    <row r="153" spans="1:8" x14ac:dyDescent="0.2">
      <c r="A153" s="25" t="s">
        <v>9</v>
      </c>
      <c r="B153" s="240" t="s">
        <v>1012</v>
      </c>
      <c r="C153" s="241"/>
      <c r="D153" s="177" t="s">
        <v>129</v>
      </c>
      <c r="E153" s="25" t="s">
        <v>9</v>
      </c>
      <c r="F153" s="25" t="s">
        <v>9</v>
      </c>
      <c r="G153" s="25" t="s">
        <v>9</v>
      </c>
      <c r="H153" s="142"/>
    </row>
    <row r="154" spans="1:8" x14ac:dyDescent="0.2">
      <c r="A154" s="25" t="s">
        <v>9</v>
      </c>
      <c r="B154" s="98"/>
      <c r="C154" s="98"/>
      <c r="D154" s="26" t="s">
        <v>9</v>
      </c>
      <c r="E154" s="25" t="s">
        <v>9</v>
      </c>
      <c r="F154" s="25" t="s">
        <v>9</v>
      </c>
      <c r="G154" s="25" t="s">
        <v>9</v>
      </c>
      <c r="H154" s="142"/>
    </row>
    <row r="155" spans="1:8" s="238" customFormat="1" ht="12.75" x14ac:dyDescent="0.2">
      <c r="B155" s="246" t="s">
        <v>923</v>
      </c>
      <c r="C155" s="246"/>
      <c r="D155" s="246"/>
      <c r="E155" s="246"/>
      <c r="F155" s="246"/>
    </row>
    <row r="156" spans="1:8" x14ac:dyDescent="0.2">
      <c r="A156" s="25" t="s">
        <v>9</v>
      </c>
      <c r="B156" s="185" t="s">
        <v>9</v>
      </c>
      <c r="C156" s="185" t="s">
        <v>9</v>
      </c>
      <c r="D156" s="22" t="s">
        <v>9</v>
      </c>
      <c r="E156" s="25" t="s">
        <v>9</v>
      </c>
      <c r="F156" s="25" t="s">
        <v>9</v>
      </c>
      <c r="G156" s="25" t="s">
        <v>9</v>
      </c>
      <c r="H156" s="142"/>
    </row>
    <row r="157" spans="1:8" x14ac:dyDescent="0.2">
      <c r="A157" s="25" t="s">
        <v>9</v>
      </c>
      <c r="B157" s="240" t="s">
        <v>139</v>
      </c>
      <c r="C157" s="241"/>
      <c r="D157" s="177" t="s">
        <v>129</v>
      </c>
      <c r="E157" s="25" t="s">
        <v>9</v>
      </c>
      <c r="F157" s="25" t="s">
        <v>9</v>
      </c>
      <c r="G157" s="25" t="s">
        <v>9</v>
      </c>
      <c r="H157" s="142"/>
    </row>
    <row r="158" spans="1:8" x14ac:dyDescent="0.2">
      <c r="A158" s="25" t="s">
        <v>9</v>
      </c>
      <c r="B158" s="240" t="s">
        <v>140</v>
      </c>
      <c r="C158" s="241"/>
      <c r="D158" s="177" t="s">
        <v>129</v>
      </c>
      <c r="E158" s="25" t="s">
        <v>9</v>
      </c>
      <c r="F158" s="25" t="s">
        <v>9</v>
      </c>
      <c r="G158" s="25" t="s">
        <v>9</v>
      </c>
      <c r="H158" s="142"/>
    </row>
    <row r="159" spans="1:8" x14ac:dyDescent="0.2">
      <c r="A159" s="25" t="s">
        <v>9</v>
      </c>
      <c r="B159" s="240" t="s">
        <v>141</v>
      </c>
      <c r="C159" s="241"/>
      <c r="D159" s="186">
        <v>0.38498525709571729</v>
      </c>
      <c r="E159" s="25" t="s">
        <v>9</v>
      </c>
      <c r="F159" s="73" t="s">
        <v>9</v>
      </c>
      <c r="G159" s="25" t="s">
        <v>9</v>
      </c>
      <c r="H159" s="142"/>
    </row>
    <row r="160" spans="1:8" x14ac:dyDescent="0.2">
      <c r="A160" s="25" t="s">
        <v>9</v>
      </c>
      <c r="B160" s="240" t="s">
        <v>142</v>
      </c>
      <c r="C160" s="241"/>
      <c r="D160" s="177" t="s">
        <v>129</v>
      </c>
      <c r="E160" s="25" t="s">
        <v>9</v>
      </c>
      <c r="F160" s="25" t="s">
        <v>9</v>
      </c>
      <c r="G160" s="25" t="s">
        <v>9</v>
      </c>
      <c r="H160" s="142"/>
    </row>
  </sheetData>
  <mergeCells count="15">
    <mergeCell ref="B142:C142"/>
    <mergeCell ref="B139:F139"/>
    <mergeCell ref="B140:F140"/>
    <mergeCell ref="A1:H1"/>
    <mergeCell ref="A2:H2"/>
    <mergeCell ref="A3:H3"/>
    <mergeCell ref="B159:C159"/>
    <mergeCell ref="B160:C160"/>
    <mergeCell ref="B143:C143"/>
    <mergeCell ref="B144:C144"/>
    <mergeCell ref="B145:C145"/>
    <mergeCell ref="B153:C153"/>
    <mergeCell ref="B157:C157"/>
    <mergeCell ref="B158:C158"/>
    <mergeCell ref="B155:F155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outlinePr summaryBelow="0" summaryRight="0"/>
  </sheetPr>
  <dimension ref="A1:H134"/>
  <sheetViews>
    <sheetView showGridLines="0" workbookViewId="0">
      <selection activeCell="J1" sqref="J1"/>
    </sheetView>
  </sheetViews>
  <sheetFormatPr defaultRowHeight="15" x14ac:dyDescent="0.2"/>
  <cols>
    <col min="1" max="1" width="6.85546875" style="155" customWidth="1"/>
    <col min="2" max="2" width="20.5703125" style="155" customWidth="1"/>
    <col min="3" max="3" width="34.28515625" style="155" customWidth="1"/>
    <col min="4" max="4" width="17.85546875" style="155" customWidth="1"/>
    <col min="5" max="6" width="19.140625" style="155" customWidth="1"/>
    <col min="7" max="7" width="16.42578125" style="155" customWidth="1"/>
    <col min="8" max="16384" width="9.140625" style="155"/>
  </cols>
  <sheetData>
    <row r="1" spans="1:8" x14ac:dyDescent="0.2">
      <c r="A1" s="250" t="s">
        <v>0</v>
      </c>
      <c r="B1" s="250"/>
      <c r="C1" s="250"/>
      <c r="D1" s="250"/>
      <c r="E1" s="250"/>
      <c r="F1" s="250"/>
      <c r="G1" s="250"/>
      <c r="H1" s="250"/>
    </row>
    <row r="2" spans="1:8" x14ac:dyDescent="0.2">
      <c r="A2" s="251" t="s">
        <v>491</v>
      </c>
      <c r="B2" s="252"/>
      <c r="C2" s="252"/>
      <c r="D2" s="252"/>
      <c r="E2" s="252"/>
      <c r="F2" s="252"/>
      <c r="G2" s="252"/>
      <c r="H2" s="253"/>
    </row>
    <row r="3" spans="1:8" x14ac:dyDescent="0.2">
      <c r="A3" s="250" t="s">
        <v>1015</v>
      </c>
      <c r="B3" s="250"/>
      <c r="C3" s="250"/>
      <c r="D3" s="250"/>
      <c r="E3" s="250"/>
      <c r="F3" s="250"/>
      <c r="G3" s="250"/>
      <c r="H3" s="250"/>
    </row>
    <row r="4" spans="1:8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60" t="s">
        <v>6</v>
      </c>
      <c r="F4" s="160" t="s">
        <v>7</v>
      </c>
      <c r="G4" s="160" t="s">
        <v>8</v>
      </c>
      <c r="H4" s="161" t="s">
        <v>909</v>
      </c>
    </row>
    <row r="5" spans="1:8" x14ac:dyDescent="0.2">
      <c r="A5" s="15" t="s">
        <v>9</v>
      </c>
      <c r="B5" s="15" t="s">
        <v>9</v>
      </c>
      <c r="C5" s="3" t="s">
        <v>10</v>
      </c>
      <c r="D5" s="15" t="s">
        <v>9</v>
      </c>
      <c r="E5" s="15" t="s">
        <v>9</v>
      </c>
      <c r="F5" s="15" t="s">
        <v>9</v>
      </c>
      <c r="G5" s="15" t="s">
        <v>9</v>
      </c>
      <c r="H5" s="100"/>
    </row>
    <row r="6" spans="1:8" ht="25.5" x14ac:dyDescent="0.2">
      <c r="A6" s="15" t="s">
        <v>9</v>
      </c>
      <c r="B6" s="15" t="s">
        <v>9</v>
      </c>
      <c r="C6" s="3" t="s">
        <v>11</v>
      </c>
      <c r="D6" s="15" t="s">
        <v>9</v>
      </c>
      <c r="E6" s="15" t="s">
        <v>9</v>
      </c>
      <c r="F6" s="15" t="s">
        <v>9</v>
      </c>
      <c r="G6" s="15" t="s">
        <v>9</v>
      </c>
      <c r="H6" s="100"/>
    </row>
    <row r="7" spans="1:8" x14ac:dyDescent="0.2">
      <c r="A7" s="4">
        <v>1</v>
      </c>
      <c r="B7" s="5" t="s">
        <v>54</v>
      </c>
      <c r="C7" s="5" t="s">
        <v>55</v>
      </c>
      <c r="D7" s="5" t="s">
        <v>22</v>
      </c>
      <c r="E7" s="6">
        <v>9322</v>
      </c>
      <c r="F7" s="7">
        <v>131.654606</v>
      </c>
      <c r="G7" s="8">
        <v>7.6631451000000003E-2</v>
      </c>
      <c r="H7" s="100"/>
    </row>
    <row r="8" spans="1:8" x14ac:dyDescent="0.2">
      <c r="A8" s="4">
        <v>2</v>
      </c>
      <c r="B8" s="5" t="s">
        <v>20</v>
      </c>
      <c r="C8" s="5" t="s">
        <v>21</v>
      </c>
      <c r="D8" s="5" t="s">
        <v>22</v>
      </c>
      <c r="E8" s="6">
        <v>21500</v>
      </c>
      <c r="F8" s="7">
        <v>129.10749999999999</v>
      </c>
      <c r="G8" s="8">
        <v>7.5148871000000006E-2</v>
      </c>
      <c r="H8" s="100"/>
    </row>
    <row r="9" spans="1:8" x14ac:dyDescent="0.2">
      <c r="A9" s="4">
        <v>3</v>
      </c>
      <c r="B9" s="5" t="s">
        <v>15</v>
      </c>
      <c r="C9" s="5" t="s">
        <v>16</v>
      </c>
      <c r="D9" s="5" t="s">
        <v>17</v>
      </c>
      <c r="E9" s="6">
        <v>6300</v>
      </c>
      <c r="F9" s="7">
        <v>125.65349999999999</v>
      </c>
      <c r="G9" s="8">
        <v>7.3138420999999995E-2</v>
      </c>
      <c r="H9" s="100"/>
    </row>
    <row r="10" spans="1:8" x14ac:dyDescent="0.2">
      <c r="A10" s="4">
        <v>4</v>
      </c>
      <c r="B10" s="5" t="s">
        <v>393</v>
      </c>
      <c r="C10" s="5" t="s">
        <v>394</v>
      </c>
      <c r="D10" s="5" t="s">
        <v>151</v>
      </c>
      <c r="E10" s="6">
        <v>8574</v>
      </c>
      <c r="F10" s="7">
        <v>116.12196900000001</v>
      </c>
      <c r="G10" s="8">
        <v>6.7590457000000007E-2</v>
      </c>
      <c r="H10" s="100"/>
    </row>
    <row r="11" spans="1:8" ht="25.5" x14ac:dyDescent="0.2">
      <c r="A11" s="4">
        <v>5</v>
      </c>
      <c r="B11" s="5" t="s">
        <v>395</v>
      </c>
      <c r="C11" s="5" t="s">
        <v>396</v>
      </c>
      <c r="D11" s="5" t="s">
        <v>156</v>
      </c>
      <c r="E11" s="6">
        <v>3488</v>
      </c>
      <c r="F11" s="7">
        <v>84.413088000000002</v>
      </c>
      <c r="G11" s="8">
        <v>4.9133848000000001E-2</v>
      </c>
      <c r="H11" s="100"/>
    </row>
    <row r="12" spans="1:8" ht="25.5" x14ac:dyDescent="0.2">
      <c r="A12" s="4">
        <v>6</v>
      </c>
      <c r="B12" s="5" t="s">
        <v>326</v>
      </c>
      <c r="C12" s="5" t="s">
        <v>327</v>
      </c>
      <c r="D12" s="5" t="s">
        <v>73</v>
      </c>
      <c r="E12" s="6">
        <v>6587</v>
      </c>
      <c r="F12" s="7">
        <v>62.612728500000003</v>
      </c>
      <c r="G12" s="8">
        <v>3.6444636000000002E-2</v>
      </c>
      <c r="H12" s="100"/>
    </row>
    <row r="13" spans="1:8" x14ac:dyDescent="0.2">
      <c r="A13" s="4">
        <v>7</v>
      </c>
      <c r="B13" s="5" t="s">
        <v>397</v>
      </c>
      <c r="C13" s="5" t="s">
        <v>398</v>
      </c>
      <c r="D13" s="5" t="s">
        <v>22</v>
      </c>
      <c r="E13" s="6">
        <v>8341</v>
      </c>
      <c r="F13" s="7">
        <v>59.629809000000002</v>
      </c>
      <c r="G13" s="8">
        <v>3.4708385000000001E-2</v>
      </c>
      <c r="H13" s="100"/>
    </row>
    <row r="14" spans="1:8" ht="25.5" x14ac:dyDescent="0.2">
      <c r="A14" s="4">
        <v>8</v>
      </c>
      <c r="B14" s="5" t="s">
        <v>39</v>
      </c>
      <c r="C14" s="5" t="s">
        <v>941</v>
      </c>
      <c r="D14" s="5" t="s">
        <v>1001</v>
      </c>
      <c r="E14" s="6">
        <v>887</v>
      </c>
      <c r="F14" s="7">
        <v>55.694286499999997</v>
      </c>
      <c r="G14" s="8">
        <v>3.2417658000000002E-2</v>
      </c>
      <c r="H14" s="100"/>
    </row>
    <row r="15" spans="1:8" x14ac:dyDescent="0.2">
      <c r="A15" s="4">
        <v>9</v>
      </c>
      <c r="B15" s="5" t="s">
        <v>12</v>
      </c>
      <c r="C15" s="5" t="s">
        <v>13</v>
      </c>
      <c r="D15" s="5" t="s">
        <v>14</v>
      </c>
      <c r="E15" s="6">
        <v>3850</v>
      </c>
      <c r="F15" s="7">
        <v>51.607325000000003</v>
      </c>
      <c r="G15" s="8">
        <v>3.0038782999999999E-2</v>
      </c>
      <c r="H15" s="100"/>
    </row>
    <row r="16" spans="1:8" x14ac:dyDescent="0.2">
      <c r="A16" s="4">
        <v>10</v>
      </c>
      <c r="B16" s="5" t="s">
        <v>144</v>
      </c>
      <c r="C16" s="5" t="s">
        <v>145</v>
      </c>
      <c r="D16" s="5" t="s">
        <v>146</v>
      </c>
      <c r="E16" s="6">
        <v>1505</v>
      </c>
      <c r="F16" s="7">
        <v>51.594410000000003</v>
      </c>
      <c r="G16" s="8">
        <v>3.0031266000000001E-2</v>
      </c>
      <c r="H16" s="100"/>
    </row>
    <row r="17" spans="1:8" x14ac:dyDescent="0.2">
      <c r="A17" s="4">
        <v>11</v>
      </c>
      <c r="B17" s="5" t="s">
        <v>399</v>
      </c>
      <c r="C17" s="5" t="s">
        <v>400</v>
      </c>
      <c r="D17" s="5" t="s">
        <v>22</v>
      </c>
      <c r="E17" s="6">
        <v>13259</v>
      </c>
      <c r="F17" s="7">
        <v>46.870564999999999</v>
      </c>
      <c r="G17" s="8">
        <v>2.7281684E-2</v>
      </c>
      <c r="H17" s="100"/>
    </row>
    <row r="18" spans="1:8" x14ac:dyDescent="0.2">
      <c r="A18" s="4">
        <v>12</v>
      </c>
      <c r="B18" s="5" t="s">
        <v>29</v>
      </c>
      <c r="C18" s="5" t="s">
        <v>30</v>
      </c>
      <c r="D18" s="5" t="s">
        <v>31</v>
      </c>
      <c r="E18" s="6">
        <v>8001</v>
      </c>
      <c r="F18" s="7">
        <v>42.945367500000003</v>
      </c>
      <c r="G18" s="8">
        <v>2.4996966999999998E-2</v>
      </c>
      <c r="H18" s="100"/>
    </row>
    <row r="19" spans="1:8" ht="25.5" x14ac:dyDescent="0.2">
      <c r="A19" s="4">
        <v>13</v>
      </c>
      <c r="B19" s="5" t="s">
        <v>492</v>
      </c>
      <c r="C19" s="5" t="s">
        <v>493</v>
      </c>
      <c r="D19" s="5" t="s">
        <v>73</v>
      </c>
      <c r="E19" s="6">
        <v>32523</v>
      </c>
      <c r="F19" s="7">
        <v>39.824413499999999</v>
      </c>
      <c r="G19" s="8">
        <v>2.3180371000000002E-2</v>
      </c>
      <c r="H19" s="100"/>
    </row>
    <row r="20" spans="1:8" ht="25.5" x14ac:dyDescent="0.2">
      <c r="A20" s="4">
        <v>14</v>
      </c>
      <c r="B20" s="5" t="s">
        <v>346</v>
      </c>
      <c r="C20" s="5" t="s">
        <v>939</v>
      </c>
      <c r="D20" s="5" t="s">
        <v>73</v>
      </c>
      <c r="E20" s="6">
        <v>5800</v>
      </c>
      <c r="F20" s="7">
        <v>38.831000000000003</v>
      </c>
      <c r="G20" s="8">
        <v>2.260214E-2</v>
      </c>
      <c r="H20" s="100"/>
    </row>
    <row r="21" spans="1:8" x14ac:dyDescent="0.2">
      <c r="A21" s="4">
        <v>15</v>
      </c>
      <c r="B21" s="5" t="s">
        <v>401</v>
      </c>
      <c r="C21" s="5" t="s">
        <v>402</v>
      </c>
      <c r="D21" s="5" t="s">
        <v>91</v>
      </c>
      <c r="E21" s="6">
        <v>5000</v>
      </c>
      <c r="F21" s="7">
        <v>37.627499999999998</v>
      </c>
      <c r="G21" s="8">
        <v>2.1901626E-2</v>
      </c>
      <c r="H21" s="100"/>
    </row>
    <row r="22" spans="1:8" x14ac:dyDescent="0.2">
      <c r="A22" s="4">
        <v>16</v>
      </c>
      <c r="B22" s="5" t="s">
        <v>494</v>
      </c>
      <c r="C22" s="5" t="s">
        <v>495</v>
      </c>
      <c r="D22" s="5" t="s">
        <v>151</v>
      </c>
      <c r="E22" s="6">
        <v>3899</v>
      </c>
      <c r="F22" s="7">
        <v>37.445996000000001</v>
      </c>
      <c r="G22" s="8">
        <v>2.1795979E-2</v>
      </c>
      <c r="H22" s="100"/>
    </row>
    <row r="23" spans="1:8" x14ac:dyDescent="0.2">
      <c r="A23" s="4">
        <v>17</v>
      </c>
      <c r="B23" s="5" t="s">
        <v>362</v>
      </c>
      <c r="C23" s="5" t="s">
        <v>363</v>
      </c>
      <c r="D23" s="5" t="s">
        <v>364</v>
      </c>
      <c r="E23" s="6">
        <v>4900</v>
      </c>
      <c r="F23" s="7">
        <v>36.353099999999998</v>
      </c>
      <c r="G23" s="8">
        <v>2.1159843000000001E-2</v>
      </c>
      <c r="H23" s="100"/>
    </row>
    <row r="24" spans="1:8" x14ac:dyDescent="0.2">
      <c r="A24" s="4">
        <v>18</v>
      </c>
      <c r="B24" s="5" t="s">
        <v>356</v>
      </c>
      <c r="C24" s="5" t="s">
        <v>357</v>
      </c>
      <c r="D24" s="5" t="s">
        <v>151</v>
      </c>
      <c r="E24" s="6">
        <v>3900</v>
      </c>
      <c r="F24" s="7">
        <v>35.059049999999999</v>
      </c>
      <c r="G24" s="8">
        <v>2.0406622999999999E-2</v>
      </c>
      <c r="H24" s="100"/>
    </row>
    <row r="25" spans="1:8" x14ac:dyDescent="0.2">
      <c r="A25" s="4">
        <v>19</v>
      </c>
      <c r="B25" s="5" t="s">
        <v>69</v>
      </c>
      <c r="C25" s="5" t="s">
        <v>70</v>
      </c>
      <c r="D25" s="5" t="s">
        <v>17</v>
      </c>
      <c r="E25" s="6">
        <v>8136</v>
      </c>
      <c r="F25" s="7">
        <v>34.317647999999998</v>
      </c>
      <c r="G25" s="8">
        <v>1.9975079E-2</v>
      </c>
      <c r="H25" s="100"/>
    </row>
    <row r="26" spans="1:8" x14ac:dyDescent="0.2">
      <c r="A26" s="4">
        <v>20</v>
      </c>
      <c r="B26" s="5" t="s">
        <v>83</v>
      </c>
      <c r="C26" s="5" t="s">
        <v>84</v>
      </c>
      <c r="D26" s="5" t="s">
        <v>28</v>
      </c>
      <c r="E26" s="6">
        <v>3874</v>
      </c>
      <c r="F26" s="7">
        <v>32.448624000000002</v>
      </c>
      <c r="G26" s="8">
        <v>1.8887187E-2</v>
      </c>
      <c r="H26" s="100"/>
    </row>
    <row r="27" spans="1:8" x14ac:dyDescent="0.2">
      <c r="A27" s="4">
        <v>21</v>
      </c>
      <c r="B27" s="5" t="s">
        <v>403</v>
      </c>
      <c r="C27" s="5" t="s">
        <v>404</v>
      </c>
      <c r="D27" s="5" t="s">
        <v>1009</v>
      </c>
      <c r="E27" s="6">
        <v>3435</v>
      </c>
      <c r="F27" s="7">
        <v>31.900845</v>
      </c>
      <c r="G27" s="8">
        <v>1.8568344000000001E-2</v>
      </c>
      <c r="H27" s="100"/>
    </row>
    <row r="28" spans="1:8" x14ac:dyDescent="0.2">
      <c r="A28" s="4">
        <v>22</v>
      </c>
      <c r="B28" s="5" t="s">
        <v>200</v>
      </c>
      <c r="C28" s="5" t="s">
        <v>201</v>
      </c>
      <c r="D28" s="5" t="s">
        <v>1003</v>
      </c>
      <c r="E28" s="6">
        <v>4850</v>
      </c>
      <c r="F28" s="7">
        <v>30.472549999999998</v>
      </c>
      <c r="G28" s="8">
        <v>1.7736985E-2</v>
      </c>
      <c r="H28" s="100"/>
    </row>
    <row r="29" spans="1:8" x14ac:dyDescent="0.2">
      <c r="A29" s="4">
        <v>23</v>
      </c>
      <c r="B29" s="5" t="s">
        <v>409</v>
      </c>
      <c r="C29" s="5" t="s">
        <v>940</v>
      </c>
      <c r="D29" s="5" t="s">
        <v>151</v>
      </c>
      <c r="E29" s="6">
        <v>969</v>
      </c>
      <c r="F29" s="7">
        <v>29.4154485</v>
      </c>
      <c r="G29" s="8">
        <v>1.7121682999999999E-2</v>
      </c>
      <c r="H29" s="100"/>
    </row>
    <row r="30" spans="1:8" ht="25.5" x14ac:dyDescent="0.2">
      <c r="A30" s="4">
        <v>24</v>
      </c>
      <c r="B30" s="5" t="s">
        <v>496</v>
      </c>
      <c r="C30" s="5" t="s">
        <v>497</v>
      </c>
      <c r="D30" s="5" t="s">
        <v>1001</v>
      </c>
      <c r="E30" s="6">
        <v>3200</v>
      </c>
      <c r="F30" s="7">
        <v>29.380800000000001</v>
      </c>
      <c r="G30" s="8">
        <v>1.7101516000000001E-2</v>
      </c>
      <c r="H30" s="100"/>
    </row>
    <row r="31" spans="1:8" x14ac:dyDescent="0.2">
      <c r="A31" s="4">
        <v>25</v>
      </c>
      <c r="B31" s="5" t="s">
        <v>184</v>
      </c>
      <c r="C31" s="5" t="s">
        <v>185</v>
      </c>
      <c r="D31" s="5" t="s">
        <v>172</v>
      </c>
      <c r="E31" s="6">
        <v>16375</v>
      </c>
      <c r="F31" s="7">
        <v>29.082000000000001</v>
      </c>
      <c r="G31" s="8">
        <v>1.6927595E-2</v>
      </c>
      <c r="H31" s="100"/>
    </row>
    <row r="32" spans="1:8" x14ac:dyDescent="0.2">
      <c r="A32" s="4">
        <v>26</v>
      </c>
      <c r="B32" s="5" t="s">
        <v>413</v>
      </c>
      <c r="C32" s="5" t="s">
        <v>414</v>
      </c>
      <c r="D32" s="5" t="s">
        <v>47</v>
      </c>
      <c r="E32" s="6">
        <v>2797</v>
      </c>
      <c r="F32" s="7">
        <v>28.92098</v>
      </c>
      <c r="G32" s="8">
        <v>1.6833871E-2</v>
      </c>
      <c r="H32" s="100"/>
    </row>
    <row r="33" spans="1:8" x14ac:dyDescent="0.2">
      <c r="A33" s="4">
        <v>27</v>
      </c>
      <c r="B33" s="5" t="s">
        <v>438</v>
      </c>
      <c r="C33" s="5" t="s">
        <v>390</v>
      </c>
      <c r="D33" s="5" t="s">
        <v>272</v>
      </c>
      <c r="E33" s="6">
        <v>16430</v>
      </c>
      <c r="F33" s="7">
        <v>28.752500000000001</v>
      </c>
      <c r="G33" s="8">
        <v>1.6735804999999999E-2</v>
      </c>
      <c r="H33" s="100"/>
    </row>
    <row r="34" spans="1:8" x14ac:dyDescent="0.2">
      <c r="A34" s="4">
        <v>28</v>
      </c>
      <c r="B34" s="5" t="s">
        <v>423</v>
      </c>
      <c r="C34" s="5" t="s">
        <v>424</v>
      </c>
      <c r="D34" s="5" t="s">
        <v>22</v>
      </c>
      <c r="E34" s="6">
        <v>1570</v>
      </c>
      <c r="F34" s="7">
        <v>27.456160000000001</v>
      </c>
      <c r="G34" s="8">
        <v>1.5981252000000001E-2</v>
      </c>
      <c r="H34" s="100"/>
    </row>
    <row r="35" spans="1:8" x14ac:dyDescent="0.2">
      <c r="A35" s="4">
        <v>29</v>
      </c>
      <c r="B35" s="5" t="s">
        <v>320</v>
      </c>
      <c r="C35" s="5" t="s">
        <v>321</v>
      </c>
      <c r="D35" s="5" t="s">
        <v>47</v>
      </c>
      <c r="E35" s="6">
        <v>6000</v>
      </c>
      <c r="F35" s="7">
        <v>26.49</v>
      </c>
      <c r="G35" s="8">
        <v>1.5418884000000001E-2</v>
      </c>
      <c r="H35" s="100"/>
    </row>
    <row r="36" spans="1:8" x14ac:dyDescent="0.2">
      <c r="A36" s="4">
        <v>30</v>
      </c>
      <c r="B36" s="5" t="s">
        <v>435</v>
      </c>
      <c r="C36" s="5" t="s">
        <v>942</v>
      </c>
      <c r="D36" s="5" t="s">
        <v>193</v>
      </c>
      <c r="E36" s="6">
        <v>500</v>
      </c>
      <c r="F36" s="7">
        <v>25.8155</v>
      </c>
      <c r="G36" s="8">
        <v>1.5026282E-2</v>
      </c>
      <c r="H36" s="100"/>
    </row>
    <row r="37" spans="1:8" x14ac:dyDescent="0.2">
      <c r="A37" s="4">
        <v>31</v>
      </c>
      <c r="B37" s="5" t="s">
        <v>297</v>
      </c>
      <c r="C37" s="5" t="s">
        <v>928</v>
      </c>
      <c r="D37" s="5" t="s">
        <v>22</v>
      </c>
      <c r="E37" s="6">
        <v>28053</v>
      </c>
      <c r="F37" s="7">
        <v>22.470452999999999</v>
      </c>
      <c r="G37" s="8">
        <v>1.3079248999999999E-2</v>
      </c>
      <c r="H37" s="100"/>
    </row>
    <row r="38" spans="1:8" x14ac:dyDescent="0.2">
      <c r="A38" s="4">
        <v>32</v>
      </c>
      <c r="B38" s="5" t="s">
        <v>407</v>
      </c>
      <c r="C38" s="5" t="s">
        <v>408</v>
      </c>
      <c r="D38" s="5" t="s">
        <v>193</v>
      </c>
      <c r="E38" s="6">
        <v>3238</v>
      </c>
      <c r="F38" s="7">
        <v>21.191091</v>
      </c>
      <c r="G38" s="8">
        <v>1.2334578000000001E-2</v>
      </c>
      <c r="H38" s="100"/>
    </row>
    <row r="39" spans="1:8" x14ac:dyDescent="0.2">
      <c r="A39" s="4">
        <v>33</v>
      </c>
      <c r="B39" s="5" t="s">
        <v>433</v>
      </c>
      <c r="C39" s="5" t="s">
        <v>434</v>
      </c>
      <c r="D39" s="5" t="s">
        <v>193</v>
      </c>
      <c r="E39" s="6">
        <v>2158</v>
      </c>
      <c r="F39" s="7">
        <v>19.645353</v>
      </c>
      <c r="G39" s="8">
        <v>1.1434859E-2</v>
      </c>
      <c r="H39" s="100"/>
    </row>
    <row r="40" spans="1:8" ht="25.5" x14ac:dyDescent="0.2">
      <c r="A40" s="4">
        <v>34</v>
      </c>
      <c r="B40" s="5" t="s">
        <v>415</v>
      </c>
      <c r="C40" s="5" t="s">
        <v>938</v>
      </c>
      <c r="D40" s="5" t="s">
        <v>73</v>
      </c>
      <c r="E40" s="6">
        <v>788</v>
      </c>
      <c r="F40" s="7">
        <v>18.547550000000001</v>
      </c>
      <c r="G40" s="8">
        <v>1.0795867000000001E-2</v>
      </c>
      <c r="H40" s="100"/>
    </row>
    <row r="41" spans="1:8" x14ac:dyDescent="0.2">
      <c r="A41" s="4">
        <v>35</v>
      </c>
      <c r="B41" s="5" t="s">
        <v>451</v>
      </c>
      <c r="C41" s="5" t="s">
        <v>452</v>
      </c>
      <c r="D41" s="5" t="s">
        <v>63</v>
      </c>
      <c r="E41" s="6">
        <v>6585</v>
      </c>
      <c r="F41" s="7">
        <v>17.417325000000002</v>
      </c>
      <c r="G41" s="8">
        <v>1.0138004000000001E-2</v>
      </c>
      <c r="H41" s="100"/>
    </row>
    <row r="42" spans="1:8" x14ac:dyDescent="0.2">
      <c r="A42" s="4">
        <v>36</v>
      </c>
      <c r="B42" s="5" t="s">
        <v>367</v>
      </c>
      <c r="C42" s="5" t="s">
        <v>368</v>
      </c>
      <c r="D42" s="5" t="s">
        <v>22</v>
      </c>
      <c r="E42" s="6">
        <v>25574</v>
      </c>
      <c r="F42" s="7">
        <v>17.070644999999999</v>
      </c>
      <c r="G42" s="8">
        <v>9.9362140000000005E-3</v>
      </c>
      <c r="H42" s="100"/>
    </row>
    <row r="43" spans="1:8" ht="25.5" x14ac:dyDescent="0.2">
      <c r="A43" s="4">
        <v>37</v>
      </c>
      <c r="B43" s="5" t="s">
        <v>421</v>
      </c>
      <c r="C43" s="5" t="s">
        <v>422</v>
      </c>
      <c r="D43" s="5" t="s">
        <v>73</v>
      </c>
      <c r="E43" s="6">
        <v>8000</v>
      </c>
      <c r="F43" s="7">
        <v>16.207999999999998</v>
      </c>
      <c r="G43" s="8">
        <v>9.4340989999999996E-3</v>
      </c>
      <c r="H43" s="100"/>
    </row>
    <row r="44" spans="1:8" ht="25.5" x14ac:dyDescent="0.2">
      <c r="A44" s="4">
        <v>38</v>
      </c>
      <c r="B44" s="5" t="s">
        <v>348</v>
      </c>
      <c r="C44" s="5" t="s">
        <v>349</v>
      </c>
      <c r="D44" s="5" t="s">
        <v>156</v>
      </c>
      <c r="E44" s="6">
        <v>9400</v>
      </c>
      <c r="F44" s="7">
        <v>15.213900000000001</v>
      </c>
      <c r="G44" s="8">
        <v>8.8554689999999995E-3</v>
      </c>
      <c r="H44" s="100"/>
    </row>
    <row r="45" spans="1:8" x14ac:dyDescent="0.2">
      <c r="A45" s="4">
        <v>39</v>
      </c>
      <c r="B45" s="5" t="s">
        <v>76</v>
      </c>
      <c r="C45" s="5" t="s">
        <v>77</v>
      </c>
      <c r="D45" s="5" t="s">
        <v>78</v>
      </c>
      <c r="E45" s="6">
        <v>10893</v>
      </c>
      <c r="F45" s="7">
        <v>14.945195999999999</v>
      </c>
      <c r="G45" s="8">
        <v>8.6990660000000001E-3</v>
      </c>
      <c r="H45" s="100"/>
    </row>
    <row r="46" spans="1:8" x14ac:dyDescent="0.2">
      <c r="A46" s="15" t="s">
        <v>9</v>
      </c>
      <c r="B46" s="15" t="s">
        <v>9</v>
      </c>
      <c r="C46" s="3" t="s">
        <v>94</v>
      </c>
      <c r="D46" s="15" t="s">
        <v>9</v>
      </c>
      <c r="E46" s="15" t="s">
        <v>9</v>
      </c>
      <c r="F46" s="9">
        <v>1700.2087825000001</v>
      </c>
      <c r="G46" s="10">
        <v>0.98963089699999995</v>
      </c>
      <c r="H46" s="100"/>
    </row>
    <row r="47" spans="1:8" x14ac:dyDescent="0.2">
      <c r="A47" s="15" t="s">
        <v>9</v>
      </c>
      <c r="B47" s="15" t="s">
        <v>9</v>
      </c>
      <c r="C47" s="11" t="s">
        <v>9</v>
      </c>
      <c r="D47" s="15" t="s">
        <v>9</v>
      </c>
      <c r="E47" s="15" t="s">
        <v>9</v>
      </c>
      <c r="F47" s="12" t="s">
        <v>9</v>
      </c>
      <c r="G47" s="12" t="s">
        <v>9</v>
      </c>
      <c r="H47" s="100"/>
    </row>
    <row r="48" spans="1:8" x14ac:dyDescent="0.2">
      <c r="A48" s="15" t="s">
        <v>9</v>
      </c>
      <c r="B48" s="15" t="s">
        <v>9</v>
      </c>
      <c r="C48" s="3" t="s">
        <v>95</v>
      </c>
      <c r="D48" s="15" t="s">
        <v>9</v>
      </c>
      <c r="E48" s="15" t="s">
        <v>9</v>
      </c>
      <c r="F48" s="15" t="s">
        <v>9</v>
      </c>
      <c r="G48" s="15" t="s">
        <v>9</v>
      </c>
      <c r="H48" s="100"/>
    </row>
    <row r="49" spans="1:8" x14ac:dyDescent="0.2">
      <c r="A49" s="15" t="s">
        <v>9</v>
      </c>
      <c r="B49" s="15" t="s">
        <v>9</v>
      </c>
      <c r="C49" s="3" t="s">
        <v>94</v>
      </c>
      <c r="D49" s="15" t="s">
        <v>9</v>
      </c>
      <c r="E49" s="15" t="s">
        <v>9</v>
      </c>
      <c r="F49" s="13">
        <v>0</v>
      </c>
      <c r="G49" s="14">
        <v>0</v>
      </c>
      <c r="H49" s="100"/>
    </row>
    <row r="50" spans="1:8" x14ac:dyDescent="0.2">
      <c r="A50" s="15" t="s">
        <v>9</v>
      </c>
      <c r="B50" s="15" t="s">
        <v>9</v>
      </c>
      <c r="C50" s="11" t="s">
        <v>9</v>
      </c>
      <c r="D50" s="15" t="s">
        <v>9</v>
      </c>
      <c r="E50" s="15" t="s">
        <v>9</v>
      </c>
      <c r="F50" s="12" t="s">
        <v>9</v>
      </c>
      <c r="G50" s="12" t="s">
        <v>9</v>
      </c>
      <c r="H50" s="100"/>
    </row>
    <row r="51" spans="1:8" x14ac:dyDescent="0.2">
      <c r="A51" s="15" t="s">
        <v>9</v>
      </c>
      <c r="B51" s="15" t="s">
        <v>9</v>
      </c>
      <c r="C51" s="3" t="s">
        <v>96</v>
      </c>
      <c r="D51" s="15" t="s">
        <v>9</v>
      </c>
      <c r="E51" s="15" t="s">
        <v>9</v>
      </c>
      <c r="F51" s="15" t="s">
        <v>9</v>
      </c>
      <c r="G51" s="15" t="s">
        <v>9</v>
      </c>
      <c r="H51" s="100"/>
    </row>
    <row r="52" spans="1:8" x14ac:dyDescent="0.2">
      <c r="A52" s="15" t="s">
        <v>9</v>
      </c>
      <c r="B52" s="15" t="s">
        <v>9</v>
      </c>
      <c r="C52" s="3" t="s">
        <v>94</v>
      </c>
      <c r="D52" s="15" t="s">
        <v>9</v>
      </c>
      <c r="E52" s="15" t="s">
        <v>9</v>
      </c>
      <c r="F52" s="13">
        <v>0</v>
      </c>
      <c r="G52" s="14">
        <v>0</v>
      </c>
      <c r="H52" s="100"/>
    </row>
    <row r="53" spans="1:8" x14ac:dyDescent="0.2">
      <c r="A53" s="15" t="s">
        <v>9</v>
      </c>
      <c r="B53" s="15" t="s">
        <v>9</v>
      </c>
      <c r="C53" s="11" t="s">
        <v>9</v>
      </c>
      <c r="D53" s="15" t="s">
        <v>9</v>
      </c>
      <c r="E53" s="15" t="s">
        <v>9</v>
      </c>
      <c r="F53" s="12" t="s">
        <v>9</v>
      </c>
      <c r="G53" s="12" t="s">
        <v>9</v>
      </c>
      <c r="H53" s="100"/>
    </row>
    <row r="54" spans="1:8" x14ac:dyDescent="0.2">
      <c r="A54" s="15" t="s">
        <v>9</v>
      </c>
      <c r="B54" s="15" t="s">
        <v>9</v>
      </c>
      <c r="C54" s="3" t="s">
        <v>100</v>
      </c>
      <c r="D54" s="15" t="s">
        <v>9</v>
      </c>
      <c r="E54" s="15" t="s">
        <v>9</v>
      </c>
      <c r="F54" s="15" t="s">
        <v>9</v>
      </c>
      <c r="G54" s="15" t="s">
        <v>9</v>
      </c>
      <c r="H54" s="100"/>
    </row>
    <row r="55" spans="1:8" x14ac:dyDescent="0.2">
      <c r="A55" s="15" t="s">
        <v>9</v>
      </c>
      <c r="B55" s="15" t="s">
        <v>9</v>
      </c>
      <c r="C55" s="3" t="s">
        <v>94</v>
      </c>
      <c r="D55" s="15" t="s">
        <v>9</v>
      </c>
      <c r="E55" s="15" t="s">
        <v>9</v>
      </c>
      <c r="F55" s="13">
        <v>0</v>
      </c>
      <c r="G55" s="14">
        <v>0</v>
      </c>
      <c r="H55" s="100"/>
    </row>
    <row r="56" spans="1:8" x14ac:dyDescent="0.2">
      <c r="A56" s="15" t="s">
        <v>9</v>
      </c>
      <c r="B56" s="15" t="s">
        <v>9</v>
      </c>
      <c r="C56" s="11" t="s">
        <v>9</v>
      </c>
      <c r="D56" s="15" t="s">
        <v>9</v>
      </c>
      <c r="E56" s="15" t="s">
        <v>9</v>
      </c>
      <c r="F56" s="12" t="s">
        <v>9</v>
      </c>
      <c r="G56" s="12" t="s">
        <v>9</v>
      </c>
      <c r="H56" s="100"/>
    </row>
    <row r="57" spans="1:8" x14ac:dyDescent="0.2">
      <c r="A57" s="15" t="s">
        <v>9</v>
      </c>
      <c r="B57" s="15" t="s">
        <v>9</v>
      </c>
      <c r="C57" s="3" t="s">
        <v>101</v>
      </c>
      <c r="D57" s="15" t="s">
        <v>9</v>
      </c>
      <c r="E57" s="15" t="s">
        <v>9</v>
      </c>
      <c r="F57" s="12" t="s">
        <v>9</v>
      </c>
      <c r="G57" s="12" t="s">
        <v>9</v>
      </c>
      <c r="H57" s="100"/>
    </row>
    <row r="58" spans="1:8" x14ac:dyDescent="0.2">
      <c r="A58" s="15" t="s">
        <v>9</v>
      </c>
      <c r="B58" s="15" t="s">
        <v>9</v>
      </c>
      <c r="C58" s="3" t="s">
        <v>94</v>
      </c>
      <c r="D58" s="15" t="s">
        <v>9</v>
      </c>
      <c r="E58" s="15" t="s">
        <v>9</v>
      </c>
      <c r="F58" s="13">
        <v>0</v>
      </c>
      <c r="G58" s="14">
        <v>0</v>
      </c>
      <c r="H58" s="100"/>
    </row>
    <row r="59" spans="1:8" x14ac:dyDescent="0.2">
      <c r="A59" s="15" t="s">
        <v>9</v>
      </c>
      <c r="B59" s="15" t="s">
        <v>9</v>
      </c>
      <c r="C59" s="11" t="s">
        <v>9</v>
      </c>
      <c r="D59" s="15" t="s">
        <v>9</v>
      </c>
      <c r="E59" s="15" t="s">
        <v>9</v>
      </c>
      <c r="F59" s="12" t="s">
        <v>9</v>
      </c>
      <c r="G59" s="12" t="s">
        <v>9</v>
      </c>
      <c r="H59" s="100"/>
    </row>
    <row r="60" spans="1:8" x14ac:dyDescent="0.2">
      <c r="A60" s="15" t="s">
        <v>9</v>
      </c>
      <c r="B60" s="15" t="s">
        <v>9</v>
      </c>
      <c r="C60" s="3" t="s">
        <v>102</v>
      </c>
      <c r="D60" s="15" t="s">
        <v>9</v>
      </c>
      <c r="E60" s="15" t="s">
        <v>9</v>
      </c>
      <c r="F60" s="12" t="s">
        <v>9</v>
      </c>
      <c r="G60" s="12" t="s">
        <v>9</v>
      </c>
      <c r="H60" s="100"/>
    </row>
    <row r="61" spans="1:8" x14ac:dyDescent="0.2">
      <c r="A61" s="15" t="s">
        <v>9</v>
      </c>
      <c r="B61" s="15" t="s">
        <v>9</v>
      </c>
      <c r="C61" s="3" t="s">
        <v>94</v>
      </c>
      <c r="D61" s="15" t="s">
        <v>9</v>
      </c>
      <c r="E61" s="15" t="s">
        <v>9</v>
      </c>
      <c r="F61" s="13">
        <v>0</v>
      </c>
      <c r="G61" s="14">
        <v>0</v>
      </c>
      <c r="H61" s="100"/>
    </row>
    <row r="62" spans="1:8" x14ac:dyDescent="0.2">
      <c r="A62" s="15" t="s">
        <v>9</v>
      </c>
      <c r="B62" s="15" t="s">
        <v>9</v>
      </c>
      <c r="C62" s="11" t="s">
        <v>9</v>
      </c>
      <c r="D62" s="15" t="s">
        <v>9</v>
      </c>
      <c r="E62" s="15" t="s">
        <v>9</v>
      </c>
      <c r="F62" s="12" t="s">
        <v>9</v>
      </c>
      <c r="G62" s="12" t="s">
        <v>9</v>
      </c>
      <c r="H62" s="100"/>
    </row>
    <row r="63" spans="1:8" x14ac:dyDescent="0.2">
      <c r="A63" s="15" t="s">
        <v>9</v>
      </c>
      <c r="B63" s="15" t="s">
        <v>9</v>
      </c>
      <c r="C63" s="3" t="s">
        <v>104</v>
      </c>
      <c r="D63" s="15" t="s">
        <v>9</v>
      </c>
      <c r="E63" s="15" t="s">
        <v>9</v>
      </c>
      <c r="F63" s="9">
        <v>1700.2087825000001</v>
      </c>
      <c r="G63" s="10">
        <v>0.98963089699999995</v>
      </c>
      <c r="H63" s="100"/>
    </row>
    <row r="64" spans="1:8" x14ac:dyDescent="0.2">
      <c r="A64" s="15" t="s">
        <v>9</v>
      </c>
      <c r="B64" s="15" t="s">
        <v>9</v>
      </c>
      <c r="C64" s="11" t="s">
        <v>9</v>
      </c>
      <c r="D64" s="15" t="s">
        <v>9</v>
      </c>
      <c r="E64" s="15" t="s">
        <v>9</v>
      </c>
      <c r="F64" s="12" t="s">
        <v>9</v>
      </c>
      <c r="G64" s="12" t="s">
        <v>9</v>
      </c>
      <c r="H64" s="100"/>
    </row>
    <row r="65" spans="1:8" x14ac:dyDescent="0.2">
      <c r="A65" s="15" t="s">
        <v>9</v>
      </c>
      <c r="B65" s="15" t="s">
        <v>9</v>
      </c>
      <c r="C65" s="3" t="s">
        <v>105</v>
      </c>
      <c r="D65" s="15" t="s">
        <v>9</v>
      </c>
      <c r="E65" s="15" t="s">
        <v>9</v>
      </c>
      <c r="F65" s="12" t="s">
        <v>9</v>
      </c>
      <c r="G65" s="12" t="s">
        <v>9</v>
      </c>
      <c r="H65" s="100"/>
    </row>
    <row r="66" spans="1:8" ht="25.5" x14ac:dyDescent="0.2">
      <c r="A66" s="15" t="s">
        <v>9</v>
      </c>
      <c r="B66" s="15" t="s">
        <v>9</v>
      </c>
      <c r="C66" s="3" t="s">
        <v>11</v>
      </c>
      <c r="D66" s="15" t="s">
        <v>9</v>
      </c>
      <c r="E66" s="15" t="s">
        <v>9</v>
      </c>
      <c r="F66" s="12" t="s">
        <v>9</v>
      </c>
      <c r="G66" s="12" t="s">
        <v>9</v>
      </c>
      <c r="H66" s="100"/>
    </row>
    <row r="67" spans="1:8" x14ac:dyDescent="0.2">
      <c r="A67" s="15" t="s">
        <v>9</v>
      </c>
      <c r="B67" s="15" t="s">
        <v>9</v>
      </c>
      <c r="C67" s="3" t="s">
        <v>94</v>
      </c>
      <c r="D67" s="15" t="s">
        <v>9</v>
      </c>
      <c r="E67" s="15" t="s">
        <v>9</v>
      </c>
      <c r="F67" s="13">
        <v>0</v>
      </c>
      <c r="G67" s="14">
        <v>0</v>
      </c>
      <c r="H67" s="100"/>
    </row>
    <row r="68" spans="1:8" x14ac:dyDescent="0.2">
      <c r="A68" s="15" t="s">
        <v>9</v>
      </c>
      <c r="B68" s="15" t="s">
        <v>9</v>
      </c>
      <c r="C68" s="11" t="s">
        <v>9</v>
      </c>
      <c r="D68" s="15" t="s">
        <v>9</v>
      </c>
      <c r="E68" s="15" t="s">
        <v>9</v>
      </c>
      <c r="F68" s="12" t="s">
        <v>9</v>
      </c>
      <c r="G68" s="12" t="s">
        <v>9</v>
      </c>
      <c r="H68" s="100"/>
    </row>
    <row r="69" spans="1:8" x14ac:dyDescent="0.2">
      <c r="A69" s="15" t="s">
        <v>9</v>
      </c>
      <c r="B69" s="15" t="s">
        <v>9</v>
      </c>
      <c r="C69" s="3" t="s">
        <v>106</v>
      </c>
      <c r="D69" s="15" t="s">
        <v>9</v>
      </c>
      <c r="E69" s="15" t="s">
        <v>9</v>
      </c>
      <c r="F69" s="15" t="s">
        <v>9</v>
      </c>
      <c r="G69" s="15" t="s">
        <v>9</v>
      </c>
      <c r="H69" s="100"/>
    </row>
    <row r="70" spans="1:8" x14ac:dyDescent="0.2">
      <c r="A70" s="15" t="s">
        <v>9</v>
      </c>
      <c r="B70" s="15" t="s">
        <v>9</v>
      </c>
      <c r="C70" s="3" t="s">
        <v>94</v>
      </c>
      <c r="D70" s="15" t="s">
        <v>9</v>
      </c>
      <c r="E70" s="15" t="s">
        <v>9</v>
      </c>
      <c r="F70" s="13">
        <v>0</v>
      </c>
      <c r="G70" s="14">
        <v>0</v>
      </c>
      <c r="H70" s="100"/>
    </row>
    <row r="71" spans="1:8" x14ac:dyDescent="0.2">
      <c r="A71" s="15" t="s">
        <v>9</v>
      </c>
      <c r="B71" s="15" t="s">
        <v>9</v>
      </c>
      <c r="C71" s="11" t="s">
        <v>9</v>
      </c>
      <c r="D71" s="15" t="s">
        <v>9</v>
      </c>
      <c r="E71" s="15" t="s">
        <v>9</v>
      </c>
      <c r="F71" s="12" t="s">
        <v>9</v>
      </c>
      <c r="G71" s="12" t="s">
        <v>9</v>
      </c>
      <c r="H71" s="100"/>
    </row>
    <row r="72" spans="1:8" x14ac:dyDescent="0.2">
      <c r="A72" s="15" t="s">
        <v>9</v>
      </c>
      <c r="B72" s="15" t="s">
        <v>9</v>
      </c>
      <c r="C72" s="3" t="s">
        <v>107</v>
      </c>
      <c r="D72" s="15" t="s">
        <v>9</v>
      </c>
      <c r="E72" s="15" t="s">
        <v>9</v>
      </c>
      <c r="F72" s="15" t="s">
        <v>9</v>
      </c>
      <c r="G72" s="15" t="s">
        <v>9</v>
      </c>
      <c r="H72" s="100"/>
    </row>
    <row r="73" spans="1:8" x14ac:dyDescent="0.2">
      <c r="A73" s="15" t="s">
        <v>9</v>
      </c>
      <c r="B73" s="15" t="s">
        <v>9</v>
      </c>
      <c r="C73" s="3" t="s">
        <v>94</v>
      </c>
      <c r="D73" s="15" t="s">
        <v>9</v>
      </c>
      <c r="E73" s="15" t="s">
        <v>9</v>
      </c>
      <c r="F73" s="13">
        <v>0</v>
      </c>
      <c r="G73" s="14">
        <v>0</v>
      </c>
      <c r="H73" s="100"/>
    </row>
    <row r="74" spans="1:8" x14ac:dyDescent="0.2">
      <c r="A74" s="15" t="s">
        <v>9</v>
      </c>
      <c r="B74" s="15" t="s">
        <v>9</v>
      </c>
      <c r="C74" s="11" t="s">
        <v>9</v>
      </c>
      <c r="D74" s="15" t="s">
        <v>9</v>
      </c>
      <c r="E74" s="15" t="s">
        <v>9</v>
      </c>
      <c r="F74" s="12" t="s">
        <v>9</v>
      </c>
      <c r="G74" s="12" t="s">
        <v>9</v>
      </c>
      <c r="H74" s="100"/>
    </row>
    <row r="75" spans="1:8" x14ac:dyDescent="0.2">
      <c r="A75" s="15" t="s">
        <v>9</v>
      </c>
      <c r="B75" s="15" t="s">
        <v>9</v>
      </c>
      <c r="C75" s="3" t="s">
        <v>108</v>
      </c>
      <c r="D75" s="15" t="s">
        <v>9</v>
      </c>
      <c r="E75" s="15" t="s">
        <v>9</v>
      </c>
      <c r="F75" s="12" t="s">
        <v>9</v>
      </c>
      <c r="G75" s="12" t="s">
        <v>9</v>
      </c>
      <c r="H75" s="100"/>
    </row>
    <row r="76" spans="1:8" x14ac:dyDescent="0.2">
      <c r="A76" s="15" t="s">
        <v>9</v>
      </c>
      <c r="B76" s="15" t="s">
        <v>9</v>
      </c>
      <c r="C76" s="3" t="s">
        <v>94</v>
      </c>
      <c r="D76" s="15" t="s">
        <v>9</v>
      </c>
      <c r="E76" s="15" t="s">
        <v>9</v>
      </c>
      <c r="F76" s="13">
        <v>0</v>
      </c>
      <c r="G76" s="14">
        <v>0</v>
      </c>
      <c r="H76" s="100"/>
    </row>
    <row r="77" spans="1:8" x14ac:dyDescent="0.2">
      <c r="A77" s="15" t="s">
        <v>9</v>
      </c>
      <c r="B77" s="15" t="s">
        <v>9</v>
      </c>
      <c r="C77" s="11" t="s">
        <v>9</v>
      </c>
      <c r="D77" s="15" t="s">
        <v>9</v>
      </c>
      <c r="E77" s="15" t="s">
        <v>9</v>
      </c>
      <c r="F77" s="12" t="s">
        <v>9</v>
      </c>
      <c r="G77" s="12" t="s">
        <v>9</v>
      </c>
      <c r="H77" s="100"/>
    </row>
    <row r="78" spans="1:8" x14ac:dyDescent="0.2">
      <c r="A78" s="15" t="s">
        <v>9</v>
      </c>
      <c r="B78" s="15" t="s">
        <v>9</v>
      </c>
      <c r="C78" s="3" t="s">
        <v>109</v>
      </c>
      <c r="D78" s="15" t="s">
        <v>9</v>
      </c>
      <c r="E78" s="15" t="s">
        <v>9</v>
      </c>
      <c r="F78" s="9">
        <v>0</v>
      </c>
      <c r="G78" s="10">
        <v>0</v>
      </c>
      <c r="H78" s="100"/>
    </row>
    <row r="79" spans="1:8" x14ac:dyDescent="0.2">
      <c r="A79" s="15" t="s">
        <v>9</v>
      </c>
      <c r="B79" s="15" t="s">
        <v>9</v>
      </c>
      <c r="C79" s="11" t="s">
        <v>9</v>
      </c>
      <c r="D79" s="15" t="s">
        <v>9</v>
      </c>
      <c r="E79" s="15" t="s">
        <v>9</v>
      </c>
      <c r="F79" s="12" t="s">
        <v>9</v>
      </c>
      <c r="G79" s="12" t="s">
        <v>9</v>
      </c>
      <c r="H79" s="100"/>
    </row>
    <row r="80" spans="1:8" x14ac:dyDescent="0.2">
      <c r="A80" s="15" t="s">
        <v>9</v>
      </c>
      <c r="B80" s="15" t="s">
        <v>9</v>
      </c>
      <c r="C80" s="3" t="s">
        <v>110</v>
      </c>
      <c r="D80" s="15" t="s">
        <v>9</v>
      </c>
      <c r="E80" s="15" t="s">
        <v>9</v>
      </c>
      <c r="F80" s="12" t="s">
        <v>9</v>
      </c>
      <c r="G80" s="12" t="s">
        <v>9</v>
      </c>
      <c r="H80" s="100"/>
    </row>
    <row r="81" spans="1:8" x14ac:dyDescent="0.2">
      <c r="A81" s="15" t="s">
        <v>9</v>
      </c>
      <c r="B81" s="15" t="s">
        <v>9</v>
      </c>
      <c r="C81" s="3" t="s">
        <v>111</v>
      </c>
      <c r="D81" s="15" t="s">
        <v>9</v>
      </c>
      <c r="E81" s="15" t="s">
        <v>9</v>
      </c>
      <c r="F81" s="12" t="s">
        <v>9</v>
      </c>
      <c r="G81" s="12" t="s">
        <v>9</v>
      </c>
      <c r="H81" s="100"/>
    </row>
    <row r="82" spans="1:8" x14ac:dyDescent="0.2">
      <c r="A82" s="15" t="s">
        <v>9</v>
      </c>
      <c r="B82" s="15" t="s">
        <v>9</v>
      </c>
      <c r="C82" s="3" t="s">
        <v>94</v>
      </c>
      <c r="D82" s="15" t="s">
        <v>9</v>
      </c>
      <c r="E82" s="15" t="s">
        <v>9</v>
      </c>
      <c r="F82" s="13">
        <v>0</v>
      </c>
      <c r="G82" s="14">
        <v>0</v>
      </c>
      <c r="H82" s="100"/>
    </row>
    <row r="83" spans="1:8" x14ac:dyDescent="0.2">
      <c r="A83" s="15" t="s">
        <v>9</v>
      </c>
      <c r="B83" s="15" t="s">
        <v>9</v>
      </c>
      <c r="C83" s="11" t="s">
        <v>9</v>
      </c>
      <c r="D83" s="15" t="s">
        <v>9</v>
      </c>
      <c r="E83" s="15" t="s">
        <v>9</v>
      </c>
      <c r="F83" s="12" t="s">
        <v>9</v>
      </c>
      <c r="G83" s="12" t="s">
        <v>9</v>
      </c>
      <c r="H83" s="100"/>
    </row>
    <row r="84" spans="1:8" x14ac:dyDescent="0.2">
      <c r="A84" s="15" t="s">
        <v>9</v>
      </c>
      <c r="B84" s="15" t="s">
        <v>9</v>
      </c>
      <c r="C84" s="3" t="s">
        <v>112</v>
      </c>
      <c r="D84" s="15" t="s">
        <v>9</v>
      </c>
      <c r="E84" s="15" t="s">
        <v>9</v>
      </c>
      <c r="F84" s="12" t="s">
        <v>9</v>
      </c>
      <c r="G84" s="12" t="s">
        <v>9</v>
      </c>
      <c r="H84" s="100"/>
    </row>
    <row r="85" spans="1:8" x14ac:dyDescent="0.2">
      <c r="A85" s="15" t="s">
        <v>9</v>
      </c>
      <c r="B85" s="15" t="s">
        <v>9</v>
      </c>
      <c r="C85" s="3" t="s">
        <v>94</v>
      </c>
      <c r="D85" s="15" t="s">
        <v>9</v>
      </c>
      <c r="E85" s="15" t="s">
        <v>9</v>
      </c>
      <c r="F85" s="13">
        <v>0</v>
      </c>
      <c r="G85" s="14">
        <v>0</v>
      </c>
      <c r="H85" s="100"/>
    </row>
    <row r="86" spans="1:8" x14ac:dyDescent="0.2">
      <c r="A86" s="15" t="s">
        <v>9</v>
      </c>
      <c r="B86" s="15" t="s">
        <v>9</v>
      </c>
      <c r="C86" s="11" t="s">
        <v>9</v>
      </c>
      <c r="D86" s="15" t="s">
        <v>9</v>
      </c>
      <c r="E86" s="15" t="s">
        <v>9</v>
      </c>
      <c r="F86" s="12" t="s">
        <v>9</v>
      </c>
      <c r="G86" s="12" t="s">
        <v>9</v>
      </c>
      <c r="H86" s="100"/>
    </row>
    <row r="87" spans="1:8" x14ac:dyDescent="0.2">
      <c r="A87" s="15" t="s">
        <v>9</v>
      </c>
      <c r="B87" s="15" t="s">
        <v>9</v>
      </c>
      <c r="C87" s="3" t="s">
        <v>113</v>
      </c>
      <c r="D87" s="15" t="s">
        <v>9</v>
      </c>
      <c r="E87" s="15" t="s">
        <v>9</v>
      </c>
      <c r="F87" s="12" t="s">
        <v>9</v>
      </c>
      <c r="G87" s="12" t="s">
        <v>9</v>
      </c>
      <c r="H87" s="100"/>
    </row>
    <row r="88" spans="1:8" x14ac:dyDescent="0.2">
      <c r="A88" s="15" t="s">
        <v>9</v>
      </c>
      <c r="B88" s="15" t="s">
        <v>9</v>
      </c>
      <c r="C88" s="3" t="s">
        <v>94</v>
      </c>
      <c r="D88" s="15" t="s">
        <v>9</v>
      </c>
      <c r="E88" s="15" t="s">
        <v>9</v>
      </c>
      <c r="F88" s="13">
        <v>0</v>
      </c>
      <c r="G88" s="14">
        <v>0</v>
      </c>
      <c r="H88" s="100"/>
    </row>
    <row r="89" spans="1:8" x14ac:dyDescent="0.2">
      <c r="A89" s="15" t="s">
        <v>9</v>
      </c>
      <c r="B89" s="15" t="s">
        <v>9</v>
      </c>
      <c r="C89" s="11" t="s">
        <v>9</v>
      </c>
      <c r="D89" s="15" t="s">
        <v>9</v>
      </c>
      <c r="E89" s="15" t="s">
        <v>9</v>
      </c>
      <c r="F89" s="12" t="s">
        <v>9</v>
      </c>
      <c r="G89" s="12" t="s">
        <v>9</v>
      </c>
      <c r="H89" s="100"/>
    </row>
    <row r="90" spans="1:8" x14ac:dyDescent="0.2">
      <c r="A90" s="15" t="s">
        <v>9</v>
      </c>
      <c r="B90" s="15" t="s">
        <v>9</v>
      </c>
      <c r="C90" s="3" t="s">
        <v>114</v>
      </c>
      <c r="D90" s="15" t="s">
        <v>9</v>
      </c>
      <c r="E90" s="15" t="s">
        <v>9</v>
      </c>
      <c r="F90" s="12" t="s">
        <v>9</v>
      </c>
      <c r="G90" s="12" t="s">
        <v>9</v>
      </c>
      <c r="H90" s="100"/>
    </row>
    <row r="91" spans="1:8" x14ac:dyDescent="0.2">
      <c r="A91" s="4">
        <v>1</v>
      </c>
      <c r="B91" s="5"/>
      <c r="C91" s="5" t="s">
        <v>115</v>
      </c>
      <c r="D91" s="5"/>
      <c r="E91" s="15" t="s">
        <v>9</v>
      </c>
      <c r="F91" s="7">
        <v>14.483929099999999</v>
      </c>
      <c r="G91" s="8">
        <v>8.4305790000000005E-3</v>
      </c>
      <c r="H91" s="99">
        <v>3.2516689338443991</v>
      </c>
    </row>
    <row r="92" spans="1:8" x14ac:dyDescent="0.2">
      <c r="A92" s="4">
        <v>2</v>
      </c>
      <c r="B92" s="5"/>
      <c r="C92" s="5" t="s">
        <v>116</v>
      </c>
      <c r="D92" s="5"/>
      <c r="E92" s="15" t="s">
        <v>9</v>
      </c>
      <c r="F92" s="7">
        <v>1.9844472</v>
      </c>
      <c r="G92" s="8">
        <v>1.1550760000000001E-3</v>
      </c>
      <c r="H92" s="100">
        <v>3.350000000000001</v>
      </c>
    </row>
    <row r="93" spans="1:8" x14ac:dyDescent="0.2">
      <c r="A93" s="15" t="s">
        <v>9</v>
      </c>
      <c r="B93" s="15" t="s">
        <v>9</v>
      </c>
      <c r="C93" s="3" t="s">
        <v>94</v>
      </c>
      <c r="D93" s="15" t="s">
        <v>9</v>
      </c>
      <c r="E93" s="15" t="s">
        <v>9</v>
      </c>
      <c r="F93" s="9">
        <v>16.468376299999999</v>
      </c>
      <c r="G93" s="10">
        <v>9.5856550000000002E-3</v>
      </c>
      <c r="H93" s="100"/>
    </row>
    <row r="94" spans="1:8" x14ac:dyDescent="0.2">
      <c r="A94" s="15" t="s">
        <v>9</v>
      </c>
      <c r="B94" s="15" t="s">
        <v>9</v>
      </c>
      <c r="C94" s="11" t="s">
        <v>9</v>
      </c>
      <c r="D94" s="15" t="s">
        <v>9</v>
      </c>
      <c r="E94" s="15" t="s">
        <v>9</v>
      </c>
      <c r="F94" s="12" t="s">
        <v>9</v>
      </c>
      <c r="G94" s="12" t="s">
        <v>9</v>
      </c>
      <c r="H94" s="100"/>
    </row>
    <row r="95" spans="1:8" x14ac:dyDescent="0.2">
      <c r="A95" s="15" t="s">
        <v>9</v>
      </c>
      <c r="B95" s="15" t="s">
        <v>9</v>
      </c>
      <c r="C95" s="3" t="s">
        <v>117</v>
      </c>
      <c r="D95" s="15" t="s">
        <v>9</v>
      </c>
      <c r="E95" s="15" t="s">
        <v>9</v>
      </c>
      <c r="F95" s="9">
        <v>16.468376299999999</v>
      </c>
      <c r="G95" s="10">
        <v>9.5856550000000002E-3</v>
      </c>
      <c r="H95" s="100"/>
    </row>
    <row r="96" spans="1:8" x14ac:dyDescent="0.2">
      <c r="A96" s="15" t="s">
        <v>9</v>
      </c>
      <c r="B96" s="15" t="s">
        <v>9</v>
      </c>
      <c r="C96" s="12" t="s">
        <v>9</v>
      </c>
      <c r="D96" s="15" t="s">
        <v>9</v>
      </c>
      <c r="E96" s="15" t="s">
        <v>9</v>
      </c>
      <c r="F96" s="15" t="s">
        <v>9</v>
      </c>
      <c r="G96" s="15" t="s">
        <v>9</v>
      </c>
      <c r="H96" s="100"/>
    </row>
    <row r="97" spans="1:8" x14ac:dyDescent="0.2">
      <c r="A97" s="15" t="s">
        <v>9</v>
      </c>
      <c r="B97" s="15" t="s">
        <v>9</v>
      </c>
      <c r="C97" s="3" t="s">
        <v>118</v>
      </c>
      <c r="D97" s="15" t="s">
        <v>9</v>
      </c>
      <c r="E97" s="15" t="s">
        <v>9</v>
      </c>
      <c r="F97" s="15" t="s">
        <v>9</v>
      </c>
      <c r="G97" s="15" t="s">
        <v>9</v>
      </c>
      <c r="H97" s="100"/>
    </row>
    <row r="98" spans="1:8" x14ac:dyDescent="0.2">
      <c r="A98" s="15" t="s">
        <v>9</v>
      </c>
      <c r="B98" s="15" t="s">
        <v>9</v>
      </c>
      <c r="C98" s="3" t="s">
        <v>119</v>
      </c>
      <c r="D98" s="15" t="s">
        <v>9</v>
      </c>
      <c r="E98" s="15" t="s">
        <v>9</v>
      </c>
      <c r="F98" s="15" t="s">
        <v>9</v>
      </c>
      <c r="G98" s="15" t="s">
        <v>9</v>
      </c>
      <c r="H98" s="100"/>
    </row>
    <row r="99" spans="1:8" x14ac:dyDescent="0.2">
      <c r="A99" s="15" t="s">
        <v>9</v>
      </c>
      <c r="B99" s="15" t="s">
        <v>9</v>
      </c>
      <c r="C99" s="3" t="s">
        <v>94</v>
      </c>
      <c r="D99" s="15" t="s">
        <v>9</v>
      </c>
      <c r="E99" s="15" t="s">
        <v>9</v>
      </c>
      <c r="F99" s="13">
        <v>0</v>
      </c>
      <c r="G99" s="14">
        <v>0</v>
      </c>
      <c r="H99" s="100"/>
    </row>
    <row r="100" spans="1:8" x14ac:dyDescent="0.2">
      <c r="A100" s="15" t="s">
        <v>9</v>
      </c>
      <c r="B100" s="15" t="s">
        <v>9</v>
      </c>
      <c r="C100" s="11" t="s">
        <v>9</v>
      </c>
      <c r="D100" s="15" t="s">
        <v>9</v>
      </c>
      <c r="E100" s="15" t="s">
        <v>9</v>
      </c>
      <c r="F100" s="12" t="s">
        <v>9</v>
      </c>
      <c r="G100" s="12" t="s">
        <v>9</v>
      </c>
      <c r="H100" s="100"/>
    </row>
    <row r="101" spans="1:8" x14ac:dyDescent="0.2">
      <c r="A101" s="15" t="s">
        <v>9</v>
      </c>
      <c r="B101" s="15" t="s">
        <v>9</v>
      </c>
      <c r="C101" s="3" t="s">
        <v>120</v>
      </c>
      <c r="D101" s="15" t="s">
        <v>9</v>
      </c>
      <c r="E101" s="15" t="s">
        <v>9</v>
      </c>
      <c r="F101" s="15" t="s">
        <v>9</v>
      </c>
      <c r="G101" s="15" t="s">
        <v>9</v>
      </c>
      <c r="H101" s="100"/>
    </row>
    <row r="102" spans="1:8" x14ac:dyDescent="0.2">
      <c r="A102" s="15" t="s">
        <v>9</v>
      </c>
      <c r="B102" s="15" t="s">
        <v>9</v>
      </c>
      <c r="C102" s="3" t="s">
        <v>121</v>
      </c>
      <c r="D102" s="15" t="s">
        <v>9</v>
      </c>
      <c r="E102" s="15" t="s">
        <v>9</v>
      </c>
      <c r="F102" s="15" t="s">
        <v>9</v>
      </c>
      <c r="G102" s="15" t="s">
        <v>9</v>
      </c>
      <c r="H102" s="100"/>
    </row>
    <row r="103" spans="1:8" x14ac:dyDescent="0.2">
      <c r="A103" s="15" t="s">
        <v>9</v>
      </c>
      <c r="B103" s="15" t="s">
        <v>9</v>
      </c>
      <c r="C103" s="3" t="s">
        <v>94</v>
      </c>
      <c r="D103" s="15" t="s">
        <v>9</v>
      </c>
      <c r="E103" s="15" t="s">
        <v>9</v>
      </c>
      <c r="F103" s="13">
        <v>0</v>
      </c>
      <c r="G103" s="14">
        <v>0</v>
      </c>
      <c r="H103" s="100"/>
    </row>
    <row r="104" spans="1:8" x14ac:dyDescent="0.2">
      <c r="A104" s="15" t="s">
        <v>9</v>
      </c>
      <c r="B104" s="15" t="s">
        <v>9</v>
      </c>
      <c r="C104" s="11" t="s">
        <v>9</v>
      </c>
      <c r="D104" s="15" t="s">
        <v>9</v>
      </c>
      <c r="E104" s="15" t="s">
        <v>9</v>
      </c>
      <c r="F104" s="12" t="s">
        <v>9</v>
      </c>
      <c r="G104" s="12" t="s">
        <v>9</v>
      </c>
      <c r="H104" s="100"/>
    </row>
    <row r="105" spans="1:8" x14ac:dyDescent="0.2">
      <c r="A105" s="15" t="s">
        <v>9</v>
      </c>
      <c r="B105" s="15" t="s">
        <v>9</v>
      </c>
      <c r="C105" s="11" t="s">
        <v>9</v>
      </c>
      <c r="D105" s="15" t="s">
        <v>9</v>
      </c>
      <c r="E105" s="15" t="s">
        <v>9</v>
      </c>
      <c r="F105" s="12" t="s">
        <v>9</v>
      </c>
      <c r="G105" s="12" t="s">
        <v>9</v>
      </c>
      <c r="H105" s="100"/>
    </row>
    <row r="106" spans="1:8" ht="25.5" x14ac:dyDescent="0.2">
      <c r="A106" s="15" t="s">
        <v>9</v>
      </c>
      <c r="B106" s="15" t="s">
        <v>9</v>
      </c>
      <c r="C106" s="3" t="s">
        <v>122</v>
      </c>
      <c r="D106" s="15" t="s">
        <v>9</v>
      </c>
      <c r="E106" s="15" t="s">
        <v>9</v>
      </c>
      <c r="F106" s="12" t="s">
        <v>9</v>
      </c>
      <c r="G106" s="12" t="s">
        <v>9</v>
      </c>
      <c r="H106" s="100"/>
    </row>
    <row r="107" spans="1:8" x14ac:dyDescent="0.2">
      <c r="A107" s="15" t="s">
        <v>9</v>
      </c>
      <c r="B107" s="15" t="s">
        <v>9</v>
      </c>
      <c r="C107" s="3" t="s">
        <v>94</v>
      </c>
      <c r="D107" s="15" t="s">
        <v>9</v>
      </c>
      <c r="E107" s="15" t="s">
        <v>9</v>
      </c>
      <c r="F107" s="13">
        <v>0</v>
      </c>
      <c r="G107" s="14">
        <v>0</v>
      </c>
      <c r="H107" s="100"/>
    </row>
    <row r="108" spans="1:8" x14ac:dyDescent="0.2">
      <c r="A108" s="15" t="s">
        <v>9</v>
      </c>
      <c r="B108" s="15" t="s">
        <v>9</v>
      </c>
      <c r="C108" s="11" t="s">
        <v>9</v>
      </c>
      <c r="D108" s="15" t="s">
        <v>9</v>
      </c>
      <c r="E108" s="15" t="s">
        <v>9</v>
      </c>
      <c r="F108" s="12" t="s">
        <v>9</v>
      </c>
      <c r="G108" s="12" t="s">
        <v>9</v>
      </c>
      <c r="H108" s="100"/>
    </row>
    <row r="109" spans="1:8" x14ac:dyDescent="0.2">
      <c r="A109" s="15" t="s">
        <v>9</v>
      </c>
      <c r="B109" s="5" t="s">
        <v>9</v>
      </c>
      <c r="C109" s="5" t="s">
        <v>9</v>
      </c>
      <c r="D109" s="3" t="s">
        <v>9</v>
      </c>
      <c r="E109" s="15" t="s">
        <v>9</v>
      </c>
      <c r="F109" s="5" t="s">
        <v>9</v>
      </c>
      <c r="G109" s="15" t="s">
        <v>9</v>
      </c>
      <c r="H109" s="100"/>
    </row>
    <row r="110" spans="1:8" x14ac:dyDescent="0.2">
      <c r="A110" s="15" t="s">
        <v>9</v>
      </c>
      <c r="B110" s="5" t="s">
        <v>9</v>
      </c>
      <c r="C110" s="5" t="s">
        <v>124</v>
      </c>
      <c r="D110" s="5" t="s">
        <v>9</v>
      </c>
      <c r="E110" s="15" t="s">
        <v>9</v>
      </c>
      <c r="F110" s="7">
        <v>1.3459867000000001</v>
      </c>
      <c r="G110" s="8">
        <v>7.83451E-4</v>
      </c>
      <c r="H110" s="100"/>
    </row>
    <row r="111" spans="1:8" x14ac:dyDescent="0.2">
      <c r="A111" s="11" t="s">
        <v>9</v>
      </c>
      <c r="B111" s="11" t="s">
        <v>9</v>
      </c>
      <c r="C111" s="3" t="s">
        <v>125</v>
      </c>
      <c r="D111" s="16" t="s">
        <v>9</v>
      </c>
      <c r="E111" s="16" t="s">
        <v>9</v>
      </c>
      <c r="F111" s="9">
        <v>1718.0231455000001</v>
      </c>
      <c r="G111" s="10">
        <v>1.000000003</v>
      </c>
      <c r="H111" s="100"/>
    </row>
    <row r="112" spans="1:8" x14ac:dyDescent="0.2">
      <c r="A112" s="17" t="s">
        <v>9</v>
      </c>
      <c r="B112" s="17" t="s">
        <v>9</v>
      </c>
      <c r="C112" s="17" t="s">
        <v>9</v>
      </c>
      <c r="D112" s="18" t="s">
        <v>9</v>
      </c>
      <c r="E112" s="18" t="s">
        <v>9</v>
      </c>
      <c r="F112" s="18" t="s">
        <v>9</v>
      </c>
      <c r="G112" s="18" t="s">
        <v>9</v>
      </c>
      <c r="H112" s="142"/>
    </row>
    <row r="113" spans="1:8" x14ac:dyDescent="0.2">
      <c r="A113" s="19" t="s">
        <v>9</v>
      </c>
      <c r="B113" s="254" t="s">
        <v>9</v>
      </c>
      <c r="C113" s="254"/>
      <c r="D113" s="254"/>
      <c r="E113" s="254"/>
      <c r="F113" s="254"/>
      <c r="G113" s="20" t="s">
        <v>9</v>
      </c>
      <c r="H113" s="142"/>
    </row>
    <row r="114" spans="1:8" x14ac:dyDescent="0.2">
      <c r="A114" s="19" t="s">
        <v>9</v>
      </c>
      <c r="B114" s="254" t="s">
        <v>9</v>
      </c>
      <c r="C114" s="254"/>
      <c r="D114" s="254"/>
      <c r="E114" s="254"/>
      <c r="F114" s="254"/>
      <c r="G114" s="20" t="s">
        <v>9</v>
      </c>
      <c r="H114" s="142"/>
    </row>
    <row r="115" spans="1:8" x14ac:dyDescent="0.2">
      <c r="A115" s="19" t="s">
        <v>9</v>
      </c>
      <c r="B115" s="19" t="s">
        <v>9</v>
      </c>
      <c r="C115" s="19" t="s">
        <v>9</v>
      </c>
      <c r="D115" s="20" t="s">
        <v>9</v>
      </c>
      <c r="E115" s="20" t="s">
        <v>9</v>
      </c>
      <c r="F115" s="20" t="s">
        <v>9</v>
      </c>
      <c r="G115" s="20" t="s">
        <v>9</v>
      </c>
      <c r="H115" s="142"/>
    </row>
    <row r="116" spans="1:8" x14ac:dyDescent="0.2">
      <c r="A116" s="19" t="s">
        <v>9</v>
      </c>
      <c r="B116" s="247" t="s">
        <v>127</v>
      </c>
      <c r="C116" s="248"/>
      <c r="D116" s="182" t="s">
        <v>9</v>
      </c>
      <c r="E116" s="21" t="s">
        <v>9</v>
      </c>
      <c r="F116" s="20" t="s">
        <v>9</v>
      </c>
      <c r="G116" s="20" t="s">
        <v>9</v>
      </c>
      <c r="H116" s="142"/>
    </row>
    <row r="117" spans="1:8" ht="28.5" customHeight="1" x14ac:dyDescent="0.2">
      <c r="A117" s="19" t="s">
        <v>9</v>
      </c>
      <c r="B117" s="242" t="s">
        <v>128</v>
      </c>
      <c r="C117" s="243"/>
      <c r="D117" s="3" t="s">
        <v>129</v>
      </c>
      <c r="E117" s="21" t="s">
        <v>9</v>
      </c>
      <c r="F117" s="20" t="s">
        <v>9</v>
      </c>
      <c r="G117" s="20" t="s">
        <v>9</v>
      </c>
      <c r="H117" s="142"/>
    </row>
    <row r="118" spans="1:8" x14ac:dyDescent="0.2">
      <c r="A118" s="19" t="s">
        <v>9</v>
      </c>
      <c r="B118" s="240" t="s">
        <v>130</v>
      </c>
      <c r="C118" s="241"/>
      <c r="D118" s="177" t="s">
        <v>129</v>
      </c>
      <c r="E118" s="21" t="s">
        <v>9</v>
      </c>
      <c r="F118" s="20" t="s">
        <v>9</v>
      </c>
      <c r="G118" s="20" t="s">
        <v>9</v>
      </c>
      <c r="H118" s="142"/>
    </row>
    <row r="119" spans="1:8" x14ac:dyDescent="0.2">
      <c r="A119" s="19" t="s">
        <v>9</v>
      </c>
      <c r="B119" s="240" t="s">
        <v>131</v>
      </c>
      <c r="C119" s="241"/>
      <c r="D119" s="182" t="s">
        <v>9</v>
      </c>
      <c r="E119" s="21" t="s">
        <v>9</v>
      </c>
      <c r="F119" s="20" t="s">
        <v>9</v>
      </c>
      <c r="G119" s="20" t="s">
        <v>9</v>
      </c>
      <c r="H119" s="142"/>
    </row>
    <row r="120" spans="1:8" ht="25.5" x14ac:dyDescent="0.2">
      <c r="A120" s="25" t="s">
        <v>9</v>
      </c>
      <c r="B120" s="23" t="s">
        <v>9</v>
      </c>
      <c r="C120" s="23" t="s">
        <v>132</v>
      </c>
      <c r="D120" s="23" t="s">
        <v>133</v>
      </c>
      <c r="E120" s="25" t="s">
        <v>9</v>
      </c>
      <c r="F120" s="25" t="s">
        <v>9</v>
      </c>
      <c r="G120" s="25" t="s">
        <v>9</v>
      </c>
      <c r="H120" s="142"/>
    </row>
    <row r="121" spans="1:8" x14ac:dyDescent="0.2">
      <c r="A121" s="25" t="s">
        <v>9</v>
      </c>
      <c r="B121" s="23" t="s">
        <v>134</v>
      </c>
      <c r="C121" s="23" t="s">
        <v>135</v>
      </c>
      <c r="D121" s="23" t="s">
        <v>136</v>
      </c>
      <c r="E121" s="25" t="s">
        <v>9</v>
      </c>
      <c r="F121" s="25" t="s">
        <v>9</v>
      </c>
      <c r="G121" s="25" t="s">
        <v>9</v>
      </c>
      <c r="H121" s="142"/>
    </row>
    <row r="122" spans="1:8" x14ac:dyDescent="0.2">
      <c r="A122" s="25" t="s">
        <v>9</v>
      </c>
      <c r="B122" s="183" t="s">
        <v>137</v>
      </c>
      <c r="C122" s="184">
        <v>17.959</v>
      </c>
      <c r="D122" s="184">
        <v>17.929300000000001</v>
      </c>
      <c r="E122" s="25" t="s">
        <v>9</v>
      </c>
      <c r="F122" s="73" t="s">
        <v>9</v>
      </c>
      <c r="G122" s="25" t="s">
        <v>9</v>
      </c>
      <c r="H122" s="142"/>
    </row>
    <row r="123" spans="1:8" x14ac:dyDescent="0.2">
      <c r="A123" s="25" t="s">
        <v>9</v>
      </c>
      <c r="B123" s="183" t="s">
        <v>921</v>
      </c>
      <c r="C123" s="184">
        <v>16.564599999999999</v>
      </c>
      <c r="D123" s="184">
        <v>16.537299999999998</v>
      </c>
      <c r="E123" s="25" t="s">
        <v>9</v>
      </c>
      <c r="F123" s="73" t="s">
        <v>9</v>
      </c>
      <c r="G123" s="25" t="s">
        <v>9</v>
      </c>
      <c r="H123" s="142"/>
    </row>
    <row r="124" spans="1:8" x14ac:dyDescent="0.2">
      <c r="A124" s="25" t="s">
        <v>9</v>
      </c>
      <c r="B124" s="183" t="s">
        <v>138</v>
      </c>
      <c r="C124" s="184">
        <v>17.578299999999999</v>
      </c>
      <c r="D124" s="184">
        <v>17.548999999999999</v>
      </c>
      <c r="E124" s="25" t="s">
        <v>9</v>
      </c>
      <c r="F124" s="73" t="s">
        <v>9</v>
      </c>
      <c r="G124" s="25" t="s">
        <v>9</v>
      </c>
      <c r="H124" s="142"/>
    </row>
    <row r="125" spans="1:8" x14ac:dyDescent="0.2">
      <c r="A125" s="25" t="s">
        <v>9</v>
      </c>
      <c r="B125" s="183" t="s">
        <v>922</v>
      </c>
      <c r="C125" s="184">
        <v>16.197299999999998</v>
      </c>
      <c r="D125" s="184">
        <v>16.170400000000001</v>
      </c>
      <c r="E125" s="25" t="s">
        <v>9</v>
      </c>
      <c r="F125" s="73" t="s">
        <v>9</v>
      </c>
      <c r="G125" s="25" t="s">
        <v>9</v>
      </c>
      <c r="H125" s="142"/>
    </row>
    <row r="126" spans="1:8" x14ac:dyDescent="0.2">
      <c r="A126" s="25" t="s">
        <v>9</v>
      </c>
      <c r="B126" s="22" t="s">
        <v>9</v>
      </c>
      <c r="C126" s="22" t="s">
        <v>9</v>
      </c>
      <c r="D126" s="22" t="s">
        <v>9</v>
      </c>
      <c r="E126" s="25" t="s">
        <v>9</v>
      </c>
      <c r="F126" s="25" t="s">
        <v>9</v>
      </c>
      <c r="G126" s="25" t="s">
        <v>9</v>
      </c>
      <c r="H126" s="142"/>
    </row>
    <row r="127" spans="1:8" x14ac:dyDescent="0.2">
      <c r="A127" s="25" t="s">
        <v>9</v>
      </c>
      <c r="B127" s="240" t="s">
        <v>1012</v>
      </c>
      <c r="C127" s="241"/>
      <c r="D127" s="177" t="s">
        <v>129</v>
      </c>
      <c r="E127" s="25" t="s">
        <v>9</v>
      </c>
      <c r="F127" s="25" t="s">
        <v>9</v>
      </c>
      <c r="G127" s="25" t="s">
        <v>9</v>
      </c>
      <c r="H127" s="142"/>
    </row>
    <row r="128" spans="1:8" x14ac:dyDescent="0.2">
      <c r="A128" s="25" t="s">
        <v>9</v>
      </c>
      <c r="B128" s="98"/>
      <c r="C128" s="98"/>
      <c r="D128" s="26" t="s">
        <v>9</v>
      </c>
      <c r="E128" s="25" t="s">
        <v>9</v>
      </c>
      <c r="F128" s="25" t="s">
        <v>9</v>
      </c>
      <c r="G128" s="25" t="s">
        <v>9</v>
      </c>
      <c r="H128" s="142"/>
    </row>
    <row r="129" spans="1:8" s="238" customFormat="1" ht="12.75" x14ac:dyDescent="0.2">
      <c r="B129" s="246" t="s">
        <v>923</v>
      </c>
      <c r="C129" s="246"/>
      <c r="D129" s="246"/>
      <c r="E129" s="246"/>
      <c r="F129" s="246"/>
    </row>
    <row r="130" spans="1:8" x14ac:dyDescent="0.2">
      <c r="A130" s="25" t="s">
        <v>9</v>
      </c>
      <c r="B130" s="185" t="s">
        <v>9</v>
      </c>
      <c r="C130" s="185" t="s">
        <v>9</v>
      </c>
      <c r="D130" s="22" t="s">
        <v>9</v>
      </c>
      <c r="E130" s="25" t="s">
        <v>9</v>
      </c>
      <c r="F130" s="25" t="s">
        <v>9</v>
      </c>
      <c r="G130" s="25" t="s">
        <v>9</v>
      </c>
      <c r="H130" s="142"/>
    </row>
    <row r="131" spans="1:8" x14ac:dyDescent="0.2">
      <c r="A131" s="25" t="s">
        <v>9</v>
      </c>
      <c r="B131" s="240" t="s">
        <v>139</v>
      </c>
      <c r="C131" s="241"/>
      <c r="D131" s="177" t="s">
        <v>129</v>
      </c>
      <c r="E131" s="25" t="s">
        <v>9</v>
      </c>
      <c r="F131" s="25" t="s">
        <v>9</v>
      </c>
      <c r="G131" s="25" t="s">
        <v>9</v>
      </c>
      <c r="H131" s="142"/>
    </row>
    <row r="132" spans="1:8" x14ac:dyDescent="0.2">
      <c r="A132" s="25" t="s">
        <v>9</v>
      </c>
      <c r="B132" s="240" t="s">
        <v>140</v>
      </c>
      <c r="C132" s="241"/>
      <c r="D132" s="177" t="s">
        <v>129</v>
      </c>
      <c r="E132" s="25" t="s">
        <v>9</v>
      </c>
      <c r="F132" s="25" t="s">
        <v>9</v>
      </c>
      <c r="G132" s="25" t="s">
        <v>9</v>
      </c>
      <c r="H132" s="142"/>
    </row>
    <row r="133" spans="1:8" x14ac:dyDescent="0.2">
      <c r="A133" s="25" t="s">
        <v>9</v>
      </c>
      <c r="B133" s="240" t="s">
        <v>141</v>
      </c>
      <c r="C133" s="241"/>
      <c r="D133" s="186">
        <v>0.18230274353731923</v>
      </c>
      <c r="E133" s="25" t="s">
        <v>9</v>
      </c>
      <c r="F133" s="73" t="s">
        <v>9</v>
      </c>
      <c r="G133" s="25" t="s">
        <v>9</v>
      </c>
      <c r="H133" s="142"/>
    </row>
    <row r="134" spans="1:8" x14ac:dyDescent="0.2">
      <c r="A134" s="25" t="s">
        <v>9</v>
      </c>
      <c r="B134" s="240" t="s">
        <v>142</v>
      </c>
      <c r="C134" s="241"/>
      <c r="D134" s="177" t="s">
        <v>129</v>
      </c>
      <c r="E134" s="25" t="s">
        <v>9</v>
      </c>
      <c r="F134" s="25" t="s">
        <v>9</v>
      </c>
      <c r="G134" s="25" t="s">
        <v>9</v>
      </c>
      <c r="H134" s="142"/>
    </row>
  </sheetData>
  <mergeCells count="15">
    <mergeCell ref="B116:C116"/>
    <mergeCell ref="B113:F113"/>
    <mergeCell ref="B114:F114"/>
    <mergeCell ref="A1:H1"/>
    <mergeCell ref="A2:H2"/>
    <mergeCell ref="A3:H3"/>
    <mergeCell ref="B133:C133"/>
    <mergeCell ref="B134:C134"/>
    <mergeCell ref="B117:C117"/>
    <mergeCell ref="B118:C118"/>
    <mergeCell ref="B119:C119"/>
    <mergeCell ref="B127:C127"/>
    <mergeCell ref="B131:C131"/>
    <mergeCell ref="B132:C132"/>
    <mergeCell ref="B129:F129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outlinePr summaryBelow="0" summaryRight="0"/>
  </sheetPr>
  <dimension ref="A1:H131"/>
  <sheetViews>
    <sheetView showGridLines="0" workbookViewId="0">
      <selection sqref="A1:H1"/>
    </sheetView>
  </sheetViews>
  <sheetFormatPr defaultRowHeight="15" x14ac:dyDescent="0.2"/>
  <cols>
    <col min="1" max="1" width="6.85546875" style="155" customWidth="1"/>
    <col min="2" max="2" width="20.5703125" style="155" customWidth="1"/>
    <col min="3" max="3" width="34.28515625" style="155" customWidth="1"/>
    <col min="4" max="4" width="17.85546875" style="155" customWidth="1"/>
    <col min="5" max="6" width="19.140625" style="155" customWidth="1"/>
    <col min="7" max="7" width="16.42578125" style="155" customWidth="1"/>
    <col min="8" max="16384" width="9.140625" style="155"/>
  </cols>
  <sheetData>
    <row r="1" spans="1:8" x14ac:dyDescent="0.2">
      <c r="A1" s="250" t="s">
        <v>0</v>
      </c>
      <c r="B1" s="250"/>
      <c r="C1" s="250"/>
      <c r="D1" s="250"/>
      <c r="E1" s="250"/>
      <c r="F1" s="250"/>
      <c r="G1" s="250"/>
      <c r="H1" s="250"/>
    </row>
    <row r="2" spans="1:8" x14ac:dyDescent="0.2">
      <c r="A2" s="251" t="s">
        <v>498</v>
      </c>
      <c r="B2" s="252"/>
      <c r="C2" s="252"/>
      <c r="D2" s="252"/>
      <c r="E2" s="252"/>
      <c r="F2" s="252"/>
      <c r="G2" s="252"/>
      <c r="H2" s="253"/>
    </row>
    <row r="3" spans="1:8" x14ac:dyDescent="0.2">
      <c r="A3" s="250" t="s">
        <v>1015</v>
      </c>
      <c r="B3" s="250"/>
      <c r="C3" s="250"/>
      <c r="D3" s="250"/>
      <c r="E3" s="250"/>
      <c r="F3" s="250"/>
      <c r="G3" s="250"/>
      <c r="H3" s="250"/>
    </row>
    <row r="4" spans="1:8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60" t="s">
        <v>6</v>
      </c>
      <c r="F4" s="160" t="s">
        <v>7</v>
      </c>
      <c r="G4" s="160" t="s">
        <v>8</v>
      </c>
      <c r="H4" s="161" t="s">
        <v>909</v>
      </c>
    </row>
    <row r="5" spans="1:8" x14ac:dyDescent="0.2">
      <c r="A5" s="15" t="s">
        <v>9</v>
      </c>
      <c r="B5" s="15" t="s">
        <v>9</v>
      </c>
      <c r="C5" s="3" t="s">
        <v>10</v>
      </c>
      <c r="D5" s="15" t="s">
        <v>9</v>
      </c>
      <c r="E5" s="15" t="s">
        <v>9</v>
      </c>
      <c r="F5" s="15" t="s">
        <v>9</v>
      </c>
      <c r="G5" s="15" t="s">
        <v>9</v>
      </c>
      <c r="H5" s="100"/>
    </row>
    <row r="6" spans="1:8" ht="25.5" x14ac:dyDescent="0.2">
      <c r="A6" s="15" t="s">
        <v>9</v>
      </c>
      <c r="B6" s="15" t="s">
        <v>9</v>
      </c>
      <c r="C6" s="3" t="s">
        <v>11</v>
      </c>
      <c r="D6" s="15" t="s">
        <v>9</v>
      </c>
      <c r="E6" s="15" t="s">
        <v>9</v>
      </c>
      <c r="F6" s="15" t="s">
        <v>9</v>
      </c>
      <c r="G6" s="15" t="s">
        <v>9</v>
      </c>
      <c r="H6" s="100"/>
    </row>
    <row r="7" spans="1:8" x14ac:dyDescent="0.2">
      <c r="A7" s="4">
        <v>1</v>
      </c>
      <c r="B7" s="5" t="s">
        <v>20</v>
      </c>
      <c r="C7" s="5" t="s">
        <v>21</v>
      </c>
      <c r="D7" s="5" t="s">
        <v>22</v>
      </c>
      <c r="E7" s="6">
        <v>15750</v>
      </c>
      <c r="F7" s="7">
        <v>94.578749999999999</v>
      </c>
      <c r="G7" s="8">
        <v>7.5795107E-2</v>
      </c>
      <c r="H7" s="100"/>
    </row>
    <row r="8" spans="1:8" x14ac:dyDescent="0.2">
      <c r="A8" s="4">
        <v>2</v>
      </c>
      <c r="B8" s="5" t="s">
        <v>54</v>
      </c>
      <c r="C8" s="5" t="s">
        <v>55</v>
      </c>
      <c r="D8" s="5" t="s">
        <v>22</v>
      </c>
      <c r="E8" s="6">
        <v>6510</v>
      </c>
      <c r="F8" s="7">
        <v>91.940730000000002</v>
      </c>
      <c r="G8" s="8">
        <v>7.3681005999999993E-2</v>
      </c>
      <c r="H8" s="100"/>
    </row>
    <row r="9" spans="1:8" x14ac:dyDescent="0.2">
      <c r="A9" s="4">
        <v>3</v>
      </c>
      <c r="B9" s="5" t="s">
        <v>15</v>
      </c>
      <c r="C9" s="5" t="s">
        <v>16</v>
      </c>
      <c r="D9" s="5" t="s">
        <v>17</v>
      </c>
      <c r="E9" s="6">
        <v>4492</v>
      </c>
      <c r="F9" s="7">
        <v>89.592939999999999</v>
      </c>
      <c r="G9" s="8">
        <v>7.1799495000000005E-2</v>
      </c>
      <c r="H9" s="100"/>
    </row>
    <row r="10" spans="1:8" x14ac:dyDescent="0.2">
      <c r="A10" s="4">
        <v>4</v>
      </c>
      <c r="B10" s="5" t="s">
        <v>393</v>
      </c>
      <c r="C10" s="5" t="s">
        <v>394</v>
      </c>
      <c r="D10" s="5" t="s">
        <v>151</v>
      </c>
      <c r="E10" s="6">
        <v>6100</v>
      </c>
      <c r="F10" s="7">
        <v>82.615350000000007</v>
      </c>
      <c r="G10" s="8">
        <v>6.6207675999999993E-2</v>
      </c>
      <c r="H10" s="100"/>
    </row>
    <row r="11" spans="1:8" ht="25.5" x14ac:dyDescent="0.2">
      <c r="A11" s="4">
        <v>5</v>
      </c>
      <c r="B11" s="5" t="s">
        <v>395</v>
      </c>
      <c r="C11" s="5" t="s">
        <v>396</v>
      </c>
      <c r="D11" s="5" t="s">
        <v>156</v>
      </c>
      <c r="E11" s="6">
        <v>2510</v>
      </c>
      <c r="F11" s="7">
        <v>60.744509999999998</v>
      </c>
      <c r="G11" s="8">
        <v>4.8680454999999997E-2</v>
      </c>
      <c r="H11" s="100"/>
    </row>
    <row r="12" spans="1:8" x14ac:dyDescent="0.2">
      <c r="A12" s="4">
        <v>6</v>
      </c>
      <c r="B12" s="5" t="s">
        <v>12</v>
      </c>
      <c r="C12" s="5" t="s">
        <v>13</v>
      </c>
      <c r="D12" s="5" t="s">
        <v>14</v>
      </c>
      <c r="E12" s="6">
        <v>3200</v>
      </c>
      <c r="F12" s="7">
        <v>42.894399999999997</v>
      </c>
      <c r="G12" s="8">
        <v>3.4375435000000003E-2</v>
      </c>
      <c r="H12" s="100"/>
    </row>
    <row r="13" spans="1:8" x14ac:dyDescent="0.2">
      <c r="A13" s="4">
        <v>7</v>
      </c>
      <c r="B13" s="5" t="s">
        <v>29</v>
      </c>
      <c r="C13" s="5" t="s">
        <v>30</v>
      </c>
      <c r="D13" s="5" t="s">
        <v>31</v>
      </c>
      <c r="E13" s="6">
        <v>7970</v>
      </c>
      <c r="F13" s="7">
        <v>42.778975000000003</v>
      </c>
      <c r="G13" s="8">
        <v>3.4282933000000002E-2</v>
      </c>
      <c r="H13" s="100"/>
    </row>
    <row r="14" spans="1:8" ht="25.5" x14ac:dyDescent="0.2">
      <c r="A14" s="4">
        <v>8</v>
      </c>
      <c r="B14" s="5" t="s">
        <v>326</v>
      </c>
      <c r="C14" s="5" t="s">
        <v>327</v>
      </c>
      <c r="D14" s="5" t="s">
        <v>73</v>
      </c>
      <c r="E14" s="6">
        <v>4300</v>
      </c>
      <c r="F14" s="7">
        <v>40.873649999999998</v>
      </c>
      <c r="G14" s="8">
        <v>3.2756012000000001E-2</v>
      </c>
      <c r="H14" s="100"/>
    </row>
    <row r="15" spans="1:8" ht="25.5" x14ac:dyDescent="0.2">
      <c r="A15" s="4">
        <v>9</v>
      </c>
      <c r="B15" s="5" t="s">
        <v>39</v>
      </c>
      <c r="C15" s="5" t="s">
        <v>941</v>
      </c>
      <c r="D15" s="5" t="s">
        <v>1001</v>
      </c>
      <c r="E15" s="6">
        <v>641</v>
      </c>
      <c r="F15" s="7">
        <v>40.2480695</v>
      </c>
      <c r="G15" s="8">
        <v>3.2254673999999997E-2</v>
      </c>
      <c r="H15" s="100"/>
    </row>
    <row r="16" spans="1:8" x14ac:dyDescent="0.2">
      <c r="A16" s="4">
        <v>10</v>
      </c>
      <c r="B16" s="5" t="s">
        <v>144</v>
      </c>
      <c r="C16" s="5" t="s">
        <v>145</v>
      </c>
      <c r="D16" s="5" t="s">
        <v>146</v>
      </c>
      <c r="E16" s="6">
        <v>1104</v>
      </c>
      <c r="F16" s="7">
        <v>37.847327999999997</v>
      </c>
      <c r="G16" s="8">
        <v>3.0330726999999998E-2</v>
      </c>
      <c r="H16" s="100"/>
    </row>
    <row r="17" spans="1:8" x14ac:dyDescent="0.2">
      <c r="A17" s="4">
        <v>11</v>
      </c>
      <c r="B17" s="5" t="s">
        <v>397</v>
      </c>
      <c r="C17" s="5" t="s">
        <v>398</v>
      </c>
      <c r="D17" s="5" t="s">
        <v>22</v>
      </c>
      <c r="E17" s="6">
        <v>5192</v>
      </c>
      <c r="F17" s="7">
        <v>37.117607999999997</v>
      </c>
      <c r="G17" s="8">
        <v>2.9745931999999999E-2</v>
      </c>
      <c r="H17" s="100"/>
    </row>
    <row r="18" spans="1:8" x14ac:dyDescent="0.2">
      <c r="A18" s="4">
        <v>12</v>
      </c>
      <c r="B18" s="5" t="s">
        <v>435</v>
      </c>
      <c r="C18" s="5" t="s">
        <v>942</v>
      </c>
      <c r="D18" s="5" t="s">
        <v>193</v>
      </c>
      <c r="E18" s="6">
        <v>696</v>
      </c>
      <c r="F18" s="7">
        <v>35.935175999999998</v>
      </c>
      <c r="G18" s="8">
        <v>2.8798335000000001E-2</v>
      </c>
      <c r="H18" s="100"/>
    </row>
    <row r="19" spans="1:8" ht="25.5" x14ac:dyDescent="0.2">
      <c r="A19" s="4">
        <v>13</v>
      </c>
      <c r="B19" s="5" t="s">
        <v>492</v>
      </c>
      <c r="C19" s="5" t="s">
        <v>493</v>
      </c>
      <c r="D19" s="5" t="s">
        <v>73</v>
      </c>
      <c r="E19" s="6">
        <v>27107</v>
      </c>
      <c r="F19" s="7">
        <v>33.192521499999998</v>
      </c>
      <c r="G19" s="8">
        <v>2.660038E-2</v>
      </c>
      <c r="H19" s="100"/>
    </row>
    <row r="20" spans="1:8" x14ac:dyDescent="0.2">
      <c r="A20" s="4">
        <v>14</v>
      </c>
      <c r="B20" s="5" t="s">
        <v>399</v>
      </c>
      <c r="C20" s="5" t="s">
        <v>400</v>
      </c>
      <c r="D20" s="5" t="s">
        <v>22</v>
      </c>
      <c r="E20" s="6">
        <v>9330</v>
      </c>
      <c r="F20" s="7">
        <v>32.981549999999999</v>
      </c>
      <c r="G20" s="8">
        <v>2.6431308000000001E-2</v>
      </c>
      <c r="H20" s="100"/>
    </row>
    <row r="21" spans="1:8" ht="25.5" x14ac:dyDescent="0.2">
      <c r="A21" s="4">
        <v>15</v>
      </c>
      <c r="B21" s="5" t="s">
        <v>346</v>
      </c>
      <c r="C21" s="5" t="s">
        <v>939</v>
      </c>
      <c r="D21" s="5" t="s">
        <v>73</v>
      </c>
      <c r="E21" s="6">
        <v>4290</v>
      </c>
      <c r="F21" s="7">
        <v>28.721550000000001</v>
      </c>
      <c r="G21" s="8">
        <v>2.3017358000000002E-2</v>
      </c>
      <c r="H21" s="100"/>
    </row>
    <row r="22" spans="1:8" x14ac:dyDescent="0.2">
      <c r="A22" s="4">
        <v>16</v>
      </c>
      <c r="B22" s="5" t="s">
        <v>494</v>
      </c>
      <c r="C22" s="5" t="s">
        <v>495</v>
      </c>
      <c r="D22" s="5" t="s">
        <v>151</v>
      </c>
      <c r="E22" s="6">
        <v>2810</v>
      </c>
      <c r="F22" s="7">
        <v>26.98724</v>
      </c>
      <c r="G22" s="8">
        <v>2.1627488E-2</v>
      </c>
      <c r="H22" s="100"/>
    </row>
    <row r="23" spans="1:8" x14ac:dyDescent="0.2">
      <c r="A23" s="4">
        <v>17</v>
      </c>
      <c r="B23" s="5" t="s">
        <v>401</v>
      </c>
      <c r="C23" s="5" t="s">
        <v>402</v>
      </c>
      <c r="D23" s="5" t="s">
        <v>91</v>
      </c>
      <c r="E23" s="6">
        <v>3500</v>
      </c>
      <c r="F23" s="7">
        <v>26.33925</v>
      </c>
      <c r="G23" s="8">
        <v>2.1108189999999999E-2</v>
      </c>
      <c r="H23" s="100"/>
    </row>
    <row r="24" spans="1:8" x14ac:dyDescent="0.2">
      <c r="A24" s="4">
        <v>18</v>
      </c>
      <c r="B24" s="5" t="s">
        <v>69</v>
      </c>
      <c r="C24" s="5" t="s">
        <v>70</v>
      </c>
      <c r="D24" s="5" t="s">
        <v>17</v>
      </c>
      <c r="E24" s="6">
        <v>6145</v>
      </c>
      <c r="F24" s="7">
        <v>25.919609999999999</v>
      </c>
      <c r="G24" s="8">
        <v>2.0771892E-2</v>
      </c>
      <c r="H24" s="100"/>
    </row>
    <row r="25" spans="1:8" x14ac:dyDescent="0.2">
      <c r="A25" s="4">
        <v>19</v>
      </c>
      <c r="B25" s="5" t="s">
        <v>362</v>
      </c>
      <c r="C25" s="5" t="s">
        <v>363</v>
      </c>
      <c r="D25" s="5" t="s">
        <v>364</v>
      </c>
      <c r="E25" s="6">
        <v>3440</v>
      </c>
      <c r="F25" s="7">
        <v>25.521360000000001</v>
      </c>
      <c r="G25" s="8">
        <v>2.0452735999999999E-2</v>
      </c>
      <c r="H25" s="100"/>
    </row>
    <row r="26" spans="1:8" x14ac:dyDescent="0.2">
      <c r="A26" s="4">
        <v>20</v>
      </c>
      <c r="B26" s="5" t="s">
        <v>356</v>
      </c>
      <c r="C26" s="5" t="s">
        <v>357</v>
      </c>
      <c r="D26" s="5" t="s">
        <v>151</v>
      </c>
      <c r="E26" s="6">
        <v>2813</v>
      </c>
      <c r="F26" s="7">
        <v>25.287463500000001</v>
      </c>
      <c r="G26" s="8">
        <v>2.0265292000000001E-2</v>
      </c>
      <c r="H26" s="100"/>
    </row>
    <row r="27" spans="1:8" x14ac:dyDescent="0.2">
      <c r="A27" s="4">
        <v>21</v>
      </c>
      <c r="B27" s="5" t="s">
        <v>83</v>
      </c>
      <c r="C27" s="5" t="s">
        <v>84</v>
      </c>
      <c r="D27" s="5" t="s">
        <v>28</v>
      </c>
      <c r="E27" s="6">
        <v>2788</v>
      </c>
      <c r="F27" s="7">
        <v>23.352288000000001</v>
      </c>
      <c r="G27" s="8">
        <v>1.8714449000000001E-2</v>
      </c>
      <c r="H27" s="100"/>
    </row>
    <row r="28" spans="1:8" x14ac:dyDescent="0.2">
      <c r="A28" s="4">
        <v>22</v>
      </c>
      <c r="B28" s="5" t="s">
        <v>423</v>
      </c>
      <c r="C28" s="5" t="s">
        <v>424</v>
      </c>
      <c r="D28" s="5" t="s">
        <v>22</v>
      </c>
      <c r="E28" s="6">
        <v>1305</v>
      </c>
      <c r="F28" s="7">
        <v>22.821840000000002</v>
      </c>
      <c r="G28" s="8">
        <v>1.8289349E-2</v>
      </c>
      <c r="H28" s="100"/>
    </row>
    <row r="29" spans="1:8" x14ac:dyDescent="0.2">
      <c r="A29" s="4">
        <v>23</v>
      </c>
      <c r="B29" s="5" t="s">
        <v>200</v>
      </c>
      <c r="C29" s="5" t="s">
        <v>201</v>
      </c>
      <c r="D29" s="5" t="s">
        <v>1003</v>
      </c>
      <c r="E29" s="6">
        <v>3606</v>
      </c>
      <c r="F29" s="7">
        <v>22.656497999999999</v>
      </c>
      <c r="G29" s="8">
        <v>1.8156845000000001E-2</v>
      </c>
      <c r="H29" s="100"/>
    </row>
    <row r="30" spans="1:8" ht="25.5" x14ac:dyDescent="0.2">
      <c r="A30" s="4">
        <v>24</v>
      </c>
      <c r="B30" s="5" t="s">
        <v>496</v>
      </c>
      <c r="C30" s="5" t="s">
        <v>497</v>
      </c>
      <c r="D30" s="5" t="s">
        <v>1001</v>
      </c>
      <c r="E30" s="6">
        <v>2456</v>
      </c>
      <c r="F30" s="7">
        <v>22.549764</v>
      </c>
      <c r="G30" s="8">
        <v>1.8071309000000001E-2</v>
      </c>
      <c r="H30" s="100"/>
    </row>
    <row r="31" spans="1:8" x14ac:dyDescent="0.2">
      <c r="A31" s="4">
        <v>25</v>
      </c>
      <c r="B31" s="5" t="s">
        <v>409</v>
      </c>
      <c r="C31" s="5" t="s">
        <v>940</v>
      </c>
      <c r="D31" s="5" t="s">
        <v>151</v>
      </c>
      <c r="E31" s="6">
        <v>729</v>
      </c>
      <c r="F31" s="7">
        <v>22.1298885</v>
      </c>
      <c r="G31" s="8">
        <v>1.7734822000000001E-2</v>
      </c>
      <c r="H31" s="100"/>
    </row>
    <row r="32" spans="1:8" x14ac:dyDescent="0.2">
      <c r="A32" s="4">
        <v>26</v>
      </c>
      <c r="B32" s="5" t="s">
        <v>403</v>
      </c>
      <c r="C32" s="5" t="s">
        <v>404</v>
      </c>
      <c r="D32" s="5" t="s">
        <v>1009</v>
      </c>
      <c r="E32" s="6">
        <v>2300</v>
      </c>
      <c r="F32" s="7">
        <v>21.360099999999999</v>
      </c>
      <c r="G32" s="8">
        <v>1.7117916E-2</v>
      </c>
      <c r="H32" s="100"/>
    </row>
    <row r="33" spans="1:8" x14ac:dyDescent="0.2">
      <c r="A33" s="4">
        <v>27</v>
      </c>
      <c r="B33" s="5" t="s">
        <v>184</v>
      </c>
      <c r="C33" s="5" t="s">
        <v>185</v>
      </c>
      <c r="D33" s="5" t="s">
        <v>172</v>
      </c>
      <c r="E33" s="6">
        <v>11000</v>
      </c>
      <c r="F33" s="7">
        <v>19.536000000000001</v>
      </c>
      <c r="G33" s="8">
        <v>1.5656087999999999E-2</v>
      </c>
      <c r="H33" s="100"/>
    </row>
    <row r="34" spans="1:8" x14ac:dyDescent="0.2">
      <c r="A34" s="4">
        <v>28</v>
      </c>
      <c r="B34" s="5" t="s">
        <v>320</v>
      </c>
      <c r="C34" s="5" t="s">
        <v>321</v>
      </c>
      <c r="D34" s="5" t="s">
        <v>47</v>
      </c>
      <c r="E34" s="6">
        <v>4100</v>
      </c>
      <c r="F34" s="7">
        <v>18.101500000000001</v>
      </c>
      <c r="G34" s="8">
        <v>1.4506484E-2</v>
      </c>
      <c r="H34" s="100"/>
    </row>
    <row r="35" spans="1:8" x14ac:dyDescent="0.2">
      <c r="A35" s="4">
        <v>29</v>
      </c>
      <c r="B35" s="5" t="s">
        <v>297</v>
      </c>
      <c r="C35" s="5" t="s">
        <v>928</v>
      </c>
      <c r="D35" s="5" t="s">
        <v>22</v>
      </c>
      <c r="E35" s="6">
        <v>22387</v>
      </c>
      <c r="F35" s="7">
        <v>17.931986999999999</v>
      </c>
      <c r="G35" s="8">
        <v>1.4370637E-2</v>
      </c>
      <c r="H35" s="100"/>
    </row>
    <row r="36" spans="1:8" x14ac:dyDescent="0.2">
      <c r="A36" s="4">
        <v>30</v>
      </c>
      <c r="B36" s="5" t="s">
        <v>438</v>
      </c>
      <c r="C36" s="5" t="s">
        <v>390</v>
      </c>
      <c r="D36" s="5" t="s">
        <v>272</v>
      </c>
      <c r="E36" s="6">
        <v>10000</v>
      </c>
      <c r="F36" s="7">
        <v>17.5</v>
      </c>
      <c r="G36" s="8">
        <v>1.4024444E-2</v>
      </c>
      <c r="H36" s="100"/>
    </row>
    <row r="37" spans="1:8" x14ac:dyDescent="0.2">
      <c r="A37" s="4">
        <v>31</v>
      </c>
      <c r="B37" s="5" t="s">
        <v>451</v>
      </c>
      <c r="C37" s="5" t="s">
        <v>452</v>
      </c>
      <c r="D37" s="5" t="s">
        <v>63</v>
      </c>
      <c r="E37" s="6">
        <v>6130</v>
      </c>
      <c r="F37" s="7">
        <v>16.213850000000001</v>
      </c>
      <c r="G37" s="8">
        <v>1.2993727E-2</v>
      </c>
      <c r="H37" s="100"/>
    </row>
    <row r="38" spans="1:8" x14ac:dyDescent="0.2">
      <c r="A38" s="4">
        <v>32</v>
      </c>
      <c r="B38" s="5" t="s">
        <v>433</v>
      </c>
      <c r="C38" s="5" t="s">
        <v>434</v>
      </c>
      <c r="D38" s="5" t="s">
        <v>193</v>
      </c>
      <c r="E38" s="6">
        <v>1593</v>
      </c>
      <c r="F38" s="7">
        <v>14.501875500000001</v>
      </c>
      <c r="G38" s="8">
        <v>1.1621757E-2</v>
      </c>
      <c r="H38" s="100"/>
    </row>
    <row r="39" spans="1:8" ht="25.5" x14ac:dyDescent="0.2">
      <c r="A39" s="4">
        <v>33</v>
      </c>
      <c r="B39" s="5" t="s">
        <v>415</v>
      </c>
      <c r="C39" s="5" t="s">
        <v>938</v>
      </c>
      <c r="D39" s="5" t="s">
        <v>73</v>
      </c>
      <c r="E39" s="6">
        <v>556</v>
      </c>
      <c r="F39" s="7">
        <v>13.08685</v>
      </c>
      <c r="G39" s="8">
        <v>1.048776E-2</v>
      </c>
      <c r="H39" s="100"/>
    </row>
    <row r="40" spans="1:8" x14ac:dyDescent="0.2">
      <c r="A40" s="4">
        <v>34</v>
      </c>
      <c r="B40" s="5" t="s">
        <v>367</v>
      </c>
      <c r="C40" s="5" t="s">
        <v>368</v>
      </c>
      <c r="D40" s="5" t="s">
        <v>22</v>
      </c>
      <c r="E40" s="6">
        <v>19598</v>
      </c>
      <c r="F40" s="7">
        <v>13.081664999999999</v>
      </c>
      <c r="G40" s="8">
        <v>1.0483604000000001E-2</v>
      </c>
      <c r="H40" s="100"/>
    </row>
    <row r="41" spans="1:8" ht="25.5" x14ac:dyDescent="0.2">
      <c r="A41" s="4">
        <v>35</v>
      </c>
      <c r="B41" s="5" t="s">
        <v>421</v>
      </c>
      <c r="C41" s="5" t="s">
        <v>422</v>
      </c>
      <c r="D41" s="5" t="s">
        <v>73</v>
      </c>
      <c r="E41" s="6">
        <v>6000</v>
      </c>
      <c r="F41" s="7">
        <v>12.156000000000001</v>
      </c>
      <c r="G41" s="8">
        <v>9.7417790000000008E-3</v>
      </c>
      <c r="H41" s="100"/>
    </row>
    <row r="42" spans="1:8" ht="25.5" x14ac:dyDescent="0.2">
      <c r="A42" s="4">
        <v>36</v>
      </c>
      <c r="B42" s="5" t="s">
        <v>348</v>
      </c>
      <c r="C42" s="5" t="s">
        <v>349</v>
      </c>
      <c r="D42" s="5" t="s">
        <v>156</v>
      </c>
      <c r="E42" s="6">
        <v>6500</v>
      </c>
      <c r="F42" s="7">
        <v>10.520250000000001</v>
      </c>
      <c r="G42" s="8">
        <v>8.4308950000000007E-3</v>
      </c>
      <c r="H42" s="100"/>
    </row>
    <row r="43" spans="1:8" x14ac:dyDescent="0.2">
      <c r="A43" s="15" t="s">
        <v>9</v>
      </c>
      <c r="B43" s="15" t="s">
        <v>9</v>
      </c>
      <c r="C43" s="3" t="s">
        <v>94</v>
      </c>
      <c r="D43" s="15" t="s">
        <v>9</v>
      </c>
      <c r="E43" s="15" t="s">
        <v>9</v>
      </c>
      <c r="F43" s="9">
        <v>1209.6183874999999</v>
      </c>
      <c r="G43" s="10">
        <v>0.96938429599999998</v>
      </c>
      <c r="H43" s="100"/>
    </row>
    <row r="44" spans="1:8" x14ac:dyDescent="0.2">
      <c r="A44" s="15" t="s">
        <v>9</v>
      </c>
      <c r="B44" s="15" t="s">
        <v>9</v>
      </c>
      <c r="C44" s="11" t="s">
        <v>9</v>
      </c>
      <c r="D44" s="15" t="s">
        <v>9</v>
      </c>
      <c r="E44" s="15" t="s">
        <v>9</v>
      </c>
      <c r="F44" s="12" t="s">
        <v>9</v>
      </c>
      <c r="G44" s="12" t="s">
        <v>9</v>
      </c>
      <c r="H44" s="100"/>
    </row>
    <row r="45" spans="1:8" x14ac:dyDescent="0.2">
      <c r="A45" s="15" t="s">
        <v>9</v>
      </c>
      <c r="B45" s="15" t="s">
        <v>9</v>
      </c>
      <c r="C45" s="3" t="s">
        <v>95</v>
      </c>
      <c r="D45" s="15" t="s">
        <v>9</v>
      </c>
      <c r="E45" s="15" t="s">
        <v>9</v>
      </c>
      <c r="F45" s="15" t="s">
        <v>9</v>
      </c>
      <c r="G45" s="15" t="s">
        <v>9</v>
      </c>
      <c r="H45" s="100"/>
    </row>
    <row r="46" spans="1:8" x14ac:dyDescent="0.2">
      <c r="A46" s="15" t="s">
        <v>9</v>
      </c>
      <c r="B46" s="15" t="s">
        <v>9</v>
      </c>
      <c r="C46" s="3" t="s">
        <v>94</v>
      </c>
      <c r="D46" s="15" t="s">
        <v>9</v>
      </c>
      <c r="E46" s="15" t="s">
        <v>9</v>
      </c>
      <c r="F46" s="13">
        <v>0</v>
      </c>
      <c r="G46" s="14">
        <v>0</v>
      </c>
      <c r="H46" s="100"/>
    </row>
    <row r="47" spans="1:8" x14ac:dyDescent="0.2">
      <c r="A47" s="15" t="s">
        <v>9</v>
      </c>
      <c r="B47" s="15" t="s">
        <v>9</v>
      </c>
      <c r="C47" s="11" t="s">
        <v>9</v>
      </c>
      <c r="D47" s="15" t="s">
        <v>9</v>
      </c>
      <c r="E47" s="15" t="s">
        <v>9</v>
      </c>
      <c r="F47" s="12" t="s">
        <v>9</v>
      </c>
      <c r="G47" s="12" t="s">
        <v>9</v>
      </c>
      <c r="H47" s="100"/>
    </row>
    <row r="48" spans="1:8" x14ac:dyDescent="0.2">
      <c r="A48" s="15" t="s">
        <v>9</v>
      </c>
      <c r="B48" s="15" t="s">
        <v>9</v>
      </c>
      <c r="C48" s="3" t="s">
        <v>96</v>
      </c>
      <c r="D48" s="15" t="s">
        <v>9</v>
      </c>
      <c r="E48" s="15" t="s">
        <v>9</v>
      </c>
      <c r="F48" s="15" t="s">
        <v>9</v>
      </c>
      <c r="G48" s="15" t="s">
        <v>9</v>
      </c>
      <c r="H48" s="100"/>
    </row>
    <row r="49" spans="1:8" x14ac:dyDescent="0.2">
      <c r="A49" s="15" t="s">
        <v>9</v>
      </c>
      <c r="B49" s="15" t="s">
        <v>9</v>
      </c>
      <c r="C49" s="3" t="s">
        <v>94</v>
      </c>
      <c r="D49" s="15" t="s">
        <v>9</v>
      </c>
      <c r="E49" s="15" t="s">
        <v>9</v>
      </c>
      <c r="F49" s="13">
        <v>0</v>
      </c>
      <c r="G49" s="14">
        <v>0</v>
      </c>
      <c r="H49" s="100"/>
    </row>
    <row r="50" spans="1:8" x14ac:dyDescent="0.2">
      <c r="A50" s="15" t="s">
        <v>9</v>
      </c>
      <c r="B50" s="15" t="s">
        <v>9</v>
      </c>
      <c r="C50" s="11" t="s">
        <v>9</v>
      </c>
      <c r="D50" s="15" t="s">
        <v>9</v>
      </c>
      <c r="E50" s="15" t="s">
        <v>9</v>
      </c>
      <c r="F50" s="12" t="s">
        <v>9</v>
      </c>
      <c r="G50" s="12" t="s">
        <v>9</v>
      </c>
      <c r="H50" s="100"/>
    </row>
    <row r="51" spans="1:8" x14ac:dyDescent="0.2">
      <c r="A51" s="15" t="s">
        <v>9</v>
      </c>
      <c r="B51" s="15" t="s">
        <v>9</v>
      </c>
      <c r="C51" s="3" t="s">
        <v>100</v>
      </c>
      <c r="D51" s="15" t="s">
        <v>9</v>
      </c>
      <c r="E51" s="15" t="s">
        <v>9</v>
      </c>
      <c r="F51" s="15" t="s">
        <v>9</v>
      </c>
      <c r="G51" s="15" t="s">
        <v>9</v>
      </c>
      <c r="H51" s="100"/>
    </row>
    <row r="52" spans="1:8" x14ac:dyDescent="0.2">
      <c r="A52" s="15" t="s">
        <v>9</v>
      </c>
      <c r="B52" s="15" t="s">
        <v>9</v>
      </c>
      <c r="C52" s="3" t="s">
        <v>94</v>
      </c>
      <c r="D52" s="15" t="s">
        <v>9</v>
      </c>
      <c r="E52" s="15" t="s">
        <v>9</v>
      </c>
      <c r="F52" s="13">
        <v>0</v>
      </c>
      <c r="G52" s="14">
        <v>0</v>
      </c>
      <c r="H52" s="100"/>
    </row>
    <row r="53" spans="1:8" x14ac:dyDescent="0.2">
      <c r="A53" s="15" t="s">
        <v>9</v>
      </c>
      <c r="B53" s="15" t="s">
        <v>9</v>
      </c>
      <c r="C53" s="11" t="s">
        <v>9</v>
      </c>
      <c r="D53" s="15" t="s">
        <v>9</v>
      </c>
      <c r="E53" s="15" t="s">
        <v>9</v>
      </c>
      <c r="F53" s="12" t="s">
        <v>9</v>
      </c>
      <c r="G53" s="12" t="s">
        <v>9</v>
      </c>
      <c r="H53" s="100"/>
    </row>
    <row r="54" spans="1:8" x14ac:dyDescent="0.2">
      <c r="A54" s="15" t="s">
        <v>9</v>
      </c>
      <c r="B54" s="15" t="s">
        <v>9</v>
      </c>
      <c r="C54" s="3" t="s">
        <v>101</v>
      </c>
      <c r="D54" s="15" t="s">
        <v>9</v>
      </c>
      <c r="E54" s="15" t="s">
        <v>9</v>
      </c>
      <c r="F54" s="12" t="s">
        <v>9</v>
      </c>
      <c r="G54" s="12" t="s">
        <v>9</v>
      </c>
      <c r="H54" s="100"/>
    </row>
    <row r="55" spans="1:8" x14ac:dyDescent="0.2">
      <c r="A55" s="15" t="s">
        <v>9</v>
      </c>
      <c r="B55" s="15" t="s">
        <v>9</v>
      </c>
      <c r="C55" s="3" t="s">
        <v>94</v>
      </c>
      <c r="D55" s="15" t="s">
        <v>9</v>
      </c>
      <c r="E55" s="15" t="s">
        <v>9</v>
      </c>
      <c r="F55" s="13">
        <v>0</v>
      </c>
      <c r="G55" s="14">
        <v>0</v>
      </c>
      <c r="H55" s="100"/>
    </row>
    <row r="56" spans="1:8" x14ac:dyDescent="0.2">
      <c r="A56" s="15" t="s">
        <v>9</v>
      </c>
      <c r="B56" s="15" t="s">
        <v>9</v>
      </c>
      <c r="C56" s="11" t="s">
        <v>9</v>
      </c>
      <c r="D56" s="15" t="s">
        <v>9</v>
      </c>
      <c r="E56" s="15" t="s">
        <v>9</v>
      </c>
      <c r="F56" s="12" t="s">
        <v>9</v>
      </c>
      <c r="G56" s="12" t="s">
        <v>9</v>
      </c>
      <c r="H56" s="100"/>
    </row>
    <row r="57" spans="1:8" x14ac:dyDescent="0.2">
      <c r="A57" s="15" t="s">
        <v>9</v>
      </c>
      <c r="B57" s="15" t="s">
        <v>9</v>
      </c>
      <c r="C57" s="3" t="s">
        <v>102</v>
      </c>
      <c r="D57" s="15" t="s">
        <v>9</v>
      </c>
      <c r="E57" s="15" t="s">
        <v>9</v>
      </c>
      <c r="F57" s="12" t="s">
        <v>9</v>
      </c>
      <c r="G57" s="12" t="s">
        <v>9</v>
      </c>
      <c r="H57" s="100"/>
    </row>
    <row r="58" spans="1:8" x14ac:dyDescent="0.2">
      <c r="A58" s="15" t="s">
        <v>9</v>
      </c>
      <c r="B58" s="15" t="s">
        <v>9</v>
      </c>
      <c r="C58" s="3" t="s">
        <v>94</v>
      </c>
      <c r="D58" s="15" t="s">
        <v>9</v>
      </c>
      <c r="E58" s="15" t="s">
        <v>9</v>
      </c>
      <c r="F58" s="13">
        <v>0</v>
      </c>
      <c r="G58" s="14">
        <v>0</v>
      </c>
      <c r="H58" s="100"/>
    </row>
    <row r="59" spans="1:8" x14ac:dyDescent="0.2">
      <c r="A59" s="15" t="s">
        <v>9</v>
      </c>
      <c r="B59" s="15" t="s">
        <v>9</v>
      </c>
      <c r="C59" s="11" t="s">
        <v>9</v>
      </c>
      <c r="D59" s="15" t="s">
        <v>9</v>
      </c>
      <c r="E59" s="15" t="s">
        <v>9</v>
      </c>
      <c r="F59" s="12" t="s">
        <v>9</v>
      </c>
      <c r="G59" s="12" t="s">
        <v>9</v>
      </c>
      <c r="H59" s="100"/>
    </row>
    <row r="60" spans="1:8" x14ac:dyDescent="0.2">
      <c r="A60" s="15" t="s">
        <v>9</v>
      </c>
      <c r="B60" s="15" t="s">
        <v>9</v>
      </c>
      <c r="C60" s="3" t="s">
        <v>104</v>
      </c>
      <c r="D60" s="15" t="s">
        <v>9</v>
      </c>
      <c r="E60" s="15" t="s">
        <v>9</v>
      </c>
      <c r="F60" s="9">
        <v>1209.6183874999999</v>
      </c>
      <c r="G60" s="10">
        <v>0.96938429599999998</v>
      </c>
      <c r="H60" s="100"/>
    </row>
    <row r="61" spans="1:8" x14ac:dyDescent="0.2">
      <c r="A61" s="15" t="s">
        <v>9</v>
      </c>
      <c r="B61" s="15" t="s">
        <v>9</v>
      </c>
      <c r="C61" s="11" t="s">
        <v>9</v>
      </c>
      <c r="D61" s="15" t="s">
        <v>9</v>
      </c>
      <c r="E61" s="15" t="s">
        <v>9</v>
      </c>
      <c r="F61" s="12" t="s">
        <v>9</v>
      </c>
      <c r="G61" s="12" t="s">
        <v>9</v>
      </c>
      <c r="H61" s="100"/>
    </row>
    <row r="62" spans="1:8" x14ac:dyDescent="0.2">
      <c r="A62" s="15" t="s">
        <v>9</v>
      </c>
      <c r="B62" s="15" t="s">
        <v>9</v>
      </c>
      <c r="C62" s="3" t="s">
        <v>105</v>
      </c>
      <c r="D62" s="15" t="s">
        <v>9</v>
      </c>
      <c r="E62" s="15" t="s">
        <v>9</v>
      </c>
      <c r="F62" s="12" t="s">
        <v>9</v>
      </c>
      <c r="G62" s="12" t="s">
        <v>9</v>
      </c>
      <c r="H62" s="100"/>
    </row>
    <row r="63" spans="1:8" ht="25.5" x14ac:dyDescent="0.2">
      <c r="A63" s="15" t="s">
        <v>9</v>
      </c>
      <c r="B63" s="15" t="s">
        <v>9</v>
      </c>
      <c r="C63" s="3" t="s">
        <v>11</v>
      </c>
      <c r="D63" s="15" t="s">
        <v>9</v>
      </c>
      <c r="E63" s="15" t="s">
        <v>9</v>
      </c>
      <c r="F63" s="12" t="s">
        <v>9</v>
      </c>
      <c r="G63" s="12" t="s">
        <v>9</v>
      </c>
      <c r="H63" s="100"/>
    </row>
    <row r="64" spans="1:8" x14ac:dyDescent="0.2">
      <c r="A64" s="15" t="s">
        <v>9</v>
      </c>
      <c r="B64" s="15" t="s">
        <v>9</v>
      </c>
      <c r="C64" s="3" t="s">
        <v>94</v>
      </c>
      <c r="D64" s="15" t="s">
        <v>9</v>
      </c>
      <c r="E64" s="15" t="s">
        <v>9</v>
      </c>
      <c r="F64" s="13">
        <v>0</v>
      </c>
      <c r="G64" s="14">
        <v>0</v>
      </c>
      <c r="H64" s="100"/>
    </row>
    <row r="65" spans="1:8" x14ac:dyDescent="0.2">
      <c r="A65" s="15" t="s">
        <v>9</v>
      </c>
      <c r="B65" s="15" t="s">
        <v>9</v>
      </c>
      <c r="C65" s="11" t="s">
        <v>9</v>
      </c>
      <c r="D65" s="15" t="s">
        <v>9</v>
      </c>
      <c r="E65" s="15" t="s">
        <v>9</v>
      </c>
      <c r="F65" s="12" t="s">
        <v>9</v>
      </c>
      <c r="G65" s="12" t="s">
        <v>9</v>
      </c>
      <c r="H65" s="100"/>
    </row>
    <row r="66" spans="1:8" x14ac:dyDescent="0.2">
      <c r="A66" s="15" t="s">
        <v>9</v>
      </c>
      <c r="B66" s="15" t="s">
        <v>9</v>
      </c>
      <c r="C66" s="3" t="s">
        <v>106</v>
      </c>
      <c r="D66" s="15" t="s">
        <v>9</v>
      </c>
      <c r="E66" s="15" t="s">
        <v>9</v>
      </c>
      <c r="F66" s="15" t="s">
        <v>9</v>
      </c>
      <c r="G66" s="15" t="s">
        <v>9</v>
      </c>
      <c r="H66" s="100"/>
    </row>
    <row r="67" spans="1:8" x14ac:dyDescent="0.2">
      <c r="A67" s="15" t="s">
        <v>9</v>
      </c>
      <c r="B67" s="15" t="s">
        <v>9</v>
      </c>
      <c r="C67" s="3" t="s">
        <v>94</v>
      </c>
      <c r="D67" s="15" t="s">
        <v>9</v>
      </c>
      <c r="E67" s="15" t="s">
        <v>9</v>
      </c>
      <c r="F67" s="13">
        <v>0</v>
      </c>
      <c r="G67" s="14">
        <v>0</v>
      </c>
      <c r="H67" s="100"/>
    </row>
    <row r="68" spans="1:8" x14ac:dyDescent="0.2">
      <c r="A68" s="15" t="s">
        <v>9</v>
      </c>
      <c r="B68" s="15" t="s">
        <v>9</v>
      </c>
      <c r="C68" s="11" t="s">
        <v>9</v>
      </c>
      <c r="D68" s="15" t="s">
        <v>9</v>
      </c>
      <c r="E68" s="15" t="s">
        <v>9</v>
      </c>
      <c r="F68" s="12" t="s">
        <v>9</v>
      </c>
      <c r="G68" s="12" t="s">
        <v>9</v>
      </c>
      <c r="H68" s="100"/>
    </row>
    <row r="69" spans="1:8" x14ac:dyDescent="0.2">
      <c r="A69" s="15" t="s">
        <v>9</v>
      </c>
      <c r="B69" s="15" t="s">
        <v>9</v>
      </c>
      <c r="C69" s="3" t="s">
        <v>107</v>
      </c>
      <c r="D69" s="15" t="s">
        <v>9</v>
      </c>
      <c r="E69" s="15" t="s">
        <v>9</v>
      </c>
      <c r="F69" s="15" t="s">
        <v>9</v>
      </c>
      <c r="G69" s="15" t="s">
        <v>9</v>
      </c>
      <c r="H69" s="100"/>
    </row>
    <row r="70" spans="1:8" x14ac:dyDescent="0.2">
      <c r="A70" s="15" t="s">
        <v>9</v>
      </c>
      <c r="B70" s="15" t="s">
        <v>9</v>
      </c>
      <c r="C70" s="3" t="s">
        <v>94</v>
      </c>
      <c r="D70" s="15" t="s">
        <v>9</v>
      </c>
      <c r="E70" s="15" t="s">
        <v>9</v>
      </c>
      <c r="F70" s="13">
        <v>0</v>
      </c>
      <c r="G70" s="14">
        <v>0</v>
      </c>
      <c r="H70" s="100"/>
    </row>
    <row r="71" spans="1:8" x14ac:dyDescent="0.2">
      <c r="A71" s="15" t="s">
        <v>9</v>
      </c>
      <c r="B71" s="15" t="s">
        <v>9</v>
      </c>
      <c r="C71" s="11" t="s">
        <v>9</v>
      </c>
      <c r="D71" s="15" t="s">
        <v>9</v>
      </c>
      <c r="E71" s="15" t="s">
        <v>9</v>
      </c>
      <c r="F71" s="12" t="s">
        <v>9</v>
      </c>
      <c r="G71" s="12" t="s">
        <v>9</v>
      </c>
      <c r="H71" s="100"/>
    </row>
    <row r="72" spans="1:8" x14ac:dyDescent="0.2">
      <c r="A72" s="15" t="s">
        <v>9</v>
      </c>
      <c r="B72" s="15" t="s">
        <v>9</v>
      </c>
      <c r="C72" s="3" t="s">
        <v>108</v>
      </c>
      <c r="D72" s="15" t="s">
        <v>9</v>
      </c>
      <c r="E72" s="15" t="s">
        <v>9</v>
      </c>
      <c r="F72" s="12" t="s">
        <v>9</v>
      </c>
      <c r="G72" s="12" t="s">
        <v>9</v>
      </c>
      <c r="H72" s="100"/>
    </row>
    <row r="73" spans="1:8" x14ac:dyDescent="0.2">
      <c r="A73" s="15" t="s">
        <v>9</v>
      </c>
      <c r="B73" s="15" t="s">
        <v>9</v>
      </c>
      <c r="C73" s="3" t="s">
        <v>94</v>
      </c>
      <c r="D73" s="15" t="s">
        <v>9</v>
      </c>
      <c r="E73" s="15" t="s">
        <v>9</v>
      </c>
      <c r="F73" s="13">
        <v>0</v>
      </c>
      <c r="G73" s="14">
        <v>0</v>
      </c>
      <c r="H73" s="100"/>
    </row>
    <row r="74" spans="1:8" x14ac:dyDescent="0.2">
      <c r="A74" s="15" t="s">
        <v>9</v>
      </c>
      <c r="B74" s="15" t="s">
        <v>9</v>
      </c>
      <c r="C74" s="11" t="s">
        <v>9</v>
      </c>
      <c r="D74" s="15" t="s">
        <v>9</v>
      </c>
      <c r="E74" s="15" t="s">
        <v>9</v>
      </c>
      <c r="F74" s="12" t="s">
        <v>9</v>
      </c>
      <c r="G74" s="12" t="s">
        <v>9</v>
      </c>
      <c r="H74" s="100"/>
    </row>
    <row r="75" spans="1:8" x14ac:dyDescent="0.2">
      <c r="A75" s="15" t="s">
        <v>9</v>
      </c>
      <c r="B75" s="15" t="s">
        <v>9</v>
      </c>
      <c r="C75" s="3" t="s">
        <v>109</v>
      </c>
      <c r="D75" s="15" t="s">
        <v>9</v>
      </c>
      <c r="E75" s="15" t="s">
        <v>9</v>
      </c>
      <c r="F75" s="9">
        <v>0</v>
      </c>
      <c r="G75" s="10">
        <v>0</v>
      </c>
      <c r="H75" s="100"/>
    </row>
    <row r="76" spans="1:8" x14ac:dyDescent="0.2">
      <c r="A76" s="15" t="s">
        <v>9</v>
      </c>
      <c r="B76" s="15" t="s">
        <v>9</v>
      </c>
      <c r="C76" s="11" t="s">
        <v>9</v>
      </c>
      <c r="D76" s="15" t="s">
        <v>9</v>
      </c>
      <c r="E76" s="15" t="s">
        <v>9</v>
      </c>
      <c r="F76" s="12" t="s">
        <v>9</v>
      </c>
      <c r="G76" s="12" t="s">
        <v>9</v>
      </c>
      <c r="H76" s="100"/>
    </row>
    <row r="77" spans="1:8" x14ac:dyDescent="0.2">
      <c r="A77" s="15" t="s">
        <v>9</v>
      </c>
      <c r="B77" s="15" t="s">
        <v>9</v>
      </c>
      <c r="C77" s="3" t="s">
        <v>110</v>
      </c>
      <c r="D77" s="15" t="s">
        <v>9</v>
      </c>
      <c r="E77" s="15" t="s">
        <v>9</v>
      </c>
      <c r="F77" s="12" t="s">
        <v>9</v>
      </c>
      <c r="G77" s="12" t="s">
        <v>9</v>
      </c>
      <c r="H77" s="100"/>
    </row>
    <row r="78" spans="1:8" x14ac:dyDescent="0.2">
      <c r="A78" s="15" t="s">
        <v>9</v>
      </c>
      <c r="B78" s="15" t="s">
        <v>9</v>
      </c>
      <c r="C78" s="3" t="s">
        <v>111</v>
      </c>
      <c r="D78" s="15" t="s">
        <v>9</v>
      </c>
      <c r="E78" s="15" t="s">
        <v>9</v>
      </c>
      <c r="F78" s="12" t="s">
        <v>9</v>
      </c>
      <c r="G78" s="12" t="s">
        <v>9</v>
      </c>
      <c r="H78" s="100"/>
    </row>
    <row r="79" spans="1:8" x14ac:dyDescent="0.2">
      <c r="A79" s="15" t="s">
        <v>9</v>
      </c>
      <c r="B79" s="15" t="s">
        <v>9</v>
      </c>
      <c r="C79" s="3" t="s">
        <v>94</v>
      </c>
      <c r="D79" s="15" t="s">
        <v>9</v>
      </c>
      <c r="E79" s="15" t="s">
        <v>9</v>
      </c>
      <c r="F79" s="13">
        <v>0</v>
      </c>
      <c r="G79" s="14">
        <v>0</v>
      </c>
      <c r="H79" s="100"/>
    </row>
    <row r="80" spans="1:8" x14ac:dyDescent="0.2">
      <c r="A80" s="15" t="s">
        <v>9</v>
      </c>
      <c r="B80" s="15" t="s">
        <v>9</v>
      </c>
      <c r="C80" s="11" t="s">
        <v>9</v>
      </c>
      <c r="D80" s="15" t="s">
        <v>9</v>
      </c>
      <c r="E80" s="15" t="s">
        <v>9</v>
      </c>
      <c r="F80" s="12" t="s">
        <v>9</v>
      </c>
      <c r="G80" s="12" t="s">
        <v>9</v>
      </c>
      <c r="H80" s="100"/>
    </row>
    <row r="81" spans="1:8" x14ac:dyDescent="0.2">
      <c r="A81" s="15" t="s">
        <v>9</v>
      </c>
      <c r="B81" s="15" t="s">
        <v>9</v>
      </c>
      <c r="C81" s="3" t="s">
        <v>112</v>
      </c>
      <c r="D81" s="15" t="s">
        <v>9</v>
      </c>
      <c r="E81" s="15" t="s">
        <v>9</v>
      </c>
      <c r="F81" s="12" t="s">
        <v>9</v>
      </c>
      <c r="G81" s="12" t="s">
        <v>9</v>
      </c>
      <c r="H81" s="100"/>
    </row>
    <row r="82" spans="1:8" x14ac:dyDescent="0.2">
      <c r="A82" s="15" t="s">
        <v>9</v>
      </c>
      <c r="B82" s="15" t="s">
        <v>9</v>
      </c>
      <c r="C82" s="3" t="s">
        <v>94</v>
      </c>
      <c r="D82" s="15" t="s">
        <v>9</v>
      </c>
      <c r="E82" s="15" t="s">
        <v>9</v>
      </c>
      <c r="F82" s="13">
        <v>0</v>
      </c>
      <c r="G82" s="14">
        <v>0</v>
      </c>
      <c r="H82" s="100"/>
    </row>
    <row r="83" spans="1:8" x14ac:dyDescent="0.2">
      <c r="A83" s="15" t="s">
        <v>9</v>
      </c>
      <c r="B83" s="15" t="s">
        <v>9</v>
      </c>
      <c r="C83" s="11" t="s">
        <v>9</v>
      </c>
      <c r="D83" s="15" t="s">
        <v>9</v>
      </c>
      <c r="E83" s="15" t="s">
        <v>9</v>
      </c>
      <c r="F83" s="12" t="s">
        <v>9</v>
      </c>
      <c r="G83" s="12" t="s">
        <v>9</v>
      </c>
      <c r="H83" s="100"/>
    </row>
    <row r="84" spans="1:8" x14ac:dyDescent="0.2">
      <c r="A84" s="15" t="s">
        <v>9</v>
      </c>
      <c r="B84" s="15" t="s">
        <v>9</v>
      </c>
      <c r="C84" s="3" t="s">
        <v>113</v>
      </c>
      <c r="D84" s="15" t="s">
        <v>9</v>
      </c>
      <c r="E84" s="15" t="s">
        <v>9</v>
      </c>
      <c r="F84" s="12" t="s">
        <v>9</v>
      </c>
      <c r="G84" s="12" t="s">
        <v>9</v>
      </c>
      <c r="H84" s="100"/>
    </row>
    <row r="85" spans="1:8" x14ac:dyDescent="0.2">
      <c r="A85" s="15" t="s">
        <v>9</v>
      </c>
      <c r="B85" s="15" t="s">
        <v>9</v>
      </c>
      <c r="C85" s="3" t="s">
        <v>94</v>
      </c>
      <c r="D85" s="15" t="s">
        <v>9</v>
      </c>
      <c r="E85" s="15" t="s">
        <v>9</v>
      </c>
      <c r="F85" s="13">
        <v>0</v>
      </c>
      <c r="G85" s="14">
        <v>0</v>
      </c>
      <c r="H85" s="100"/>
    </row>
    <row r="86" spans="1:8" x14ac:dyDescent="0.2">
      <c r="A86" s="15" t="s">
        <v>9</v>
      </c>
      <c r="B86" s="15" t="s">
        <v>9</v>
      </c>
      <c r="C86" s="11" t="s">
        <v>9</v>
      </c>
      <c r="D86" s="15" t="s">
        <v>9</v>
      </c>
      <c r="E86" s="15" t="s">
        <v>9</v>
      </c>
      <c r="F86" s="12" t="s">
        <v>9</v>
      </c>
      <c r="G86" s="12" t="s">
        <v>9</v>
      </c>
      <c r="H86" s="100"/>
    </row>
    <row r="87" spans="1:8" x14ac:dyDescent="0.2">
      <c r="A87" s="15" t="s">
        <v>9</v>
      </c>
      <c r="B87" s="15" t="s">
        <v>9</v>
      </c>
      <c r="C87" s="3" t="s">
        <v>114</v>
      </c>
      <c r="D87" s="15" t="s">
        <v>9</v>
      </c>
      <c r="E87" s="15" t="s">
        <v>9</v>
      </c>
      <c r="F87" s="12" t="s">
        <v>9</v>
      </c>
      <c r="G87" s="12" t="s">
        <v>9</v>
      </c>
      <c r="H87" s="100"/>
    </row>
    <row r="88" spans="1:8" x14ac:dyDescent="0.2">
      <c r="A88" s="4">
        <v>1</v>
      </c>
      <c r="B88" s="5"/>
      <c r="C88" s="5" t="s">
        <v>115</v>
      </c>
      <c r="D88" s="5"/>
      <c r="E88" s="15" t="s">
        <v>9</v>
      </c>
      <c r="F88" s="7">
        <v>33.223120799999997</v>
      </c>
      <c r="G88" s="8">
        <v>2.6624901999999999E-2</v>
      </c>
      <c r="H88" s="99">
        <v>3.2516689338443991</v>
      </c>
    </row>
    <row r="89" spans="1:8" x14ac:dyDescent="0.2">
      <c r="A89" s="4">
        <v>2</v>
      </c>
      <c r="B89" s="5"/>
      <c r="C89" s="5" t="s">
        <v>116</v>
      </c>
      <c r="D89" s="5"/>
      <c r="E89" s="15" t="s">
        <v>9</v>
      </c>
      <c r="F89" s="7">
        <v>4.5518960999999996</v>
      </c>
      <c r="G89" s="8">
        <v>3.6478750000000001E-3</v>
      </c>
      <c r="H89" s="100">
        <v>3.350000000000001</v>
      </c>
    </row>
    <row r="90" spans="1:8" x14ac:dyDescent="0.2">
      <c r="A90" s="15" t="s">
        <v>9</v>
      </c>
      <c r="B90" s="15" t="s">
        <v>9</v>
      </c>
      <c r="C90" s="3" t="s">
        <v>94</v>
      </c>
      <c r="D90" s="15" t="s">
        <v>9</v>
      </c>
      <c r="E90" s="15" t="s">
        <v>9</v>
      </c>
      <c r="F90" s="9">
        <v>37.775016899999997</v>
      </c>
      <c r="G90" s="10">
        <v>3.0272777000000001E-2</v>
      </c>
      <c r="H90" s="100"/>
    </row>
    <row r="91" spans="1:8" x14ac:dyDescent="0.2">
      <c r="A91" s="15" t="s">
        <v>9</v>
      </c>
      <c r="B91" s="15" t="s">
        <v>9</v>
      </c>
      <c r="C91" s="11" t="s">
        <v>9</v>
      </c>
      <c r="D91" s="15" t="s">
        <v>9</v>
      </c>
      <c r="E91" s="15" t="s">
        <v>9</v>
      </c>
      <c r="F91" s="12" t="s">
        <v>9</v>
      </c>
      <c r="G91" s="12" t="s">
        <v>9</v>
      </c>
      <c r="H91" s="100"/>
    </row>
    <row r="92" spans="1:8" x14ac:dyDescent="0.2">
      <c r="A92" s="15" t="s">
        <v>9</v>
      </c>
      <c r="B92" s="15" t="s">
        <v>9</v>
      </c>
      <c r="C92" s="3" t="s">
        <v>117</v>
      </c>
      <c r="D92" s="15" t="s">
        <v>9</v>
      </c>
      <c r="E92" s="15" t="s">
        <v>9</v>
      </c>
      <c r="F92" s="9">
        <v>37.775016899999997</v>
      </c>
      <c r="G92" s="10">
        <v>3.0272777000000001E-2</v>
      </c>
      <c r="H92" s="100"/>
    </row>
    <row r="93" spans="1:8" x14ac:dyDescent="0.2">
      <c r="A93" s="15" t="s">
        <v>9</v>
      </c>
      <c r="B93" s="15" t="s">
        <v>9</v>
      </c>
      <c r="C93" s="12" t="s">
        <v>9</v>
      </c>
      <c r="D93" s="15" t="s">
        <v>9</v>
      </c>
      <c r="E93" s="15" t="s">
        <v>9</v>
      </c>
      <c r="F93" s="15" t="s">
        <v>9</v>
      </c>
      <c r="G93" s="15" t="s">
        <v>9</v>
      </c>
      <c r="H93" s="100"/>
    </row>
    <row r="94" spans="1:8" x14ac:dyDescent="0.2">
      <c r="A94" s="15" t="s">
        <v>9</v>
      </c>
      <c r="B94" s="15" t="s">
        <v>9</v>
      </c>
      <c r="C94" s="3" t="s">
        <v>118</v>
      </c>
      <c r="D94" s="15" t="s">
        <v>9</v>
      </c>
      <c r="E94" s="15" t="s">
        <v>9</v>
      </c>
      <c r="F94" s="15" t="s">
        <v>9</v>
      </c>
      <c r="G94" s="15" t="s">
        <v>9</v>
      </c>
      <c r="H94" s="100"/>
    </row>
    <row r="95" spans="1:8" x14ac:dyDescent="0.2">
      <c r="A95" s="15" t="s">
        <v>9</v>
      </c>
      <c r="B95" s="15" t="s">
        <v>9</v>
      </c>
      <c r="C95" s="3" t="s">
        <v>119</v>
      </c>
      <c r="D95" s="15" t="s">
        <v>9</v>
      </c>
      <c r="E95" s="15" t="s">
        <v>9</v>
      </c>
      <c r="F95" s="15" t="s">
        <v>9</v>
      </c>
      <c r="G95" s="15" t="s">
        <v>9</v>
      </c>
      <c r="H95" s="100"/>
    </row>
    <row r="96" spans="1:8" x14ac:dyDescent="0.2">
      <c r="A96" s="15" t="s">
        <v>9</v>
      </c>
      <c r="B96" s="15" t="s">
        <v>9</v>
      </c>
      <c r="C96" s="3" t="s">
        <v>94</v>
      </c>
      <c r="D96" s="15" t="s">
        <v>9</v>
      </c>
      <c r="E96" s="15" t="s">
        <v>9</v>
      </c>
      <c r="F96" s="13">
        <v>0</v>
      </c>
      <c r="G96" s="14">
        <v>0</v>
      </c>
      <c r="H96" s="100"/>
    </row>
    <row r="97" spans="1:8" x14ac:dyDescent="0.2">
      <c r="A97" s="15" t="s">
        <v>9</v>
      </c>
      <c r="B97" s="15" t="s">
        <v>9</v>
      </c>
      <c r="C97" s="11" t="s">
        <v>9</v>
      </c>
      <c r="D97" s="15" t="s">
        <v>9</v>
      </c>
      <c r="E97" s="15" t="s">
        <v>9</v>
      </c>
      <c r="F97" s="12" t="s">
        <v>9</v>
      </c>
      <c r="G97" s="12" t="s">
        <v>9</v>
      </c>
      <c r="H97" s="100"/>
    </row>
    <row r="98" spans="1:8" x14ac:dyDescent="0.2">
      <c r="A98" s="15" t="s">
        <v>9</v>
      </c>
      <c r="B98" s="15" t="s">
        <v>9</v>
      </c>
      <c r="C98" s="3" t="s">
        <v>120</v>
      </c>
      <c r="D98" s="15" t="s">
        <v>9</v>
      </c>
      <c r="E98" s="15" t="s">
        <v>9</v>
      </c>
      <c r="F98" s="15" t="s">
        <v>9</v>
      </c>
      <c r="G98" s="15" t="s">
        <v>9</v>
      </c>
      <c r="H98" s="100"/>
    </row>
    <row r="99" spans="1:8" x14ac:dyDescent="0.2">
      <c r="A99" s="15" t="s">
        <v>9</v>
      </c>
      <c r="B99" s="15" t="s">
        <v>9</v>
      </c>
      <c r="C99" s="3" t="s">
        <v>121</v>
      </c>
      <c r="D99" s="15" t="s">
        <v>9</v>
      </c>
      <c r="E99" s="15" t="s">
        <v>9</v>
      </c>
      <c r="F99" s="15" t="s">
        <v>9</v>
      </c>
      <c r="G99" s="15" t="s">
        <v>9</v>
      </c>
      <c r="H99" s="100"/>
    </row>
    <row r="100" spans="1:8" x14ac:dyDescent="0.2">
      <c r="A100" s="15" t="s">
        <v>9</v>
      </c>
      <c r="B100" s="15" t="s">
        <v>9</v>
      </c>
      <c r="C100" s="3" t="s">
        <v>94</v>
      </c>
      <c r="D100" s="15" t="s">
        <v>9</v>
      </c>
      <c r="E100" s="15" t="s">
        <v>9</v>
      </c>
      <c r="F100" s="13">
        <v>0</v>
      </c>
      <c r="G100" s="14">
        <v>0</v>
      </c>
      <c r="H100" s="100"/>
    </row>
    <row r="101" spans="1:8" x14ac:dyDescent="0.2">
      <c r="A101" s="15" t="s">
        <v>9</v>
      </c>
      <c r="B101" s="15" t="s">
        <v>9</v>
      </c>
      <c r="C101" s="11" t="s">
        <v>9</v>
      </c>
      <c r="D101" s="15" t="s">
        <v>9</v>
      </c>
      <c r="E101" s="15" t="s">
        <v>9</v>
      </c>
      <c r="F101" s="12" t="s">
        <v>9</v>
      </c>
      <c r="G101" s="12" t="s">
        <v>9</v>
      </c>
      <c r="H101" s="100"/>
    </row>
    <row r="102" spans="1:8" x14ac:dyDescent="0.2">
      <c r="A102" s="15" t="s">
        <v>9</v>
      </c>
      <c r="B102" s="15" t="s">
        <v>9</v>
      </c>
      <c r="C102" s="11" t="s">
        <v>9</v>
      </c>
      <c r="D102" s="15" t="s">
        <v>9</v>
      </c>
      <c r="E102" s="15" t="s">
        <v>9</v>
      </c>
      <c r="F102" s="12" t="s">
        <v>9</v>
      </c>
      <c r="G102" s="12" t="s">
        <v>9</v>
      </c>
      <c r="H102" s="100"/>
    </row>
    <row r="103" spans="1:8" ht="25.5" x14ac:dyDescent="0.2">
      <c r="A103" s="15" t="s">
        <v>9</v>
      </c>
      <c r="B103" s="15" t="s">
        <v>9</v>
      </c>
      <c r="C103" s="3" t="s">
        <v>122</v>
      </c>
      <c r="D103" s="15" t="s">
        <v>9</v>
      </c>
      <c r="E103" s="15" t="s">
        <v>9</v>
      </c>
      <c r="F103" s="12" t="s">
        <v>9</v>
      </c>
      <c r="G103" s="12" t="s">
        <v>9</v>
      </c>
      <c r="H103" s="100"/>
    </row>
    <row r="104" spans="1:8" x14ac:dyDescent="0.2">
      <c r="A104" s="15" t="s">
        <v>9</v>
      </c>
      <c r="B104" s="15" t="s">
        <v>9</v>
      </c>
      <c r="C104" s="3" t="s">
        <v>94</v>
      </c>
      <c r="D104" s="15" t="s">
        <v>9</v>
      </c>
      <c r="E104" s="15" t="s">
        <v>9</v>
      </c>
      <c r="F104" s="13">
        <v>0</v>
      </c>
      <c r="G104" s="14">
        <v>0</v>
      </c>
      <c r="H104" s="100"/>
    </row>
    <row r="105" spans="1:8" x14ac:dyDescent="0.2">
      <c r="A105" s="15" t="s">
        <v>9</v>
      </c>
      <c r="B105" s="15" t="s">
        <v>9</v>
      </c>
      <c r="C105" s="11" t="s">
        <v>9</v>
      </c>
      <c r="D105" s="15" t="s">
        <v>9</v>
      </c>
      <c r="E105" s="15" t="s">
        <v>9</v>
      </c>
      <c r="F105" s="12" t="s">
        <v>9</v>
      </c>
      <c r="G105" s="12" t="s">
        <v>9</v>
      </c>
      <c r="H105" s="100"/>
    </row>
    <row r="106" spans="1:8" x14ac:dyDescent="0.2">
      <c r="A106" s="15" t="s">
        <v>9</v>
      </c>
      <c r="B106" s="5" t="s">
        <v>9</v>
      </c>
      <c r="C106" s="5" t="s">
        <v>9</v>
      </c>
      <c r="D106" s="3" t="s">
        <v>9</v>
      </c>
      <c r="E106" s="15" t="s">
        <v>9</v>
      </c>
      <c r="F106" s="5" t="s">
        <v>9</v>
      </c>
      <c r="G106" s="15" t="s">
        <v>9</v>
      </c>
      <c r="H106" s="100"/>
    </row>
    <row r="107" spans="1:8" x14ac:dyDescent="0.2">
      <c r="A107" s="15" t="s">
        <v>9</v>
      </c>
      <c r="B107" s="5" t="s">
        <v>9</v>
      </c>
      <c r="C107" s="5" t="s">
        <v>124</v>
      </c>
      <c r="D107" s="5" t="s">
        <v>9</v>
      </c>
      <c r="E107" s="15" t="s">
        <v>9</v>
      </c>
      <c r="F107" s="7">
        <v>0.42791151999999999</v>
      </c>
      <c r="G107" s="8">
        <v>3.4292699999999998E-4</v>
      </c>
      <c r="H107" s="100"/>
    </row>
    <row r="108" spans="1:8" x14ac:dyDescent="0.2">
      <c r="A108" s="11" t="s">
        <v>9</v>
      </c>
      <c r="B108" s="11" t="s">
        <v>9</v>
      </c>
      <c r="C108" s="3" t="s">
        <v>125</v>
      </c>
      <c r="D108" s="16" t="s">
        <v>9</v>
      </c>
      <c r="E108" s="16" t="s">
        <v>9</v>
      </c>
      <c r="F108" s="9">
        <v>1247.82131592</v>
      </c>
      <c r="G108" s="10">
        <v>1</v>
      </c>
      <c r="H108" s="100"/>
    </row>
    <row r="109" spans="1:8" x14ac:dyDescent="0.2">
      <c r="A109" s="17" t="s">
        <v>9</v>
      </c>
      <c r="B109" s="17" t="s">
        <v>9</v>
      </c>
      <c r="C109" s="17" t="s">
        <v>9</v>
      </c>
      <c r="D109" s="18" t="s">
        <v>9</v>
      </c>
      <c r="E109" s="18" t="s">
        <v>9</v>
      </c>
      <c r="F109" s="18" t="s">
        <v>9</v>
      </c>
      <c r="G109" s="18" t="s">
        <v>9</v>
      </c>
      <c r="H109" s="142"/>
    </row>
    <row r="110" spans="1:8" x14ac:dyDescent="0.2">
      <c r="A110" s="19" t="s">
        <v>9</v>
      </c>
      <c r="B110" s="254" t="s">
        <v>9</v>
      </c>
      <c r="C110" s="254"/>
      <c r="D110" s="254"/>
      <c r="E110" s="254"/>
      <c r="F110" s="254"/>
      <c r="G110" s="20" t="s">
        <v>9</v>
      </c>
      <c r="H110" s="142"/>
    </row>
    <row r="111" spans="1:8" x14ac:dyDescent="0.2">
      <c r="A111" s="19" t="s">
        <v>9</v>
      </c>
      <c r="B111" s="254" t="s">
        <v>9</v>
      </c>
      <c r="C111" s="254"/>
      <c r="D111" s="254"/>
      <c r="E111" s="254"/>
      <c r="F111" s="254"/>
      <c r="G111" s="20" t="s">
        <v>9</v>
      </c>
      <c r="H111" s="142"/>
    </row>
    <row r="112" spans="1:8" x14ac:dyDescent="0.2">
      <c r="A112" s="19" t="s">
        <v>9</v>
      </c>
      <c r="B112" s="19" t="s">
        <v>9</v>
      </c>
      <c r="C112" s="19" t="s">
        <v>9</v>
      </c>
      <c r="D112" s="20" t="s">
        <v>9</v>
      </c>
      <c r="E112" s="20" t="s">
        <v>9</v>
      </c>
      <c r="F112" s="20" t="s">
        <v>9</v>
      </c>
      <c r="G112" s="20" t="s">
        <v>9</v>
      </c>
      <c r="H112" s="142"/>
    </row>
    <row r="113" spans="1:8" x14ac:dyDescent="0.2">
      <c r="A113" s="19" t="s">
        <v>9</v>
      </c>
      <c r="B113" s="247" t="s">
        <v>127</v>
      </c>
      <c r="C113" s="248"/>
      <c r="D113" s="182" t="s">
        <v>9</v>
      </c>
      <c r="E113" s="21" t="s">
        <v>9</v>
      </c>
      <c r="F113" s="20" t="s">
        <v>9</v>
      </c>
      <c r="G113" s="20" t="s">
        <v>9</v>
      </c>
      <c r="H113" s="142"/>
    </row>
    <row r="114" spans="1:8" ht="28.5" customHeight="1" x14ac:dyDescent="0.2">
      <c r="A114" s="19" t="s">
        <v>9</v>
      </c>
      <c r="B114" s="242" t="s">
        <v>128</v>
      </c>
      <c r="C114" s="243"/>
      <c r="D114" s="3" t="s">
        <v>129</v>
      </c>
      <c r="E114" s="21" t="s">
        <v>9</v>
      </c>
      <c r="F114" s="20" t="s">
        <v>9</v>
      </c>
      <c r="G114" s="20" t="s">
        <v>9</v>
      </c>
      <c r="H114" s="142"/>
    </row>
    <row r="115" spans="1:8" x14ac:dyDescent="0.2">
      <c r="A115" s="19" t="s">
        <v>9</v>
      </c>
      <c r="B115" s="240" t="s">
        <v>130</v>
      </c>
      <c r="C115" s="241"/>
      <c r="D115" s="177" t="s">
        <v>129</v>
      </c>
      <c r="E115" s="21" t="s">
        <v>9</v>
      </c>
      <c r="F115" s="20" t="s">
        <v>9</v>
      </c>
      <c r="G115" s="20" t="s">
        <v>9</v>
      </c>
      <c r="H115" s="142"/>
    </row>
    <row r="116" spans="1:8" x14ac:dyDescent="0.2">
      <c r="A116" s="19" t="s">
        <v>9</v>
      </c>
      <c r="B116" s="240" t="s">
        <v>131</v>
      </c>
      <c r="C116" s="241"/>
      <c r="D116" s="182" t="s">
        <v>9</v>
      </c>
      <c r="E116" s="21" t="s">
        <v>9</v>
      </c>
      <c r="F116" s="20" t="s">
        <v>9</v>
      </c>
      <c r="G116" s="20" t="s">
        <v>9</v>
      </c>
      <c r="H116" s="142"/>
    </row>
    <row r="117" spans="1:8" ht="25.5" x14ac:dyDescent="0.2">
      <c r="A117" s="25" t="s">
        <v>9</v>
      </c>
      <c r="B117" s="23" t="s">
        <v>9</v>
      </c>
      <c r="C117" s="23" t="s">
        <v>132</v>
      </c>
      <c r="D117" s="23" t="s">
        <v>133</v>
      </c>
      <c r="E117" s="25" t="s">
        <v>9</v>
      </c>
      <c r="F117" s="25" t="s">
        <v>9</v>
      </c>
      <c r="G117" s="25" t="s">
        <v>9</v>
      </c>
      <c r="H117" s="142"/>
    </row>
    <row r="118" spans="1:8" x14ac:dyDescent="0.2">
      <c r="A118" s="25" t="s">
        <v>9</v>
      </c>
      <c r="B118" s="23" t="s">
        <v>134</v>
      </c>
      <c r="C118" s="23" t="s">
        <v>135</v>
      </c>
      <c r="D118" s="23" t="s">
        <v>136</v>
      </c>
      <c r="E118" s="25" t="s">
        <v>9</v>
      </c>
      <c r="F118" s="25" t="s">
        <v>9</v>
      </c>
      <c r="G118" s="25" t="s">
        <v>9</v>
      </c>
      <c r="H118" s="142"/>
    </row>
    <row r="119" spans="1:8" x14ac:dyDescent="0.2">
      <c r="A119" s="25" t="s">
        <v>9</v>
      </c>
      <c r="B119" s="183" t="s">
        <v>137</v>
      </c>
      <c r="C119" s="184">
        <v>19.618099999999998</v>
      </c>
      <c r="D119" s="184">
        <v>19.568100000000001</v>
      </c>
      <c r="E119" s="25" t="s">
        <v>9</v>
      </c>
      <c r="F119" s="73" t="s">
        <v>9</v>
      </c>
      <c r="G119" s="25" t="s">
        <v>9</v>
      </c>
      <c r="H119" s="142"/>
    </row>
    <row r="120" spans="1:8" x14ac:dyDescent="0.2">
      <c r="A120" s="25" t="s">
        <v>9</v>
      </c>
      <c r="B120" s="183" t="s">
        <v>921</v>
      </c>
      <c r="C120" s="184">
        <v>18.188800000000001</v>
      </c>
      <c r="D120" s="184">
        <v>18.142499999999998</v>
      </c>
      <c r="E120" s="25" t="s">
        <v>9</v>
      </c>
      <c r="F120" s="73" t="s">
        <v>9</v>
      </c>
      <c r="G120" s="25" t="s">
        <v>9</v>
      </c>
      <c r="H120" s="142"/>
    </row>
    <row r="121" spans="1:8" x14ac:dyDescent="0.2">
      <c r="A121" s="25" t="s">
        <v>9</v>
      </c>
      <c r="B121" s="183" t="s">
        <v>138</v>
      </c>
      <c r="C121" s="184">
        <v>19.1968</v>
      </c>
      <c r="D121" s="184">
        <v>19.145399999999999</v>
      </c>
      <c r="E121" s="25" t="s">
        <v>9</v>
      </c>
      <c r="F121" s="73" t="s">
        <v>9</v>
      </c>
      <c r="G121" s="25" t="s">
        <v>9</v>
      </c>
      <c r="H121" s="142"/>
    </row>
    <row r="122" spans="1:8" x14ac:dyDescent="0.2">
      <c r="A122" s="25" t="s">
        <v>9</v>
      </c>
      <c r="B122" s="183" t="s">
        <v>922</v>
      </c>
      <c r="C122" s="184">
        <v>17.788499999999999</v>
      </c>
      <c r="D122" s="184">
        <v>17.7409</v>
      </c>
      <c r="E122" s="25" t="s">
        <v>9</v>
      </c>
      <c r="F122" s="73" t="s">
        <v>9</v>
      </c>
      <c r="G122" s="25" t="s">
        <v>9</v>
      </c>
      <c r="H122" s="142"/>
    </row>
    <row r="123" spans="1:8" x14ac:dyDescent="0.2">
      <c r="A123" s="25" t="s">
        <v>9</v>
      </c>
      <c r="B123" s="22" t="s">
        <v>9</v>
      </c>
      <c r="C123" s="22" t="s">
        <v>9</v>
      </c>
      <c r="D123" s="22" t="s">
        <v>9</v>
      </c>
      <c r="E123" s="25" t="s">
        <v>9</v>
      </c>
      <c r="F123" s="25" t="s">
        <v>9</v>
      </c>
      <c r="G123" s="25" t="s">
        <v>9</v>
      </c>
      <c r="H123" s="142"/>
    </row>
    <row r="124" spans="1:8" x14ac:dyDescent="0.2">
      <c r="A124" s="25" t="s">
        <v>9</v>
      </c>
      <c r="B124" s="240" t="s">
        <v>1012</v>
      </c>
      <c r="C124" s="241"/>
      <c r="D124" s="177" t="s">
        <v>129</v>
      </c>
      <c r="E124" s="25" t="s">
        <v>9</v>
      </c>
      <c r="F124" s="25" t="s">
        <v>9</v>
      </c>
      <c r="G124" s="25" t="s">
        <v>9</v>
      </c>
      <c r="H124" s="142"/>
    </row>
    <row r="125" spans="1:8" x14ac:dyDescent="0.2">
      <c r="A125" s="25" t="s">
        <v>9</v>
      </c>
      <c r="B125" s="98"/>
      <c r="C125" s="98"/>
      <c r="D125" s="26" t="s">
        <v>9</v>
      </c>
      <c r="E125" s="25" t="s">
        <v>9</v>
      </c>
      <c r="F125" s="25" t="s">
        <v>9</v>
      </c>
      <c r="G125" s="25" t="s">
        <v>9</v>
      </c>
      <c r="H125" s="142"/>
    </row>
    <row r="126" spans="1:8" s="238" customFormat="1" ht="12.75" x14ac:dyDescent="0.2">
      <c r="B126" s="246" t="s">
        <v>923</v>
      </c>
      <c r="C126" s="246"/>
      <c r="D126" s="246"/>
      <c r="E126" s="246"/>
      <c r="F126" s="246"/>
    </row>
    <row r="127" spans="1:8" x14ac:dyDescent="0.2">
      <c r="A127" s="25" t="s">
        <v>9</v>
      </c>
      <c r="B127" s="185" t="s">
        <v>9</v>
      </c>
      <c r="C127" s="185" t="s">
        <v>9</v>
      </c>
      <c r="D127" s="22" t="s">
        <v>9</v>
      </c>
      <c r="E127" s="25" t="s">
        <v>9</v>
      </c>
      <c r="F127" s="25" t="s">
        <v>9</v>
      </c>
      <c r="G127" s="25" t="s">
        <v>9</v>
      </c>
      <c r="H127" s="142"/>
    </row>
    <row r="128" spans="1:8" x14ac:dyDescent="0.2">
      <c r="A128" s="25" t="s">
        <v>9</v>
      </c>
      <c r="B128" s="240" t="s">
        <v>139</v>
      </c>
      <c r="C128" s="241"/>
      <c r="D128" s="177" t="s">
        <v>129</v>
      </c>
      <c r="E128" s="25" t="s">
        <v>9</v>
      </c>
      <c r="F128" s="25" t="s">
        <v>9</v>
      </c>
      <c r="G128" s="25" t="s">
        <v>9</v>
      </c>
      <c r="H128" s="142"/>
    </row>
    <row r="129" spans="1:8" x14ac:dyDescent="0.2">
      <c r="A129" s="25" t="s">
        <v>9</v>
      </c>
      <c r="B129" s="240" t="s">
        <v>140</v>
      </c>
      <c r="C129" s="241"/>
      <c r="D129" s="177" t="s">
        <v>129</v>
      </c>
      <c r="E129" s="25" t="s">
        <v>9</v>
      </c>
      <c r="F129" s="25" t="s">
        <v>9</v>
      </c>
      <c r="G129" s="25" t="s">
        <v>9</v>
      </c>
      <c r="H129" s="142"/>
    </row>
    <row r="130" spans="1:8" x14ac:dyDescent="0.2">
      <c r="A130" s="25" t="s">
        <v>9</v>
      </c>
      <c r="B130" s="240" t="s">
        <v>141</v>
      </c>
      <c r="C130" s="241"/>
      <c r="D130" s="186">
        <v>0.14207555905004332</v>
      </c>
      <c r="E130" s="25" t="s">
        <v>9</v>
      </c>
      <c r="F130" s="73" t="s">
        <v>9</v>
      </c>
      <c r="G130" s="25" t="s">
        <v>9</v>
      </c>
      <c r="H130" s="142"/>
    </row>
    <row r="131" spans="1:8" x14ac:dyDescent="0.2">
      <c r="A131" s="25" t="s">
        <v>9</v>
      </c>
      <c r="B131" s="240" t="s">
        <v>142</v>
      </c>
      <c r="C131" s="241"/>
      <c r="D131" s="177" t="s">
        <v>129</v>
      </c>
      <c r="E131" s="25" t="s">
        <v>9</v>
      </c>
      <c r="F131" s="25" t="s">
        <v>9</v>
      </c>
      <c r="G131" s="25" t="s">
        <v>9</v>
      </c>
      <c r="H131" s="142"/>
    </row>
  </sheetData>
  <mergeCells count="15">
    <mergeCell ref="B113:C113"/>
    <mergeCell ref="B110:F110"/>
    <mergeCell ref="B111:F111"/>
    <mergeCell ref="A1:H1"/>
    <mergeCell ref="A2:H2"/>
    <mergeCell ref="A3:H3"/>
    <mergeCell ref="B130:C130"/>
    <mergeCell ref="B131:C131"/>
    <mergeCell ref="B114:C114"/>
    <mergeCell ref="B115:C115"/>
    <mergeCell ref="B116:C116"/>
    <mergeCell ref="B124:C124"/>
    <mergeCell ref="B128:C128"/>
    <mergeCell ref="B129:C129"/>
    <mergeCell ref="B126:F126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outlinePr summaryBelow="0" summaryRight="0"/>
  </sheetPr>
  <dimension ref="A1:H157"/>
  <sheetViews>
    <sheetView showGridLines="0" workbookViewId="0">
      <selection activeCell="J1" sqref="J1"/>
    </sheetView>
  </sheetViews>
  <sheetFormatPr defaultRowHeight="15" x14ac:dyDescent="0.2"/>
  <cols>
    <col min="1" max="1" width="6.85546875" style="155" customWidth="1"/>
    <col min="2" max="2" width="20.5703125" style="155" customWidth="1"/>
    <col min="3" max="3" width="34.28515625" style="155" customWidth="1"/>
    <col min="4" max="4" width="17.85546875" style="155" customWidth="1"/>
    <col min="5" max="6" width="19.140625" style="155" customWidth="1"/>
    <col min="7" max="7" width="16.42578125" style="155" customWidth="1"/>
    <col min="8" max="16384" width="9.140625" style="155"/>
  </cols>
  <sheetData>
    <row r="1" spans="1:8" x14ac:dyDescent="0.2">
      <c r="A1" s="250" t="s">
        <v>0</v>
      </c>
      <c r="B1" s="250"/>
      <c r="C1" s="250"/>
      <c r="D1" s="250"/>
      <c r="E1" s="250"/>
      <c r="F1" s="250"/>
      <c r="G1" s="250"/>
      <c r="H1" s="250"/>
    </row>
    <row r="2" spans="1:8" x14ac:dyDescent="0.2">
      <c r="A2" s="251" t="s">
        <v>499</v>
      </c>
      <c r="B2" s="252"/>
      <c r="C2" s="252"/>
      <c r="D2" s="252"/>
      <c r="E2" s="252"/>
      <c r="F2" s="252"/>
      <c r="G2" s="252"/>
      <c r="H2" s="253"/>
    </row>
    <row r="3" spans="1:8" x14ac:dyDescent="0.2">
      <c r="A3" s="250" t="s">
        <v>1015</v>
      </c>
      <c r="B3" s="250"/>
      <c r="C3" s="250"/>
      <c r="D3" s="250"/>
      <c r="E3" s="250"/>
      <c r="F3" s="250"/>
      <c r="G3" s="250"/>
      <c r="H3" s="250"/>
    </row>
    <row r="4" spans="1:8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60" t="s">
        <v>6</v>
      </c>
      <c r="F4" s="160" t="s">
        <v>7</v>
      </c>
      <c r="G4" s="160" t="s">
        <v>8</v>
      </c>
      <c r="H4" s="161" t="s">
        <v>909</v>
      </c>
    </row>
    <row r="5" spans="1:8" x14ac:dyDescent="0.2">
      <c r="A5" s="15" t="s">
        <v>9</v>
      </c>
      <c r="B5" s="15" t="s">
        <v>9</v>
      </c>
      <c r="C5" s="3" t="s">
        <v>10</v>
      </c>
      <c r="D5" s="15" t="s">
        <v>9</v>
      </c>
      <c r="E5" s="15" t="s">
        <v>9</v>
      </c>
      <c r="F5" s="15" t="s">
        <v>9</v>
      </c>
      <c r="G5" s="15" t="s">
        <v>9</v>
      </c>
      <c r="H5" s="100"/>
    </row>
    <row r="6" spans="1:8" ht="25.5" x14ac:dyDescent="0.2">
      <c r="A6" s="15" t="s">
        <v>9</v>
      </c>
      <c r="B6" s="15" t="s">
        <v>9</v>
      </c>
      <c r="C6" s="3" t="s">
        <v>11</v>
      </c>
      <c r="D6" s="15" t="s">
        <v>9</v>
      </c>
      <c r="E6" s="15" t="s">
        <v>9</v>
      </c>
      <c r="F6" s="15" t="s">
        <v>9</v>
      </c>
      <c r="G6" s="15" t="s">
        <v>9</v>
      </c>
      <c r="H6" s="100"/>
    </row>
    <row r="7" spans="1:8" x14ac:dyDescent="0.2">
      <c r="A7" s="4">
        <v>1</v>
      </c>
      <c r="B7" s="5" t="s">
        <v>144</v>
      </c>
      <c r="C7" s="5" t="s">
        <v>145</v>
      </c>
      <c r="D7" s="5" t="s">
        <v>146</v>
      </c>
      <c r="E7" s="6">
        <v>8451</v>
      </c>
      <c r="F7" s="7">
        <v>289.71718199999998</v>
      </c>
      <c r="G7" s="8">
        <v>3.9932513000000003E-2</v>
      </c>
      <c r="H7" s="100"/>
    </row>
    <row r="8" spans="1:8" x14ac:dyDescent="0.2">
      <c r="A8" s="4">
        <v>2</v>
      </c>
      <c r="B8" s="5" t="s">
        <v>26</v>
      </c>
      <c r="C8" s="5" t="s">
        <v>27</v>
      </c>
      <c r="D8" s="5" t="s">
        <v>28</v>
      </c>
      <c r="E8" s="6">
        <v>27683</v>
      </c>
      <c r="F8" s="7">
        <v>253.548597</v>
      </c>
      <c r="G8" s="8">
        <v>3.4947298000000002E-2</v>
      </c>
      <c r="H8" s="100"/>
    </row>
    <row r="9" spans="1:8" ht="25.5" x14ac:dyDescent="0.2">
      <c r="A9" s="4">
        <v>3</v>
      </c>
      <c r="B9" s="5" t="s">
        <v>152</v>
      </c>
      <c r="C9" s="5" t="s">
        <v>153</v>
      </c>
      <c r="D9" s="5" t="s">
        <v>1001</v>
      </c>
      <c r="E9" s="6">
        <v>152141</v>
      </c>
      <c r="F9" s="7">
        <v>248.29411200000001</v>
      </c>
      <c r="G9" s="8">
        <v>3.4223058000000001E-2</v>
      </c>
      <c r="H9" s="100"/>
    </row>
    <row r="10" spans="1:8" x14ac:dyDescent="0.2">
      <c r="A10" s="4">
        <v>4</v>
      </c>
      <c r="B10" s="5" t="s">
        <v>184</v>
      </c>
      <c r="C10" s="5" t="s">
        <v>185</v>
      </c>
      <c r="D10" s="5" t="s">
        <v>172</v>
      </c>
      <c r="E10" s="6">
        <v>126281</v>
      </c>
      <c r="F10" s="7">
        <v>224.27505600000001</v>
      </c>
      <c r="G10" s="8">
        <v>3.0912446E-2</v>
      </c>
      <c r="H10" s="100"/>
    </row>
    <row r="11" spans="1:8" ht="25.5" x14ac:dyDescent="0.2">
      <c r="A11" s="4">
        <v>5</v>
      </c>
      <c r="B11" s="5" t="s">
        <v>34</v>
      </c>
      <c r="C11" s="5" t="s">
        <v>35</v>
      </c>
      <c r="D11" s="5" t="s">
        <v>1001</v>
      </c>
      <c r="E11" s="6">
        <v>6837</v>
      </c>
      <c r="F11" s="7">
        <v>191.87356800000001</v>
      </c>
      <c r="G11" s="8">
        <v>2.6446460000000001E-2</v>
      </c>
      <c r="H11" s="100"/>
    </row>
    <row r="12" spans="1:8" x14ac:dyDescent="0.2">
      <c r="A12" s="4">
        <v>6</v>
      </c>
      <c r="B12" s="5" t="s">
        <v>157</v>
      </c>
      <c r="C12" s="5" t="s">
        <v>158</v>
      </c>
      <c r="D12" s="5" t="s">
        <v>28</v>
      </c>
      <c r="E12" s="6">
        <v>35790</v>
      </c>
      <c r="F12" s="7">
        <v>186.43011000000001</v>
      </c>
      <c r="G12" s="8">
        <v>2.5696172999999999E-2</v>
      </c>
      <c r="H12" s="100"/>
    </row>
    <row r="13" spans="1:8" x14ac:dyDescent="0.2">
      <c r="A13" s="4">
        <v>7</v>
      </c>
      <c r="B13" s="5" t="s">
        <v>168</v>
      </c>
      <c r="C13" s="5" t="s">
        <v>169</v>
      </c>
      <c r="D13" s="5" t="s">
        <v>151</v>
      </c>
      <c r="E13" s="6">
        <v>85992</v>
      </c>
      <c r="F13" s="7">
        <v>169.61922000000001</v>
      </c>
      <c r="G13" s="8">
        <v>2.3379081999999999E-2</v>
      </c>
      <c r="H13" s="100"/>
    </row>
    <row r="14" spans="1:8" x14ac:dyDescent="0.2">
      <c r="A14" s="4">
        <v>8</v>
      </c>
      <c r="B14" s="5" t="s">
        <v>159</v>
      </c>
      <c r="C14" s="5" t="s">
        <v>160</v>
      </c>
      <c r="D14" s="5" t="s">
        <v>58</v>
      </c>
      <c r="E14" s="6">
        <v>47942</v>
      </c>
      <c r="F14" s="7">
        <v>167.797</v>
      </c>
      <c r="G14" s="8">
        <v>2.312792E-2</v>
      </c>
      <c r="H14" s="100"/>
    </row>
    <row r="15" spans="1:8" x14ac:dyDescent="0.2">
      <c r="A15" s="4">
        <v>9</v>
      </c>
      <c r="B15" s="5" t="s">
        <v>461</v>
      </c>
      <c r="C15" s="5" t="s">
        <v>462</v>
      </c>
      <c r="D15" s="5" t="s">
        <v>193</v>
      </c>
      <c r="E15" s="6">
        <v>63111</v>
      </c>
      <c r="F15" s="7">
        <v>167.33881650000001</v>
      </c>
      <c r="G15" s="8">
        <v>2.3064767999999999E-2</v>
      </c>
      <c r="H15" s="100"/>
    </row>
    <row r="16" spans="1:8" x14ac:dyDescent="0.2">
      <c r="A16" s="4">
        <v>10</v>
      </c>
      <c r="B16" s="5" t="s">
        <v>56</v>
      </c>
      <c r="C16" s="5" t="s">
        <v>57</v>
      </c>
      <c r="D16" s="5" t="s">
        <v>58</v>
      </c>
      <c r="E16" s="6">
        <v>5340</v>
      </c>
      <c r="F16" s="7">
        <v>165.50262000000001</v>
      </c>
      <c r="G16" s="8">
        <v>2.2811680000000001E-2</v>
      </c>
      <c r="H16" s="100"/>
    </row>
    <row r="17" spans="1:8" x14ac:dyDescent="0.2">
      <c r="A17" s="4">
        <v>11</v>
      </c>
      <c r="B17" s="5" t="s">
        <v>175</v>
      </c>
      <c r="C17" s="5" t="s">
        <v>176</v>
      </c>
      <c r="D17" s="5" t="s">
        <v>53</v>
      </c>
      <c r="E17" s="6">
        <v>44883</v>
      </c>
      <c r="F17" s="7">
        <v>165.46117949999999</v>
      </c>
      <c r="G17" s="8">
        <v>2.2805967999999999E-2</v>
      </c>
      <c r="H17" s="100"/>
    </row>
    <row r="18" spans="1:8" ht="25.5" x14ac:dyDescent="0.2">
      <c r="A18" s="4">
        <v>12</v>
      </c>
      <c r="B18" s="5" t="s">
        <v>442</v>
      </c>
      <c r="C18" s="5" t="s">
        <v>443</v>
      </c>
      <c r="D18" s="5" t="s">
        <v>25</v>
      </c>
      <c r="E18" s="6">
        <v>15552</v>
      </c>
      <c r="F18" s="7">
        <v>163.109376</v>
      </c>
      <c r="G18" s="8">
        <v>2.2481812E-2</v>
      </c>
      <c r="H18" s="100"/>
    </row>
    <row r="19" spans="1:8" x14ac:dyDescent="0.2">
      <c r="A19" s="4">
        <v>13</v>
      </c>
      <c r="B19" s="5" t="s">
        <v>48</v>
      </c>
      <c r="C19" s="5" t="s">
        <v>49</v>
      </c>
      <c r="D19" s="5" t="s">
        <v>28</v>
      </c>
      <c r="E19" s="6">
        <v>11588</v>
      </c>
      <c r="F19" s="7">
        <v>162.71290200000001</v>
      </c>
      <c r="G19" s="8">
        <v>2.2427164999999999E-2</v>
      </c>
      <c r="H19" s="100"/>
    </row>
    <row r="20" spans="1:8" x14ac:dyDescent="0.2">
      <c r="A20" s="4">
        <v>14</v>
      </c>
      <c r="B20" s="5" t="s">
        <v>173</v>
      </c>
      <c r="C20" s="5" t="s">
        <v>949</v>
      </c>
      <c r="D20" s="5" t="s">
        <v>28</v>
      </c>
      <c r="E20" s="6">
        <v>36203</v>
      </c>
      <c r="F20" s="7">
        <v>161.68259800000001</v>
      </c>
      <c r="G20" s="8">
        <v>2.2285156E-2</v>
      </c>
      <c r="H20" s="100"/>
    </row>
    <row r="21" spans="1:8" x14ac:dyDescent="0.2">
      <c r="A21" s="4">
        <v>15</v>
      </c>
      <c r="B21" s="5" t="s">
        <v>154</v>
      </c>
      <c r="C21" s="5" t="s">
        <v>155</v>
      </c>
      <c r="D21" s="5" t="s">
        <v>156</v>
      </c>
      <c r="E21" s="6">
        <v>192887</v>
      </c>
      <c r="F21" s="7">
        <v>156.23847000000001</v>
      </c>
      <c r="G21" s="8">
        <v>2.1534775999999999E-2</v>
      </c>
      <c r="H21" s="100"/>
    </row>
    <row r="22" spans="1:8" x14ac:dyDescent="0.2">
      <c r="A22" s="4">
        <v>16</v>
      </c>
      <c r="B22" s="5" t="s">
        <v>206</v>
      </c>
      <c r="C22" s="5" t="s">
        <v>207</v>
      </c>
      <c r="D22" s="5" t="s">
        <v>163</v>
      </c>
      <c r="E22" s="6">
        <v>40048</v>
      </c>
      <c r="F22" s="7">
        <v>153.043432</v>
      </c>
      <c r="G22" s="8">
        <v>2.1094396000000001E-2</v>
      </c>
      <c r="H22" s="100"/>
    </row>
    <row r="23" spans="1:8" ht="25.5" x14ac:dyDescent="0.2">
      <c r="A23" s="4">
        <v>17</v>
      </c>
      <c r="B23" s="5" t="s">
        <v>166</v>
      </c>
      <c r="C23" s="5" t="s">
        <v>948</v>
      </c>
      <c r="D23" s="5" t="s">
        <v>1001</v>
      </c>
      <c r="E23" s="6">
        <v>60777</v>
      </c>
      <c r="F23" s="7">
        <v>144.10226700000001</v>
      </c>
      <c r="G23" s="8">
        <v>1.9862009999999999E-2</v>
      </c>
      <c r="H23" s="100"/>
    </row>
    <row r="24" spans="1:8" x14ac:dyDescent="0.2">
      <c r="A24" s="4">
        <v>18</v>
      </c>
      <c r="B24" s="5" t="s">
        <v>164</v>
      </c>
      <c r="C24" s="5" t="s">
        <v>947</v>
      </c>
      <c r="D24" s="5" t="s">
        <v>151</v>
      </c>
      <c r="E24" s="6">
        <v>19844</v>
      </c>
      <c r="F24" s="7">
        <v>143.75985800000001</v>
      </c>
      <c r="G24" s="8">
        <v>1.9814815E-2</v>
      </c>
      <c r="H24" s="100"/>
    </row>
    <row r="25" spans="1:8" x14ac:dyDescent="0.2">
      <c r="A25" s="4">
        <v>19</v>
      </c>
      <c r="B25" s="5" t="s">
        <v>216</v>
      </c>
      <c r="C25" s="5" t="s">
        <v>217</v>
      </c>
      <c r="D25" s="5" t="s">
        <v>1005</v>
      </c>
      <c r="E25" s="6">
        <v>67403</v>
      </c>
      <c r="F25" s="7">
        <v>142.01812100000001</v>
      </c>
      <c r="G25" s="8">
        <v>1.9574747E-2</v>
      </c>
      <c r="H25" s="100"/>
    </row>
    <row r="26" spans="1:8" ht="25.5" x14ac:dyDescent="0.2">
      <c r="A26" s="4">
        <v>20</v>
      </c>
      <c r="B26" s="5" t="s">
        <v>194</v>
      </c>
      <c r="C26" s="5" t="s">
        <v>195</v>
      </c>
      <c r="D26" s="5" t="s">
        <v>73</v>
      </c>
      <c r="E26" s="6">
        <v>38459</v>
      </c>
      <c r="F26" s="7">
        <v>141.2406775</v>
      </c>
      <c r="G26" s="8">
        <v>1.946759E-2</v>
      </c>
      <c r="H26" s="100"/>
    </row>
    <row r="27" spans="1:8" x14ac:dyDescent="0.2">
      <c r="A27" s="4">
        <v>21</v>
      </c>
      <c r="B27" s="5" t="s">
        <v>191</v>
      </c>
      <c r="C27" s="5" t="s">
        <v>192</v>
      </c>
      <c r="D27" s="5" t="s">
        <v>193</v>
      </c>
      <c r="E27" s="6">
        <v>42854</v>
      </c>
      <c r="F27" s="7">
        <v>140.77538999999999</v>
      </c>
      <c r="G27" s="8">
        <v>1.9403457999999998E-2</v>
      </c>
      <c r="H27" s="100"/>
    </row>
    <row r="28" spans="1:8" ht="25.5" x14ac:dyDescent="0.2">
      <c r="A28" s="4">
        <v>22</v>
      </c>
      <c r="B28" s="5" t="s">
        <v>67</v>
      </c>
      <c r="C28" s="5" t="s">
        <v>929</v>
      </c>
      <c r="D28" s="5" t="s">
        <v>25</v>
      </c>
      <c r="E28" s="6">
        <v>25581</v>
      </c>
      <c r="F28" s="7">
        <v>137.856009</v>
      </c>
      <c r="G28" s="8">
        <v>1.9001071000000001E-2</v>
      </c>
      <c r="H28" s="100"/>
    </row>
    <row r="29" spans="1:8" x14ac:dyDescent="0.2">
      <c r="A29" s="4">
        <v>23</v>
      </c>
      <c r="B29" s="5" t="s">
        <v>226</v>
      </c>
      <c r="C29" s="5" t="s">
        <v>227</v>
      </c>
      <c r="D29" s="5" t="s">
        <v>228</v>
      </c>
      <c r="E29" s="6">
        <v>83608</v>
      </c>
      <c r="F29" s="7">
        <v>130.88832400000001</v>
      </c>
      <c r="G29" s="8">
        <v>1.8040695999999998E-2</v>
      </c>
      <c r="H29" s="100"/>
    </row>
    <row r="30" spans="1:8" x14ac:dyDescent="0.2">
      <c r="A30" s="4">
        <v>24</v>
      </c>
      <c r="B30" s="5" t="s">
        <v>64</v>
      </c>
      <c r="C30" s="5" t="s">
        <v>65</v>
      </c>
      <c r="D30" s="5" t="s">
        <v>1002</v>
      </c>
      <c r="E30" s="6">
        <v>112301</v>
      </c>
      <c r="F30" s="7">
        <v>129.76380549999999</v>
      </c>
      <c r="G30" s="8">
        <v>1.7885701E-2</v>
      </c>
      <c r="H30" s="100"/>
    </row>
    <row r="31" spans="1:8" ht="25.5" x14ac:dyDescent="0.2">
      <c r="A31" s="4">
        <v>25</v>
      </c>
      <c r="B31" s="5" t="s">
        <v>180</v>
      </c>
      <c r="C31" s="5" t="s">
        <v>934</v>
      </c>
      <c r="D31" s="5" t="s">
        <v>146</v>
      </c>
      <c r="E31" s="6">
        <v>35180</v>
      </c>
      <c r="F31" s="7">
        <v>127.29883</v>
      </c>
      <c r="G31" s="8">
        <v>1.7545946999999999E-2</v>
      </c>
      <c r="H31" s="100"/>
    </row>
    <row r="32" spans="1:8" x14ac:dyDescent="0.2">
      <c r="A32" s="4">
        <v>26</v>
      </c>
      <c r="B32" s="5" t="s">
        <v>177</v>
      </c>
      <c r="C32" s="5" t="s">
        <v>178</v>
      </c>
      <c r="D32" s="5" t="s">
        <v>47</v>
      </c>
      <c r="E32" s="6">
        <v>11302</v>
      </c>
      <c r="F32" s="7">
        <v>119.315214</v>
      </c>
      <c r="G32" s="8">
        <v>1.6445543E-2</v>
      </c>
      <c r="H32" s="100"/>
    </row>
    <row r="33" spans="1:8" x14ac:dyDescent="0.2">
      <c r="A33" s="4">
        <v>27</v>
      </c>
      <c r="B33" s="5" t="s">
        <v>170</v>
      </c>
      <c r="C33" s="5" t="s">
        <v>171</v>
      </c>
      <c r="D33" s="5" t="s">
        <v>172</v>
      </c>
      <c r="E33" s="6">
        <v>11531</v>
      </c>
      <c r="F33" s="7">
        <v>118.20428099999999</v>
      </c>
      <c r="G33" s="8">
        <v>1.6292419999999998E-2</v>
      </c>
      <c r="H33" s="100"/>
    </row>
    <row r="34" spans="1:8" ht="25.5" x14ac:dyDescent="0.2">
      <c r="A34" s="4">
        <v>28</v>
      </c>
      <c r="B34" s="5" t="s">
        <v>182</v>
      </c>
      <c r="C34" s="5" t="s">
        <v>944</v>
      </c>
      <c r="D34" s="5" t="s">
        <v>58</v>
      </c>
      <c r="E34" s="6">
        <v>5046</v>
      </c>
      <c r="F34" s="7">
        <v>117.84176100000001</v>
      </c>
      <c r="G34" s="8">
        <v>1.6242453E-2</v>
      </c>
      <c r="H34" s="100"/>
    </row>
    <row r="35" spans="1:8" x14ac:dyDescent="0.2">
      <c r="A35" s="4">
        <v>29</v>
      </c>
      <c r="B35" s="5" t="s">
        <v>196</v>
      </c>
      <c r="C35" s="5" t="s">
        <v>197</v>
      </c>
      <c r="D35" s="5" t="s">
        <v>151</v>
      </c>
      <c r="E35" s="6">
        <v>15206</v>
      </c>
      <c r="F35" s="7">
        <v>112.075823</v>
      </c>
      <c r="G35" s="8">
        <v>1.5447717999999999E-2</v>
      </c>
      <c r="H35" s="100"/>
    </row>
    <row r="36" spans="1:8" x14ac:dyDescent="0.2">
      <c r="A36" s="4">
        <v>30</v>
      </c>
      <c r="B36" s="5" t="s">
        <v>204</v>
      </c>
      <c r="C36" s="5" t="s">
        <v>205</v>
      </c>
      <c r="D36" s="5" t="s">
        <v>1004</v>
      </c>
      <c r="E36" s="6">
        <v>40784</v>
      </c>
      <c r="F36" s="7">
        <v>110.891696</v>
      </c>
      <c r="G36" s="8">
        <v>1.5284506E-2</v>
      </c>
      <c r="H36" s="100"/>
    </row>
    <row r="37" spans="1:8" ht="25.5" x14ac:dyDescent="0.2">
      <c r="A37" s="4">
        <v>31</v>
      </c>
      <c r="B37" s="5" t="s">
        <v>23</v>
      </c>
      <c r="C37" s="5" t="s">
        <v>24</v>
      </c>
      <c r="D37" s="5" t="s">
        <v>25</v>
      </c>
      <c r="E37" s="6">
        <v>46045</v>
      </c>
      <c r="F37" s="7">
        <v>108.04459249999999</v>
      </c>
      <c r="G37" s="8">
        <v>1.4892081999999999E-2</v>
      </c>
      <c r="H37" s="100"/>
    </row>
    <row r="38" spans="1:8" x14ac:dyDescent="0.2">
      <c r="A38" s="4">
        <v>32</v>
      </c>
      <c r="B38" s="5" t="s">
        <v>36</v>
      </c>
      <c r="C38" s="5" t="s">
        <v>37</v>
      </c>
      <c r="D38" s="5" t="s">
        <v>38</v>
      </c>
      <c r="E38" s="6">
        <v>40332</v>
      </c>
      <c r="F38" s="7">
        <v>100.991328</v>
      </c>
      <c r="G38" s="8">
        <v>1.3919911E-2</v>
      </c>
      <c r="H38" s="100"/>
    </row>
    <row r="39" spans="1:8" x14ac:dyDescent="0.2">
      <c r="A39" s="4">
        <v>33</v>
      </c>
      <c r="B39" s="5" t="s">
        <v>278</v>
      </c>
      <c r="C39" s="5" t="s">
        <v>279</v>
      </c>
      <c r="D39" s="5" t="s">
        <v>28</v>
      </c>
      <c r="E39" s="6">
        <v>9283</v>
      </c>
      <c r="F39" s="7">
        <v>98.241989000000004</v>
      </c>
      <c r="G39" s="8">
        <v>1.3540963E-2</v>
      </c>
      <c r="H39" s="100"/>
    </row>
    <row r="40" spans="1:8" x14ac:dyDescent="0.2">
      <c r="A40" s="4">
        <v>34</v>
      </c>
      <c r="B40" s="5" t="s">
        <v>208</v>
      </c>
      <c r="C40" s="5" t="s">
        <v>209</v>
      </c>
      <c r="D40" s="5" t="s">
        <v>163</v>
      </c>
      <c r="E40" s="6">
        <v>25572</v>
      </c>
      <c r="F40" s="7">
        <v>93.849239999999995</v>
      </c>
      <c r="G40" s="8">
        <v>1.2935498E-2</v>
      </c>
      <c r="H40" s="100"/>
    </row>
    <row r="41" spans="1:8" ht="25.5" x14ac:dyDescent="0.2">
      <c r="A41" s="4">
        <v>35</v>
      </c>
      <c r="B41" s="5" t="s">
        <v>214</v>
      </c>
      <c r="C41" s="5" t="s">
        <v>215</v>
      </c>
      <c r="D41" s="5" t="s">
        <v>25</v>
      </c>
      <c r="E41" s="6">
        <v>134113</v>
      </c>
      <c r="F41" s="7">
        <v>93.342647999999997</v>
      </c>
      <c r="G41" s="8">
        <v>1.2865672999999999E-2</v>
      </c>
      <c r="H41" s="100"/>
    </row>
    <row r="42" spans="1:8" x14ac:dyDescent="0.2">
      <c r="A42" s="4">
        <v>36</v>
      </c>
      <c r="B42" s="5" t="s">
        <v>179</v>
      </c>
      <c r="C42" s="5" t="s">
        <v>933</v>
      </c>
      <c r="D42" s="5" t="s">
        <v>47</v>
      </c>
      <c r="E42" s="6">
        <v>42816</v>
      </c>
      <c r="F42" s="7">
        <v>91.797504000000004</v>
      </c>
      <c r="G42" s="8">
        <v>1.2652702E-2</v>
      </c>
      <c r="H42" s="100"/>
    </row>
    <row r="43" spans="1:8" x14ac:dyDescent="0.2">
      <c r="A43" s="4">
        <v>37</v>
      </c>
      <c r="B43" s="5" t="s">
        <v>202</v>
      </c>
      <c r="C43" s="5" t="s">
        <v>203</v>
      </c>
      <c r="D43" s="5" t="s">
        <v>38</v>
      </c>
      <c r="E43" s="6">
        <v>108993</v>
      </c>
      <c r="F43" s="7">
        <v>89.973721499999996</v>
      </c>
      <c r="G43" s="8">
        <v>1.2401325E-2</v>
      </c>
      <c r="H43" s="100"/>
    </row>
    <row r="44" spans="1:8" x14ac:dyDescent="0.2">
      <c r="A44" s="4">
        <v>38</v>
      </c>
      <c r="B44" s="5" t="s">
        <v>218</v>
      </c>
      <c r="C44" s="5" t="s">
        <v>219</v>
      </c>
      <c r="D44" s="5" t="s">
        <v>156</v>
      </c>
      <c r="E44" s="6">
        <v>15163</v>
      </c>
      <c r="F44" s="7">
        <v>88.165263499999995</v>
      </c>
      <c r="G44" s="8">
        <v>1.2152059999999999E-2</v>
      </c>
      <c r="H44" s="100"/>
    </row>
    <row r="45" spans="1:8" x14ac:dyDescent="0.2">
      <c r="A45" s="4">
        <v>39</v>
      </c>
      <c r="B45" s="5" t="s">
        <v>241</v>
      </c>
      <c r="C45" s="5" t="s">
        <v>242</v>
      </c>
      <c r="D45" s="5" t="s">
        <v>163</v>
      </c>
      <c r="E45" s="6">
        <v>14616</v>
      </c>
      <c r="F45" s="7">
        <v>87.052896000000004</v>
      </c>
      <c r="G45" s="8">
        <v>1.1998739E-2</v>
      </c>
      <c r="H45" s="100"/>
    </row>
    <row r="46" spans="1:8" x14ac:dyDescent="0.2">
      <c r="A46" s="4">
        <v>40</v>
      </c>
      <c r="B46" s="5" t="s">
        <v>237</v>
      </c>
      <c r="C46" s="5" t="s">
        <v>951</v>
      </c>
      <c r="D46" s="5" t="s">
        <v>1006</v>
      </c>
      <c r="E46" s="6">
        <v>23395</v>
      </c>
      <c r="F46" s="7">
        <v>86.631685000000004</v>
      </c>
      <c r="G46" s="8">
        <v>1.1940683000000001E-2</v>
      </c>
      <c r="H46" s="100"/>
    </row>
    <row r="47" spans="1:8" x14ac:dyDescent="0.2">
      <c r="A47" s="4">
        <v>41</v>
      </c>
      <c r="B47" s="5" t="s">
        <v>235</v>
      </c>
      <c r="C47" s="5" t="s">
        <v>236</v>
      </c>
      <c r="D47" s="5" t="s">
        <v>1005</v>
      </c>
      <c r="E47" s="6">
        <v>18393</v>
      </c>
      <c r="F47" s="7">
        <v>80.404999500000002</v>
      </c>
      <c r="G47" s="8">
        <v>1.1082441E-2</v>
      </c>
      <c r="H47" s="100"/>
    </row>
    <row r="48" spans="1:8" ht="25.5" x14ac:dyDescent="0.2">
      <c r="A48" s="4">
        <v>42</v>
      </c>
      <c r="B48" s="5" t="s">
        <v>243</v>
      </c>
      <c r="C48" s="5" t="s">
        <v>244</v>
      </c>
      <c r="D48" s="5" t="s">
        <v>1007</v>
      </c>
      <c r="E48" s="6">
        <v>107569</v>
      </c>
      <c r="F48" s="7">
        <v>80.246474000000006</v>
      </c>
      <c r="G48" s="8">
        <v>1.1060591E-2</v>
      </c>
      <c r="H48" s="100"/>
    </row>
    <row r="49" spans="1:8" x14ac:dyDescent="0.2">
      <c r="A49" s="4">
        <v>43</v>
      </c>
      <c r="B49" s="5" t="s">
        <v>222</v>
      </c>
      <c r="C49" s="5" t="s">
        <v>950</v>
      </c>
      <c r="D49" s="5" t="s">
        <v>28</v>
      </c>
      <c r="E49" s="6">
        <v>73354</v>
      </c>
      <c r="F49" s="7">
        <v>78.965581</v>
      </c>
      <c r="G49" s="8">
        <v>1.0884042E-2</v>
      </c>
      <c r="H49" s="100"/>
    </row>
    <row r="50" spans="1:8" x14ac:dyDescent="0.2">
      <c r="A50" s="4">
        <v>44</v>
      </c>
      <c r="B50" s="5" t="s">
        <v>231</v>
      </c>
      <c r="C50" s="5" t="s">
        <v>935</v>
      </c>
      <c r="D50" s="5" t="s">
        <v>156</v>
      </c>
      <c r="E50" s="6">
        <v>15566</v>
      </c>
      <c r="F50" s="7">
        <v>77.471981999999997</v>
      </c>
      <c r="G50" s="8">
        <v>1.0678175999999999E-2</v>
      </c>
      <c r="H50" s="100"/>
    </row>
    <row r="51" spans="1:8" x14ac:dyDescent="0.2">
      <c r="A51" s="4">
        <v>45</v>
      </c>
      <c r="B51" s="5" t="s">
        <v>455</v>
      </c>
      <c r="C51" s="5" t="s">
        <v>456</v>
      </c>
      <c r="D51" s="5" t="s">
        <v>1006</v>
      </c>
      <c r="E51" s="6">
        <v>146896</v>
      </c>
      <c r="F51" s="7">
        <v>76.753159999999994</v>
      </c>
      <c r="G51" s="8">
        <v>1.0579098E-2</v>
      </c>
      <c r="H51" s="100"/>
    </row>
    <row r="52" spans="1:8" x14ac:dyDescent="0.2">
      <c r="A52" s="4">
        <v>46</v>
      </c>
      <c r="B52" s="5" t="s">
        <v>186</v>
      </c>
      <c r="C52" s="5" t="s">
        <v>187</v>
      </c>
      <c r="D52" s="5" t="s">
        <v>188</v>
      </c>
      <c r="E52" s="6">
        <v>10328</v>
      </c>
      <c r="F52" s="7">
        <v>75.141363999999996</v>
      </c>
      <c r="G52" s="8">
        <v>1.035694E-2</v>
      </c>
      <c r="H52" s="100"/>
    </row>
    <row r="53" spans="1:8" x14ac:dyDescent="0.2">
      <c r="A53" s="4">
        <v>47</v>
      </c>
      <c r="B53" s="5" t="s">
        <v>59</v>
      </c>
      <c r="C53" s="5" t="s">
        <v>60</v>
      </c>
      <c r="D53" s="5" t="s">
        <v>38</v>
      </c>
      <c r="E53" s="6">
        <v>39491</v>
      </c>
      <c r="F53" s="7">
        <v>74.894681500000004</v>
      </c>
      <c r="G53" s="8">
        <v>1.0322939E-2</v>
      </c>
      <c r="H53" s="100"/>
    </row>
    <row r="54" spans="1:8" x14ac:dyDescent="0.2">
      <c r="A54" s="4">
        <v>48</v>
      </c>
      <c r="B54" s="5" t="s">
        <v>245</v>
      </c>
      <c r="C54" s="5" t="s">
        <v>246</v>
      </c>
      <c r="D54" s="5" t="s">
        <v>22</v>
      </c>
      <c r="E54" s="6">
        <v>82133</v>
      </c>
      <c r="F54" s="7">
        <v>74.453564499999999</v>
      </c>
      <c r="G54" s="8">
        <v>1.0262139E-2</v>
      </c>
      <c r="H54" s="100"/>
    </row>
    <row r="55" spans="1:8" x14ac:dyDescent="0.2">
      <c r="A55" s="4">
        <v>49</v>
      </c>
      <c r="B55" s="5" t="s">
        <v>256</v>
      </c>
      <c r="C55" s="5" t="s">
        <v>257</v>
      </c>
      <c r="D55" s="5" t="s">
        <v>1005</v>
      </c>
      <c r="E55" s="6">
        <v>65797</v>
      </c>
      <c r="F55" s="7">
        <v>71.356846500000003</v>
      </c>
      <c r="G55" s="8">
        <v>9.8353099999999999E-3</v>
      </c>
      <c r="H55" s="100"/>
    </row>
    <row r="56" spans="1:8" x14ac:dyDescent="0.2">
      <c r="A56" s="4">
        <v>50</v>
      </c>
      <c r="B56" s="5" t="s">
        <v>249</v>
      </c>
      <c r="C56" s="5" t="s">
        <v>952</v>
      </c>
      <c r="D56" s="5" t="s">
        <v>251</v>
      </c>
      <c r="E56" s="6">
        <v>33525</v>
      </c>
      <c r="F56" s="7">
        <v>71.022712499999997</v>
      </c>
      <c r="G56" s="8">
        <v>9.7892550000000002E-3</v>
      </c>
      <c r="H56" s="100"/>
    </row>
    <row r="57" spans="1:8" x14ac:dyDescent="0.2">
      <c r="A57" s="4">
        <v>51</v>
      </c>
      <c r="B57" s="5" t="s">
        <v>220</v>
      </c>
      <c r="C57" s="5" t="s">
        <v>221</v>
      </c>
      <c r="D57" s="5" t="s">
        <v>1002</v>
      </c>
      <c r="E57" s="6">
        <v>7288</v>
      </c>
      <c r="F57" s="7">
        <v>68.037124000000006</v>
      </c>
      <c r="G57" s="8">
        <v>9.3777429999999991E-3</v>
      </c>
      <c r="H57" s="100"/>
    </row>
    <row r="58" spans="1:8" x14ac:dyDescent="0.2">
      <c r="A58" s="4">
        <v>52</v>
      </c>
      <c r="B58" s="5" t="s">
        <v>260</v>
      </c>
      <c r="C58" s="5" t="s">
        <v>261</v>
      </c>
      <c r="D58" s="5" t="s">
        <v>58</v>
      </c>
      <c r="E58" s="6">
        <v>38073</v>
      </c>
      <c r="F58" s="7">
        <v>59.298697500000003</v>
      </c>
      <c r="G58" s="8">
        <v>8.1733020000000003E-3</v>
      </c>
      <c r="H58" s="100"/>
    </row>
    <row r="59" spans="1:8" x14ac:dyDescent="0.2">
      <c r="A59" s="4">
        <v>53</v>
      </c>
      <c r="B59" s="5" t="s">
        <v>247</v>
      </c>
      <c r="C59" s="5" t="s">
        <v>248</v>
      </c>
      <c r="D59" s="5" t="s">
        <v>1005</v>
      </c>
      <c r="E59" s="6">
        <v>30294</v>
      </c>
      <c r="F59" s="7">
        <v>56.770955999999998</v>
      </c>
      <c r="G59" s="8">
        <v>7.8248959999999996E-3</v>
      </c>
      <c r="H59" s="100"/>
    </row>
    <row r="60" spans="1:8" x14ac:dyDescent="0.2">
      <c r="A60" s="4">
        <v>54</v>
      </c>
      <c r="B60" s="5" t="s">
        <v>262</v>
      </c>
      <c r="C60" s="5" t="s">
        <v>263</v>
      </c>
      <c r="D60" s="5" t="s">
        <v>146</v>
      </c>
      <c r="E60" s="6">
        <v>3563</v>
      </c>
      <c r="F60" s="7">
        <v>55.132080500000001</v>
      </c>
      <c r="G60" s="8">
        <v>7.5990060000000002E-3</v>
      </c>
      <c r="H60" s="100"/>
    </row>
    <row r="61" spans="1:8" x14ac:dyDescent="0.2">
      <c r="A61" s="4">
        <v>55</v>
      </c>
      <c r="B61" s="5" t="s">
        <v>198</v>
      </c>
      <c r="C61" s="5" t="s">
        <v>199</v>
      </c>
      <c r="D61" s="5" t="s">
        <v>156</v>
      </c>
      <c r="E61" s="6">
        <v>94633</v>
      </c>
      <c r="F61" s="7">
        <v>50.15549</v>
      </c>
      <c r="G61" s="8">
        <v>6.913069E-3</v>
      </c>
      <c r="H61" s="100"/>
    </row>
    <row r="62" spans="1:8" x14ac:dyDescent="0.2">
      <c r="A62" s="4">
        <v>56</v>
      </c>
      <c r="B62" s="5" t="s">
        <v>239</v>
      </c>
      <c r="C62" s="5" t="s">
        <v>240</v>
      </c>
      <c r="D62" s="5" t="s">
        <v>58</v>
      </c>
      <c r="E62" s="6">
        <v>9272</v>
      </c>
      <c r="F62" s="7">
        <v>42.386947999999997</v>
      </c>
      <c r="G62" s="8">
        <v>5.8423090000000004E-3</v>
      </c>
      <c r="H62" s="100"/>
    </row>
    <row r="63" spans="1:8" ht="25.5" x14ac:dyDescent="0.2">
      <c r="A63" s="4">
        <v>57</v>
      </c>
      <c r="B63" s="5" t="s">
        <v>273</v>
      </c>
      <c r="C63" s="5" t="s">
        <v>274</v>
      </c>
      <c r="D63" s="5" t="s">
        <v>1008</v>
      </c>
      <c r="E63" s="6">
        <v>46316</v>
      </c>
      <c r="F63" s="7">
        <v>41.267555999999999</v>
      </c>
      <c r="G63" s="8">
        <v>5.6880200000000002E-3</v>
      </c>
      <c r="H63" s="100"/>
    </row>
    <row r="64" spans="1:8" x14ac:dyDescent="0.2">
      <c r="A64" s="4">
        <v>58</v>
      </c>
      <c r="B64" s="5" t="s">
        <v>270</v>
      </c>
      <c r="C64" s="5" t="s">
        <v>271</v>
      </c>
      <c r="D64" s="5" t="s">
        <v>272</v>
      </c>
      <c r="E64" s="6">
        <v>31256</v>
      </c>
      <c r="F64" s="7">
        <v>40.742196</v>
      </c>
      <c r="G64" s="8">
        <v>5.6156089999999997E-3</v>
      </c>
      <c r="H64" s="100"/>
    </row>
    <row r="65" spans="1:8" x14ac:dyDescent="0.2">
      <c r="A65" s="4">
        <v>59</v>
      </c>
      <c r="B65" s="5" t="s">
        <v>268</v>
      </c>
      <c r="C65" s="5" t="s">
        <v>269</v>
      </c>
      <c r="D65" s="5" t="s">
        <v>1005</v>
      </c>
      <c r="E65" s="6">
        <v>109649</v>
      </c>
      <c r="F65" s="7">
        <v>38.815745999999997</v>
      </c>
      <c r="G65" s="8">
        <v>5.3500809999999996E-3</v>
      </c>
      <c r="H65" s="100"/>
    </row>
    <row r="66" spans="1:8" x14ac:dyDescent="0.2">
      <c r="A66" s="4">
        <v>60</v>
      </c>
      <c r="B66" s="5" t="s">
        <v>252</v>
      </c>
      <c r="C66" s="5" t="s">
        <v>253</v>
      </c>
      <c r="D66" s="5" t="s">
        <v>53</v>
      </c>
      <c r="E66" s="6">
        <v>40010</v>
      </c>
      <c r="F66" s="7">
        <v>32.508125</v>
      </c>
      <c r="G66" s="8">
        <v>4.4806840000000004E-3</v>
      </c>
      <c r="H66" s="100"/>
    </row>
    <row r="67" spans="1:8" x14ac:dyDescent="0.2">
      <c r="A67" s="4">
        <v>61</v>
      </c>
      <c r="B67" s="5" t="s">
        <v>254</v>
      </c>
      <c r="C67" s="5" t="s">
        <v>255</v>
      </c>
      <c r="D67" s="5" t="s">
        <v>58</v>
      </c>
      <c r="E67" s="6">
        <v>20113</v>
      </c>
      <c r="F67" s="7">
        <v>27.926900499999999</v>
      </c>
      <c r="G67" s="8">
        <v>3.8492410000000002E-3</v>
      </c>
      <c r="H67" s="100"/>
    </row>
    <row r="68" spans="1:8" x14ac:dyDescent="0.2">
      <c r="A68" s="4">
        <v>62</v>
      </c>
      <c r="B68" s="5" t="s">
        <v>275</v>
      </c>
      <c r="C68" s="5" t="s">
        <v>276</v>
      </c>
      <c r="D68" s="5" t="s">
        <v>228</v>
      </c>
      <c r="E68" s="6">
        <v>19767</v>
      </c>
      <c r="F68" s="7">
        <v>5.455692</v>
      </c>
      <c r="G68" s="8">
        <v>7.5197299999999996E-4</v>
      </c>
      <c r="H68" s="100"/>
    </row>
    <row r="69" spans="1:8" x14ac:dyDescent="0.2">
      <c r="A69" s="15" t="s">
        <v>9</v>
      </c>
      <c r="B69" s="15" t="s">
        <v>9</v>
      </c>
      <c r="C69" s="3" t="s">
        <v>94</v>
      </c>
      <c r="D69" s="15" t="s">
        <v>9</v>
      </c>
      <c r="E69" s="15" t="s">
        <v>9</v>
      </c>
      <c r="F69" s="9">
        <v>7059.9760404999997</v>
      </c>
      <c r="G69" s="10">
        <v>0.97309584599999999</v>
      </c>
      <c r="H69" s="100"/>
    </row>
    <row r="70" spans="1:8" x14ac:dyDescent="0.2">
      <c r="A70" s="15" t="s">
        <v>9</v>
      </c>
      <c r="B70" s="15" t="s">
        <v>9</v>
      </c>
      <c r="C70" s="11" t="s">
        <v>9</v>
      </c>
      <c r="D70" s="15" t="s">
        <v>9</v>
      </c>
      <c r="E70" s="15" t="s">
        <v>9</v>
      </c>
      <c r="F70" s="12" t="s">
        <v>9</v>
      </c>
      <c r="G70" s="12" t="s">
        <v>9</v>
      </c>
      <c r="H70" s="100"/>
    </row>
    <row r="71" spans="1:8" x14ac:dyDescent="0.2">
      <c r="A71" s="15" t="s">
        <v>9</v>
      </c>
      <c r="B71" s="15" t="s">
        <v>9</v>
      </c>
      <c r="C71" s="3" t="s">
        <v>95</v>
      </c>
      <c r="D71" s="15" t="s">
        <v>9</v>
      </c>
      <c r="E71" s="15" t="s">
        <v>9</v>
      </c>
      <c r="F71" s="15" t="s">
        <v>9</v>
      </c>
      <c r="G71" s="15" t="s">
        <v>9</v>
      </c>
      <c r="H71" s="100"/>
    </row>
    <row r="72" spans="1:8" x14ac:dyDescent="0.2">
      <c r="A72" s="15" t="s">
        <v>9</v>
      </c>
      <c r="B72" s="15" t="s">
        <v>9</v>
      </c>
      <c r="C72" s="3" t="s">
        <v>94</v>
      </c>
      <c r="D72" s="15" t="s">
        <v>9</v>
      </c>
      <c r="E72" s="15" t="s">
        <v>9</v>
      </c>
      <c r="F72" s="13">
        <v>0</v>
      </c>
      <c r="G72" s="14">
        <v>0</v>
      </c>
      <c r="H72" s="100"/>
    </row>
    <row r="73" spans="1:8" x14ac:dyDescent="0.2">
      <c r="A73" s="15" t="s">
        <v>9</v>
      </c>
      <c r="B73" s="15" t="s">
        <v>9</v>
      </c>
      <c r="C73" s="11" t="s">
        <v>9</v>
      </c>
      <c r="D73" s="15" t="s">
        <v>9</v>
      </c>
      <c r="E73" s="15" t="s">
        <v>9</v>
      </c>
      <c r="F73" s="12" t="s">
        <v>9</v>
      </c>
      <c r="G73" s="12" t="s">
        <v>9</v>
      </c>
      <c r="H73" s="100"/>
    </row>
    <row r="74" spans="1:8" x14ac:dyDescent="0.2">
      <c r="A74" s="15" t="s">
        <v>9</v>
      </c>
      <c r="B74" s="15" t="s">
        <v>9</v>
      </c>
      <c r="C74" s="3" t="s">
        <v>96</v>
      </c>
      <c r="D74" s="15" t="s">
        <v>9</v>
      </c>
      <c r="E74" s="15" t="s">
        <v>9</v>
      </c>
      <c r="F74" s="15" t="s">
        <v>9</v>
      </c>
      <c r="G74" s="15" t="s">
        <v>9</v>
      </c>
      <c r="H74" s="100"/>
    </row>
    <row r="75" spans="1:8" x14ac:dyDescent="0.2">
      <c r="A75" s="15" t="s">
        <v>9</v>
      </c>
      <c r="B75" s="15" t="s">
        <v>9</v>
      </c>
      <c r="C75" s="3" t="s">
        <v>94</v>
      </c>
      <c r="D75" s="15" t="s">
        <v>9</v>
      </c>
      <c r="E75" s="15" t="s">
        <v>9</v>
      </c>
      <c r="F75" s="13">
        <v>0</v>
      </c>
      <c r="G75" s="14">
        <v>0</v>
      </c>
      <c r="H75" s="100"/>
    </row>
    <row r="76" spans="1:8" x14ac:dyDescent="0.2">
      <c r="A76" s="15" t="s">
        <v>9</v>
      </c>
      <c r="B76" s="15" t="s">
        <v>9</v>
      </c>
      <c r="C76" s="11" t="s">
        <v>9</v>
      </c>
      <c r="D76" s="15" t="s">
        <v>9</v>
      </c>
      <c r="E76" s="15" t="s">
        <v>9</v>
      </c>
      <c r="F76" s="12" t="s">
        <v>9</v>
      </c>
      <c r="G76" s="12" t="s">
        <v>9</v>
      </c>
      <c r="H76" s="100"/>
    </row>
    <row r="77" spans="1:8" x14ac:dyDescent="0.2">
      <c r="A77" s="15" t="s">
        <v>9</v>
      </c>
      <c r="B77" s="15" t="s">
        <v>9</v>
      </c>
      <c r="C77" s="3" t="s">
        <v>100</v>
      </c>
      <c r="D77" s="15" t="s">
        <v>9</v>
      </c>
      <c r="E77" s="15" t="s">
        <v>9</v>
      </c>
      <c r="F77" s="15" t="s">
        <v>9</v>
      </c>
      <c r="G77" s="15" t="s">
        <v>9</v>
      </c>
      <c r="H77" s="100"/>
    </row>
    <row r="78" spans="1:8" x14ac:dyDescent="0.2">
      <c r="A78" s="15" t="s">
        <v>9</v>
      </c>
      <c r="B78" s="15" t="s">
        <v>9</v>
      </c>
      <c r="C78" s="3" t="s">
        <v>94</v>
      </c>
      <c r="D78" s="15" t="s">
        <v>9</v>
      </c>
      <c r="E78" s="15" t="s">
        <v>9</v>
      </c>
      <c r="F78" s="13">
        <v>0</v>
      </c>
      <c r="G78" s="14">
        <v>0</v>
      </c>
      <c r="H78" s="100"/>
    </row>
    <row r="79" spans="1:8" x14ac:dyDescent="0.2">
      <c r="A79" s="15" t="s">
        <v>9</v>
      </c>
      <c r="B79" s="15" t="s">
        <v>9</v>
      </c>
      <c r="C79" s="11" t="s">
        <v>9</v>
      </c>
      <c r="D79" s="15" t="s">
        <v>9</v>
      </c>
      <c r="E79" s="15" t="s">
        <v>9</v>
      </c>
      <c r="F79" s="12" t="s">
        <v>9</v>
      </c>
      <c r="G79" s="12" t="s">
        <v>9</v>
      </c>
      <c r="H79" s="100"/>
    </row>
    <row r="80" spans="1:8" x14ac:dyDescent="0.2">
      <c r="A80" s="15" t="s">
        <v>9</v>
      </c>
      <c r="B80" s="15" t="s">
        <v>9</v>
      </c>
      <c r="C80" s="3" t="s">
        <v>101</v>
      </c>
      <c r="D80" s="15" t="s">
        <v>9</v>
      </c>
      <c r="E80" s="15" t="s">
        <v>9</v>
      </c>
      <c r="F80" s="12" t="s">
        <v>9</v>
      </c>
      <c r="G80" s="12" t="s">
        <v>9</v>
      </c>
      <c r="H80" s="100"/>
    </row>
    <row r="81" spans="1:8" x14ac:dyDescent="0.2">
      <c r="A81" s="15" t="s">
        <v>9</v>
      </c>
      <c r="B81" s="15" t="s">
        <v>9</v>
      </c>
      <c r="C81" s="3" t="s">
        <v>94</v>
      </c>
      <c r="D81" s="15" t="s">
        <v>9</v>
      </c>
      <c r="E81" s="15" t="s">
        <v>9</v>
      </c>
      <c r="F81" s="13">
        <v>0</v>
      </c>
      <c r="G81" s="14">
        <v>0</v>
      </c>
      <c r="H81" s="100"/>
    </row>
    <row r="82" spans="1:8" x14ac:dyDescent="0.2">
      <c r="A82" s="15" t="s">
        <v>9</v>
      </c>
      <c r="B82" s="15" t="s">
        <v>9</v>
      </c>
      <c r="C82" s="11" t="s">
        <v>9</v>
      </c>
      <c r="D82" s="15" t="s">
        <v>9</v>
      </c>
      <c r="E82" s="15" t="s">
        <v>9</v>
      </c>
      <c r="F82" s="12" t="s">
        <v>9</v>
      </c>
      <c r="G82" s="12" t="s">
        <v>9</v>
      </c>
      <c r="H82" s="100"/>
    </row>
    <row r="83" spans="1:8" x14ac:dyDescent="0.2">
      <c r="A83" s="15" t="s">
        <v>9</v>
      </c>
      <c r="B83" s="15" t="s">
        <v>9</v>
      </c>
      <c r="C83" s="3" t="s">
        <v>102</v>
      </c>
      <c r="D83" s="15" t="s">
        <v>9</v>
      </c>
      <c r="E83" s="15" t="s">
        <v>9</v>
      </c>
      <c r="F83" s="12" t="s">
        <v>9</v>
      </c>
      <c r="G83" s="12" t="s">
        <v>9</v>
      </c>
      <c r="H83" s="100"/>
    </row>
    <row r="84" spans="1:8" x14ac:dyDescent="0.2">
      <c r="A84" s="15" t="s">
        <v>9</v>
      </c>
      <c r="B84" s="15" t="s">
        <v>9</v>
      </c>
      <c r="C84" s="3" t="s">
        <v>94</v>
      </c>
      <c r="D84" s="15" t="s">
        <v>9</v>
      </c>
      <c r="E84" s="15" t="s">
        <v>9</v>
      </c>
      <c r="F84" s="13">
        <v>0</v>
      </c>
      <c r="G84" s="14">
        <v>0</v>
      </c>
      <c r="H84" s="100"/>
    </row>
    <row r="85" spans="1:8" x14ac:dyDescent="0.2">
      <c r="A85" s="15" t="s">
        <v>9</v>
      </c>
      <c r="B85" s="15" t="s">
        <v>9</v>
      </c>
      <c r="C85" s="11" t="s">
        <v>9</v>
      </c>
      <c r="D85" s="15" t="s">
        <v>9</v>
      </c>
      <c r="E85" s="15" t="s">
        <v>9</v>
      </c>
      <c r="F85" s="12" t="s">
        <v>9</v>
      </c>
      <c r="G85" s="12" t="s">
        <v>9</v>
      </c>
      <c r="H85" s="100"/>
    </row>
    <row r="86" spans="1:8" x14ac:dyDescent="0.2">
      <c r="A86" s="15" t="s">
        <v>9</v>
      </c>
      <c r="B86" s="15" t="s">
        <v>9</v>
      </c>
      <c r="C86" s="3" t="s">
        <v>104</v>
      </c>
      <c r="D86" s="15" t="s">
        <v>9</v>
      </c>
      <c r="E86" s="15" t="s">
        <v>9</v>
      </c>
      <c r="F86" s="9">
        <v>7059.9760404999997</v>
      </c>
      <c r="G86" s="10">
        <v>0.97309584599999999</v>
      </c>
      <c r="H86" s="100"/>
    </row>
    <row r="87" spans="1:8" x14ac:dyDescent="0.2">
      <c r="A87" s="15" t="s">
        <v>9</v>
      </c>
      <c r="B87" s="15" t="s">
        <v>9</v>
      </c>
      <c r="C87" s="11" t="s">
        <v>9</v>
      </c>
      <c r="D87" s="15" t="s">
        <v>9</v>
      </c>
      <c r="E87" s="15" t="s">
        <v>9</v>
      </c>
      <c r="F87" s="12" t="s">
        <v>9</v>
      </c>
      <c r="G87" s="12" t="s">
        <v>9</v>
      </c>
      <c r="H87" s="100"/>
    </row>
    <row r="88" spans="1:8" x14ac:dyDescent="0.2">
      <c r="A88" s="15" t="s">
        <v>9</v>
      </c>
      <c r="B88" s="15" t="s">
        <v>9</v>
      </c>
      <c r="C88" s="3" t="s">
        <v>105</v>
      </c>
      <c r="D88" s="15" t="s">
        <v>9</v>
      </c>
      <c r="E88" s="15" t="s">
        <v>9</v>
      </c>
      <c r="F88" s="12" t="s">
        <v>9</v>
      </c>
      <c r="G88" s="12" t="s">
        <v>9</v>
      </c>
      <c r="H88" s="100"/>
    </row>
    <row r="89" spans="1:8" ht="25.5" x14ac:dyDescent="0.2">
      <c r="A89" s="15" t="s">
        <v>9</v>
      </c>
      <c r="B89" s="15" t="s">
        <v>9</v>
      </c>
      <c r="C89" s="3" t="s">
        <v>11</v>
      </c>
      <c r="D89" s="15" t="s">
        <v>9</v>
      </c>
      <c r="E89" s="15" t="s">
        <v>9</v>
      </c>
      <c r="F89" s="12" t="s">
        <v>9</v>
      </c>
      <c r="G89" s="12" t="s">
        <v>9</v>
      </c>
      <c r="H89" s="100"/>
    </row>
    <row r="90" spans="1:8" x14ac:dyDescent="0.2">
      <c r="A90" s="15" t="s">
        <v>9</v>
      </c>
      <c r="B90" s="15" t="s">
        <v>9</v>
      </c>
      <c r="C90" s="3" t="s">
        <v>94</v>
      </c>
      <c r="D90" s="15" t="s">
        <v>9</v>
      </c>
      <c r="E90" s="15" t="s">
        <v>9</v>
      </c>
      <c r="F90" s="13">
        <v>0</v>
      </c>
      <c r="G90" s="14">
        <v>0</v>
      </c>
      <c r="H90" s="100"/>
    </row>
    <row r="91" spans="1:8" x14ac:dyDescent="0.2">
      <c r="A91" s="15" t="s">
        <v>9</v>
      </c>
      <c r="B91" s="15" t="s">
        <v>9</v>
      </c>
      <c r="C91" s="11" t="s">
        <v>9</v>
      </c>
      <c r="D91" s="15" t="s">
        <v>9</v>
      </c>
      <c r="E91" s="15" t="s">
        <v>9</v>
      </c>
      <c r="F91" s="12" t="s">
        <v>9</v>
      </c>
      <c r="G91" s="12" t="s">
        <v>9</v>
      </c>
      <c r="H91" s="100"/>
    </row>
    <row r="92" spans="1:8" x14ac:dyDescent="0.2">
      <c r="A92" s="15" t="s">
        <v>9</v>
      </c>
      <c r="B92" s="15" t="s">
        <v>9</v>
      </c>
      <c r="C92" s="3" t="s">
        <v>106</v>
      </c>
      <c r="D92" s="15" t="s">
        <v>9</v>
      </c>
      <c r="E92" s="15" t="s">
        <v>9</v>
      </c>
      <c r="F92" s="15" t="s">
        <v>9</v>
      </c>
      <c r="G92" s="15" t="s">
        <v>9</v>
      </c>
      <c r="H92" s="100"/>
    </row>
    <row r="93" spans="1:8" x14ac:dyDescent="0.2">
      <c r="A93" s="15" t="s">
        <v>9</v>
      </c>
      <c r="B93" s="15" t="s">
        <v>9</v>
      </c>
      <c r="C93" s="3" t="s">
        <v>94</v>
      </c>
      <c r="D93" s="15" t="s">
        <v>9</v>
      </c>
      <c r="E93" s="15" t="s">
        <v>9</v>
      </c>
      <c r="F93" s="13">
        <v>0</v>
      </c>
      <c r="G93" s="14">
        <v>0</v>
      </c>
      <c r="H93" s="100"/>
    </row>
    <row r="94" spans="1:8" x14ac:dyDescent="0.2">
      <c r="A94" s="15" t="s">
        <v>9</v>
      </c>
      <c r="B94" s="15" t="s">
        <v>9</v>
      </c>
      <c r="C94" s="11" t="s">
        <v>9</v>
      </c>
      <c r="D94" s="15" t="s">
        <v>9</v>
      </c>
      <c r="E94" s="15" t="s">
        <v>9</v>
      </c>
      <c r="F94" s="12" t="s">
        <v>9</v>
      </c>
      <c r="G94" s="12" t="s">
        <v>9</v>
      </c>
      <c r="H94" s="100"/>
    </row>
    <row r="95" spans="1:8" x14ac:dyDescent="0.2">
      <c r="A95" s="15" t="s">
        <v>9</v>
      </c>
      <c r="B95" s="15" t="s">
        <v>9</v>
      </c>
      <c r="C95" s="3" t="s">
        <v>107</v>
      </c>
      <c r="D95" s="15" t="s">
        <v>9</v>
      </c>
      <c r="E95" s="15" t="s">
        <v>9</v>
      </c>
      <c r="F95" s="15" t="s">
        <v>9</v>
      </c>
      <c r="G95" s="15" t="s">
        <v>9</v>
      </c>
      <c r="H95" s="100"/>
    </row>
    <row r="96" spans="1:8" x14ac:dyDescent="0.2">
      <c r="A96" s="15" t="s">
        <v>9</v>
      </c>
      <c r="B96" s="15" t="s">
        <v>9</v>
      </c>
      <c r="C96" s="3" t="s">
        <v>94</v>
      </c>
      <c r="D96" s="15" t="s">
        <v>9</v>
      </c>
      <c r="E96" s="15" t="s">
        <v>9</v>
      </c>
      <c r="F96" s="13">
        <v>0</v>
      </c>
      <c r="G96" s="14">
        <v>0</v>
      </c>
      <c r="H96" s="100"/>
    </row>
    <row r="97" spans="1:8" x14ac:dyDescent="0.2">
      <c r="A97" s="15" t="s">
        <v>9</v>
      </c>
      <c r="B97" s="15" t="s">
        <v>9</v>
      </c>
      <c r="C97" s="11" t="s">
        <v>9</v>
      </c>
      <c r="D97" s="15" t="s">
        <v>9</v>
      </c>
      <c r="E97" s="15" t="s">
        <v>9</v>
      </c>
      <c r="F97" s="12" t="s">
        <v>9</v>
      </c>
      <c r="G97" s="12" t="s">
        <v>9</v>
      </c>
      <c r="H97" s="100"/>
    </row>
    <row r="98" spans="1:8" x14ac:dyDescent="0.2">
      <c r="A98" s="15" t="s">
        <v>9</v>
      </c>
      <c r="B98" s="15" t="s">
        <v>9</v>
      </c>
      <c r="C98" s="3" t="s">
        <v>108</v>
      </c>
      <c r="D98" s="15" t="s">
        <v>9</v>
      </c>
      <c r="E98" s="15" t="s">
        <v>9</v>
      </c>
      <c r="F98" s="12" t="s">
        <v>9</v>
      </c>
      <c r="G98" s="12" t="s">
        <v>9</v>
      </c>
      <c r="H98" s="100"/>
    </row>
    <row r="99" spans="1:8" x14ac:dyDescent="0.2">
      <c r="A99" s="15" t="s">
        <v>9</v>
      </c>
      <c r="B99" s="15" t="s">
        <v>9</v>
      </c>
      <c r="C99" s="3" t="s">
        <v>94</v>
      </c>
      <c r="D99" s="15" t="s">
        <v>9</v>
      </c>
      <c r="E99" s="15" t="s">
        <v>9</v>
      </c>
      <c r="F99" s="13">
        <v>0</v>
      </c>
      <c r="G99" s="14">
        <v>0</v>
      </c>
      <c r="H99" s="100"/>
    </row>
    <row r="100" spans="1:8" x14ac:dyDescent="0.2">
      <c r="A100" s="15" t="s">
        <v>9</v>
      </c>
      <c r="B100" s="15" t="s">
        <v>9</v>
      </c>
      <c r="C100" s="11" t="s">
        <v>9</v>
      </c>
      <c r="D100" s="15" t="s">
        <v>9</v>
      </c>
      <c r="E100" s="15" t="s">
        <v>9</v>
      </c>
      <c r="F100" s="12" t="s">
        <v>9</v>
      </c>
      <c r="G100" s="12" t="s">
        <v>9</v>
      </c>
      <c r="H100" s="100"/>
    </row>
    <row r="101" spans="1:8" x14ac:dyDescent="0.2">
      <c r="A101" s="15" t="s">
        <v>9</v>
      </c>
      <c r="B101" s="15" t="s">
        <v>9</v>
      </c>
      <c r="C101" s="3" t="s">
        <v>109</v>
      </c>
      <c r="D101" s="15" t="s">
        <v>9</v>
      </c>
      <c r="E101" s="15" t="s">
        <v>9</v>
      </c>
      <c r="F101" s="9">
        <v>0</v>
      </c>
      <c r="G101" s="10">
        <v>0</v>
      </c>
      <c r="H101" s="100"/>
    </row>
    <row r="102" spans="1:8" x14ac:dyDescent="0.2">
      <c r="A102" s="15" t="s">
        <v>9</v>
      </c>
      <c r="B102" s="15" t="s">
        <v>9</v>
      </c>
      <c r="C102" s="11" t="s">
        <v>9</v>
      </c>
      <c r="D102" s="15" t="s">
        <v>9</v>
      </c>
      <c r="E102" s="15" t="s">
        <v>9</v>
      </c>
      <c r="F102" s="12" t="s">
        <v>9</v>
      </c>
      <c r="G102" s="12" t="s">
        <v>9</v>
      </c>
      <c r="H102" s="100"/>
    </row>
    <row r="103" spans="1:8" x14ac:dyDescent="0.2">
      <c r="A103" s="15" t="s">
        <v>9</v>
      </c>
      <c r="B103" s="15" t="s">
        <v>9</v>
      </c>
      <c r="C103" s="3" t="s">
        <v>110</v>
      </c>
      <c r="D103" s="15" t="s">
        <v>9</v>
      </c>
      <c r="E103" s="15" t="s">
        <v>9</v>
      </c>
      <c r="F103" s="12" t="s">
        <v>9</v>
      </c>
      <c r="G103" s="12" t="s">
        <v>9</v>
      </c>
      <c r="H103" s="100"/>
    </row>
    <row r="104" spans="1:8" x14ac:dyDescent="0.2">
      <c r="A104" s="15" t="s">
        <v>9</v>
      </c>
      <c r="B104" s="15" t="s">
        <v>9</v>
      </c>
      <c r="C104" s="3" t="s">
        <v>111</v>
      </c>
      <c r="D104" s="15" t="s">
        <v>9</v>
      </c>
      <c r="E104" s="15" t="s">
        <v>9</v>
      </c>
      <c r="F104" s="12" t="s">
        <v>9</v>
      </c>
      <c r="G104" s="12" t="s">
        <v>9</v>
      </c>
      <c r="H104" s="100"/>
    </row>
    <row r="105" spans="1:8" x14ac:dyDescent="0.2">
      <c r="A105" s="15" t="s">
        <v>9</v>
      </c>
      <c r="B105" s="15" t="s">
        <v>9</v>
      </c>
      <c r="C105" s="3" t="s">
        <v>94</v>
      </c>
      <c r="D105" s="15" t="s">
        <v>9</v>
      </c>
      <c r="E105" s="15" t="s">
        <v>9</v>
      </c>
      <c r="F105" s="13">
        <v>0</v>
      </c>
      <c r="G105" s="14">
        <v>0</v>
      </c>
      <c r="H105" s="100"/>
    </row>
    <row r="106" spans="1:8" x14ac:dyDescent="0.2">
      <c r="A106" s="15" t="s">
        <v>9</v>
      </c>
      <c r="B106" s="15" t="s">
        <v>9</v>
      </c>
      <c r="C106" s="11" t="s">
        <v>9</v>
      </c>
      <c r="D106" s="15" t="s">
        <v>9</v>
      </c>
      <c r="E106" s="15" t="s">
        <v>9</v>
      </c>
      <c r="F106" s="12" t="s">
        <v>9</v>
      </c>
      <c r="G106" s="12" t="s">
        <v>9</v>
      </c>
      <c r="H106" s="100"/>
    </row>
    <row r="107" spans="1:8" x14ac:dyDescent="0.2">
      <c r="A107" s="15" t="s">
        <v>9</v>
      </c>
      <c r="B107" s="15" t="s">
        <v>9</v>
      </c>
      <c r="C107" s="3" t="s">
        <v>112</v>
      </c>
      <c r="D107" s="15" t="s">
        <v>9</v>
      </c>
      <c r="E107" s="15" t="s">
        <v>9</v>
      </c>
      <c r="F107" s="12" t="s">
        <v>9</v>
      </c>
      <c r="G107" s="12" t="s">
        <v>9</v>
      </c>
      <c r="H107" s="100"/>
    </row>
    <row r="108" spans="1:8" x14ac:dyDescent="0.2">
      <c r="A108" s="15" t="s">
        <v>9</v>
      </c>
      <c r="B108" s="15" t="s">
        <v>9</v>
      </c>
      <c r="C108" s="3" t="s">
        <v>94</v>
      </c>
      <c r="D108" s="15" t="s">
        <v>9</v>
      </c>
      <c r="E108" s="15" t="s">
        <v>9</v>
      </c>
      <c r="F108" s="13">
        <v>0</v>
      </c>
      <c r="G108" s="14">
        <v>0</v>
      </c>
      <c r="H108" s="100"/>
    </row>
    <row r="109" spans="1:8" x14ac:dyDescent="0.2">
      <c r="A109" s="15" t="s">
        <v>9</v>
      </c>
      <c r="B109" s="15" t="s">
        <v>9</v>
      </c>
      <c r="C109" s="11" t="s">
        <v>9</v>
      </c>
      <c r="D109" s="15" t="s">
        <v>9</v>
      </c>
      <c r="E109" s="15" t="s">
        <v>9</v>
      </c>
      <c r="F109" s="12" t="s">
        <v>9</v>
      </c>
      <c r="G109" s="12" t="s">
        <v>9</v>
      </c>
      <c r="H109" s="100"/>
    </row>
    <row r="110" spans="1:8" x14ac:dyDescent="0.2">
      <c r="A110" s="15" t="s">
        <v>9</v>
      </c>
      <c r="B110" s="15" t="s">
        <v>9</v>
      </c>
      <c r="C110" s="3" t="s">
        <v>113</v>
      </c>
      <c r="D110" s="15" t="s">
        <v>9</v>
      </c>
      <c r="E110" s="15" t="s">
        <v>9</v>
      </c>
      <c r="F110" s="12" t="s">
        <v>9</v>
      </c>
      <c r="G110" s="12" t="s">
        <v>9</v>
      </c>
      <c r="H110" s="100"/>
    </row>
    <row r="111" spans="1:8" x14ac:dyDescent="0.2">
      <c r="A111" s="15" t="s">
        <v>9</v>
      </c>
      <c r="B111" s="15" t="s">
        <v>9</v>
      </c>
      <c r="C111" s="3" t="s">
        <v>94</v>
      </c>
      <c r="D111" s="15" t="s">
        <v>9</v>
      </c>
      <c r="E111" s="15" t="s">
        <v>9</v>
      </c>
      <c r="F111" s="13">
        <v>0</v>
      </c>
      <c r="G111" s="14">
        <v>0</v>
      </c>
      <c r="H111" s="100"/>
    </row>
    <row r="112" spans="1:8" x14ac:dyDescent="0.2">
      <c r="A112" s="15" t="s">
        <v>9</v>
      </c>
      <c r="B112" s="15" t="s">
        <v>9</v>
      </c>
      <c r="C112" s="11" t="s">
        <v>9</v>
      </c>
      <c r="D112" s="15" t="s">
        <v>9</v>
      </c>
      <c r="E112" s="15" t="s">
        <v>9</v>
      </c>
      <c r="F112" s="12" t="s">
        <v>9</v>
      </c>
      <c r="G112" s="12" t="s">
        <v>9</v>
      </c>
      <c r="H112" s="100"/>
    </row>
    <row r="113" spans="1:8" x14ac:dyDescent="0.2">
      <c r="A113" s="15" t="s">
        <v>9</v>
      </c>
      <c r="B113" s="15" t="s">
        <v>9</v>
      </c>
      <c r="C113" s="3" t="s">
        <v>114</v>
      </c>
      <c r="D113" s="15" t="s">
        <v>9</v>
      </c>
      <c r="E113" s="15" t="s">
        <v>9</v>
      </c>
      <c r="F113" s="12" t="s">
        <v>9</v>
      </c>
      <c r="G113" s="12" t="s">
        <v>9</v>
      </c>
      <c r="H113" s="100"/>
    </row>
    <row r="114" spans="1:8" x14ac:dyDescent="0.2">
      <c r="A114" s="4">
        <v>1</v>
      </c>
      <c r="B114" s="5"/>
      <c r="C114" s="5" t="s">
        <v>115</v>
      </c>
      <c r="D114" s="5"/>
      <c r="E114" s="15" t="s">
        <v>9</v>
      </c>
      <c r="F114" s="7">
        <v>113.2141424</v>
      </c>
      <c r="G114" s="8">
        <v>1.5604615E-2</v>
      </c>
      <c r="H114" s="99">
        <v>3.2516689338443991</v>
      </c>
    </row>
    <row r="115" spans="1:8" x14ac:dyDescent="0.2">
      <c r="A115" s="4">
        <v>2</v>
      </c>
      <c r="B115" s="5"/>
      <c r="C115" s="5" t="s">
        <v>116</v>
      </c>
      <c r="D115" s="5"/>
      <c r="E115" s="15" t="s">
        <v>9</v>
      </c>
      <c r="F115" s="7">
        <v>15.511362699999999</v>
      </c>
      <c r="G115" s="8">
        <v>2.137974E-3</v>
      </c>
      <c r="H115" s="100">
        <v>3.350000000000001</v>
      </c>
    </row>
    <row r="116" spans="1:8" x14ac:dyDescent="0.2">
      <c r="A116" s="15" t="s">
        <v>9</v>
      </c>
      <c r="B116" s="15" t="s">
        <v>9</v>
      </c>
      <c r="C116" s="3" t="s">
        <v>94</v>
      </c>
      <c r="D116" s="15" t="s">
        <v>9</v>
      </c>
      <c r="E116" s="15" t="s">
        <v>9</v>
      </c>
      <c r="F116" s="9">
        <v>128.72550509999999</v>
      </c>
      <c r="G116" s="10">
        <v>1.7742589E-2</v>
      </c>
      <c r="H116" s="100"/>
    </row>
    <row r="117" spans="1:8" x14ac:dyDescent="0.2">
      <c r="A117" s="15" t="s">
        <v>9</v>
      </c>
      <c r="B117" s="15" t="s">
        <v>9</v>
      </c>
      <c r="C117" s="11" t="s">
        <v>9</v>
      </c>
      <c r="D117" s="15" t="s">
        <v>9</v>
      </c>
      <c r="E117" s="15" t="s">
        <v>9</v>
      </c>
      <c r="F117" s="12" t="s">
        <v>9</v>
      </c>
      <c r="G117" s="12" t="s">
        <v>9</v>
      </c>
      <c r="H117" s="100"/>
    </row>
    <row r="118" spans="1:8" x14ac:dyDescent="0.2">
      <c r="A118" s="15" t="s">
        <v>9</v>
      </c>
      <c r="B118" s="15" t="s">
        <v>9</v>
      </c>
      <c r="C118" s="3" t="s">
        <v>117</v>
      </c>
      <c r="D118" s="15" t="s">
        <v>9</v>
      </c>
      <c r="E118" s="15" t="s">
        <v>9</v>
      </c>
      <c r="F118" s="9">
        <v>128.72550509999999</v>
      </c>
      <c r="G118" s="10">
        <v>1.7742589E-2</v>
      </c>
      <c r="H118" s="100"/>
    </row>
    <row r="119" spans="1:8" x14ac:dyDescent="0.2">
      <c r="A119" s="15" t="s">
        <v>9</v>
      </c>
      <c r="B119" s="15" t="s">
        <v>9</v>
      </c>
      <c r="C119" s="12" t="s">
        <v>9</v>
      </c>
      <c r="D119" s="15" t="s">
        <v>9</v>
      </c>
      <c r="E119" s="15" t="s">
        <v>9</v>
      </c>
      <c r="F119" s="15" t="s">
        <v>9</v>
      </c>
      <c r="G119" s="15" t="s">
        <v>9</v>
      </c>
      <c r="H119" s="100"/>
    </row>
    <row r="120" spans="1:8" x14ac:dyDescent="0.2">
      <c r="A120" s="15" t="s">
        <v>9</v>
      </c>
      <c r="B120" s="15" t="s">
        <v>9</v>
      </c>
      <c r="C120" s="3" t="s">
        <v>118</v>
      </c>
      <c r="D120" s="15" t="s">
        <v>9</v>
      </c>
      <c r="E120" s="15" t="s">
        <v>9</v>
      </c>
      <c r="F120" s="15" t="s">
        <v>9</v>
      </c>
      <c r="G120" s="15" t="s">
        <v>9</v>
      </c>
      <c r="H120" s="100"/>
    </row>
    <row r="121" spans="1:8" x14ac:dyDescent="0.2">
      <c r="A121" s="15" t="s">
        <v>9</v>
      </c>
      <c r="B121" s="15" t="s">
        <v>9</v>
      </c>
      <c r="C121" s="3" t="s">
        <v>119</v>
      </c>
      <c r="D121" s="15" t="s">
        <v>9</v>
      </c>
      <c r="E121" s="15" t="s">
        <v>9</v>
      </c>
      <c r="F121" s="15" t="s">
        <v>9</v>
      </c>
      <c r="G121" s="15" t="s">
        <v>9</v>
      </c>
      <c r="H121" s="100"/>
    </row>
    <row r="122" spans="1:8" x14ac:dyDescent="0.2">
      <c r="A122" s="15" t="s">
        <v>9</v>
      </c>
      <c r="B122" s="15" t="s">
        <v>9</v>
      </c>
      <c r="C122" s="3" t="s">
        <v>94</v>
      </c>
      <c r="D122" s="15" t="s">
        <v>9</v>
      </c>
      <c r="E122" s="15" t="s">
        <v>9</v>
      </c>
      <c r="F122" s="13">
        <v>0</v>
      </c>
      <c r="G122" s="14">
        <v>0</v>
      </c>
      <c r="H122" s="100"/>
    </row>
    <row r="123" spans="1:8" x14ac:dyDescent="0.2">
      <c r="A123" s="15" t="s">
        <v>9</v>
      </c>
      <c r="B123" s="15" t="s">
        <v>9</v>
      </c>
      <c r="C123" s="11" t="s">
        <v>9</v>
      </c>
      <c r="D123" s="15" t="s">
        <v>9</v>
      </c>
      <c r="E123" s="15" t="s">
        <v>9</v>
      </c>
      <c r="F123" s="12" t="s">
        <v>9</v>
      </c>
      <c r="G123" s="12" t="s">
        <v>9</v>
      </c>
      <c r="H123" s="100"/>
    </row>
    <row r="124" spans="1:8" x14ac:dyDescent="0.2">
      <c r="A124" s="15" t="s">
        <v>9</v>
      </c>
      <c r="B124" s="15" t="s">
        <v>9</v>
      </c>
      <c r="C124" s="3" t="s">
        <v>120</v>
      </c>
      <c r="D124" s="15" t="s">
        <v>9</v>
      </c>
      <c r="E124" s="15" t="s">
        <v>9</v>
      </c>
      <c r="F124" s="15" t="s">
        <v>9</v>
      </c>
      <c r="G124" s="15" t="s">
        <v>9</v>
      </c>
      <c r="H124" s="100"/>
    </row>
    <row r="125" spans="1:8" x14ac:dyDescent="0.2">
      <c r="A125" s="15" t="s">
        <v>9</v>
      </c>
      <c r="B125" s="15" t="s">
        <v>9</v>
      </c>
      <c r="C125" s="3" t="s">
        <v>121</v>
      </c>
      <c r="D125" s="15" t="s">
        <v>9</v>
      </c>
      <c r="E125" s="15" t="s">
        <v>9</v>
      </c>
      <c r="F125" s="15" t="s">
        <v>9</v>
      </c>
      <c r="G125" s="15" t="s">
        <v>9</v>
      </c>
      <c r="H125" s="100"/>
    </row>
    <row r="126" spans="1:8" x14ac:dyDescent="0.2">
      <c r="A126" s="15" t="s">
        <v>9</v>
      </c>
      <c r="B126" s="15" t="s">
        <v>9</v>
      </c>
      <c r="C126" s="3" t="s">
        <v>94</v>
      </c>
      <c r="D126" s="15" t="s">
        <v>9</v>
      </c>
      <c r="E126" s="15" t="s">
        <v>9</v>
      </c>
      <c r="F126" s="13">
        <v>0</v>
      </c>
      <c r="G126" s="14">
        <v>0</v>
      </c>
      <c r="H126" s="100"/>
    </row>
    <row r="127" spans="1:8" x14ac:dyDescent="0.2">
      <c r="A127" s="15" t="s">
        <v>9</v>
      </c>
      <c r="B127" s="15" t="s">
        <v>9</v>
      </c>
      <c r="C127" s="11" t="s">
        <v>9</v>
      </c>
      <c r="D127" s="15" t="s">
        <v>9</v>
      </c>
      <c r="E127" s="15" t="s">
        <v>9</v>
      </c>
      <c r="F127" s="12" t="s">
        <v>9</v>
      </c>
      <c r="G127" s="12" t="s">
        <v>9</v>
      </c>
      <c r="H127" s="100"/>
    </row>
    <row r="128" spans="1:8" x14ac:dyDescent="0.2">
      <c r="A128" s="15" t="s">
        <v>9</v>
      </c>
      <c r="B128" s="15" t="s">
        <v>9</v>
      </c>
      <c r="C128" s="11" t="s">
        <v>9</v>
      </c>
      <c r="D128" s="15" t="s">
        <v>9</v>
      </c>
      <c r="E128" s="15" t="s">
        <v>9</v>
      </c>
      <c r="F128" s="12" t="s">
        <v>9</v>
      </c>
      <c r="G128" s="12" t="s">
        <v>9</v>
      </c>
      <c r="H128" s="100"/>
    </row>
    <row r="129" spans="1:8" ht="25.5" x14ac:dyDescent="0.2">
      <c r="A129" s="15" t="s">
        <v>9</v>
      </c>
      <c r="B129" s="15" t="s">
        <v>9</v>
      </c>
      <c r="C129" s="3" t="s">
        <v>122</v>
      </c>
      <c r="D129" s="15" t="s">
        <v>9</v>
      </c>
      <c r="E129" s="15" t="s">
        <v>9</v>
      </c>
      <c r="F129" s="12" t="s">
        <v>9</v>
      </c>
      <c r="G129" s="12" t="s">
        <v>9</v>
      </c>
      <c r="H129" s="100"/>
    </row>
    <row r="130" spans="1:8" x14ac:dyDescent="0.2">
      <c r="A130" s="15" t="s">
        <v>9</v>
      </c>
      <c r="B130" s="15" t="s">
        <v>9</v>
      </c>
      <c r="C130" s="3" t="s">
        <v>94</v>
      </c>
      <c r="D130" s="15" t="s">
        <v>9</v>
      </c>
      <c r="E130" s="15" t="s">
        <v>9</v>
      </c>
      <c r="F130" s="13">
        <v>0</v>
      </c>
      <c r="G130" s="14">
        <v>0</v>
      </c>
      <c r="H130" s="100"/>
    </row>
    <row r="131" spans="1:8" x14ac:dyDescent="0.2">
      <c r="A131" s="15" t="s">
        <v>9</v>
      </c>
      <c r="B131" s="15" t="s">
        <v>9</v>
      </c>
      <c r="C131" s="11" t="s">
        <v>9</v>
      </c>
      <c r="D131" s="15" t="s">
        <v>9</v>
      </c>
      <c r="E131" s="15" t="s">
        <v>9</v>
      </c>
      <c r="F131" s="12" t="s">
        <v>9</v>
      </c>
      <c r="G131" s="12" t="s">
        <v>9</v>
      </c>
      <c r="H131" s="100"/>
    </row>
    <row r="132" spans="1:8" x14ac:dyDescent="0.2">
      <c r="A132" s="15" t="s">
        <v>9</v>
      </c>
      <c r="B132" s="5" t="s">
        <v>9</v>
      </c>
      <c r="C132" s="5" t="s">
        <v>9</v>
      </c>
      <c r="D132" s="3" t="s">
        <v>9</v>
      </c>
      <c r="E132" s="15" t="s">
        <v>9</v>
      </c>
      <c r="F132" s="5" t="s">
        <v>9</v>
      </c>
      <c r="G132" s="15" t="s">
        <v>9</v>
      </c>
      <c r="H132" s="100"/>
    </row>
    <row r="133" spans="1:8" x14ac:dyDescent="0.2">
      <c r="A133" s="15" t="s">
        <v>9</v>
      </c>
      <c r="B133" s="5" t="s">
        <v>9</v>
      </c>
      <c r="C133" s="5" t="s">
        <v>124</v>
      </c>
      <c r="D133" s="5" t="s">
        <v>9</v>
      </c>
      <c r="E133" s="15" t="s">
        <v>9</v>
      </c>
      <c r="F133" s="7">
        <v>66.468732320000001</v>
      </c>
      <c r="G133" s="8">
        <v>9.1615680000000001E-3</v>
      </c>
      <c r="H133" s="100"/>
    </row>
    <row r="134" spans="1:8" x14ac:dyDescent="0.2">
      <c r="A134" s="11" t="s">
        <v>9</v>
      </c>
      <c r="B134" s="11" t="s">
        <v>9</v>
      </c>
      <c r="C134" s="3" t="s">
        <v>125</v>
      </c>
      <c r="D134" s="16" t="s">
        <v>9</v>
      </c>
      <c r="E134" s="16" t="s">
        <v>9</v>
      </c>
      <c r="F134" s="9">
        <v>7255.1702779200004</v>
      </c>
      <c r="G134" s="10">
        <v>1.000000003</v>
      </c>
      <c r="H134" s="100"/>
    </row>
    <row r="135" spans="1:8" x14ac:dyDescent="0.2">
      <c r="A135" s="17" t="s">
        <v>9</v>
      </c>
      <c r="B135" s="17" t="s">
        <v>9</v>
      </c>
      <c r="C135" s="17" t="s">
        <v>9</v>
      </c>
      <c r="D135" s="18" t="s">
        <v>9</v>
      </c>
      <c r="E135" s="18" t="s">
        <v>9</v>
      </c>
      <c r="F135" s="18" t="s">
        <v>9</v>
      </c>
      <c r="G135" s="18" t="s">
        <v>9</v>
      </c>
      <c r="H135" s="142"/>
    </row>
    <row r="136" spans="1:8" x14ac:dyDescent="0.2">
      <c r="A136" s="19" t="s">
        <v>9</v>
      </c>
      <c r="B136" s="254" t="s">
        <v>9</v>
      </c>
      <c r="C136" s="254"/>
      <c r="D136" s="254"/>
      <c r="E136" s="254"/>
      <c r="F136" s="254"/>
      <c r="G136" s="20" t="s">
        <v>9</v>
      </c>
      <c r="H136" s="142"/>
    </row>
    <row r="137" spans="1:8" x14ac:dyDescent="0.2">
      <c r="A137" s="19" t="s">
        <v>9</v>
      </c>
      <c r="B137" s="254" t="s">
        <v>9</v>
      </c>
      <c r="C137" s="254"/>
      <c r="D137" s="254"/>
      <c r="E137" s="254"/>
      <c r="F137" s="254"/>
      <c r="G137" s="20" t="s">
        <v>9</v>
      </c>
      <c r="H137" s="142"/>
    </row>
    <row r="138" spans="1:8" x14ac:dyDescent="0.2">
      <c r="A138" s="19" t="s">
        <v>9</v>
      </c>
      <c r="B138" s="19" t="s">
        <v>9</v>
      </c>
      <c r="C138" s="19" t="s">
        <v>9</v>
      </c>
      <c r="D138" s="20" t="s">
        <v>9</v>
      </c>
      <c r="E138" s="20" t="s">
        <v>9</v>
      </c>
      <c r="F138" s="20" t="s">
        <v>9</v>
      </c>
      <c r="G138" s="20" t="s">
        <v>9</v>
      </c>
      <c r="H138" s="142"/>
    </row>
    <row r="139" spans="1:8" x14ac:dyDescent="0.2">
      <c r="A139" s="19" t="s">
        <v>9</v>
      </c>
      <c r="B139" s="247" t="s">
        <v>127</v>
      </c>
      <c r="C139" s="248"/>
      <c r="D139" s="182" t="s">
        <v>9</v>
      </c>
      <c r="E139" s="21" t="s">
        <v>9</v>
      </c>
      <c r="F139" s="20" t="s">
        <v>9</v>
      </c>
      <c r="G139" s="20" t="s">
        <v>9</v>
      </c>
      <c r="H139" s="142"/>
    </row>
    <row r="140" spans="1:8" ht="28.5" customHeight="1" x14ac:dyDescent="0.2">
      <c r="A140" s="19" t="s">
        <v>9</v>
      </c>
      <c r="B140" s="242" t="s">
        <v>128</v>
      </c>
      <c r="C140" s="243"/>
      <c r="D140" s="3" t="s">
        <v>129</v>
      </c>
      <c r="E140" s="21" t="s">
        <v>9</v>
      </c>
      <c r="F140" s="20" t="s">
        <v>9</v>
      </c>
      <c r="G140" s="20" t="s">
        <v>9</v>
      </c>
      <c r="H140" s="142"/>
    </row>
    <row r="141" spans="1:8" x14ac:dyDescent="0.2">
      <c r="A141" s="19" t="s">
        <v>9</v>
      </c>
      <c r="B141" s="240" t="s">
        <v>130</v>
      </c>
      <c r="C141" s="241"/>
      <c r="D141" s="177" t="s">
        <v>129</v>
      </c>
      <c r="E141" s="21" t="s">
        <v>9</v>
      </c>
      <c r="F141" s="20" t="s">
        <v>9</v>
      </c>
      <c r="G141" s="20" t="s">
        <v>9</v>
      </c>
      <c r="H141" s="142"/>
    </row>
    <row r="142" spans="1:8" x14ac:dyDescent="0.2">
      <c r="A142" s="19" t="s">
        <v>9</v>
      </c>
      <c r="B142" s="240" t="s">
        <v>131</v>
      </c>
      <c r="C142" s="241"/>
      <c r="D142" s="182" t="s">
        <v>9</v>
      </c>
      <c r="E142" s="21" t="s">
        <v>9</v>
      </c>
      <c r="F142" s="20" t="s">
        <v>9</v>
      </c>
      <c r="G142" s="20" t="s">
        <v>9</v>
      </c>
      <c r="H142" s="142"/>
    </row>
    <row r="143" spans="1:8" ht="25.5" x14ac:dyDescent="0.2">
      <c r="A143" s="25" t="s">
        <v>9</v>
      </c>
      <c r="B143" s="23" t="s">
        <v>9</v>
      </c>
      <c r="C143" s="23" t="s">
        <v>132</v>
      </c>
      <c r="D143" s="23" t="s">
        <v>133</v>
      </c>
      <c r="E143" s="25" t="s">
        <v>9</v>
      </c>
      <c r="F143" s="25" t="s">
        <v>9</v>
      </c>
      <c r="G143" s="25" t="s">
        <v>9</v>
      </c>
      <c r="H143" s="142"/>
    </row>
    <row r="144" spans="1:8" x14ac:dyDescent="0.2">
      <c r="A144" s="25" t="s">
        <v>9</v>
      </c>
      <c r="B144" s="23" t="s">
        <v>134</v>
      </c>
      <c r="C144" s="23" t="s">
        <v>135</v>
      </c>
      <c r="D144" s="23" t="s">
        <v>136</v>
      </c>
      <c r="E144" s="25" t="s">
        <v>9</v>
      </c>
      <c r="F144" s="25" t="s">
        <v>9</v>
      </c>
      <c r="G144" s="25" t="s">
        <v>9</v>
      </c>
      <c r="H144" s="142"/>
    </row>
    <row r="145" spans="1:8" x14ac:dyDescent="0.2">
      <c r="A145" s="25" t="s">
        <v>9</v>
      </c>
      <c r="B145" s="183" t="s">
        <v>137</v>
      </c>
      <c r="C145" s="184">
        <v>12.398199999999999</v>
      </c>
      <c r="D145" s="184">
        <v>12.922000000000001</v>
      </c>
      <c r="E145" s="25" t="s">
        <v>9</v>
      </c>
      <c r="F145" s="73" t="s">
        <v>9</v>
      </c>
      <c r="G145" s="25" t="s">
        <v>9</v>
      </c>
      <c r="H145" s="142"/>
    </row>
    <row r="146" spans="1:8" x14ac:dyDescent="0.2">
      <c r="A146" s="25" t="s">
        <v>9</v>
      </c>
      <c r="B146" s="183" t="s">
        <v>921</v>
      </c>
      <c r="C146" s="184">
        <v>11.419700000000001</v>
      </c>
      <c r="D146" s="184">
        <v>11.902100000000001</v>
      </c>
      <c r="E146" s="25" t="s">
        <v>9</v>
      </c>
      <c r="F146" s="73" t="s">
        <v>9</v>
      </c>
      <c r="G146" s="25" t="s">
        <v>9</v>
      </c>
      <c r="H146" s="142"/>
    </row>
    <row r="147" spans="1:8" x14ac:dyDescent="0.2">
      <c r="A147" s="25" t="s">
        <v>9</v>
      </c>
      <c r="B147" s="183" t="s">
        <v>138</v>
      </c>
      <c r="C147" s="184">
        <v>12.130699999999999</v>
      </c>
      <c r="D147" s="184">
        <v>12.641400000000001</v>
      </c>
      <c r="E147" s="25" t="s">
        <v>9</v>
      </c>
      <c r="F147" s="73" t="s">
        <v>9</v>
      </c>
      <c r="G147" s="25" t="s">
        <v>9</v>
      </c>
      <c r="H147" s="142"/>
    </row>
    <row r="148" spans="1:8" x14ac:dyDescent="0.2">
      <c r="A148" s="25" t="s">
        <v>9</v>
      </c>
      <c r="B148" s="183" t="s">
        <v>922</v>
      </c>
      <c r="C148" s="184">
        <v>11.162800000000001</v>
      </c>
      <c r="D148" s="184">
        <v>11.6327</v>
      </c>
      <c r="E148" s="25" t="s">
        <v>9</v>
      </c>
      <c r="F148" s="73" t="s">
        <v>9</v>
      </c>
      <c r="G148" s="25" t="s">
        <v>9</v>
      </c>
      <c r="H148" s="142"/>
    </row>
    <row r="149" spans="1:8" x14ac:dyDescent="0.2">
      <c r="A149" s="25" t="s">
        <v>9</v>
      </c>
      <c r="B149" s="22" t="s">
        <v>9</v>
      </c>
      <c r="C149" s="22" t="s">
        <v>9</v>
      </c>
      <c r="D149" s="22" t="s">
        <v>9</v>
      </c>
      <c r="E149" s="25" t="s">
        <v>9</v>
      </c>
      <c r="F149" s="25" t="s">
        <v>9</v>
      </c>
      <c r="G149" s="25" t="s">
        <v>9</v>
      </c>
      <c r="H149" s="142"/>
    </row>
    <row r="150" spans="1:8" x14ac:dyDescent="0.2">
      <c r="A150" s="25" t="s">
        <v>9</v>
      </c>
      <c r="B150" s="240" t="s">
        <v>1012</v>
      </c>
      <c r="C150" s="241"/>
      <c r="D150" s="177" t="s">
        <v>129</v>
      </c>
      <c r="E150" s="25" t="s">
        <v>9</v>
      </c>
      <c r="F150" s="25" t="s">
        <v>9</v>
      </c>
      <c r="G150" s="25" t="s">
        <v>9</v>
      </c>
      <c r="H150" s="142"/>
    </row>
    <row r="151" spans="1:8" x14ac:dyDescent="0.2">
      <c r="A151" s="25" t="s">
        <v>9</v>
      </c>
      <c r="B151" s="98"/>
      <c r="C151" s="98"/>
      <c r="D151" s="26" t="s">
        <v>9</v>
      </c>
      <c r="E151" s="25" t="s">
        <v>9</v>
      </c>
      <c r="F151" s="25" t="s">
        <v>9</v>
      </c>
      <c r="G151" s="25" t="s">
        <v>9</v>
      </c>
      <c r="H151" s="142"/>
    </row>
    <row r="152" spans="1:8" s="238" customFormat="1" ht="12.75" x14ac:dyDescent="0.2">
      <c r="B152" s="246" t="s">
        <v>923</v>
      </c>
      <c r="C152" s="246"/>
      <c r="D152" s="246"/>
      <c r="E152" s="246"/>
      <c r="F152" s="246"/>
    </row>
    <row r="153" spans="1:8" x14ac:dyDescent="0.2">
      <c r="A153" s="25" t="s">
        <v>9</v>
      </c>
      <c r="B153" s="185" t="s">
        <v>9</v>
      </c>
      <c r="C153" s="185" t="s">
        <v>9</v>
      </c>
      <c r="D153" s="22" t="s">
        <v>9</v>
      </c>
      <c r="E153" s="25" t="s">
        <v>9</v>
      </c>
      <c r="F153" s="25" t="s">
        <v>9</v>
      </c>
      <c r="G153" s="25" t="s">
        <v>9</v>
      </c>
      <c r="H153" s="142"/>
    </row>
    <row r="154" spans="1:8" x14ac:dyDescent="0.2">
      <c r="A154" s="25" t="s">
        <v>9</v>
      </c>
      <c r="B154" s="240" t="s">
        <v>139</v>
      </c>
      <c r="C154" s="241"/>
      <c r="D154" s="177" t="s">
        <v>129</v>
      </c>
      <c r="E154" s="25" t="s">
        <v>9</v>
      </c>
      <c r="F154" s="25" t="s">
        <v>9</v>
      </c>
      <c r="G154" s="25" t="s">
        <v>9</v>
      </c>
      <c r="H154" s="142"/>
    </row>
    <row r="155" spans="1:8" x14ac:dyDescent="0.2">
      <c r="A155" s="25" t="s">
        <v>9</v>
      </c>
      <c r="B155" s="240" t="s">
        <v>140</v>
      </c>
      <c r="C155" s="241"/>
      <c r="D155" s="177" t="s">
        <v>129</v>
      </c>
      <c r="E155" s="25" t="s">
        <v>9</v>
      </c>
      <c r="F155" s="25" t="s">
        <v>9</v>
      </c>
      <c r="G155" s="25" t="s">
        <v>9</v>
      </c>
      <c r="H155" s="142"/>
    </row>
    <row r="156" spans="1:8" x14ac:dyDescent="0.2">
      <c r="A156" s="25" t="s">
        <v>9</v>
      </c>
      <c r="B156" s="240" t="s">
        <v>141</v>
      </c>
      <c r="C156" s="241"/>
      <c r="D156" s="186">
        <v>0.34325303160298087</v>
      </c>
      <c r="E156" s="25" t="s">
        <v>9</v>
      </c>
      <c r="F156" s="73" t="s">
        <v>9</v>
      </c>
      <c r="G156" s="25" t="s">
        <v>9</v>
      </c>
      <c r="H156" s="142"/>
    </row>
    <row r="157" spans="1:8" x14ac:dyDescent="0.2">
      <c r="A157" s="25" t="s">
        <v>9</v>
      </c>
      <c r="B157" s="240" t="s">
        <v>142</v>
      </c>
      <c r="C157" s="241"/>
      <c r="D157" s="177" t="s">
        <v>129</v>
      </c>
      <c r="E157" s="25" t="s">
        <v>9</v>
      </c>
      <c r="F157" s="25" t="s">
        <v>9</v>
      </c>
      <c r="G157" s="25" t="s">
        <v>9</v>
      </c>
      <c r="H157" s="142"/>
    </row>
  </sheetData>
  <mergeCells count="15">
    <mergeCell ref="B139:C139"/>
    <mergeCell ref="B136:F136"/>
    <mergeCell ref="B137:F137"/>
    <mergeCell ref="A1:H1"/>
    <mergeCell ref="A2:H2"/>
    <mergeCell ref="A3:H3"/>
    <mergeCell ref="B156:C156"/>
    <mergeCell ref="B157:C157"/>
    <mergeCell ref="B140:C140"/>
    <mergeCell ref="B141:C141"/>
    <mergeCell ref="B142:C142"/>
    <mergeCell ref="B150:C150"/>
    <mergeCell ref="B154:C154"/>
    <mergeCell ref="B155:C155"/>
    <mergeCell ref="B152:F152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outlinePr summaryBelow="0" summaryRight="0"/>
  </sheetPr>
  <dimension ref="A1:H157"/>
  <sheetViews>
    <sheetView showGridLines="0" workbookViewId="0">
      <selection activeCell="J1" sqref="J1"/>
    </sheetView>
  </sheetViews>
  <sheetFormatPr defaultRowHeight="15" x14ac:dyDescent="0.2"/>
  <cols>
    <col min="1" max="1" width="6.85546875" style="155" customWidth="1"/>
    <col min="2" max="2" width="20.5703125" style="155" customWidth="1"/>
    <col min="3" max="3" width="34.28515625" style="155" customWidth="1"/>
    <col min="4" max="4" width="17.85546875" style="155" customWidth="1"/>
    <col min="5" max="6" width="19.140625" style="155" customWidth="1"/>
    <col min="7" max="7" width="16.42578125" style="155" customWidth="1"/>
    <col min="8" max="16384" width="9.140625" style="155"/>
  </cols>
  <sheetData>
    <row r="1" spans="1:8" x14ac:dyDescent="0.2">
      <c r="A1" s="250" t="s">
        <v>0</v>
      </c>
      <c r="B1" s="250"/>
      <c r="C1" s="250"/>
      <c r="D1" s="250"/>
      <c r="E1" s="250"/>
      <c r="F1" s="250"/>
      <c r="G1" s="250"/>
      <c r="H1" s="250"/>
    </row>
    <row r="2" spans="1:8" x14ac:dyDescent="0.2">
      <c r="A2" s="251" t="s">
        <v>500</v>
      </c>
      <c r="B2" s="252"/>
      <c r="C2" s="252"/>
      <c r="D2" s="252"/>
      <c r="E2" s="252"/>
      <c r="F2" s="252"/>
      <c r="G2" s="252"/>
      <c r="H2" s="253"/>
    </row>
    <row r="3" spans="1:8" x14ac:dyDescent="0.2">
      <c r="A3" s="250" t="s">
        <v>1015</v>
      </c>
      <c r="B3" s="250"/>
      <c r="C3" s="250"/>
      <c r="D3" s="250"/>
      <c r="E3" s="250"/>
      <c r="F3" s="250"/>
      <c r="G3" s="250"/>
      <c r="H3" s="250"/>
    </row>
    <row r="4" spans="1:8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60" t="s">
        <v>6</v>
      </c>
      <c r="F4" s="160" t="s">
        <v>7</v>
      </c>
      <c r="G4" s="160" t="s">
        <v>8</v>
      </c>
      <c r="H4" s="161" t="s">
        <v>909</v>
      </c>
    </row>
    <row r="5" spans="1:8" x14ac:dyDescent="0.2">
      <c r="A5" s="15" t="s">
        <v>9</v>
      </c>
      <c r="B5" s="15" t="s">
        <v>9</v>
      </c>
      <c r="C5" s="3" t="s">
        <v>10</v>
      </c>
      <c r="D5" s="15" t="s">
        <v>9</v>
      </c>
      <c r="E5" s="15" t="s">
        <v>9</v>
      </c>
      <c r="F5" s="15" t="s">
        <v>9</v>
      </c>
      <c r="G5" s="15" t="s">
        <v>9</v>
      </c>
      <c r="H5" s="100"/>
    </row>
    <row r="6" spans="1:8" ht="25.5" x14ac:dyDescent="0.2">
      <c r="A6" s="15" t="s">
        <v>9</v>
      </c>
      <c r="B6" s="15" t="s">
        <v>9</v>
      </c>
      <c r="C6" s="3" t="s">
        <v>11</v>
      </c>
      <c r="D6" s="15" t="s">
        <v>9</v>
      </c>
      <c r="E6" s="15" t="s">
        <v>9</v>
      </c>
      <c r="F6" s="15" t="s">
        <v>9</v>
      </c>
      <c r="G6" s="15" t="s">
        <v>9</v>
      </c>
      <c r="H6" s="100"/>
    </row>
    <row r="7" spans="1:8" x14ac:dyDescent="0.2">
      <c r="A7" s="4">
        <v>1</v>
      </c>
      <c r="B7" s="5" t="s">
        <v>144</v>
      </c>
      <c r="C7" s="5" t="s">
        <v>145</v>
      </c>
      <c r="D7" s="5" t="s">
        <v>146</v>
      </c>
      <c r="E7" s="6">
        <v>4128</v>
      </c>
      <c r="F7" s="7">
        <v>141.516096</v>
      </c>
      <c r="G7" s="8">
        <v>3.9824501999999998E-2</v>
      </c>
      <c r="H7" s="100"/>
    </row>
    <row r="8" spans="1:8" x14ac:dyDescent="0.2">
      <c r="A8" s="4">
        <v>2</v>
      </c>
      <c r="B8" s="5" t="s">
        <v>26</v>
      </c>
      <c r="C8" s="5" t="s">
        <v>27</v>
      </c>
      <c r="D8" s="5" t="s">
        <v>28</v>
      </c>
      <c r="E8" s="6">
        <v>13843</v>
      </c>
      <c r="F8" s="7">
        <v>126.788037</v>
      </c>
      <c r="G8" s="8">
        <v>3.5679831000000002E-2</v>
      </c>
      <c r="H8" s="100"/>
    </row>
    <row r="9" spans="1:8" ht="25.5" x14ac:dyDescent="0.2">
      <c r="A9" s="4">
        <v>3</v>
      </c>
      <c r="B9" s="5" t="s">
        <v>152</v>
      </c>
      <c r="C9" s="5" t="s">
        <v>153</v>
      </c>
      <c r="D9" s="5" t="s">
        <v>1001</v>
      </c>
      <c r="E9" s="6">
        <v>74344</v>
      </c>
      <c r="F9" s="7">
        <v>121.329408</v>
      </c>
      <c r="G9" s="8">
        <v>3.4143700999999999E-2</v>
      </c>
      <c r="H9" s="100"/>
    </row>
    <row r="10" spans="1:8" ht="25.5" x14ac:dyDescent="0.2">
      <c r="A10" s="4">
        <v>4</v>
      </c>
      <c r="B10" s="5" t="s">
        <v>34</v>
      </c>
      <c r="C10" s="5" t="s">
        <v>35</v>
      </c>
      <c r="D10" s="5" t="s">
        <v>1001</v>
      </c>
      <c r="E10" s="6">
        <v>3446</v>
      </c>
      <c r="F10" s="7">
        <v>96.708544000000003</v>
      </c>
      <c r="G10" s="8">
        <v>2.7215064000000001E-2</v>
      </c>
      <c r="H10" s="100"/>
    </row>
    <row r="11" spans="1:8" x14ac:dyDescent="0.2">
      <c r="A11" s="4">
        <v>5</v>
      </c>
      <c r="B11" s="5" t="s">
        <v>164</v>
      </c>
      <c r="C11" s="5" t="s">
        <v>947</v>
      </c>
      <c r="D11" s="5" t="s">
        <v>151</v>
      </c>
      <c r="E11" s="6">
        <v>12636</v>
      </c>
      <c r="F11" s="7">
        <v>91.541501999999994</v>
      </c>
      <c r="G11" s="8">
        <v>2.5760990000000001E-2</v>
      </c>
      <c r="H11" s="100"/>
    </row>
    <row r="12" spans="1:8" x14ac:dyDescent="0.2">
      <c r="A12" s="4">
        <v>6</v>
      </c>
      <c r="B12" s="5" t="s">
        <v>157</v>
      </c>
      <c r="C12" s="5" t="s">
        <v>158</v>
      </c>
      <c r="D12" s="5" t="s">
        <v>28</v>
      </c>
      <c r="E12" s="6">
        <v>16510</v>
      </c>
      <c r="F12" s="7">
        <v>86.000590000000003</v>
      </c>
      <c r="G12" s="8">
        <v>2.4201704000000001E-2</v>
      </c>
      <c r="H12" s="100"/>
    </row>
    <row r="13" spans="1:8" x14ac:dyDescent="0.2">
      <c r="A13" s="4">
        <v>7</v>
      </c>
      <c r="B13" s="5" t="s">
        <v>159</v>
      </c>
      <c r="C13" s="5" t="s">
        <v>160</v>
      </c>
      <c r="D13" s="5" t="s">
        <v>58</v>
      </c>
      <c r="E13" s="6">
        <v>24349</v>
      </c>
      <c r="F13" s="7">
        <v>85.221500000000006</v>
      </c>
      <c r="G13" s="8">
        <v>2.3982458000000002E-2</v>
      </c>
      <c r="H13" s="100"/>
    </row>
    <row r="14" spans="1:8" ht="25.5" x14ac:dyDescent="0.2">
      <c r="A14" s="4">
        <v>8</v>
      </c>
      <c r="B14" s="5" t="s">
        <v>442</v>
      </c>
      <c r="C14" s="5" t="s">
        <v>443</v>
      </c>
      <c r="D14" s="5" t="s">
        <v>25</v>
      </c>
      <c r="E14" s="6">
        <v>7864</v>
      </c>
      <c r="F14" s="7">
        <v>82.477632</v>
      </c>
      <c r="G14" s="8">
        <v>2.3210297000000001E-2</v>
      </c>
      <c r="H14" s="100"/>
    </row>
    <row r="15" spans="1:8" x14ac:dyDescent="0.2">
      <c r="A15" s="4">
        <v>9</v>
      </c>
      <c r="B15" s="5" t="s">
        <v>48</v>
      </c>
      <c r="C15" s="5" t="s">
        <v>49</v>
      </c>
      <c r="D15" s="5" t="s">
        <v>28</v>
      </c>
      <c r="E15" s="6">
        <v>5817</v>
      </c>
      <c r="F15" s="7">
        <v>81.679405500000001</v>
      </c>
      <c r="G15" s="8">
        <v>2.2985664999999999E-2</v>
      </c>
      <c r="H15" s="100"/>
    </row>
    <row r="16" spans="1:8" x14ac:dyDescent="0.2">
      <c r="A16" s="4">
        <v>10</v>
      </c>
      <c r="B16" s="5" t="s">
        <v>154</v>
      </c>
      <c r="C16" s="5" t="s">
        <v>155</v>
      </c>
      <c r="D16" s="5" t="s">
        <v>156</v>
      </c>
      <c r="E16" s="6">
        <v>97660</v>
      </c>
      <c r="F16" s="7">
        <v>79.104600000000005</v>
      </c>
      <c r="G16" s="8">
        <v>2.2261080999999999E-2</v>
      </c>
      <c r="H16" s="100"/>
    </row>
    <row r="17" spans="1:8" x14ac:dyDescent="0.2">
      <c r="A17" s="4">
        <v>11</v>
      </c>
      <c r="B17" s="5" t="s">
        <v>168</v>
      </c>
      <c r="C17" s="5" t="s">
        <v>169</v>
      </c>
      <c r="D17" s="5" t="s">
        <v>151</v>
      </c>
      <c r="E17" s="6">
        <v>39323</v>
      </c>
      <c r="F17" s="7">
        <v>77.564617499999997</v>
      </c>
      <c r="G17" s="8">
        <v>2.182771E-2</v>
      </c>
      <c r="H17" s="100"/>
    </row>
    <row r="18" spans="1:8" x14ac:dyDescent="0.2">
      <c r="A18" s="4">
        <v>12</v>
      </c>
      <c r="B18" s="5" t="s">
        <v>173</v>
      </c>
      <c r="C18" s="5" t="s">
        <v>949</v>
      </c>
      <c r="D18" s="5" t="s">
        <v>28</v>
      </c>
      <c r="E18" s="6">
        <v>17288</v>
      </c>
      <c r="F18" s="7">
        <v>77.208207999999999</v>
      </c>
      <c r="G18" s="8">
        <v>2.1727410999999999E-2</v>
      </c>
      <c r="H18" s="100"/>
    </row>
    <row r="19" spans="1:8" x14ac:dyDescent="0.2">
      <c r="A19" s="4">
        <v>13</v>
      </c>
      <c r="B19" s="5" t="s">
        <v>184</v>
      </c>
      <c r="C19" s="5" t="s">
        <v>185</v>
      </c>
      <c r="D19" s="5" t="s">
        <v>172</v>
      </c>
      <c r="E19" s="6">
        <v>42955</v>
      </c>
      <c r="F19" s="7">
        <v>76.288079999999994</v>
      </c>
      <c r="G19" s="8">
        <v>2.1468475000000001E-2</v>
      </c>
      <c r="H19" s="100"/>
    </row>
    <row r="20" spans="1:8" x14ac:dyDescent="0.2">
      <c r="A20" s="4">
        <v>14</v>
      </c>
      <c r="B20" s="5" t="s">
        <v>461</v>
      </c>
      <c r="C20" s="5" t="s">
        <v>462</v>
      </c>
      <c r="D20" s="5" t="s">
        <v>193</v>
      </c>
      <c r="E20" s="6">
        <v>27663</v>
      </c>
      <c r="F20" s="7">
        <v>73.348444499999999</v>
      </c>
      <c r="G20" s="8">
        <v>2.0641223E-2</v>
      </c>
      <c r="H20" s="100"/>
    </row>
    <row r="21" spans="1:8" ht="25.5" x14ac:dyDescent="0.2">
      <c r="A21" s="4">
        <v>15</v>
      </c>
      <c r="B21" s="5" t="s">
        <v>166</v>
      </c>
      <c r="C21" s="5" t="s">
        <v>948</v>
      </c>
      <c r="D21" s="5" t="s">
        <v>1001</v>
      </c>
      <c r="E21" s="6">
        <v>29729</v>
      </c>
      <c r="F21" s="7">
        <v>70.487459000000001</v>
      </c>
      <c r="G21" s="8">
        <v>1.9836104E-2</v>
      </c>
      <c r="H21" s="100"/>
    </row>
    <row r="22" spans="1:8" x14ac:dyDescent="0.2">
      <c r="A22" s="4">
        <v>16</v>
      </c>
      <c r="B22" s="5" t="s">
        <v>191</v>
      </c>
      <c r="C22" s="5" t="s">
        <v>192</v>
      </c>
      <c r="D22" s="5" t="s">
        <v>193</v>
      </c>
      <c r="E22" s="6">
        <v>21423</v>
      </c>
      <c r="F22" s="7">
        <v>70.374555000000001</v>
      </c>
      <c r="G22" s="8">
        <v>1.9804331000000001E-2</v>
      </c>
      <c r="H22" s="100"/>
    </row>
    <row r="23" spans="1:8" ht="25.5" x14ac:dyDescent="0.2">
      <c r="A23" s="4">
        <v>17</v>
      </c>
      <c r="B23" s="5" t="s">
        <v>194</v>
      </c>
      <c r="C23" s="5" t="s">
        <v>195</v>
      </c>
      <c r="D23" s="5" t="s">
        <v>73</v>
      </c>
      <c r="E23" s="6">
        <v>19076</v>
      </c>
      <c r="F23" s="7">
        <v>70.056610000000006</v>
      </c>
      <c r="G23" s="8">
        <v>1.9714856999999999E-2</v>
      </c>
      <c r="H23" s="100"/>
    </row>
    <row r="24" spans="1:8" x14ac:dyDescent="0.2">
      <c r="A24" s="4">
        <v>18</v>
      </c>
      <c r="B24" s="5" t="s">
        <v>216</v>
      </c>
      <c r="C24" s="5" t="s">
        <v>217</v>
      </c>
      <c r="D24" s="5" t="s">
        <v>1005</v>
      </c>
      <c r="E24" s="6">
        <v>33144</v>
      </c>
      <c r="F24" s="7">
        <v>69.834407999999996</v>
      </c>
      <c r="G24" s="8">
        <v>1.9652326000000001E-2</v>
      </c>
      <c r="H24" s="100"/>
    </row>
    <row r="25" spans="1:8" x14ac:dyDescent="0.2">
      <c r="A25" s="4">
        <v>19</v>
      </c>
      <c r="B25" s="5" t="s">
        <v>175</v>
      </c>
      <c r="C25" s="5" t="s">
        <v>176</v>
      </c>
      <c r="D25" s="5" t="s">
        <v>53</v>
      </c>
      <c r="E25" s="6">
        <v>18293</v>
      </c>
      <c r="F25" s="7">
        <v>67.437144500000002</v>
      </c>
      <c r="G25" s="8">
        <v>1.8977705000000001E-2</v>
      </c>
      <c r="H25" s="100"/>
    </row>
    <row r="26" spans="1:8" ht="25.5" x14ac:dyDescent="0.2">
      <c r="A26" s="4">
        <v>20</v>
      </c>
      <c r="B26" s="5" t="s">
        <v>67</v>
      </c>
      <c r="C26" s="5" t="s">
        <v>929</v>
      </c>
      <c r="D26" s="5" t="s">
        <v>25</v>
      </c>
      <c r="E26" s="6">
        <v>12508</v>
      </c>
      <c r="F26" s="7">
        <v>67.405612000000005</v>
      </c>
      <c r="G26" s="8">
        <v>1.8968830999999998E-2</v>
      </c>
      <c r="H26" s="100"/>
    </row>
    <row r="27" spans="1:8" x14ac:dyDescent="0.2">
      <c r="A27" s="4">
        <v>21</v>
      </c>
      <c r="B27" s="5" t="s">
        <v>206</v>
      </c>
      <c r="C27" s="5" t="s">
        <v>207</v>
      </c>
      <c r="D27" s="5" t="s">
        <v>163</v>
      </c>
      <c r="E27" s="6">
        <v>17373</v>
      </c>
      <c r="F27" s="7">
        <v>66.390919499999995</v>
      </c>
      <c r="G27" s="8">
        <v>1.8683282999999998E-2</v>
      </c>
      <c r="H27" s="100"/>
    </row>
    <row r="28" spans="1:8" x14ac:dyDescent="0.2">
      <c r="A28" s="4">
        <v>22</v>
      </c>
      <c r="B28" s="5" t="s">
        <v>56</v>
      </c>
      <c r="C28" s="5" t="s">
        <v>57</v>
      </c>
      <c r="D28" s="5" t="s">
        <v>58</v>
      </c>
      <c r="E28" s="6">
        <v>2133</v>
      </c>
      <c r="F28" s="7">
        <v>66.108069</v>
      </c>
      <c r="G28" s="8">
        <v>1.8603684999999998E-2</v>
      </c>
      <c r="H28" s="100"/>
    </row>
    <row r="29" spans="1:8" x14ac:dyDescent="0.2">
      <c r="A29" s="4">
        <v>23</v>
      </c>
      <c r="B29" s="5" t="s">
        <v>226</v>
      </c>
      <c r="C29" s="5" t="s">
        <v>227</v>
      </c>
      <c r="D29" s="5" t="s">
        <v>228</v>
      </c>
      <c r="E29" s="6">
        <v>40589</v>
      </c>
      <c r="F29" s="7">
        <v>63.5420795</v>
      </c>
      <c r="G29" s="8">
        <v>1.7881582E-2</v>
      </c>
      <c r="H29" s="100"/>
    </row>
    <row r="30" spans="1:8" ht="25.5" x14ac:dyDescent="0.2">
      <c r="A30" s="4">
        <v>24</v>
      </c>
      <c r="B30" s="5" t="s">
        <v>180</v>
      </c>
      <c r="C30" s="5" t="s">
        <v>934</v>
      </c>
      <c r="D30" s="5" t="s">
        <v>146</v>
      </c>
      <c r="E30" s="6">
        <v>17524</v>
      </c>
      <c r="F30" s="7">
        <v>63.410594000000003</v>
      </c>
      <c r="G30" s="8">
        <v>1.7844579999999999E-2</v>
      </c>
      <c r="H30" s="100"/>
    </row>
    <row r="31" spans="1:8" x14ac:dyDescent="0.2">
      <c r="A31" s="4">
        <v>25</v>
      </c>
      <c r="B31" s="5" t="s">
        <v>177</v>
      </c>
      <c r="C31" s="5" t="s">
        <v>178</v>
      </c>
      <c r="D31" s="5" t="s">
        <v>47</v>
      </c>
      <c r="E31" s="6">
        <v>5794</v>
      </c>
      <c r="F31" s="7">
        <v>61.167257999999997</v>
      </c>
      <c r="G31" s="8">
        <v>1.7213276E-2</v>
      </c>
      <c r="H31" s="100"/>
    </row>
    <row r="32" spans="1:8" x14ac:dyDescent="0.2">
      <c r="A32" s="4">
        <v>26</v>
      </c>
      <c r="B32" s="5" t="s">
        <v>170</v>
      </c>
      <c r="C32" s="5" t="s">
        <v>171</v>
      </c>
      <c r="D32" s="5" t="s">
        <v>172</v>
      </c>
      <c r="E32" s="6">
        <v>5530</v>
      </c>
      <c r="F32" s="7">
        <v>56.688029999999998</v>
      </c>
      <c r="G32" s="8">
        <v>1.5952761999999999E-2</v>
      </c>
      <c r="H32" s="100"/>
    </row>
    <row r="33" spans="1:8" x14ac:dyDescent="0.2">
      <c r="A33" s="4">
        <v>27</v>
      </c>
      <c r="B33" s="5" t="s">
        <v>196</v>
      </c>
      <c r="C33" s="5" t="s">
        <v>197</v>
      </c>
      <c r="D33" s="5" t="s">
        <v>151</v>
      </c>
      <c r="E33" s="6">
        <v>7691</v>
      </c>
      <c r="F33" s="7">
        <v>56.686515499999999</v>
      </c>
      <c r="G33" s="8">
        <v>1.5952335000000002E-2</v>
      </c>
      <c r="H33" s="100"/>
    </row>
    <row r="34" spans="1:8" ht="25.5" x14ac:dyDescent="0.2">
      <c r="A34" s="4">
        <v>28</v>
      </c>
      <c r="B34" s="5" t="s">
        <v>23</v>
      </c>
      <c r="C34" s="5" t="s">
        <v>24</v>
      </c>
      <c r="D34" s="5" t="s">
        <v>25</v>
      </c>
      <c r="E34" s="6">
        <v>22490</v>
      </c>
      <c r="F34" s="7">
        <v>52.772784999999999</v>
      </c>
      <c r="G34" s="8">
        <v>1.485096E-2</v>
      </c>
      <c r="H34" s="100"/>
    </row>
    <row r="35" spans="1:8" x14ac:dyDescent="0.2">
      <c r="A35" s="4">
        <v>29</v>
      </c>
      <c r="B35" s="5" t="s">
        <v>64</v>
      </c>
      <c r="C35" s="5" t="s">
        <v>65</v>
      </c>
      <c r="D35" s="5" t="s">
        <v>1002</v>
      </c>
      <c r="E35" s="6">
        <v>44851</v>
      </c>
      <c r="F35" s="7">
        <v>51.8253305</v>
      </c>
      <c r="G35" s="8">
        <v>1.4584333999999999E-2</v>
      </c>
      <c r="H35" s="100"/>
    </row>
    <row r="36" spans="1:8" ht="25.5" x14ac:dyDescent="0.2">
      <c r="A36" s="4">
        <v>30</v>
      </c>
      <c r="B36" s="5" t="s">
        <v>182</v>
      </c>
      <c r="C36" s="5" t="s">
        <v>944</v>
      </c>
      <c r="D36" s="5" t="s">
        <v>58</v>
      </c>
      <c r="E36" s="6">
        <v>2210</v>
      </c>
      <c r="F36" s="7">
        <v>51.611235000000001</v>
      </c>
      <c r="G36" s="8">
        <v>1.4524084E-2</v>
      </c>
      <c r="H36" s="100"/>
    </row>
    <row r="37" spans="1:8" x14ac:dyDescent="0.2">
      <c r="A37" s="4">
        <v>31</v>
      </c>
      <c r="B37" s="5" t="s">
        <v>50</v>
      </c>
      <c r="C37" s="5" t="s">
        <v>51</v>
      </c>
      <c r="D37" s="5" t="s">
        <v>28</v>
      </c>
      <c r="E37" s="6">
        <v>5673</v>
      </c>
      <c r="F37" s="7">
        <v>50.174848500000003</v>
      </c>
      <c r="G37" s="8">
        <v>1.4119866E-2</v>
      </c>
      <c r="H37" s="100"/>
    </row>
    <row r="38" spans="1:8" x14ac:dyDescent="0.2">
      <c r="A38" s="4">
        <v>32</v>
      </c>
      <c r="B38" s="5" t="s">
        <v>204</v>
      </c>
      <c r="C38" s="5" t="s">
        <v>205</v>
      </c>
      <c r="D38" s="5" t="s">
        <v>1004</v>
      </c>
      <c r="E38" s="6">
        <v>18095</v>
      </c>
      <c r="F38" s="7">
        <v>49.200305</v>
      </c>
      <c r="G38" s="8">
        <v>1.3845616999999999E-2</v>
      </c>
      <c r="H38" s="100"/>
    </row>
    <row r="39" spans="1:8" x14ac:dyDescent="0.2">
      <c r="A39" s="4">
        <v>33</v>
      </c>
      <c r="B39" s="5" t="s">
        <v>36</v>
      </c>
      <c r="C39" s="5" t="s">
        <v>37</v>
      </c>
      <c r="D39" s="5" t="s">
        <v>38</v>
      </c>
      <c r="E39" s="6">
        <v>19628</v>
      </c>
      <c r="F39" s="7">
        <v>49.148511999999997</v>
      </c>
      <c r="G39" s="8">
        <v>1.3831042E-2</v>
      </c>
      <c r="H39" s="100"/>
    </row>
    <row r="40" spans="1:8" ht="25.5" x14ac:dyDescent="0.2">
      <c r="A40" s="4">
        <v>34</v>
      </c>
      <c r="B40" s="5" t="s">
        <v>214</v>
      </c>
      <c r="C40" s="5" t="s">
        <v>215</v>
      </c>
      <c r="D40" s="5" t="s">
        <v>25</v>
      </c>
      <c r="E40" s="6">
        <v>67085</v>
      </c>
      <c r="F40" s="7">
        <v>46.691160000000004</v>
      </c>
      <c r="G40" s="8">
        <v>1.313951E-2</v>
      </c>
      <c r="H40" s="100"/>
    </row>
    <row r="41" spans="1:8" x14ac:dyDescent="0.2">
      <c r="A41" s="4">
        <v>35</v>
      </c>
      <c r="B41" s="5" t="s">
        <v>202</v>
      </c>
      <c r="C41" s="5" t="s">
        <v>203</v>
      </c>
      <c r="D41" s="5" t="s">
        <v>38</v>
      </c>
      <c r="E41" s="6">
        <v>55673</v>
      </c>
      <c r="F41" s="7">
        <v>45.958061499999999</v>
      </c>
      <c r="G41" s="8">
        <v>1.2933207E-2</v>
      </c>
      <c r="H41" s="100"/>
    </row>
    <row r="42" spans="1:8" ht="25.5" x14ac:dyDescent="0.2">
      <c r="A42" s="4">
        <v>36</v>
      </c>
      <c r="B42" s="5" t="s">
        <v>233</v>
      </c>
      <c r="C42" s="5" t="s">
        <v>234</v>
      </c>
      <c r="D42" s="5" t="s">
        <v>1001</v>
      </c>
      <c r="E42" s="6">
        <v>16185</v>
      </c>
      <c r="F42" s="7">
        <v>45.722625000000001</v>
      </c>
      <c r="G42" s="8">
        <v>1.2866951999999999E-2</v>
      </c>
      <c r="H42" s="100"/>
    </row>
    <row r="43" spans="1:8" x14ac:dyDescent="0.2">
      <c r="A43" s="4">
        <v>37</v>
      </c>
      <c r="B43" s="5" t="s">
        <v>278</v>
      </c>
      <c r="C43" s="5" t="s">
        <v>279</v>
      </c>
      <c r="D43" s="5" t="s">
        <v>28</v>
      </c>
      <c r="E43" s="6">
        <v>4223</v>
      </c>
      <c r="F43" s="7">
        <v>44.692008999999999</v>
      </c>
      <c r="G43" s="8">
        <v>1.2576923E-2</v>
      </c>
      <c r="H43" s="100"/>
    </row>
    <row r="44" spans="1:8" x14ac:dyDescent="0.2">
      <c r="A44" s="4">
        <v>38</v>
      </c>
      <c r="B44" s="5" t="s">
        <v>218</v>
      </c>
      <c r="C44" s="5" t="s">
        <v>219</v>
      </c>
      <c r="D44" s="5" t="s">
        <v>156</v>
      </c>
      <c r="E44" s="6">
        <v>7612</v>
      </c>
      <c r="F44" s="7">
        <v>44.259974</v>
      </c>
      <c r="G44" s="8">
        <v>1.2455341999999999E-2</v>
      </c>
      <c r="H44" s="100"/>
    </row>
    <row r="45" spans="1:8" x14ac:dyDescent="0.2">
      <c r="A45" s="4">
        <v>39</v>
      </c>
      <c r="B45" s="5" t="s">
        <v>241</v>
      </c>
      <c r="C45" s="5" t="s">
        <v>242</v>
      </c>
      <c r="D45" s="5" t="s">
        <v>163</v>
      </c>
      <c r="E45" s="6">
        <v>7210</v>
      </c>
      <c r="F45" s="7">
        <v>42.94276</v>
      </c>
      <c r="G45" s="8">
        <v>1.2084661E-2</v>
      </c>
      <c r="H45" s="100"/>
    </row>
    <row r="46" spans="1:8" x14ac:dyDescent="0.2">
      <c r="A46" s="4">
        <v>40</v>
      </c>
      <c r="B46" s="5" t="s">
        <v>237</v>
      </c>
      <c r="C46" s="5" t="s">
        <v>951</v>
      </c>
      <c r="D46" s="5" t="s">
        <v>1006</v>
      </c>
      <c r="E46" s="6">
        <v>11047</v>
      </c>
      <c r="F46" s="7">
        <v>40.907041</v>
      </c>
      <c r="G46" s="8">
        <v>1.1511782999999999E-2</v>
      </c>
      <c r="H46" s="100"/>
    </row>
    <row r="47" spans="1:8" x14ac:dyDescent="0.2">
      <c r="A47" s="4">
        <v>41</v>
      </c>
      <c r="B47" s="5" t="s">
        <v>239</v>
      </c>
      <c r="C47" s="5" t="s">
        <v>240</v>
      </c>
      <c r="D47" s="5" t="s">
        <v>58</v>
      </c>
      <c r="E47" s="6">
        <v>8930</v>
      </c>
      <c r="F47" s="7">
        <v>40.823495000000001</v>
      </c>
      <c r="G47" s="8">
        <v>1.1488272000000001E-2</v>
      </c>
      <c r="H47" s="100"/>
    </row>
    <row r="48" spans="1:8" x14ac:dyDescent="0.2">
      <c r="A48" s="4">
        <v>42</v>
      </c>
      <c r="B48" s="5" t="s">
        <v>179</v>
      </c>
      <c r="C48" s="5" t="s">
        <v>933</v>
      </c>
      <c r="D48" s="5" t="s">
        <v>47</v>
      </c>
      <c r="E48" s="6">
        <v>19005</v>
      </c>
      <c r="F48" s="7">
        <v>40.746720000000003</v>
      </c>
      <c r="G48" s="8">
        <v>1.1466666E-2</v>
      </c>
      <c r="H48" s="100"/>
    </row>
    <row r="49" spans="1:8" x14ac:dyDescent="0.2">
      <c r="A49" s="4">
        <v>43</v>
      </c>
      <c r="B49" s="5" t="s">
        <v>235</v>
      </c>
      <c r="C49" s="5" t="s">
        <v>236</v>
      </c>
      <c r="D49" s="5" t="s">
        <v>1005</v>
      </c>
      <c r="E49" s="6">
        <v>9270</v>
      </c>
      <c r="F49" s="7">
        <v>40.523805000000003</v>
      </c>
      <c r="G49" s="8">
        <v>1.1403935E-2</v>
      </c>
      <c r="H49" s="100"/>
    </row>
    <row r="50" spans="1:8" x14ac:dyDescent="0.2">
      <c r="A50" s="4">
        <v>44</v>
      </c>
      <c r="B50" s="5" t="s">
        <v>222</v>
      </c>
      <c r="C50" s="5" t="s">
        <v>950</v>
      </c>
      <c r="D50" s="5" t="s">
        <v>28</v>
      </c>
      <c r="E50" s="6">
        <v>35829</v>
      </c>
      <c r="F50" s="7">
        <v>38.5699185</v>
      </c>
      <c r="G50" s="8">
        <v>1.0854084999999999E-2</v>
      </c>
      <c r="H50" s="100"/>
    </row>
    <row r="51" spans="1:8" x14ac:dyDescent="0.2">
      <c r="A51" s="4">
        <v>45</v>
      </c>
      <c r="B51" s="5" t="s">
        <v>455</v>
      </c>
      <c r="C51" s="5" t="s">
        <v>456</v>
      </c>
      <c r="D51" s="5" t="s">
        <v>1006</v>
      </c>
      <c r="E51" s="6">
        <v>73686</v>
      </c>
      <c r="F51" s="7">
        <v>38.500934999999998</v>
      </c>
      <c r="G51" s="8">
        <v>1.0834672E-2</v>
      </c>
      <c r="H51" s="100"/>
    </row>
    <row r="52" spans="1:8" x14ac:dyDescent="0.2">
      <c r="A52" s="4">
        <v>46</v>
      </c>
      <c r="B52" s="5" t="s">
        <v>231</v>
      </c>
      <c r="C52" s="5" t="s">
        <v>935</v>
      </c>
      <c r="D52" s="5" t="s">
        <v>156</v>
      </c>
      <c r="E52" s="6">
        <v>7611</v>
      </c>
      <c r="F52" s="7">
        <v>37.879947000000001</v>
      </c>
      <c r="G52" s="8">
        <v>1.0659918000000001E-2</v>
      </c>
      <c r="H52" s="100"/>
    </row>
    <row r="53" spans="1:8" x14ac:dyDescent="0.2">
      <c r="A53" s="4">
        <v>47</v>
      </c>
      <c r="B53" s="5" t="s">
        <v>245</v>
      </c>
      <c r="C53" s="5" t="s">
        <v>246</v>
      </c>
      <c r="D53" s="5" t="s">
        <v>22</v>
      </c>
      <c r="E53" s="6">
        <v>41278</v>
      </c>
      <c r="F53" s="7">
        <v>37.418506999999998</v>
      </c>
      <c r="G53" s="8">
        <v>1.0530062999999999E-2</v>
      </c>
      <c r="H53" s="100"/>
    </row>
    <row r="54" spans="1:8" x14ac:dyDescent="0.2">
      <c r="A54" s="4">
        <v>48</v>
      </c>
      <c r="B54" s="5" t="s">
        <v>186</v>
      </c>
      <c r="C54" s="5" t="s">
        <v>187</v>
      </c>
      <c r="D54" s="5" t="s">
        <v>188</v>
      </c>
      <c r="E54" s="6">
        <v>5085</v>
      </c>
      <c r="F54" s="7">
        <v>36.995917499999997</v>
      </c>
      <c r="G54" s="8">
        <v>1.0411141E-2</v>
      </c>
      <c r="H54" s="100"/>
    </row>
    <row r="55" spans="1:8" x14ac:dyDescent="0.2">
      <c r="A55" s="4">
        <v>49</v>
      </c>
      <c r="B55" s="5" t="s">
        <v>249</v>
      </c>
      <c r="C55" s="5" t="s">
        <v>952</v>
      </c>
      <c r="D55" s="5" t="s">
        <v>251</v>
      </c>
      <c r="E55" s="6">
        <v>17355</v>
      </c>
      <c r="F55" s="7">
        <v>36.766567500000001</v>
      </c>
      <c r="G55" s="8">
        <v>1.0346599E-2</v>
      </c>
      <c r="H55" s="100"/>
    </row>
    <row r="56" spans="1:8" x14ac:dyDescent="0.2">
      <c r="A56" s="4">
        <v>50</v>
      </c>
      <c r="B56" s="5" t="s">
        <v>256</v>
      </c>
      <c r="C56" s="5" t="s">
        <v>257</v>
      </c>
      <c r="D56" s="5" t="s">
        <v>1005</v>
      </c>
      <c r="E56" s="6">
        <v>33289</v>
      </c>
      <c r="F56" s="7">
        <v>36.101920499999999</v>
      </c>
      <c r="G56" s="8">
        <v>1.0159558000000001E-2</v>
      </c>
      <c r="H56" s="100"/>
    </row>
    <row r="57" spans="1:8" ht="25.5" x14ac:dyDescent="0.2">
      <c r="A57" s="4">
        <v>51</v>
      </c>
      <c r="B57" s="5" t="s">
        <v>243</v>
      </c>
      <c r="C57" s="5" t="s">
        <v>244</v>
      </c>
      <c r="D57" s="5" t="s">
        <v>1007</v>
      </c>
      <c r="E57" s="6">
        <v>47409</v>
      </c>
      <c r="F57" s="7">
        <v>35.367114000000001</v>
      </c>
      <c r="G57" s="8">
        <v>9.9527739999999993E-3</v>
      </c>
      <c r="H57" s="100"/>
    </row>
    <row r="58" spans="1:8" x14ac:dyDescent="0.2">
      <c r="A58" s="4">
        <v>52</v>
      </c>
      <c r="B58" s="5" t="s">
        <v>208</v>
      </c>
      <c r="C58" s="5" t="s">
        <v>209</v>
      </c>
      <c r="D58" s="5" t="s">
        <v>163</v>
      </c>
      <c r="E58" s="6">
        <v>9613</v>
      </c>
      <c r="F58" s="7">
        <v>35.279710000000001</v>
      </c>
      <c r="G58" s="8">
        <v>9.9281769999999998E-3</v>
      </c>
      <c r="H58" s="100"/>
    </row>
    <row r="59" spans="1:8" x14ac:dyDescent="0.2">
      <c r="A59" s="4">
        <v>53</v>
      </c>
      <c r="B59" s="5" t="s">
        <v>220</v>
      </c>
      <c r="C59" s="5" t="s">
        <v>221</v>
      </c>
      <c r="D59" s="5" t="s">
        <v>1002</v>
      </c>
      <c r="E59" s="6">
        <v>3550</v>
      </c>
      <c r="F59" s="7">
        <v>33.141024999999999</v>
      </c>
      <c r="G59" s="8">
        <v>9.3263229999999992E-3</v>
      </c>
      <c r="H59" s="100"/>
    </row>
    <row r="60" spans="1:8" x14ac:dyDescent="0.2">
      <c r="A60" s="4">
        <v>54</v>
      </c>
      <c r="B60" s="5" t="s">
        <v>59</v>
      </c>
      <c r="C60" s="5" t="s">
        <v>60</v>
      </c>
      <c r="D60" s="5" t="s">
        <v>38</v>
      </c>
      <c r="E60" s="6">
        <v>17008</v>
      </c>
      <c r="F60" s="7">
        <v>32.255671999999997</v>
      </c>
      <c r="G60" s="8">
        <v>9.0771729999999991E-3</v>
      </c>
      <c r="H60" s="100"/>
    </row>
    <row r="61" spans="1:8" x14ac:dyDescent="0.2">
      <c r="A61" s="4">
        <v>55</v>
      </c>
      <c r="B61" s="5" t="s">
        <v>260</v>
      </c>
      <c r="C61" s="5" t="s">
        <v>261</v>
      </c>
      <c r="D61" s="5" t="s">
        <v>58</v>
      </c>
      <c r="E61" s="6">
        <v>19014</v>
      </c>
      <c r="F61" s="7">
        <v>29.614305000000002</v>
      </c>
      <c r="G61" s="8">
        <v>8.3338570000000001E-3</v>
      </c>
      <c r="H61" s="100"/>
    </row>
    <row r="62" spans="1:8" x14ac:dyDescent="0.2">
      <c r="A62" s="4">
        <v>56</v>
      </c>
      <c r="B62" s="5" t="s">
        <v>262</v>
      </c>
      <c r="C62" s="5" t="s">
        <v>263</v>
      </c>
      <c r="D62" s="5" t="s">
        <v>146</v>
      </c>
      <c r="E62" s="6">
        <v>1858</v>
      </c>
      <c r="F62" s="7">
        <v>28.749763000000002</v>
      </c>
      <c r="G62" s="8">
        <v>8.0905639999999997E-3</v>
      </c>
      <c r="H62" s="100"/>
    </row>
    <row r="63" spans="1:8" x14ac:dyDescent="0.2">
      <c r="A63" s="4">
        <v>57</v>
      </c>
      <c r="B63" s="5" t="s">
        <v>247</v>
      </c>
      <c r="C63" s="5" t="s">
        <v>248</v>
      </c>
      <c r="D63" s="5" t="s">
        <v>1005</v>
      </c>
      <c r="E63" s="6">
        <v>14732</v>
      </c>
      <c r="F63" s="7">
        <v>27.607768</v>
      </c>
      <c r="G63" s="8">
        <v>7.7691909999999999E-3</v>
      </c>
      <c r="H63" s="100"/>
    </row>
    <row r="64" spans="1:8" x14ac:dyDescent="0.2">
      <c r="A64" s="4">
        <v>58</v>
      </c>
      <c r="B64" s="5" t="s">
        <v>198</v>
      </c>
      <c r="C64" s="5" t="s">
        <v>199</v>
      </c>
      <c r="D64" s="5" t="s">
        <v>156</v>
      </c>
      <c r="E64" s="6">
        <v>47615</v>
      </c>
      <c r="F64" s="7">
        <v>25.235949999999999</v>
      </c>
      <c r="G64" s="8">
        <v>7.1017299999999997E-3</v>
      </c>
      <c r="H64" s="100"/>
    </row>
    <row r="65" spans="1:8" x14ac:dyDescent="0.2">
      <c r="A65" s="4">
        <v>59</v>
      </c>
      <c r="B65" s="5" t="s">
        <v>270</v>
      </c>
      <c r="C65" s="5" t="s">
        <v>271</v>
      </c>
      <c r="D65" s="5" t="s">
        <v>272</v>
      </c>
      <c r="E65" s="6">
        <v>14179</v>
      </c>
      <c r="F65" s="7">
        <v>18.482326499999999</v>
      </c>
      <c r="G65" s="8">
        <v>5.2011710000000001E-3</v>
      </c>
      <c r="H65" s="100"/>
    </row>
    <row r="66" spans="1:8" x14ac:dyDescent="0.2">
      <c r="A66" s="4">
        <v>60</v>
      </c>
      <c r="B66" s="5" t="s">
        <v>268</v>
      </c>
      <c r="C66" s="5" t="s">
        <v>269</v>
      </c>
      <c r="D66" s="5" t="s">
        <v>1005</v>
      </c>
      <c r="E66" s="6">
        <v>47104</v>
      </c>
      <c r="F66" s="7">
        <v>16.674816</v>
      </c>
      <c r="G66" s="8">
        <v>4.6925140000000001E-3</v>
      </c>
      <c r="H66" s="100"/>
    </row>
    <row r="67" spans="1:8" ht="25.5" x14ac:dyDescent="0.2">
      <c r="A67" s="4">
        <v>61</v>
      </c>
      <c r="B67" s="5" t="s">
        <v>273</v>
      </c>
      <c r="C67" s="5" t="s">
        <v>274</v>
      </c>
      <c r="D67" s="5" t="s">
        <v>1008</v>
      </c>
      <c r="E67" s="6">
        <v>16258</v>
      </c>
      <c r="F67" s="7">
        <v>14.485878</v>
      </c>
      <c r="G67" s="8">
        <v>4.0765180000000003E-3</v>
      </c>
      <c r="H67" s="100"/>
    </row>
    <row r="68" spans="1:8" x14ac:dyDescent="0.2">
      <c r="A68" s="4">
        <v>62</v>
      </c>
      <c r="B68" s="5" t="s">
        <v>275</v>
      </c>
      <c r="C68" s="5" t="s">
        <v>276</v>
      </c>
      <c r="D68" s="5" t="s">
        <v>228</v>
      </c>
      <c r="E68" s="6">
        <v>14014</v>
      </c>
      <c r="F68" s="7">
        <v>3.867864</v>
      </c>
      <c r="G68" s="8">
        <v>1.088468E-3</v>
      </c>
      <c r="H68" s="100"/>
    </row>
    <row r="69" spans="1:8" x14ac:dyDescent="0.2">
      <c r="A69" s="15" t="s">
        <v>9</v>
      </c>
      <c r="B69" s="15" t="s">
        <v>9</v>
      </c>
      <c r="C69" s="3" t="s">
        <v>94</v>
      </c>
      <c r="D69" s="15" t="s">
        <v>9</v>
      </c>
      <c r="E69" s="15" t="s">
        <v>9</v>
      </c>
      <c r="F69" s="9">
        <v>3447.3624894999998</v>
      </c>
      <c r="G69" s="10">
        <v>0.97013341900000005</v>
      </c>
      <c r="H69" s="100"/>
    </row>
    <row r="70" spans="1:8" x14ac:dyDescent="0.2">
      <c r="A70" s="15" t="s">
        <v>9</v>
      </c>
      <c r="B70" s="15" t="s">
        <v>9</v>
      </c>
      <c r="C70" s="11" t="s">
        <v>9</v>
      </c>
      <c r="D70" s="15" t="s">
        <v>9</v>
      </c>
      <c r="E70" s="15" t="s">
        <v>9</v>
      </c>
      <c r="F70" s="12" t="s">
        <v>9</v>
      </c>
      <c r="G70" s="12" t="s">
        <v>9</v>
      </c>
      <c r="H70" s="100"/>
    </row>
    <row r="71" spans="1:8" x14ac:dyDescent="0.2">
      <c r="A71" s="15" t="s">
        <v>9</v>
      </c>
      <c r="B71" s="15" t="s">
        <v>9</v>
      </c>
      <c r="C71" s="3" t="s">
        <v>95</v>
      </c>
      <c r="D71" s="15" t="s">
        <v>9</v>
      </c>
      <c r="E71" s="15" t="s">
        <v>9</v>
      </c>
      <c r="F71" s="15" t="s">
        <v>9</v>
      </c>
      <c r="G71" s="15" t="s">
        <v>9</v>
      </c>
      <c r="H71" s="100"/>
    </row>
    <row r="72" spans="1:8" x14ac:dyDescent="0.2">
      <c r="A72" s="15" t="s">
        <v>9</v>
      </c>
      <c r="B72" s="15" t="s">
        <v>9</v>
      </c>
      <c r="C72" s="3" t="s">
        <v>94</v>
      </c>
      <c r="D72" s="15" t="s">
        <v>9</v>
      </c>
      <c r="E72" s="15" t="s">
        <v>9</v>
      </c>
      <c r="F72" s="13">
        <v>0</v>
      </c>
      <c r="G72" s="14">
        <v>0</v>
      </c>
      <c r="H72" s="100"/>
    </row>
    <row r="73" spans="1:8" x14ac:dyDescent="0.2">
      <c r="A73" s="15" t="s">
        <v>9</v>
      </c>
      <c r="B73" s="15" t="s">
        <v>9</v>
      </c>
      <c r="C73" s="11" t="s">
        <v>9</v>
      </c>
      <c r="D73" s="15" t="s">
        <v>9</v>
      </c>
      <c r="E73" s="15" t="s">
        <v>9</v>
      </c>
      <c r="F73" s="12" t="s">
        <v>9</v>
      </c>
      <c r="G73" s="12" t="s">
        <v>9</v>
      </c>
      <c r="H73" s="100"/>
    </row>
    <row r="74" spans="1:8" x14ac:dyDescent="0.2">
      <c r="A74" s="15" t="s">
        <v>9</v>
      </c>
      <c r="B74" s="15" t="s">
        <v>9</v>
      </c>
      <c r="C74" s="3" t="s">
        <v>96</v>
      </c>
      <c r="D74" s="15" t="s">
        <v>9</v>
      </c>
      <c r="E74" s="15" t="s">
        <v>9</v>
      </c>
      <c r="F74" s="15" t="s">
        <v>9</v>
      </c>
      <c r="G74" s="15" t="s">
        <v>9</v>
      </c>
      <c r="H74" s="100"/>
    </row>
    <row r="75" spans="1:8" x14ac:dyDescent="0.2">
      <c r="A75" s="15" t="s">
        <v>9</v>
      </c>
      <c r="B75" s="15" t="s">
        <v>9</v>
      </c>
      <c r="C75" s="3" t="s">
        <v>94</v>
      </c>
      <c r="D75" s="15" t="s">
        <v>9</v>
      </c>
      <c r="E75" s="15" t="s">
        <v>9</v>
      </c>
      <c r="F75" s="13">
        <v>0</v>
      </c>
      <c r="G75" s="14">
        <v>0</v>
      </c>
      <c r="H75" s="100"/>
    </row>
    <row r="76" spans="1:8" x14ac:dyDescent="0.2">
      <c r="A76" s="15" t="s">
        <v>9</v>
      </c>
      <c r="B76" s="15" t="s">
        <v>9</v>
      </c>
      <c r="C76" s="11" t="s">
        <v>9</v>
      </c>
      <c r="D76" s="15" t="s">
        <v>9</v>
      </c>
      <c r="E76" s="15" t="s">
        <v>9</v>
      </c>
      <c r="F76" s="12" t="s">
        <v>9</v>
      </c>
      <c r="G76" s="12" t="s">
        <v>9</v>
      </c>
      <c r="H76" s="100"/>
    </row>
    <row r="77" spans="1:8" x14ac:dyDescent="0.2">
      <c r="A77" s="15" t="s">
        <v>9</v>
      </c>
      <c r="B77" s="15" t="s">
        <v>9</v>
      </c>
      <c r="C77" s="3" t="s">
        <v>100</v>
      </c>
      <c r="D77" s="15" t="s">
        <v>9</v>
      </c>
      <c r="E77" s="15" t="s">
        <v>9</v>
      </c>
      <c r="F77" s="15" t="s">
        <v>9</v>
      </c>
      <c r="G77" s="15" t="s">
        <v>9</v>
      </c>
      <c r="H77" s="100"/>
    </row>
    <row r="78" spans="1:8" x14ac:dyDescent="0.2">
      <c r="A78" s="15" t="s">
        <v>9</v>
      </c>
      <c r="B78" s="15" t="s">
        <v>9</v>
      </c>
      <c r="C78" s="3" t="s">
        <v>94</v>
      </c>
      <c r="D78" s="15" t="s">
        <v>9</v>
      </c>
      <c r="E78" s="15" t="s">
        <v>9</v>
      </c>
      <c r="F78" s="13">
        <v>0</v>
      </c>
      <c r="G78" s="14">
        <v>0</v>
      </c>
      <c r="H78" s="100"/>
    </row>
    <row r="79" spans="1:8" x14ac:dyDescent="0.2">
      <c r="A79" s="15" t="s">
        <v>9</v>
      </c>
      <c r="B79" s="15" t="s">
        <v>9</v>
      </c>
      <c r="C79" s="11" t="s">
        <v>9</v>
      </c>
      <c r="D79" s="15" t="s">
        <v>9</v>
      </c>
      <c r="E79" s="15" t="s">
        <v>9</v>
      </c>
      <c r="F79" s="12" t="s">
        <v>9</v>
      </c>
      <c r="G79" s="12" t="s">
        <v>9</v>
      </c>
      <c r="H79" s="100"/>
    </row>
    <row r="80" spans="1:8" x14ac:dyDescent="0.2">
      <c r="A80" s="15" t="s">
        <v>9</v>
      </c>
      <c r="B80" s="15" t="s">
        <v>9</v>
      </c>
      <c r="C80" s="3" t="s">
        <v>101</v>
      </c>
      <c r="D80" s="15" t="s">
        <v>9</v>
      </c>
      <c r="E80" s="15" t="s">
        <v>9</v>
      </c>
      <c r="F80" s="12" t="s">
        <v>9</v>
      </c>
      <c r="G80" s="12" t="s">
        <v>9</v>
      </c>
      <c r="H80" s="100"/>
    </row>
    <row r="81" spans="1:8" x14ac:dyDescent="0.2">
      <c r="A81" s="15" t="s">
        <v>9</v>
      </c>
      <c r="B81" s="15" t="s">
        <v>9</v>
      </c>
      <c r="C81" s="3" t="s">
        <v>94</v>
      </c>
      <c r="D81" s="15" t="s">
        <v>9</v>
      </c>
      <c r="E81" s="15" t="s">
        <v>9</v>
      </c>
      <c r="F81" s="13">
        <v>0</v>
      </c>
      <c r="G81" s="14">
        <v>0</v>
      </c>
      <c r="H81" s="100"/>
    </row>
    <row r="82" spans="1:8" x14ac:dyDescent="0.2">
      <c r="A82" s="15" t="s">
        <v>9</v>
      </c>
      <c r="B82" s="15" t="s">
        <v>9</v>
      </c>
      <c r="C82" s="11" t="s">
        <v>9</v>
      </c>
      <c r="D82" s="15" t="s">
        <v>9</v>
      </c>
      <c r="E82" s="15" t="s">
        <v>9</v>
      </c>
      <c r="F82" s="12" t="s">
        <v>9</v>
      </c>
      <c r="G82" s="12" t="s">
        <v>9</v>
      </c>
      <c r="H82" s="100"/>
    </row>
    <row r="83" spans="1:8" x14ac:dyDescent="0.2">
      <c r="A83" s="15" t="s">
        <v>9</v>
      </c>
      <c r="B83" s="15" t="s">
        <v>9</v>
      </c>
      <c r="C83" s="3" t="s">
        <v>102</v>
      </c>
      <c r="D83" s="15" t="s">
        <v>9</v>
      </c>
      <c r="E83" s="15" t="s">
        <v>9</v>
      </c>
      <c r="F83" s="12" t="s">
        <v>9</v>
      </c>
      <c r="G83" s="12" t="s">
        <v>9</v>
      </c>
      <c r="H83" s="100"/>
    </row>
    <row r="84" spans="1:8" x14ac:dyDescent="0.2">
      <c r="A84" s="15" t="s">
        <v>9</v>
      </c>
      <c r="B84" s="15" t="s">
        <v>9</v>
      </c>
      <c r="C84" s="3" t="s">
        <v>94</v>
      </c>
      <c r="D84" s="15" t="s">
        <v>9</v>
      </c>
      <c r="E84" s="15" t="s">
        <v>9</v>
      </c>
      <c r="F84" s="13">
        <v>0</v>
      </c>
      <c r="G84" s="14">
        <v>0</v>
      </c>
      <c r="H84" s="100"/>
    </row>
    <row r="85" spans="1:8" x14ac:dyDescent="0.2">
      <c r="A85" s="15" t="s">
        <v>9</v>
      </c>
      <c r="B85" s="15" t="s">
        <v>9</v>
      </c>
      <c r="C85" s="11" t="s">
        <v>9</v>
      </c>
      <c r="D85" s="15" t="s">
        <v>9</v>
      </c>
      <c r="E85" s="15" t="s">
        <v>9</v>
      </c>
      <c r="F85" s="12" t="s">
        <v>9</v>
      </c>
      <c r="G85" s="12" t="s">
        <v>9</v>
      </c>
      <c r="H85" s="100"/>
    </row>
    <row r="86" spans="1:8" x14ac:dyDescent="0.2">
      <c r="A86" s="15" t="s">
        <v>9</v>
      </c>
      <c r="B86" s="15" t="s">
        <v>9</v>
      </c>
      <c r="C86" s="3" t="s">
        <v>104</v>
      </c>
      <c r="D86" s="15" t="s">
        <v>9</v>
      </c>
      <c r="E86" s="15" t="s">
        <v>9</v>
      </c>
      <c r="F86" s="9">
        <v>3447.3624894999998</v>
      </c>
      <c r="G86" s="10">
        <v>0.97013341900000005</v>
      </c>
      <c r="H86" s="100"/>
    </row>
    <row r="87" spans="1:8" x14ac:dyDescent="0.2">
      <c r="A87" s="15" t="s">
        <v>9</v>
      </c>
      <c r="B87" s="15" t="s">
        <v>9</v>
      </c>
      <c r="C87" s="11" t="s">
        <v>9</v>
      </c>
      <c r="D87" s="15" t="s">
        <v>9</v>
      </c>
      <c r="E87" s="15" t="s">
        <v>9</v>
      </c>
      <c r="F87" s="12" t="s">
        <v>9</v>
      </c>
      <c r="G87" s="12" t="s">
        <v>9</v>
      </c>
      <c r="H87" s="100"/>
    </row>
    <row r="88" spans="1:8" x14ac:dyDescent="0.2">
      <c r="A88" s="15" t="s">
        <v>9</v>
      </c>
      <c r="B88" s="15" t="s">
        <v>9</v>
      </c>
      <c r="C88" s="3" t="s">
        <v>105</v>
      </c>
      <c r="D88" s="15" t="s">
        <v>9</v>
      </c>
      <c r="E88" s="15" t="s">
        <v>9</v>
      </c>
      <c r="F88" s="12" t="s">
        <v>9</v>
      </c>
      <c r="G88" s="12" t="s">
        <v>9</v>
      </c>
      <c r="H88" s="100"/>
    </row>
    <row r="89" spans="1:8" ht="25.5" x14ac:dyDescent="0.2">
      <c r="A89" s="15" t="s">
        <v>9</v>
      </c>
      <c r="B89" s="15" t="s">
        <v>9</v>
      </c>
      <c r="C89" s="3" t="s">
        <v>11</v>
      </c>
      <c r="D89" s="15" t="s">
        <v>9</v>
      </c>
      <c r="E89" s="15" t="s">
        <v>9</v>
      </c>
      <c r="F89" s="12" t="s">
        <v>9</v>
      </c>
      <c r="G89" s="12" t="s">
        <v>9</v>
      </c>
      <c r="H89" s="100"/>
    </row>
    <row r="90" spans="1:8" x14ac:dyDescent="0.2">
      <c r="A90" s="15" t="s">
        <v>9</v>
      </c>
      <c r="B90" s="15" t="s">
        <v>9</v>
      </c>
      <c r="C90" s="3" t="s">
        <v>94</v>
      </c>
      <c r="D90" s="15" t="s">
        <v>9</v>
      </c>
      <c r="E90" s="15" t="s">
        <v>9</v>
      </c>
      <c r="F90" s="13">
        <v>0</v>
      </c>
      <c r="G90" s="14">
        <v>0</v>
      </c>
      <c r="H90" s="100"/>
    </row>
    <row r="91" spans="1:8" x14ac:dyDescent="0.2">
      <c r="A91" s="15" t="s">
        <v>9</v>
      </c>
      <c r="B91" s="15" t="s">
        <v>9</v>
      </c>
      <c r="C91" s="11" t="s">
        <v>9</v>
      </c>
      <c r="D91" s="15" t="s">
        <v>9</v>
      </c>
      <c r="E91" s="15" t="s">
        <v>9</v>
      </c>
      <c r="F91" s="12" t="s">
        <v>9</v>
      </c>
      <c r="G91" s="12" t="s">
        <v>9</v>
      </c>
      <c r="H91" s="100"/>
    </row>
    <row r="92" spans="1:8" x14ac:dyDescent="0.2">
      <c r="A92" s="15" t="s">
        <v>9</v>
      </c>
      <c r="B92" s="15" t="s">
        <v>9</v>
      </c>
      <c r="C92" s="3" t="s">
        <v>106</v>
      </c>
      <c r="D92" s="15" t="s">
        <v>9</v>
      </c>
      <c r="E92" s="15" t="s">
        <v>9</v>
      </c>
      <c r="F92" s="15" t="s">
        <v>9</v>
      </c>
      <c r="G92" s="15" t="s">
        <v>9</v>
      </c>
      <c r="H92" s="100"/>
    </row>
    <row r="93" spans="1:8" x14ac:dyDescent="0.2">
      <c r="A93" s="15" t="s">
        <v>9</v>
      </c>
      <c r="B93" s="15" t="s">
        <v>9</v>
      </c>
      <c r="C93" s="3" t="s">
        <v>94</v>
      </c>
      <c r="D93" s="15" t="s">
        <v>9</v>
      </c>
      <c r="E93" s="15" t="s">
        <v>9</v>
      </c>
      <c r="F93" s="13">
        <v>0</v>
      </c>
      <c r="G93" s="14">
        <v>0</v>
      </c>
      <c r="H93" s="100"/>
    </row>
    <row r="94" spans="1:8" x14ac:dyDescent="0.2">
      <c r="A94" s="15" t="s">
        <v>9</v>
      </c>
      <c r="B94" s="15" t="s">
        <v>9</v>
      </c>
      <c r="C94" s="11" t="s">
        <v>9</v>
      </c>
      <c r="D94" s="15" t="s">
        <v>9</v>
      </c>
      <c r="E94" s="15" t="s">
        <v>9</v>
      </c>
      <c r="F94" s="12" t="s">
        <v>9</v>
      </c>
      <c r="G94" s="12" t="s">
        <v>9</v>
      </c>
      <c r="H94" s="100"/>
    </row>
    <row r="95" spans="1:8" x14ac:dyDescent="0.2">
      <c r="A95" s="15" t="s">
        <v>9</v>
      </c>
      <c r="B95" s="15" t="s">
        <v>9</v>
      </c>
      <c r="C95" s="3" t="s">
        <v>107</v>
      </c>
      <c r="D95" s="15" t="s">
        <v>9</v>
      </c>
      <c r="E95" s="15" t="s">
        <v>9</v>
      </c>
      <c r="F95" s="15" t="s">
        <v>9</v>
      </c>
      <c r="G95" s="15" t="s">
        <v>9</v>
      </c>
      <c r="H95" s="100"/>
    </row>
    <row r="96" spans="1:8" x14ac:dyDescent="0.2">
      <c r="A96" s="15" t="s">
        <v>9</v>
      </c>
      <c r="B96" s="15" t="s">
        <v>9</v>
      </c>
      <c r="C96" s="3" t="s">
        <v>94</v>
      </c>
      <c r="D96" s="15" t="s">
        <v>9</v>
      </c>
      <c r="E96" s="15" t="s">
        <v>9</v>
      </c>
      <c r="F96" s="13">
        <v>0</v>
      </c>
      <c r="G96" s="14">
        <v>0</v>
      </c>
      <c r="H96" s="100"/>
    </row>
    <row r="97" spans="1:8" x14ac:dyDescent="0.2">
      <c r="A97" s="15" t="s">
        <v>9</v>
      </c>
      <c r="B97" s="15" t="s">
        <v>9</v>
      </c>
      <c r="C97" s="11" t="s">
        <v>9</v>
      </c>
      <c r="D97" s="15" t="s">
        <v>9</v>
      </c>
      <c r="E97" s="15" t="s">
        <v>9</v>
      </c>
      <c r="F97" s="12" t="s">
        <v>9</v>
      </c>
      <c r="G97" s="12" t="s">
        <v>9</v>
      </c>
      <c r="H97" s="100"/>
    </row>
    <row r="98" spans="1:8" x14ac:dyDescent="0.2">
      <c r="A98" s="15" t="s">
        <v>9</v>
      </c>
      <c r="B98" s="15" t="s">
        <v>9</v>
      </c>
      <c r="C98" s="3" t="s">
        <v>108</v>
      </c>
      <c r="D98" s="15" t="s">
        <v>9</v>
      </c>
      <c r="E98" s="15" t="s">
        <v>9</v>
      </c>
      <c r="F98" s="12" t="s">
        <v>9</v>
      </c>
      <c r="G98" s="12" t="s">
        <v>9</v>
      </c>
      <c r="H98" s="100"/>
    </row>
    <row r="99" spans="1:8" x14ac:dyDescent="0.2">
      <c r="A99" s="15" t="s">
        <v>9</v>
      </c>
      <c r="B99" s="15" t="s">
        <v>9</v>
      </c>
      <c r="C99" s="3" t="s">
        <v>94</v>
      </c>
      <c r="D99" s="15" t="s">
        <v>9</v>
      </c>
      <c r="E99" s="15" t="s">
        <v>9</v>
      </c>
      <c r="F99" s="13">
        <v>0</v>
      </c>
      <c r="G99" s="14">
        <v>0</v>
      </c>
      <c r="H99" s="100"/>
    </row>
    <row r="100" spans="1:8" x14ac:dyDescent="0.2">
      <c r="A100" s="15" t="s">
        <v>9</v>
      </c>
      <c r="B100" s="15" t="s">
        <v>9</v>
      </c>
      <c r="C100" s="11" t="s">
        <v>9</v>
      </c>
      <c r="D100" s="15" t="s">
        <v>9</v>
      </c>
      <c r="E100" s="15" t="s">
        <v>9</v>
      </c>
      <c r="F100" s="12" t="s">
        <v>9</v>
      </c>
      <c r="G100" s="12" t="s">
        <v>9</v>
      </c>
      <c r="H100" s="100"/>
    </row>
    <row r="101" spans="1:8" x14ac:dyDescent="0.2">
      <c r="A101" s="15" t="s">
        <v>9</v>
      </c>
      <c r="B101" s="15" t="s">
        <v>9</v>
      </c>
      <c r="C101" s="3" t="s">
        <v>109</v>
      </c>
      <c r="D101" s="15" t="s">
        <v>9</v>
      </c>
      <c r="E101" s="15" t="s">
        <v>9</v>
      </c>
      <c r="F101" s="9">
        <v>0</v>
      </c>
      <c r="G101" s="10">
        <v>0</v>
      </c>
      <c r="H101" s="100"/>
    </row>
    <row r="102" spans="1:8" x14ac:dyDescent="0.2">
      <c r="A102" s="15" t="s">
        <v>9</v>
      </c>
      <c r="B102" s="15" t="s">
        <v>9</v>
      </c>
      <c r="C102" s="11" t="s">
        <v>9</v>
      </c>
      <c r="D102" s="15" t="s">
        <v>9</v>
      </c>
      <c r="E102" s="15" t="s">
        <v>9</v>
      </c>
      <c r="F102" s="12" t="s">
        <v>9</v>
      </c>
      <c r="G102" s="12" t="s">
        <v>9</v>
      </c>
      <c r="H102" s="100"/>
    </row>
    <row r="103" spans="1:8" x14ac:dyDescent="0.2">
      <c r="A103" s="15" t="s">
        <v>9</v>
      </c>
      <c r="B103" s="15" t="s">
        <v>9</v>
      </c>
      <c r="C103" s="3" t="s">
        <v>110</v>
      </c>
      <c r="D103" s="15" t="s">
        <v>9</v>
      </c>
      <c r="E103" s="15" t="s">
        <v>9</v>
      </c>
      <c r="F103" s="12" t="s">
        <v>9</v>
      </c>
      <c r="G103" s="12" t="s">
        <v>9</v>
      </c>
      <c r="H103" s="100"/>
    </row>
    <row r="104" spans="1:8" x14ac:dyDescent="0.2">
      <c r="A104" s="15" t="s">
        <v>9</v>
      </c>
      <c r="B104" s="15" t="s">
        <v>9</v>
      </c>
      <c r="C104" s="3" t="s">
        <v>111</v>
      </c>
      <c r="D104" s="15" t="s">
        <v>9</v>
      </c>
      <c r="E104" s="15" t="s">
        <v>9</v>
      </c>
      <c r="F104" s="12" t="s">
        <v>9</v>
      </c>
      <c r="G104" s="12" t="s">
        <v>9</v>
      </c>
      <c r="H104" s="100"/>
    </row>
    <row r="105" spans="1:8" x14ac:dyDescent="0.2">
      <c r="A105" s="15" t="s">
        <v>9</v>
      </c>
      <c r="B105" s="15" t="s">
        <v>9</v>
      </c>
      <c r="C105" s="3" t="s">
        <v>94</v>
      </c>
      <c r="D105" s="15" t="s">
        <v>9</v>
      </c>
      <c r="E105" s="15" t="s">
        <v>9</v>
      </c>
      <c r="F105" s="13">
        <v>0</v>
      </c>
      <c r="G105" s="14">
        <v>0</v>
      </c>
      <c r="H105" s="100"/>
    </row>
    <row r="106" spans="1:8" x14ac:dyDescent="0.2">
      <c r="A106" s="15" t="s">
        <v>9</v>
      </c>
      <c r="B106" s="15" t="s">
        <v>9</v>
      </c>
      <c r="C106" s="11" t="s">
        <v>9</v>
      </c>
      <c r="D106" s="15" t="s">
        <v>9</v>
      </c>
      <c r="E106" s="15" t="s">
        <v>9</v>
      </c>
      <c r="F106" s="12" t="s">
        <v>9</v>
      </c>
      <c r="G106" s="12" t="s">
        <v>9</v>
      </c>
      <c r="H106" s="100"/>
    </row>
    <row r="107" spans="1:8" x14ac:dyDescent="0.2">
      <c r="A107" s="15" t="s">
        <v>9</v>
      </c>
      <c r="B107" s="15" t="s">
        <v>9</v>
      </c>
      <c r="C107" s="3" t="s">
        <v>112</v>
      </c>
      <c r="D107" s="15" t="s">
        <v>9</v>
      </c>
      <c r="E107" s="15" t="s">
        <v>9</v>
      </c>
      <c r="F107" s="12" t="s">
        <v>9</v>
      </c>
      <c r="G107" s="12" t="s">
        <v>9</v>
      </c>
      <c r="H107" s="100"/>
    </row>
    <row r="108" spans="1:8" x14ac:dyDescent="0.2">
      <c r="A108" s="15" t="s">
        <v>9</v>
      </c>
      <c r="B108" s="15" t="s">
        <v>9</v>
      </c>
      <c r="C108" s="3" t="s">
        <v>94</v>
      </c>
      <c r="D108" s="15" t="s">
        <v>9</v>
      </c>
      <c r="E108" s="15" t="s">
        <v>9</v>
      </c>
      <c r="F108" s="13">
        <v>0</v>
      </c>
      <c r="G108" s="14">
        <v>0</v>
      </c>
      <c r="H108" s="100"/>
    </row>
    <row r="109" spans="1:8" x14ac:dyDescent="0.2">
      <c r="A109" s="15" t="s">
        <v>9</v>
      </c>
      <c r="B109" s="15" t="s">
        <v>9</v>
      </c>
      <c r="C109" s="11" t="s">
        <v>9</v>
      </c>
      <c r="D109" s="15" t="s">
        <v>9</v>
      </c>
      <c r="E109" s="15" t="s">
        <v>9</v>
      </c>
      <c r="F109" s="12" t="s">
        <v>9</v>
      </c>
      <c r="G109" s="12" t="s">
        <v>9</v>
      </c>
      <c r="H109" s="100"/>
    </row>
    <row r="110" spans="1:8" x14ac:dyDescent="0.2">
      <c r="A110" s="15" t="s">
        <v>9</v>
      </c>
      <c r="B110" s="15" t="s">
        <v>9</v>
      </c>
      <c r="C110" s="3" t="s">
        <v>113</v>
      </c>
      <c r="D110" s="15" t="s">
        <v>9</v>
      </c>
      <c r="E110" s="15" t="s">
        <v>9</v>
      </c>
      <c r="F110" s="12" t="s">
        <v>9</v>
      </c>
      <c r="G110" s="12" t="s">
        <v>9</v>
      </c>
      <c r="H110" s="100"/>
    </row>
    <row r="111" spans="1:8" x14ac:dyDescent="0.2">
      <c r="A111" s="15" t="s">
        <v>9</v>
      </c>
      <c r="B111" s="15" t="s">
        <v>9</v>
      </c>
      <c r="C111" s="3" t="s">
        <v>94</v>
      </c>
      <c r="D111" s="15" t="s">
        <v>9</v>
      </c>
      <c r="E111" s="15" t="s">
        <v>9</v>
      </c>
      <c r="F111" s="13">
        <v>0</v>
      </c>
      <c r="G111" s="14">
        <v>0</v>
      </c>
      <c r="H111" s="100"/>
    </row>
    <row r="112" spans="1:8" x14ac:dyDescent="0.2">
      <c r="A112" s="15" t="s">
        <v>9</v>
      </c>
      <c r="B112" s="15" t="s">
        <v>9</v>
      </c>
      <c r="C112" s="11" t="s">
        <v>9</v>
      </c>
      <c r="D112" s="15" t="s">
        <v>9</v>
      </c>
      <c r="E112" s="15" t="s">
        <v>9</v>
      </c>
      <c r="F112" s="12" t="s">
        <v>9</v>
      </c>
      <c r="G112" s="12" t="s">
        <v>9</v>
      </c>
      <c r="H112" s="100"/>
    </row>
    <row r="113" spans="1:8" x14ac:dyDescent="0.2">
      <c r="A113" s="15" t="s">
        <v>9</v>
      </c>
      <c r="B113" s="15" t="s">
        <v>9</v>
      </c>
      <c r="C113" s="3" t="s">
        <v>114</v>
      </c>
      <c r="D113" s="15" t="s">
        <v>9</v>
      </c>
      <c r="E113" s="15" t="s">
        <v>9</v>
      </c>
      <c r="F113" s="12" t="s">
        <v>9</v>
      </c>
      <c r="G113" s="12" t="s">
        <v>9</v>
      </c>
      <c r="H113" s="100"/>
    </row>
    <row r="114" spans="1:8" x14ac:dyDescent="0.2">
      <c r="A114" s="4">
        <v>1</v>
      </c>
      <c r="B114" s="5"/>
      <c r="C114" s="5" t="s">
        <v>115</v>
      </c>
      <c r="D114" s="5"/>
      <c r="E114" s="15" t="s">
        <v>9</v>
      </c>
      <c r="F114" s="7">
        <v>75.905313699999994</v>
      </c>
      <c r="G114" s="8">
        <v>2.1360759E-2</v>
      </c>
      <c r="H114" s="99">
        <v>3.2516689338443991</v>
      </c>
    </row>
    <row r="115" spans="1:8" x14ac:dyDescent="0.2">
      <c r="A115" s="4">
        <v>2</v>
      </c>
      <c r="B115" s="5"/>
      <c r="C115" s="5" t="s">
        <v>116</v>
      </c>
      <c r="D115" s="5"/>
      <c r="E115" s="15" t="s">
        <v>9</v>
      </c>
      <c r="F115" s="7">
        <v>10.399708</v>
      </c>
      <c r="G115" s="8">
        <v>2.926615E-3</v>
      </c>
      <c r="H115" s="100">
        <v>3.350000000000001</v>
      </c>
    </row>
    <row r="116" spans="1:8" x14ac:dyDescent="0.2">
      <c r="A116" s="15" t="s">
        <v>9</v>
      </c>
      <c r="B116" s="15" t="s">
        <v>9</v>
      </c>
      <c r="C116" s="3" t="s">
        <v>94</v>
      </c>
      <c r="D116" s="15" t="s">
        <v>9</v>
      </c>
      <c r="E116" s="15" t="s">
        <v>9</v>
      </c>
      <c r="F116" s="9">
        <v>86.305021699999998</v>
      </c>
      <c r="G116" s="10">
        <v>2.4287374E-2</v>
      </c>
      <c r="H116" s="100"/>
    </row>
    <row r="117" spans="1:8" x14ac:dyDescent="0.2">
      <c r="A117" s="15" t="s">
        <v>9</v>
      </c>
      <c r="B117" s="15" t="s">
        <v>9</v>
      </c>
      <c r="C117" s="11" t="s">
        <v>9</v>
      </c>
      <c r="D117" s="15" t="s">
        <v>9</v>
      </c>
      <c r="E117" s="15" t="s">
        <v>9</v>
      </c>
      <c r="F117" s="12" t="s">
        <v>9</v>
      </c>
      <c r="G117" s="12" t="s">
        <v>9</v>
      </c>
      <c r="H117" s="100"/>
    </row>
    <row r="118" spans="1:8" x14ac:dyDescent="0.2">
      <c r="A118" s="15" t="s">
        <v>9</v>
      </c>
      <c r="B118" s="15" t="s">
        <v>9</v>
      </c>
      <c r="C118" s="3" t="s">
        <v>117</v>
      </c>
      <c r="D118" s="15" t="s">
        <v>9</v>
      </c>
      <c r="E118" s="15" t="s">
        <v>9</v>
      </c>
      <c r="F118" s="9">
        <v>86.305021699999998</v>
      </c>
      <c r="G118" s="10">
        <v>2.4287374E-2</v>
      </c>
      <c r="H118" s="100"/>
    </row>
    <row r="119" spans="1:8" x14ac:dyDescent="0.2">
      <c r="A119" s="15" t="s">
        <v>9</v>
      </c>
      <c r="B119" s="15" t="s">
        <v>9</v>
      </c>
      <c r="C119" s="12" t="s">
        <v>9</v>
      </c>
      <c r="D119" s="15" t="s">
        <v>9</v>
      </c>
      <c r="E119" s="15" t="s">
        <v>9</v>
      </c>
      <c r="F119" s="15" t="s">
        <v>9</v>
      </c>
      <c r="G119" s="15" t="s">
        <v>9</v>
      </c>
      <c r="H119" s="100"/>
    </row>
    <row r="120" spans="1:8" x14ac:dyDescent="0.2">
      <c r="A120" s="15" t="s">
        <v>9</v>
      </c>
      <c r="B120" s="15" t="s">
        <v>9</v>
      </c>
      <c r="C120" s="3" t="s">
        <v>118</v>
      </c>
      <c r="D120" s="15" t="s">
        <v>9</v>
      </c>
      <c r="E120" s="15" t="s">
        <v>9</v>
      </c>
      <c r="F120" s="15" t="s">
        <v>9</v>
      </c>
      <c r="G120" s="15" t="s">
        <v>9</v>
      </c>
      <c r="H120" s="100"/>
    </row>
    <row r="121" spans="1:8" x14ac:dyDescent="0.2">
      <c r="A121" s="15" t="s">
        <v>9</v>
      </c>
      <c r="B121" s="15" t="s">
        <v>9</v>
      </c>
      <c r="C121" s="3" t="s">
        <v>119</v>
      </c>
      <c r="D121" s="15" t="s">
        <v>9</v>
      </c>
      <c r="E121" s="15" t="s">
        <v>9</v>
      </c>
      <c r="F121" s="15" t="s">
        <v>9</v>
      </c>
      <c r="G121" s="15" t="s">
        <v>9</v>
      </c>
      <c r="H121" s="100"/>
    </row>
    <row r="122" spans="1:8" x14ac:dyDescent="0.2">
      <c r="A122" s="15" t="s">
        <v>9</v>
      </c>
      <c r="B122" s="15" t="s">
        <v>9</v>
      </c>
      <c r="C122" s="3" t="s">
        <v>94</v>
      </c>
      <c r="D122" s="15" t="s">
        <v>9</v>
      </c>
      <c r="E122" s="15" t="s">
        <v>9</v>
      </c>
      <c r="F122" s="13">
        <v>0</v>
      </c>
      <c r="G122" s="14">
        <v>0</v>
      </c>
      <c r="H122" s="100"/>
    </row>
    <row r="123" spans="1:8" x14ac:dyDescent="0.2">
      <c r="A123" s="15" t="s">
        <v>9</v>
      </c>
      <c r="B123" s="15" t="s">
        <v>9</v>
      </c>
      <c r="C123" s="11" t="s">
        <v>9</v>
      </c>
      <c r="D123" s="15" t="s">
        <v>9</v>
      </c>
      <c r="E123" s="15" t="s">
        <v>9</v>
      </c>
      <c r="F123" s="12" t="s">
        <v>9</v>
      </c>
      <c r="G123" s="12" t="s">
        <v>9</v>
      </c>
      <c r="H123" s="100"/>
    </row>
    <row r="124" spans="1:8" x14ac:dyDescent="0.2">
      <c r="A124" s="15" t="s">
        <v>9</v>
      </c>
      <c r="B124" s="15" t="s">
        <v>9</v>
      </c>
      <c r="C124" s="3" t="s">
        <v>120</v>
      </c>
      <c r="D124" s="15" t="s">
        <v>9</v>
      </c>
      <c r="E124" s="15" t="s">
        <v>9</v>
      </c>
      <c r="F124" s="15" t="s">
        <v>9</v>
      </c>
      <c r="G124" s="15" t="s">
        <v>9</v>
      </c>
      <c r="H124" s="100"/>
    </row>
    <row r="125" spans="1:8" x14ac:dyDescent="0.2">
      <c r="A125" s="15" t="s">
        <v>9</v>
      </c>
      <c r="B125" s="15" t="s">
        <v>9</v>
      </c>
      <c r="C125" s="3" t="s">
        <v>121</v>
      </c>
      <c r="D125" s="15" t="s">
        <v>9</v>
      </c>
      <c r="E125" s="15" t="s">
        <v>9</v>
      </c>
      <c r="F125" s="15" t="s">
        <v>9</v>
      </c>
      <c r="G125" s="15" t="s">
        <v>9</v>
      </c>
      <c r="H125" s="100"/>
    </row>
    <row r="126" spans="1:8" x14ac:dyDescent="0.2">
      <c r="A126" s="15" t="s">
        <v>9</v>
      </c>
      <c r="B126" s="15" t="s">
        <v>9</v>
      </c>
      <c r="C126" s="3" t="s">
        <v>94</v>
      </c>
      <c r="D126" s="15" t="s">
        <v>9</v>
      </c>
      <c r="E126" s="15" t="s">
        <v>9</v>
      </c>
      <c r="F126" s="13">
        <v>0</v>
      </c>
      <c r="G126" s="14">
        <v>0</v>
      </c>
      <c r="H126" s="100"/>
    </row>
    <row r="127" spans="1:8" x14ac:dyDescent="0.2">
      <c r="A127" s="15" t="s">
        <v>9</v>
      </c>
      <c r="B127" s="15" t="s">
        <v>9</v>
      </c>
      <c r="C127" s="11" t="s">
        <v>9</v>
      </c>
      <c r="D127" s="15" t="s">
        <v>9</v>
      </c>
      <c r="E127" s="15" t="s">
        <v>9</v>
      </c>
      <c r="F127" s="12" t="s">
        <v>9</v>
      </c>
      <c r="G127" s="12" t="s">
        <v>9</v>
      </c>
      <c r="H127" s="100"/>
    </row>
    <row r="128" spans="1:8" x14ac:dyDescent="0.2">
      <c r="A128" s="15" t="s">
        <v>9</v>
      </c>
      <c r="B128" s="15" t="s">
        <v>9</v>
      </c>
      <c r="C128" s="11" t="s">
        <v>9</v>
      </c>
      <c r="D128" s="15" t="s">
        <v>9</v>
      </c>
      <c r="E128" s="15" t="s">
        <v>9</v>
      </c>
      <c r="F128" s="12" t="s">
        <v>9</v>
      </c>
      <c r="G128" s="12" t="s">
        <v>9</v>
      </c>
      <c r="H128" s="100"/>
    </row>
    <row r="129" spans="1:8" ht="25.5" x14ac:dyDescent="0.2">
      <c r="A129" s="15" t="s">
        <v>9</v>
      </c>
      <c r="B129" s="15" t="s">
        <v>9</v>
      </c>
      <c r="C129" s="3" t="s">
        <v>122</v>
      </c>
      <c r="D129" s="15" t="s">
        <v>9</v>
      </c>
      <c r="E129" s="15" t="s">
        <v>9</v>
      </c>
      <c r="F129" s="12" t="s">
        <v>9</v>
      </c>
      <c r="G129" s="12" t="s">
        <v>9</v>
      </c>
      <c r="H129" s="100"/>
    </row>
    <row r="130" spans="1:8" x14ac:dyDescent="0.2">
      <c r="A130" s="15" t="s">
        <v>9</v>
      </c>
      <c r="B130" s="15" t="s">
        <v>9</v>
      </c>
      <c r="C130" s="3" t="s">
        <v>94</v>
      </c>
      <c r="D130" s="15" t="s">
        <v>9</v>
      </c>
      <c r="E130" s="15" t="s">
        <v>9</v>
      </c>
      <c r="F130" s="13">
        <v>0</v>
      </c>
      <c r="G130" s="14">
        <v>0</v>
      </c>
      <c r="H130" s="100"/>
    </row>
    <row r="131" spans="1:8" x14ac:dyDescent="0.2">
      <c r="A131" s="15" t="s">
        <v>9</v>
      </c>
      <c r="B131" s="15" t="s">
        <v>9</v>
      </c>
      <c r="C131" s="11" t="s">
        <v>9</v>
      </c>
      <c r="D131" s="15" t="s">
        <v>9</v>
      </c>
      <c r="E131" s="15" t="s">
        <v>9</v>
      </c>
      <c r="F131" s="12" t="s">
        <v>9</v>
      </c>
      <c r="G131" s="12" t="s">
        <v>9</v>
      </c>
      <c r="H131" s="100"/>
    </row>
    <row r="132" spans="1:8" x14ac:dyDescent="0.2">
      <c r="A132" s="15" t="s">
        <v>9</v>
      </c>
      <c r="B132" s="5" t="s">
        <v>9</v>
      </c>
      <c r="C132" s="5" t="s">
        <v>9</v>
      </c>
      <c r="D132" s="3" t="s">
        <v>9</v>
      </c>
      <c r="E132" s="15" t="s">
        <v>9</v>
      </c>
      <c r="F132" s="5" t="s">
        <v>9</v>
      </c>
      <c r="G132" s="15" t="s">
        <v>9</v>
      </c>
      <c r="H132" s="100"/>
    </row>
    <row r="133" spans="1:8" x14ac:dyDescent="0.2">
      <c r="A133" s="15" t="s">
        <v>9</v>
      </c>
      <c r="B133" s="5" t="s">
        <v>9</v>
      </c>
      <c r="C133" s="5" t="s">
        <v>124</v>
      </c>
      <c r="D133" s="5" t="s">
        <v>9</v>
      </c>
      <c r="E133" s="15" t="s">
        <v>9</v>
      </c>
      <c r="F133" s="7">
        <v>19.825692830000001</v>
      </c>
      <c r="G133" s="8">
        <v>5.5792120000000001E-3</v>
      </c>
      <c r="H133" s="100"/>
    </row>
    <row r="134" spans="1:8" x14ac:dyDescent="0.2">
      <c r="A134" s="11" t="s">
        <v>9</v>
      </c>
      <c r="B134" s="11" t="s">
        <v>9</v>
      </c>
      <c r="C134" s="3" t="s">
        <v>125</v>
      </c>
      <c r="D134" s="16" t="s">
        <v>9</v>
      </c>
      <c r="E134" s="16" t="s">
        <v>9</v>
      </c>
      <c r="F134" s="9">
        <v>3553.49320403</v>
      </c>
      <c r="G134" s="10">
        <v>1.000000005</v>
      </c>
      <c r="H134" s="100"/>
    </row>
    <row r="135" spans="1:8" x14ac:dyDescent="0.2">
      <c r="A135" s="17" t="s">
        <v>9</v>
      </c>
      <c r="B135" s="17" t="s">
        <v>9</v>
      </c>
      <c r="C135" s="17" t="s">
        <v>9</v>
      </c>
      <c r="D135" s="18" t="s">
        <v>9</v>
      </c>
      <c r="E135" s="18" t="s">
        <v>9</v>
      </c>
      <c r="F135" s="18" t="s">
        <v>9</v>
      </c>
      <c r="G135" s="18" t="s">
        <v>9</v>
      </c>
      <c r="H135" s="142"/>
    </row>
    <row r="136" spans="1:8" x14ac:dyDescent="0.2">
      <c r="A136" s="19" t="s">
        <v>9</v>
      </c>
      <c r="B136" s="254" t="s">
        <v>9</v>
      </c>
      <c r="C136" s="254"/>
      <c r="D136" s="254"/>
      <c r="E136" s="254"/>
      <c r="F136" s="254"/>
      <c r="G136" s="20" t="s">
        <v>9</v>
      </c>
      <c r="H136" s="142"/>
    </row>
    <row r="137" spans="1:8" x14ac:dyDescent="0.2">
      <c r="A137" s="19" t="s">
        <v>9</v>
      </c>
      <c r="B137" s="254" t="s">
        <v>9</v>
      </c>
      <c r="C137" s="254"/>
      <c r="D137" s="254"/>
      <c r="E137" s="254"/>
      <c r="F137" s="254"/>
      <c r="G137" s="20" t="s">
        <v>9</v>
      </c>
      <c r="H137" s="142"/>
    </row>
    <row r="138" spans="1:8" x14ac:dyDescent="0.2">
      <c r="A138" s="19" t="s">
        <v>9</v>
      </c>
      <c r="B138" s="19" t="s">
        <v>9</v>
      </c>
      <c r="C138" s="19" t="s">
        <v>9</v>
      </c>
      <c r="D138" s="20" t="s">
        <v>9</v>
      </c>
      <c r="E138" s="20" t="s">
        <v>9</v>
      </c>
      <c r="F138" s="20" t="s">
        <v>9</v>
      </c>
      <c r="G138" s="20" t="s">
        <v>9</v>
      </c>
      <c r="H138" s="142"/>
    </row>
    <row r="139" spans="1:8" x14ac:dyDescent="0.2">
      <c r="A139" s="19" t="s">
        <v>9</v>
      </c>
      <c r="B139" s="247" t="s">
        <v>127</v>
      </c>
      <c r="C139" s="248"/>
      <c r="D139" s="182" t="s">
        <v>9</v>
      </c>
      <c r="E139" s="21" t="s">
        <v>9</v>
      </c>
      <c r="F139" s="20" t="s">
        <v>9</v>
      </c>
      <c r="G139" s="20" t="s">
        <v>9</v>
      </c>
      <c r="H139" s="142"/>
    </row>
    <row r="140" spans="1:8" ht="28.5" customHeight="1" x14ac:dyDescent="0.2">
      <c r="A140" s="19" t="s">
        <v>9</v>
      </c>
      <c r="B140" s="242" t="s">
        <v>128</v>
      </c>
      <c r="C140" s="243"/>
      <c r="D140" s="3" t="s">
        <v>129</v>
      </c>
      <c r="E140" s="21" t="s">
        <v>9</v>
      </c>
      <c r="F140" s="20" t="s">
        <v>9</v>
      </c>
      <c r="G140" s="20" t="s">
        <v>9</v>
      </c>
      <c r="H140" s="142"/>
    </row>
    <row r="141" spans="1:8" x14ac:dyDescent="0.2">
      <c r="A141" s="19" t="s">
        <v>9</v>
      </c>
      <c r="B141" s="240" t="s">
        <v>130</v>
      </c>
      <c r="C141" s="241"/>
      <c r="D141" s="177" t="s">
        <v>129</v>
      </c>
      <c r="E141" s="21" t="s">
        <v>9</v>
      </c>
      <c r="F141" s="20" t="s">
        <v>9</v>
      </c>
      <c r="G141" s="20" t="s">
        <v>9</v>
      </c>
      <c r="H141" s="142"/>
    </row>
    <row r="142" spans="1:8" x14ac:dyDescent="0.2">
      <c r="A142" s="19" t="s">
        <v>9</v>
      </c>
      <c r="B142" s="240" t="s">
        <v>131</v>
      </c>
      <c r="C142" s="241"/>
      <c r="D142" s="182" t="s">
        <v>9</v>
      </c>
      <c r="E142" s="21" t="s">
        <v>9</v>
      </c>
      <c r="F142" s="20" t="s">
        <v>9</v>
      </c>
      <c r="G142" s="20" t="s">
        <v>9</v>
      </c>
      <c r="H142" s="142"/>
    </row>
    <row r="143" spans="1:8" ht="25.5" x14ac:dyDescent="0.2">
      <c r="A143" s="25" t="s">
        <v>9</v>
      </c>
      <c r="B143" s="23" t="s">
        <v>9</v>
      </c>
      <c r="C143" s="23" t="s">
        <v>132</v>
      </c>
      <c r="D143" s="23" t="s">
        <v>133</v>
      </c>
      <c r="E143" s="25" t="s">
        <v>9</v>
      </c>
      <c r="F143" s="25" t="s">
        <v>9</v>
      </c>
      <c r="G143" s="25" t="s">
        <v>9</v>
      </c>
      <c r="H143" s="142"/>
    </row>
    <row r="144" spans="1:8" x14ac:dyDescent="0.2">
      <c r="A144" s="25" t="s">
        <v>9</v>
      </c>
      <c r="B144" s="23" t="s">
        <v>134</v>
      </c>
      <c r="C144" s="23" t="s">
        <v>135</v>
      </c>
      <c r="D144" s="23" t="s">
        <v>136</v>
      </c>
      <c r="E144" s="25" t="s">
        <v>9</v>
      </c>
      <c r="F144" s="25" t="s">
        <v>9</v>
      </c>
      <c r="G144" s="25" t="s">
        <v>9</v>
      </c>
      <c r="H144" s="142"/>
    </row>
    <row r="145" spans="1:8" x14ac:dyDescent="0.2">
      <c r="A145" s="25" t="s">
        <v>9</v>
      </c>
      <c r="B145" s="183" t="s">
        <v>137</v>
      </c>
      <c r="C145" s="184">
        <v>10.6403</v>
      </c>
      <c r="D145" s="184">
        <v>11.1035</v>
      </c>
      <c r="E145" s="25" t="s">
        <v>9</v>
      </c>
      <c r="F145" s="73" t="s">
        <v>9</v>
      </c>
      <c r="G145" s="25" t="s">
        <v>9</v>
      </c>
      <c r="H145" s="142"/>
    </row>
    <row r="146" spans="1:8" x14ac:dyDescent="0.2">
      <c r="A146" s="25" t="s">
        <v>9</v>
      </c>
      <c r="B146" s="183" t="s">
        <v>921</v>
      </c>
      <c r="C146" s="184">
        <v>10.6403</v>
      </c>
      <c r="D146" s="184">
        <v>11.1035</v>
      </c>
      <c r="E146" s="25" t="s">
        <v>9</v>
      </c>
      <c r="F146" s="73" t="s">
        <v>9</v>
      </c>
      <c r="G146" s="25" t="s">
        <v>9</v>
      </c>
      <c r="H146" s="142"/>
    </row>
    <row r="147" spans="1:8" x14ac:dyDescent="0.2">
      <c r="A147" s="25" t="s">
        <v>9</v>
      </c>
      <c r="B147" s="183" t="s">
        <v>138</v>
      </c>
      <c r="C147" s="184">
        <v>10.4557</v>
      </c>
      <c r="D147" s="184">
        <v>10.9099</v>
      </c>
      <c r="E147" s="25" t="s">
        <v>9</v>
      </c>
      <c r="F147" s="73" t="s">
        <v>9</v>
      </c>
      <c r="G147" s="25" t="s">
        <v>9</v>
      </c>
      <c r="H147" s="142"/>
    </row>
    <row r="148" spans="1:8" x14ac:dyDescent="0.2">
      <c r="A148" s="25" t="s">
        <v>9</v>
      </c>
      <c r="B148" s="183" t="s">
        <v>922</v>
      </c>
      <c r="C148" s="184">
        <v>10.4556</v>
      </c>
      <c r="D148" s="184">
        <v>10.909800000000001</v>
      </c>
      <c r="E148" s="25" t="s">
        <v>9</v>
      </c>
      <c r="F148" s="73" t="s">
        <v>9</v>
      </c>
      <c r="G148" s="25" t="s">
        <v>9</v>
      </c>
      <c r="H148" s="142"/>
    </row>
    <row r="149" spans="1:8" x14ac:dyDescent="0.2">
      <c r="A149" s="25" t="s">
        <v>9</v>
      </c>
      <c r="B149" s="22" t="s">
        <v>9</v>
      </c>
      <c r="C149" s="22" t="s">
        <v>9</v>
      </c>
      <c r="D149" s="22" t="s">
        <v>9</v>
      </c>
      <c r="E149" s="25" t="s">
        <v>9</v>
      </c>
      <c r="F149" s="25" t="s">
        <v>9</v>
      </c>
      <c r="G149" s="25" t="s">
        <v>9</v>
      </c>
      <c r="H149" s="142"/>
    </row>
    <row r="150" spans="1:8" x14ac:dyDescent="0.2">
      <c r="A150" s="25" t="s">
        <v>9</v>
      </c>
      <c r="B150" s="240" t="s">
        <v>1012</v>
      </c>
      <c r="C150" s="241"/>
      <c r="D150" s="177" t="s">
        <v>129</v>
      </c>
      <c r="E150" s="25" t="s">
        <v>9</v>
      </c>
      <c r="F150" s="25" t="s">
        <v>9</v>
      </c>
      <c r="G150" s="25" t="s">
        <v>9</v>
      </c>
      <c r="H150" s="142"/>
    </row>
    <row r="151" spans="1:8" x14ac:dyDescent="0.2">
      <c r="A151" s="25" t="s">
        <v>9</v>
      </c>
      <c r="B151" s="98"/>
      <c r="C151" s="98"/>
      <c r="D151" s="26" t="s">
        <v>9</v>
      </c>
      <c r="E151" s="25" t="s">
        <v>9</v>
      </c>
      <c r="F151" s="25" t="s">
        <v>9</v>
      </c>
      <c r="G151" s="25" t="s">
        <v>9</v>
      </c>
      <c r="H151" s="142"/>
    </row>
    <row r="152" spans="1:8" s="238" customFormat="1" ht="12.75" x14ac:dyDescent="0.2">
      <c r="B152" s="246" t="s">
        <v>923</v>
      </c>
      <c r="C152" s="246"/>
      <c r="D152" s="246"/>
      <c r="E152" s="246"/>
      <c r="F152" s="246"/>
    </row>
    <row r="153" spans="1:8" x14ac:dyDescent="0.2">
      <c r="A153" s="25" t="s">
        <v>9</v>
      </c>
      <c r="B153" s="185" t="s">
        <v>9</v>
      </c>
      <c r="C153" s="185" t="s">
        <v>9</v>
      </c>
      <c r="D153" s="22" t="s">
        <v>9</v>
      </c>
      <c r="E153" s="25" t="s">
        <v>9</v>
      </c>
      <c r="F153" s="25" t="s">
        <v>9</v>
      </c>
      <c r="G153" s="25" t="s">
        <v>9</v>
      </c>
      <c r="H153" s="142"/>
    </row>
    <row r="154" spans="1:8" x14ac:dyDescent="0.2">
      <c r="A154" s="25" t="s">
        <v>9</v>
      </c>
      <c r="B154" s="240" t="s">
        <v>139</v>
      </c>
      <c r="C154" s="241"/>
      <c r="D154" s="177" t="s">
        <v>129</v>
      </c>
      <c r="E154" s="25" t="s">
        <v>9</v>
      </c>
      <c r="F154" s="25" t="s">
        <v>9</v>
      </c>
      <c r="G154" s="25" t="s">
        <v>9</v>
      </c>
      <c r="H154" s="142"/>
    </row>
    <row r="155" spans="1:8" x14ac:dyDescent="0.2">
      <c r="A155" s="25" t="s">
        <v>9</v>
      </c>
      <c r="B155" s="240" t="s">
        <v>140</v>
      </c>
      <c r="C155" s="241"/>
      <c r="D155" s="177" t="s">
        <v>129</v>
      </c>
      <c r="E155" s="25" t="s">
        <v>9</v>
      </c>
      <c r="F155" s="25" t="s">
        <v>9</v>
      </c>
      <c r="G155" s="25" t="s">
        <v>9</v>
      </c>
      <c r="H155" s="142"/>
    </row>
    <row r="156" spans="1:8" x14ac:dyDescent="0.2">
      <c r="A156" s="25" t="s">
        <v>9</v>
      </c>
      <c r="B156" s="240" t="s">
        <v>141</v>
      </c>
      <c r="C156" s="241"/>
      <c r="D156" s="186">
        <v>0.33268568056428582</v>
      </c>
      <c r="E156" s="25" t="s">
        <v>9</v>
      </c>
      <c r="F156" s="73" t="s">
        <v>9</v>
      </c>
      <c r="G156" s="25" t="s">
        <v>9</v>
      </c>
      <c r="H156" s="142"/>
    </row>
    <row r="157" spans="1:8" x14ac:dyDescent="0.2">
      <c r="A157" s="25" t="s">
        <v>9</v>
      </c>
      <c r="B157" s="240" t="s">
        <v>142</v>
      </c>
      <c r="C157" s="241"/>
      <c r="D157" s="177" t="s">
        <v>129</v>
      </c>
      <c r="E157" s="25" t="s">
        <v>9</v>
      </c>
      <c r="F157" s="25" t="s">
        <v>9</v>
      </c>
      <c r="G157" s="25" t="s">
        <v>9</v>
      </c>
      <c r="H157" s="142"/>
    </row>
  </sheetData>
  <mergeCells count="15">
    <mergeCell ref="B139:C139"/>
    <mergeCell ref="B136:F136"/>
    <mergeCell ref="B137:F137"/>
    <mergeCell ref="A1:H1"/>
    <mergeCell ref="A2:H2"/>
    <mergeCell ref="A3:H3"/>
    <mergeCell ref="B156:C156"/>
    <mergeCell ref="B157:C157"/>
    <mergeCell ref="B140:C140"/>
    <mergeCell ref="B141:C141"/>
    <mergeCell ref="B142:C142"/>
    <mergeCell ref="B150:C150"/>
    <mergeCell ref="B154:C154"/>
    <mergeCell ref="B155:C155"/>
    <mergeCell ref="B152:F152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outlinePr summaryBelow="0" summaryRight="0"/>
  </sheetPr>
  <dimension ref="A1:H161"/>
  <sheetViews>
    <sheetView showGridLines="0" workbookViewId="0">
      <selection activeCell="J1" sqref="J1"/>
    </sheetView>
  </sheetViews>
  <sheetFormatPr defaultRowHeight="15" x14ac:dyDescent="0.2"/>
  <cols>
    <col min="1" max="1" width="6.85546875" style="155" customWidth="1"/>
    <col min="2" max="2" width="20.5703125" style="155" customWidth="1"/>
    <col min="3" max="3" width="34.28515625" style="155" customWidth="1"/>
    <col min="4" max="4" width="17.85546875" style="155" customWidth="1"/>
    <col min="5" max="6" width="19.140625" style="155" customWidth="1"/>
    <col min="7" max="7" width="16.42578125" style="155" customWidth="1"/>
    <col min="8" max="16384" width="9.140625" style="155"/>
  </cols>
  <sheetData>
    <row r="1" spans="1:8" x14ac:dyDescent="0.2">
      <c r="A1" s="250" t="s">
        <v>0</v>
      </c>
      <c r="B1" s="250"/>
      <c r="C1" s="250"/>
      <c r="D1" s="250"/>
      <c r="E1" s="250"/>
      <c r="F1" s="250"/>
      <c r="G1" s="250"/>
      <c r="H1" s="250"/>
    </row>
    <row r="2" spans="1:8" x14ac:dyDescent="0.2">
      <c r="A2" s="251" t="s">
        <v>501</v>
      </c>
      <c r="B2" s="252"/>
      <c r="C2" s="252"/>
      <c r="D2" s="252"/>
      <c r="E2" s="252"/>
      <c r="F2" s="252"/>
      <c r="G2" s="252"/>
      <c r="H2" s="253"/>
    </row>
    <row r="3" spans="1:8" x14ac:dyDescent="0.2">
      <c r="A3" s="250" t="s">
        <v>1015</v>
      </c>
      <c r="B3" s="250"/>
      <c r="C3" s="250"/>
      <c r="D3" s="250"/>
      <c r="E3" s="250"/>
      <c r="F3" s="250"/>
      <c r="G3" s="250"/>
      <c r="H3" s="250"/>
    </row>
    <row r="4" spans="1:8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60" t="s">
        <v>6</v>
      </c>
      <c r="F4" s="160" t="s">
        <v>7</v>
      </c>
      <c r="G4" s="160" t="s">
        <v>8</v>
      </c>
      <c r="H4" s="161" t="s">
        <v>909</v>
      </c>
    </row>
    <row r="5" spans="1:8" x14ac:dyDescent="0.2">
      <c r="A5" s="15" t="s">
        <v>9</v>
      </c>
      <c r="B5" s="15" t="s">
        <v>9</v>
      </c>
      <c r="C5" s="3" t="s">
        <v>10</v>
      </c>
      <c r="D5" s="15" t="s">
        <v>9</v>
      </c>
      <c r="E5" s="15" t="s">
        <v>9</v>
      </c>
      <c r="F5" s="15" t="s">
        <v>9</v>
      </c>
      <c r="G5" s="15" t="s">
        <v>9</v>
      </c>
      <c r="H5" s="100"/>
    </row>
    <row r="6" spans="1:8" ht="25.5" x14ac:dyDescent="0.2">
      <c r="A6" s="15" t="s">
        <v>9</v>
      </c>
      <c r="B6" s="15" t="s">
        <v>9</v>
      </c>
      <c r="C6" s="3" t="s">
        <v>11</v>
      </c>
      <c r="D6" s="15" t="s">
        <v>9</v>
      </c>
      <c r="E6" s="15" t="s">
        <v>9</v>
      </c>
      <c r="F6" s="15" t="s">
        <v>9</v>
      </c>
      <c r="G6" s="15" t="s">
        <v>9</v>
      </c>
      <c r="H6" s="100"/>
    </row>
    <row r="7" spans="1:8" x14ac:dyDescent="0.2">
      <c r="A7" s="4">
        <v>1</v>
      </c>
      <c r="B7" s="5" t="s">
        <v>144</v>
      </c>
      <c r="C7" s="5" t="s">
        <v>145</v>
      </c>
      <c r="D7" s="5" t="s">
        <v>146</v>
      </c>
      <c r="E7" s="6">
        <v>4352</v>
      </c>
      <c r="F7" s="7">
        <v>149.19526400000001</v>
      </c>
      <c r="G7" s="8">
        <v>3.9781887000000002E-2</v>
      </c>
      <c r="H7" s="100"/>
    </row>
    <row r="8" spans="1:8" x14ac:dyDescent="0.2">
      <c r="A8" s="4">
        <v>2</v>
      </c>
      <c r="B8" s="5" t="s">
        <v>26</v>
      </c>
      <c r="C8" s="5" t="s">
        <v>27</v>
      </c>
      <c r="D8" s="5" t="s">
        <v>28</v>
      </c>
      <c r="E8" s="6">
        <v>14189</v>
      </c>
      <c r="F8" s="7">
        <v>129.95705100000001</v>
      </c>
      <c r="G8" s="8">
        <v>3.465215E-2</v>
      </c>
      <c r="H8" s="100"/>
    </row>
    <row r="9" spans="1:8" ht="25.5" x14ac:dyDescent="0.2">
      <c r="A9" s="4">
        <v>3</v>
      </c>
      <c r="B9" s="5" t="s">
        <v>34</v>
      </c>
      <c r="C9" s="5" t="s">
        <v>35</v>
      </c>
      <c r="D9" s="5" t="s">
        <v>1001</v>
      </c>
      <c r="E9" s="6">
        <v>3517</v>
      </c>
      <c r="F9" s="7">
        <v>98.701087999999999</v>
      </c>
      <c r="G9" s="8">
        <v>2.6317963999999999E-2</v>
      </c>
      <c r="H9" s="100"/>
    </row>
    <row r="10" spans="1:8" x14ac:dyDescent="0.2">
      <c r="A10" s="4">
        <v>4</v>
      </c>
      <c r="B10" s="5" t="s">
        <v>157</v>
      </c>
      <c r="C10" s="5" t="s">
        <v>158</v>
      </c>
      <c r="D10" s="5" t="s">
        <v>28</v>
      </c>
      <c r="E10" s="6">
        <v>18746</v>
      </c>
      <c r="F10" s="7">
        <v>97.647914</v>
      </c>
      <c r="G10" s="8">
        <v>2.6037141999999999E-2</v>
      </c>
      <c r="H10" s="100"/>
    </row>
    <row r="11" spans="1:8" x14ac:dyDescent="0.2">
      <c r="A11" s="4">
        <v>5</v>
      </c>
      <c r="B11" s="5" t="s">
        <v>164</v>
      </c>
      <c r="C11" s="5" t="s">
        <v>947</v>
      </c>
      <c r="D11" s="5" t="s">
        <v>151</v>
      </c>
      <c r="E11" s="6">
        <v>13039</v>
      </c>
      <c r="F11" s="7">
        <v>94.461035499999994</v>
      </c>
      <c r="G11" s="8">
        <v>2.5187383000000001E-2</v>
      </c>
      <c r="H11" s="100"/>
    </row>
    <row r="12" spans="1:8" x14ac:dyDescent="0.2">
      <c r="A12" s="4">
        <v>6</v>
      </c>
      <c r="B12" s="5" t="s">
        <v>159</v>
      </c>
      <c r="C12" s="5" t="s">
        <v>160</v>
      </c>
      <c r="D12" s="5" t="s">
        <v>58</v>
      </c>
      <c r="E12" s="6">
        <v>24926</v>
      </c>
      <c r="F12" s="7">
        <v>87.241</v>
      </c>
      <c r="G12" s="8">
        <v>2.3262209999999998E-2</v>
      </c>
      <c r="H12" s="100"/>
    </row>
    <row r="13" spans="1:8" x14ac:dyDescent="0.2">
      <c r="A13" s="4">
        <v>7</v>
      </c>
      <c r="B13" s="5" t="s">
        <v>154</v>
      </c>
      <c r="C13" s="5" t="s">
        <v>155</v>
      </c>
      <c r="D13" s="5" t="s">
        <v>156</v>
      </c>
      <c r="E13" s="6">
        <v>100931</v>
      </c>
      <c r="F13" s="7">
        <v>81.754109999999997</v>
      </c>
      <c r="G13" s="8">
        <v>2.1799169E-2</v>
      </c>
      <c r="H13" s="100"/>
    </row>
    <row r="14" spans="1:8" x14ac:dyDescent="0.2">
      <c r="A14" s="4">
        <v>8</v>
      </c>
      <c r="B14" s="5" t="s">
        <v>168</v>
      </c>
      <c r="C14" s="5" t="s">
        <v>169</v>
      </c>
      <c r="D14" s="5" t="s">
        <v>151</v>
      </c>
      <c r="E14" s="6">
        <v>40920</v>
      </c>
      <c r="F14" s="7">
        <v>80.714699999999993</v>
      </c>
      <c r="G14" s="8">
        <v>2.1522017000000001E-2</v>
      </c>
      <c r="H14" s="100"/>
    </row>
    <row r="15" spans="1:8" x14ac:dyDescent="0.2">
      <c r="A15" s="4">
        <v>9</v>
      </c>
      <c r="B15" s="5" t="s">
        <v>179</v>
      </c>
      <c r="C15" s="5" t="s">
        <v>933</v>
      </c>
      <c r="D15" s="5" t="s">
        <v>47</v>
      </c>
      <c r="E15" s="6">
        <v>37174</v>
      </c>
      <c r="F15" s="7">
        <v>79.701055999999994</v>
      </c>
      <c r="G15" s="8">
        <v>2.1251736E-2</v>
      </c>
      <c r="H15" s="100"/>
    </row>
    <row r="16" spans="1:8" ht="25.5" x14ac:dyDescent="0.2">
      <c r="A16" s="4">
        <v>10</v>
      </c>
      <c r="B16" s="5" t="s">
        <v>442</v>
      </c>
      <c r="C16" s="5" t="s">
        <v>443</v>
      </c>
      <c r="D16" s="5" t="s">
        <v>25</v>
      </c>
      <c r="E16" s="6">
        <v>7547</v>
      </c>
      <c r="F16" s="7">
        <v>79.152935999999997</v>
      </c>
      <c r="G16" s="8">
        <v>2.1105584E-2</v>
      </c>
      <c r="H16" s="100"/>
    </row>
    <row r="17" spans="1:8" ht="25.5" x14ac:dyDescent="0.2">
      <c r="A17" s="4">
        <v>11</v>
      </c>
      <c r="B17" s="5" t="s">
        <v>152</v>
      </c>
      <c r="C17" s="5" t="s">
        <v>153</v>
      </c>
      <c r="D17" s="5" t="s">
        <v>1001</v>
      </c>
      <c r="E17" s="6">
        <v>47799</v>
      </c>
      <c r="F17" s="7">
        <v>78.007968000000005</v>
      </c>
      <c r="G17" s="8">
        <v>2.0800286000000001E-2</v>
      </c>
      <c r="H17" s="100"/>
    </row>
    <row r="18" spans="1:8" x14ac:dyDescent="0.2">
      <c r="A18" s="4">
        <v>12</v>
      </c>
      <c r="B18" s="5" t="s">
        <v>173</v>
      </c>
      <c r="C18" s="5" t="s">
        <v>949</v>
      </c>
      <c r="D18" s="5" t="s">
        <v>28</v>
      </c>
      <c r="E18" s="6">
        <v>17000</v>
      </c>
      <c r="F18" s="7">
        <v>75.921999999999997</v>
      </c>
      <c r="G18" s="8">
        <v>2.0244076999999999E-2</v>
      </c>
      <c r="H18" s="100"/>
    </row>
    <row r="19" spans="1:8" x14ac:dyDescent="0.2">
      <c r="A19" s="4">
        <v>13</v>
      </c>
      <c r="B19" s="5" t="s">
        <v>461</v>
      </c>
      <c r="C19" s="5" t="s">
        <v>462</v>
      </c>
      <c r="D19" s="5" t="s">
        <v>193</v>
      </c>
      <c r="E19" s="6">
        <v>28032</v>
      </c>
      <c r="F19" s="7">
        <v>74.326847999999998</v>
      </c>
      <c r="G19" s="8">
        <v>1.9818741000000001E-2</v>
      </c>
      <c r="H19" s="100"/>
    </row>
    <row r="20" spans="1:8" ht="25.5" x14ac:dyDescent="0.2">
      <c r="A20" s="4">
        <v>14</v>
      </c>
      <c r="B20" s="5" t="s">
        <v>166</v>
      </c>
      <c r="C20" s="5" t="s">
        <v>948</v>
      </c>
      <c r="D20" s="5" t="s">
        <v>1001</v>
      </c>
      <c r="E20" s="6">
        <v>31058</v>
      </c>
      <c r="F20" s="7">
        <v>73.638518000000005</v>
      </c>
      <c r="G20" s="8">
        <v>1.9635202000000001E-2</v>
      </c>
      <c r="H20" s="100"/>
    </row>
    <row r="21" spans="1:8" x14ac:dyDescent="0.2">
      <c r="A21" s="4">
        <v>15</v>
      </c>
      <c r="B21" s="5" t="s">
        <v>184</v>
      </c>
      <c r="C21" s="5" t="s">
        <v>185</v>
      </c>
      <c r="D21" s="5" t="s">
        <v>172</v>
      </c>
      <c r="E21" s="6">
        <v>41205</v>
      </c>
      <c r="F21" s="7">
        <v>73.180080000000004</v>
      </c>
      <c r="G21" s="8">
        <v>1.9512963000000001E-2</v>
      </c>
      <c r="H21" s="100"/>
    </row>
    <row r="22" spans="1:8" x14ac:dyDescent="0.2">
      <c r="A22" s="4">
        <v>16</v>
      </c>
      <c r="B22" s="5" t="s">
        <v>189</v>
      </c>
      <c r="C22" s="5" t="s">
        <v>190</v>
      </c>
      <c r="D22" s="5" t="s">
        <v>151</v>
      </c>
      <c r="E22" s="6">
        <v>3491</v>
      </c>
      <c r="F22" s="7">
        <v>71.157053000000005</v>
      </c>
      <c r="G22" s="8">
        <v>1.8973536999999999E-2</v>
      </c>
      <c r="H22" s="100"/>
    </row>
    <row r="23" spans="1:8" x14ac:dyDescent="0.2">
      <c r="A23" s="4">
        <v>17</v>
      </c>
      <c r="B23" s="5" t="s">
        <v>175</v>
      </c>
      <c r="C23" s="5" t="s">
        <v>176</v>
      </c>
      <c r="D23" s="5" t="s">
        <v>53</v>
      </c>
      <c r="E23" s="6">
        <v>19016</v>
      </c>
      <c r="F23" s="7">
        <v>70.102484000000004</v>
      </c>
      <c r="G23" s="8">
        <v>1.8692343E-2</v>
      </c>
      <c r="H23" s="100"/>
    </row>
    <row r="24" spans="1:8" ht="25.5" x14ac:dyDescent="0.2">
      <c r="A24" s="4">
        <v>18</v>
      </c>
      <c r="B24" s="5" t="s">
        <v>67</v>
      </c>
      <c r="C24" s="5" t="s">
        <v>929</v>
      </c>
      <c r="D24" s="5" t="s">
        <v>25</v>
      </c>
      <c r="E24" s="6">
        <v>12991</v>
      </c>
      <c r="F24" s="7">
        <v>70.008499</v>
      </c>
      <c r="G24" s="8">
        <v>1.8667283E-2</v>
      </c>
      <c r="H24" s="100"/>
    </row>
    <row r="25" spans="1:8" x14ac:dyDescent="0.2">
      <c r="A25" s="4">
        <v>19</v>
      </c>
      <c r="B25" s="5" t="s">
        <v>191</v>
      </c>
      <c r="C25" s="5" t="s">
        <v>192</v>
      </c>
      <c r="D25" s="5" t="s">
        <v>193</v>
      </c>
      <c r="E25" s="6">
        <v>21294</v>
      </c>
      <c r="F25" s="7">
        <v>69.950789999999998</v>
      </c>
      <c r="G25" s="8">
        <v>1.8651895000000002E-2</v>
      </c>
      <c r="H25" s="100"/>
    </row>
    <row r="26" spans="1:8" x14ac:dyDescent="0.2">
      <c r="A26" s="4">
        <v>20</v>
      </c>
      <c r="B26" s="5" t="s">
        <v>56</v>
      </c>
      <c r="C26" s="5" t="s">
        <v>57</v>
      </c>
      <c r="D26" s="5" t="s">
        <v>58</v>
      </c>
      <c r="E26" s="6">
        <v>2243</v>
      </c>
      <c r="F26" s="7">
        <v>69.517298999999994</v>
      </c>
      <c r="G26" s="8">
        <v>1.8536308000000001E-2</v>
      </c>
      <c r="H26" s="100"/>
    </row>
    <row r="27" spans="1:8" x14ac:dyDescent="0.2">
      <c r="A27" s="4">
        <v>21</v>
      </c>
      <c r="B27" s="5" t="s">
        <v>216</v>
      </c>
      <c r="C27" s="5" t="s">
        <v>217</v>
      </c>
      <c r="D27" s="5" t="s">
        <v>1005</v>
      </c>
      <c r="E27" s="6">
        <v>32957</v>
      </c>
      <c r="F27" s="7">
        <v>69.440398999999999</v>
      </c>
      <c r="G27" s="8">
        <v>1.8515803000000001E-2</v>
      </c>
      <c r="H27" s="100"/>
    </row>
    <row r="28" spans="1:8" ht="25.5" x14ac:dyDescent="0.2">
      <c r="A28" s="4">
        <v>22</v>
      </c>
      <c r="B28" s="5" t="s">
        <v>194</v>
      </c>
      <c r="C28" s="5" t="s">
        <v>195</v>
      </c>
      <c r="D28" s="5" t="s">
        <v>73</v>
      </c>
      <c r="E28" s="6">
        <v>18738</v>
      </c>
      <c r="F28" s="7">
        <v>68.815304999999995</v>
      </c>
      <c r="G28" s="8">
        <v>1.8349126E-2</v>
      </c>
      <c r="H28" s="100"/>
    </row>
    <row r="29" spans="1:8" x14ac:dyDescent="0.2">
      <c r="A29" s="4">
        <v>23</v>
      </c>
      <c r="B29" s="5" t="s">
        <v>206</v>
      </c>
      <c r="C29" s="5" t="s">
        <v>207</v>
      </c>
      <c r="D29" s="5" t="s">
        <v>163</v>
      </c>
      <c r="E29" s="6">
        <v>17798</v>
      </c>
      <c r="F29" s="7">
        <v>68.015056999999999</v>
      </c>
      <c r="G29" s="8">
        <v>1.8135745000000002E-2</v>
      </c>
      <c r="H29" s="100"/>
    </row>
    <row r="30" spans="1:8" ht="25.5" x14ac:dyDescent="0.2">
      <c r="A30" s="4">
        <v>24</v>
      </c>
      <c r="B30" s="5" t="s">
        <v>180</v>
      </c>
      <c r="C30" s="5" t="s">
        <v>934</v>
      </c>
      <c r="D30" s="5" t="s">
        <v>146</v>
      </c>
      <c r="E30" s="6">
        <v>18080</v>
      </c>
      <c r="F30" s="7">
        <v>65.422479999999993</v>
      </c>
      <c r="G30" s="8">
        <v>1.7444452999999999E-2</v>
      </c>
      <c r="H30" s="100"/>
    </row>
    <row r="31" spans="1:8" x14ac:dyDescent="0.2">
      <c r="A31" s="4">
        <v>25</v>
      </c>
      <c r="B31" s="5" t="s">
        <v>177</v>
      </c>
      <c r="C31" s="5" t="s">
        <v>178</v>
      </c>
      <c r="D31" s="5" t="s">
        <v>47</v>
      </c>
      <c r="E31" s="6">
        <v>5777</v>
      </c>
      <c r="F31" s="7">
        <v>60.987788999999999</v>
      </c>
      <c r="G31" s="8">
        <v>1.6261972999999999E-2</v>
      </c>
      <c r="H31" s="100"/>
    </row>
    <row r="32" spans="1:8" x14ac:dyDescent="0.2">
      <c r="A32" s="4">
        <v>26</v>
      </c>
      <c r="B32" s="5" t="s">
        <v>196</v>
      </c>
      <c r="C32" s="5" t="s">
        <v>197</v>
      </c>
      <c r="D32" s="5" t="s">
        <v>151</v>
      </c>
      <c r="E32" s="6">
        <v>7863</v>
      </c>
      <c r="F32" s="7">
        <v>57.954241500000002</v>
      </c>
      <c r="G32" s="8">
        <v>1.5453098E-2</v>
      </c>
      <c r="H32" s="100"/>
    </row>
    <row r="33" spans="1:8" x14ac:dyDescent="0.2">
      <c r="A33" s="4">
        <v>27</v>
      </c>
      <c r="B33" s="5" t="s">
        <v>198</v>
      </c>
      <c r="C33" s="5" t="s">
        <v>199</v>
      </c>
      <c r="D33" s="5" t="s">
        <v>156</v>
      </c>
      <c r="E33" s="6">
        <v>108845</v>
      </c>
      <c r="F33" s="7">
        <v>57.687849999999997</v>
      </c>
      <c r="G33" s="8">
        <v>1.5382066999999999E-2</v>
      </c>
      <c r="H33" s="100"/>
    </row>
    <row r="34" spans="1:8" x14ac:dyDescent="0.2">
      <c r="A34" s="4">
        <v>28</v>
      </c>
      <c r="B34" s="5" t="s">
        <v>170</v>
      </c>
      <c r="C34" s="5" t="s">
        <v>171</v>
      </c>
      <c r="D34" s="5" t="s">
        <v>172</v>
      </c>
      <c r="E34" s="6">
        <v>5592</v>
      </c>
      <c r="F34" s="7">
        <v>57.323591999999998</v>
      </c>
      <c r="G34" s="8">
        <v>1.528494E-2</v>
      </c>
      <c r="H34" s="100"/>
    </row>
    <row r="35" spans="1:8" x14ac:dyDescent="0.2">
      <c r="A35" s="4">
        <v>29</v>
      </c>
      <c r="B35" s="5" t="s">
        <v>210</v>
      </c>
      <c r="C35" s="5" t="s">
        <v>211</v>
      </c>
      <c r="D35" s="5" t="s">
        <v>193</v>
      </c>
      <c r="E35" s="6">
        <v>12636</v>
      </c>
      <c r="F35" s="7">
        <v>57.209490000000002</v>
      </c>
      <c r="G35" s="8">
        <v>1.5254515E-2</v>
      </c>
      <c r="H35" s="100"/>
    </row>
    <row r="36" spans="1:8" x14ac:dyDescent="0.2">
      <c r="A36" s="4">
        <v>30</v>
      </c>
      <c r="B36" s="5" t="s">
        <v>226</v>
      </c>
      <c r="C36" s="5" t="s">
        <v>227</v>
      </c>
      <c r="D36" s="5" t="s">
        <v>228</v>
      </c>
      <c r="E36" s="6">
        <v>36508</v>
      </c>
      <c r="F36" s="7">
        <v>57.153274000000003</v>
      </c>
      <c r="G36" s="8">
        <v>1.5239526E-2</v>
      </c>
      <c r="H36" s="100"/>
    </row>
    <row r="37" spans="1:8" ht="25.5" x14ac:dyDescent="0.2">
      <c r="A37" s="4">
        <v>31</v>
      </c>
      <c r="B37" s="5" t="s">
        <v>23</v>
      </c>
      <c r="C37" s="5" t="s">
        <v>24</v>
      </c>
      <c r="D37" s="5" t="s">
        <v>25</v>
      </c>
      <c r="E37" s="6">
        <v>23677</v>
      </c>
      <c r="F37" s="7">
        <v>55.558080500000003</v>
      </c>
      <c r="G37" s="8">
        <v>1.4814179E-2</v>
      </c>
      <c r="H37" s="100"/>
    </row>
    <row r="38" spans="1:8" x14ac:dyDescent="0.2">
      <c r="A38" s="4">
        <v>32</v>
      </c>
      <c r="B38" s="5" t="s">
        <v>64</v>
      </c>
      <c r="C38" s="5" t="s">
        <v>65</v>
      </c>
      <c r="D38" s="5" t="s">
        <v>1002</v>
      </c>
      <c r="E38" s="6">
        <v>46873</v>
      </c>
      <c r="F38" s="7">
        <v>54.161751500000001</v>
      </c>
      <c r="G38" s="8">
        <v>1.4441857000000001E-2</v>
      </c>
      <c r="H38" s="100"/>
    </row>
    <row r="39" spans="1:8" ht="25.5" x14ac:dyDescent="0.2">
      <c r="A39" s="4">
        <v>33</v>
      </c>
      <c r="B39" s="5" t="s">
        <v>182</v>
      </c>
      <c r="C39" s="5" t="s">
        <v>944</v>
      </c>
      <c r="D39" s="5" t="s">
        <v>58</v>
      </c>
      <c r="E39" s="6">
        <v>2262</v>
      </c>
      <c r="F39" s="7">
        <v>52.825617000000001</v>
      </c>
      <c r="G39" s="8">
        <v>1.4085586000000001E-2</v>
      </c>
      <c r="H39" s="100"/>
    </row>
    <row r="40" spans="1:8" x14ac:dyDescent="0.2">
      <c r="A40" s="4">
        <v>34</v>
      </c>
      <c r="B40" s="5" t="s">
        <v>50</v>
      </c>
      <c r="C40" s="5" t="s">
        <v>51</v>
      </c>
      <c r="D40" s="5" t="s">
        <v>28</v>
      </c>
      <c r="E40" s="6">
        <v>5972</v>
      </c>
      <c r="F40" s="7">
        <v>52.819353999999997</v>
      </c>
      <c r="G40" s="8">
        <v>1.4083916E-2</v>
      </c>
      <c r="H40" s="100"/>
    </row>
    <row r="41" spans="1:8" x14ac:dyDescent="0.2">
      <c r="A41" s="4">
        <v>35</v>
      </c>
      <c r="B41" s="5" t="s">
        <v>36</v>
      </c>
      <c r="C41" s="5" t="s">
        <v>37</v>
      </c>
      <c r="D41" s="5" t="s">
        <v>38</v>
      </c>
      <c r="E41" s="6">
        <v>20448</v>
      </c>
      <c r="F41" s="7">
        <v>51.201791999999998</v>
      </c>
      <c r="G41" s="8">
        <v>1.3652604E-2</v>
      </c>
      <c r="H41" s="100"/>
    </row>
    <row r="42" spans="1:8" x14ac:dyDescent="0.2">
      <c r="A42" s="4">
        <v>36</v>
      </c>
      <c r="B42" s="5" t="s">
        <v>204</v>
      </c>
      <c r="C42" s="5" t="s">
        <v>205</v>
      </c>
      <c r="D42" s="5" t="s">
        <v>1004</v>
      </c>
      <c r="E42" s="6">
        <v>18561</v>
      </c>
      <c r="F42" s="7">
        <v>50.467359000000002</v>
      </c>
      <c r="G42" s="8">
        <v>1.3456773E-2</v>
      </c>
      <c r="H42" s="100"/>
    </row>
    <row r="43" spans="1:8" ht="25.5" x14ac:dyDescent="0.2">
      <c r="A43" s="4">
        <v>37</v>
      </c>
      <c r="B43" s="5" t="s">
        <v>214</v>
      </c>
      <c r="C43" s="5" t="s">
        <v>215</v>
      </c>
      <c r="D43" s="5" t="s">
        <v>25</v>
      </c>
      <c r="E43" s="6">
        <v>68857</v>
      </c>
      <c r="F43" s="7">
        <v>47.924472000000002</v>
      </c>
      <c r="G43" s="8">
        <v>1.277873E-2</v>
      </c>
      <c r="H43" s="100"/>
    </row>
    <row r="44" spans="1:8" x14ac:dyDescent="0.2">
      <c r="A44" s="4">
        <v>38</v>
      </c>
      <c r="B44" s="5" t="s">
        <v>235</v>
      </c>
      <c r="C44" s="5" t="s">
        <v>236</v>
      </c>
      <c r="D44" s="5" t="s">
        <v>1005</v>
      </c>
      <c r="E44" s="6">
        <v>10737</v>
      </c>
      <c r="F44" s="7">
        <v>46.936795500000002</v>
      </c>
      <c r="G44" s="8">
        <v>1.2515372E-2</v>
      </c>
      <c r="H44" s="100"/>
    </row>
    <row r="45" spans="1:8" x14ac:dyDescent="0.2">
      <c r="A45" s="4">
        <v>39</v>
      </c>
      <c r="B45" s="5" t="s">
        <v>218</v>
      </c>
      <c r="C45" s="5" t="s">
        <v>219</v>
      </c>
      <c r="D45" s="5" t="s">
        <v>156</v>
      </c>
      <c r="E45" s="6">
        <v>7828</v>
      </c>
      <c r="F45" s="7">
        <v>45.515906000000001</v>
      </c>
      <c r="G45" s="8">
        <v>1.2136502E-2</v>
      </c>
      <c r="H45" s="100"/>
    </row>
    <row r="46" spans="1:8" x14ac:dyDescent="0.2">
      <c r="A46" s="4">
        <v>40</v>
      </c>
      <c r="B46" s="5" t="s">
        <v>278</v>
      </c>
      <c r="C46" s="5" t="s">
        <v>279</v>
      </c>
      <c r="D46" s="5" t="s">
        <v>28</v>
      </c>
      <c r="E46" s="6">
        <v>4282</v>
      </c>
      <c r="F46" s="7">
        <v>45.316406000000001</v>
      </c>
      <c r="G46" s="8">
        <v>1.2083307E-2</v>
      </c>
      <c r="H46" s="100"/>
    </row>
    <row r="47" spans="1:8" x14ac:dyDescent="0.2">
      <c r="A47" s="4">
        <v>41</v>
      </c>
      <c r="B47" s="5" t="s">
        <v>200</v>
      </c>
      <c r="C47" s="5" t="s">
        <v>201</v>
      </c>
      <c r="D47" s="5" t="s">
        <v>1003</v>
      </c>
      <c r="E47" s="6">
        <v>7162</v>
      </c>
      <c r="F47" s="7">
        <v>44.998846</v>
      </c>
      <c r="G47" s="8">
        <v>1.1998632E-2</v>
      </c>
      <c r="H47" s="100"/>
    </row>
    <row r="48" spans="1:8" ht="25.5" x14ac:dyDescent="0.2">
      <c r="A48" s="4">
        <v>42</v>
      </c>
      <c r="B48" s="5" t="s">
        <v>233</v>
      </c>
      <c r="C48" s="5" t="s">
        <v>234</v>
      </c>
      <c r="D48" s="5" t="s">
        <v>1001</v>
      </c>
      <c r="E48" s="6">
        <v>15922</v>
      </c>
      <c r="F48" s="7">
        <v>44.979649999999999</v>
      </c>
      <c r="G48" s="8">
        <v>1.1993513000000001E-2</v>
      </c>
      <c r="H48" s="100"/>
    </row>
    <row r="49" spans="1:8" x14ac:dyDescent="0.2">
      <c r="A49" s="4">
        <v>43</v>
      </c>
      <c r="B49" s="5" t="s">
        <v>202</v>
      </c>
      <c r="C49" s="5" t="s">
        <v>203</v>
      </c>
      <c r="D49" s="5" t="s">
        <v>38</v>
      </c>
      <c r="E49" s="6">
        <v>54093</v>
      </c>
      <c r="F49" s="7">
        <v>44.653771499999998</v>
      </c>
      <c r="G49" s="8">
        <v>1.190662E-2</v>
      </c>
      <c r="H49" s="100"/>
    </row>
    <row r="50" spans="1:8" x14ac:dyDescent="0.2">
      <c r="A50" s="4">
        <v>44</v>
      </c>
      <c r="B50" s="5" t="s">
        <v>237</v>
      </c>
      <c r="C50" s="5" t="s">
        <v>951</v>
      </c>
      <c r="D50" s="5" t="s">
        <v>1006</v>
      </c>
      <c r="E50" s="6">
        <v>11979</v>
      </c>
      <c r="F50" s="7">
        <v>44.358237000000003</v>
      </c>
      <c r="G50" s="8">
        <v>1.1827818E-2</v>
      </c>
      <c r="H50" s="100"/>
    </row>
    <row r="51" spans="1:8" x14ac:dyDescent="0.2">
      <c r="A51" s="4">
        <v>45</v>
      </c>
      <c r="B51" s="5" t="s">
        <v>239</v>
      </c>
      <c r="C51" s="5" t="s">
        <v>240</v>
      </c>
      <c r="D51" s="5" t="s">
        <v>58</v>
      </c>
      <c r="E51" s="6">
        <v>9500</v>
      </c>
      <c r="F51" s="7">
        <v>43.429250000000003</v>
      </c>
      <c r="G51" s="8">
        <v>1.1580109999999999E-2</v>
      </c>
      <c r="H51" s="100"/>
    </row>
    <row r="52" spans="1:8" x14ac:dyDescent="0.2">
      <c r="A52" s="4">
        <v>46</v>
      </c>
      <c r="B52" s="5" t="s">
        <v>241</v>
      </c>
      <c r="C52" s="5" t="s">
        <v>242</v>
      </c>
      <c r="D52" s="5" t="s">
        <v>163</v>
      </c>
      <c r="E52" s="6">
        <v>7135</v>
      </c>
      <c r="F52" s="7">
        <v>42.49606</v>
      </c>
      <c r="G52" s="8">
        <v>1.1331281E-2</v>
      </c>
      <c r="H52" s="100"/>
    </row>
    <row r="53" spans="1:8" x14ac:dyDescent="0.2">
      <c r="A53" s="4">
        <v>47</v>
      </c>
      <c r="B53" s="5" t="s">
        <v>222</v>
      </c>
      <c r="C53" s="5" t="s">
        <v>950</v>
      </c>
      <c r="D53" s="5" t="s">
        <v>28</v>
      </c>
      <c r="E53" s="6">
        <v>37719</v>
      </c>
      <c r="F53" s="7">
        <v>40.6045035</v>
      </c>
      <c r="G53" s="8">
        <v>1.082691E-2</v>
      </c>
      <c r="H53" s="100"/>
    </row>
    <row r="54" spans="1:8" x14ac:dyDescent="0.2">
      <c r="A54" s="4">
        <v>48</v>
      </c>
      <c r="B54" s="5" t="s">
        <v>231</v>
      </c>
      <c r="C54" s="5" t="s">
        <v>935</v>
      </c>
      <c r="D54" s="5" t="s">
        <v>156</v>
      </c>
      <c r="E54" s="6">
        <v>7899</v>
      </c>
      <c r="F54" s="7">
        <v>39.313322999999997</v>
      </c>
      <c r="G54" s="8">
        <v>1.0482626E-2</v>
      </c>
      <c r="H54" s="100"/>
    </row>
    <row r="55" spans="1:8" x14ac:dyDescent="0.2">
      <c r="A55" s="4">
        <v>49</v>
      </c>
      <c r="B55" s="5" t="s">
        <v>186</v>
      </c>
      <c r="C55" s="5" t="s">
        <v>187</v>
      </c>
      <c r="D55" s="5" t="s">
        <v>188</v>
      </c>
      <c r="E55" s="6">
        <v>5370</v>
      </c>
      <c r="F55" s="7">
        <v>39.069434999999999</v>
      </c>
      <c r="G55" s="8">
        <v>1.0417595E-2</v>
      </c>
      <c r="H55" s="100"/>
    </row>
    <row r="56" spans="1:8" x14ac:dyDescent="0.2">
      <c r="A56" s="4">
        <v>50</v>
      </c>
      <c r="B56" s="5" t="s">
        <v>455</v>
      </c>
      <c r="C56" s="5" t="s">
        <v>456</v>
      </c>
      <c r="D56" s="5" t="s">
        <v>1006</v>
      </c>
      <c r="E56" s="6">
        <v>74070</v>
      </c>
      <c r="F56" s="7">
        <v>38.701574999999998</v>
      </c>
      <c r="G56" s="8">
        <v>1.0319508E-2</v>
      </c>
      <c r="H56" s="100"/>
    </row>
    <row r="57" spans="1:8" x14ac:dyDescent="0.2">
      <c r="A57" s="4">
        <v>51</v>
      </c>
      <c r="B57" s="5" t="s">
        <v>245</v>
      </c>
      <c r="C57" s="5" t="s">
        <v>246</v>
      </c>
      <c r="D57" s="5" t="s">
        <v>22</v>
      </c>
      <c r="E57" s="6">
        <v>41531</v>
      </c>
      <c r="F57" s="7">
        <v>37.647851500000002</v>
      </c>
      <c r="G57" s="8">
        <v>1.003854E-2</v>
      </c>
      <c r="H57" s="100"/>
    </row>
    <row r="58" spans="1:8" x14ac:dyDescent="0.2">
      <c r="A58" s="4">
        <v>52</v>
      </c>
      <c r="B58" s="5" t="s">
        <v>208</v>
      </c>
      <c r="C58" s="5" t="s">
        <v>209</v>
      </c>
      <c r="D58" s="5" t="s">
        <v>163</v>
      </c>
      <c r="E58" s="6">
        <v>10008</v>
      </c>
      <c r="F58" s="7">
        <v>36.72936</v>
      </c>
      <c r="G58" s="8">
        <v>9.7936299999999993E-3</v>
      </c>
      <c r="H58" s="100"/>
    </row>
    <row r="59" spans="1:8" x14ac:dyDescent="0.2">
      <c r="A59" s="4">
        <v>53</v>
      </c>
      <c r="B59" s="5" t="s">
        <v>249</v>
      </c>
      <c r="C59" s="5" t="s">
        <v>952</v>
      </c>
      <c r="D59" s="5" t="s">
        <v>251</v>
      </c>
      <c r="E59" s="6">
        <v>17156</v>
      </c>
      <c r="F59" s="7">
        <v>36.344985999999999</v>
      </c>
      <c r="G59" s="8">
        <v>9.6911400000000009E-3</v>
      </c>
      <c r="H59" s="100"/>
    </row>
    <row r="60" spans="1:8" x14ac:dyDescent="0.2">
      <c r="A60" s="4">
        <v>54</v>
      </c>
      <c r="B60" s="5" t="s">
        <v>256</v>
      </c>
      <c r="C60" s="5" t="s">
        <v>257</v>
      </c>
      <c r="D60" s="5" t="s">
        <v>1005</v>
      </c>
      <c r="E60" s="6">
        <v>33431</v>
      </c>
      <c r="F60" s="7">
        <v>36.255919499999997</v>
      </c>
      <c r="G60" s="8">
        <v>9.6673909999999991E-3</v>
      </c>
      <c r="H60" s="100"/>
    </row>
    <row r="61" spans="1:8" x14ac:dyDescent="0.2">
      <c r="A61" s="4">
        <v>55</v>
      </c>
      <c r="B61" s="5" t="s">
        <v>220</v>
      </c>
      <c r="C61" s="5" t="s">
        <v>221</v>
      </c>
      <c r="D61" s="5" t="s">
        <v>1002</v>
      </c>
      <c r="E61" s="6">
        <v>3739</v>
      </c>
      <c r="F61" s="7">
        <v>34.905434499999998</v>
      </c>
      <c r="G61" s="8">
        <v>9.3072929999999995E-3</v>
      </c>
      <c r="H61" s="100"/>
    </row>
    <row r="62" spans="1:8" x14ac:dyDescent="0.2">
      <c r="A62" s="4">
        <v>56</v>
      </c>
      <c r="B62" s="5" t="s">
        <v>262</v>
      </c>
      <c r="C62" s="5" t="s">
        <v>263</v>
      </c>
      <c r="D62" s="5" t="s">
        <v>146</v>
      </c>
      <c r="E62" s="6">
        <v>1926</v>
      </c>
      <c r="F62" s="7">
        <v>29.801960999999999</v>
      </c>
      <c r="G62" s="8">
        <v>7.9464870000000003E-3</v>
      </c>
      <c r="H62" s="100"/>
    </row>
    <row r="63" spans="1:8" x14ac:dyDescent="0.2">
      <c r="A63" s="4">
        <v>57</v>
      </c>
      <c r="B63" s="5" t="s">
        <v>260</v>
      </c>
      <c r="C63" s="5" t="s">
        <v>261</v>
      </c>
      <c r="D63" s="5" t="s">
        <v>58</v>
      </c>
      <c r="E63" s="6">
        <v>18897</v>
      </c>
      <c r="F63" s="7">
        <v>29.432077499999998</v>
      </c>
      <c r="G63" s="8">
        <v>7.8478599999999999E-3</v>
      </c>
      <c r="H63" s="100"/>
    </row>
    <row r="64" spans="1:8" x14ac:dyDescent="0.2">
      <c r="A64" s="4">
        <v>58</v>
      </c>
      <c r="B64" s="5" t="s">
        <v>59</v>
      </c>
      <c r="C64" s="5" t="s">
        <v>60</v>
      </c>
      <c r="D64" s="5" t="s">
        <v>38</v>
      </c>
      <c r="E64" s="6">
        <v>15361</v>
      </c>
      <c r="F64" s="7">
        <v>29.132136500000001</v>
      </c>
      <c r="G64" s="8">
        <v>7.7678829999999997E-3</v>
      </c>
      <c r="H64" s="100"/>
    </row>
    <row r="65" spans="1:8" x14ac:dyDescent="0.2">
      <c r="A65" s="4">
        <v>59</v>
      </c>
      <c r="B65" s="5" t="s">
        <v>247</v>
      </c>
      <c r="C65" s="5" t="s">
        <v>248</v>
      </c>
      <c r="D65" s="5" t="s">
        <v>1005</v>
      </c>
      <c r="E65" s="6">
        <v>15503</v>
      </c>
      <c r="F65" s="7">
        <v>29.052622</v>
      </c>
      <c r="G65" s="8">
        <v>7.7466810000000001E-3</v>
      </c>
      <c r="H65" s="100"/>
    </row>
    <row r="66" spans="1:8" x14ac:dyDescent="0.2">
      <c r="A66" s="4">
        <v>60</v>
      </c>
      <c r="B66" s="5" t="s">
        <v>229</v>
      </c>
      <c r="C66" s="5" t="s">
        <v>230</v>
      </c>
      <c r="D66" s="5" t="s">
        <v>193</v>
      </c>
      <c r="E66" s="6">
        <v>1976</v>
      </c>
      <c r="F66" s="7">
        <v>27.572116000000001</v>
      </c>
      <c r="G66" s="8">
        <v>7.3519140000000002E-3</v>
      </c>
      <c r="H66" s="100"/>
    </row>
    <row r="67" spans="1:8" x14ac:dyDescent="0.2">
      <c r="A67" s="4">
        <v>61</v>
      </c>
      <c r="B67" s="5" t="s">
        <v>264</v>
      </c>
      <c r="C67" s="5" t="s">
        <v>265</v>
      </c>
      <c r="D67" s="5" t="s">
        <v>193</v>
      </c>
      <c r="E67" s="6">
        <v>2500</v>
      </c>
      <c r="F67" s="7">
        <v>24.642499999999998</v>
      </c>
      <c r="G67" s="8">
        <v>6.570752E-3</v>
      </c>
      <c r="H67" s="100"/>
    </row>
    <row r="68" spans="1:8" x14ac:dyDescent="0.2">
      <c r="A68" s="4">
        <v>62</v>
      </c>
      <c r="B68" s="5" t="s">
        <v>270</v>
      </c>
      <c r="C68" s="5" t="s">
        <v>271</v>
      </c>
      <c r="D68" s="5" t="s">
        <v>272</v>
      </c>
      <c r="E68" s="6">
        <v>13492</v>
      </c>
      <c r="F68" s="7">
        <v>17.586822000000002</v>
      </c>
      <c r="G68" s="8">
        <v>4.6894049999999998E-3</v>
      </c>
      <c r="H68" s="100"/>
    </row>
    <row r="69" spans="1:8" x14ac:dyDescent="0.2">
      <c r="A69" s="4">
        <v>63</v>
      </c>
      <c r="B69" s="5" t="s">
        <v>268</v>
      </c>
      <c r="C69" s="5" t="s">
        <v>269</v>
      </c>
      <c r="D69" s="5" t="s">
        <v>1005</v>
      </c>
      <c r="E69" s="6">
        <v>46441</v>
      </c>
      <c r="F69" s="7">
        <v>16.440114000000001</v>
      </c>
      <c r="G69" s="8">
        <v>4.3836429999999996E-3</v>
      </c>
      <c r="H69" s="100"/>
    </row>
    <row r="70" spans="1:8" x14ac:dyDescent="0.2">
      <c r="A70" s="4">
        <v>64</v>
      </c>
      <c r="B70" s="5" t="s">
        <v>254</v>
      </c>
      <c r="C70" s="5" t="s">
        <v>255</v>
      </c>
      <c r="D70" s="5" t="s">
        <v>58</v>
      </c>
      <c r="E70" s="6">
        <v>11000</v>
      </c>
      <c r="F70" s="7">
        <v>15.2735</v>
      </c>
      <c r="G70" s="8">
        <v>4.0725730000000003E-3</v>
      </c>
      <c r="H70" s="100"/>
    </row>
    <row r="71" spans="1:8" ht="25.5" x14ac:dyDescent="0.2">
      <c r="A71" s="4">
        <v>65</v>
      </c>
      <c r="B71" s="5" t="s">
        <v>273</v>
      </c>
      <c r="C71" s="5" t="s">
        <v>274</v>
      </c>
      <c r="D71" s="5" t="s">
        <v>1008</v>
      </c>
      <c r="E71" s="6">
        <v>6879</v>
      </c>
      <c r="F71" s="7">
        <v>6.1291890000000002</v>
      </c>
      <c r="G71" s="8">
        <v>1.6343060000000001E-3</v>
      </c>
      <c r="H71" s="100"/>
    </row>
    <row r="72" spans="1:8" x14ac:dyDescent="0.2">
      <c r="A72" s="4">
        <v>66</v>
      </c>
      <c r="B72" s="5" t="s">
        <v>275</v>
      </c>
      <c r="C72" s="5" t="s">
        <v>276</v>
      </c>
      <c r="D72" s="5" t="s">
        <v>228</v>
      </c>
      <c r="E72" s="6">
        <v>9763</v>
      </c>
      <c r="F72" s="7">
        <v>2.694588</v>
      </c>
      <c r="G72" s="8">
        <v>7.1849299999999995E-4</v>
      </c>
      <c r="H72" s="100"/>
    </row>
    <row r="73" spans="1:8" x14ac:dyDescent="0.2">
      <c r="A73" s="15" t="s">
        <v>9</v>
      </c>
      <c r="B73" s="15" t="s">
        <v>9</v>
      </c>
      <c r="C73" s="3" t="s">
        <v>94</v>
      </c>
      <c r="D73" s="15" t="s">
        <v>9</v>
      </c>
      <c r="E73" s="15" t="s">
        <v>9</v>
      </c>
      <c r="F73" s="9">
        <v>3659.3205330000001</v>
      </c>
      <c r="G73" s="10">
        <v>0.97573255299999995</v>
      </c>
      <c r="H73" s="100"/>
    </row>
    <row r="74" spans="1:8" x14ac:dyDescent="0.2">
      <c r="A74" s="15" t="s">
        <v>9</v>
      </c>
      <c r="B74" s="15" t="s">
        <v>9</v>
      </c>
      <c r="C74" s="11" t="s">
        <v>9</v>
      </c>
      <c r="D74" s="15" t="s">
        <v>9</v>
      </c>
      <c r="E74" s="15" t="s">
        <v>9</v>
      </c>
      <c r="F74" s="12" t="s">
        <v>9</v>
      </c>
      <c r="G74" s="12" t="s">
        <v>9</v>
      </c>
      <c r="H74" s="100"/>
    </row>
    <row r="75" spans="1:8" x14ac:dyDescent="0.2">
      <c r="A75" s="15" t="s">
        <v>9</v>
      </c>
      <c r="B75" s="15" t="s">
        <v>9</v>
      </c>
      <c r="C75" s="3" t="s">
        <v>95</v>
      </c>
      <c r="D75" s="15" t="s">
        <v>9</v>
      </c>
      <c r="E75" s="15" t="s">
        <v>9</v>
      </c>
      <c r="F75" s="15" t="s">
        <v>9</v>
      </c>
      <c r="G75" s="15" t="s">
        <v>9</v>
      </c>
      <c r="H75" s="100"/>
    </row>
    <row r="76" spans="1:8" x14ac:dyDescent="0.2">
      <c r="A76" s="15" t="s">
        <v>9</v>
      </c>
      <c r="B76" s="15" t="s">
        <v>9</v>
      </c>
      <c r="C76" s="3" t="s">
        <v>94</v>
      </c>
      <c r="D76" s="15" t="s">
        <v>9</v>
      </c>
      <c r="E76" s="15" t="s">
        <v>9</v>
      </c>
      <c r="F76" s="13">
        <v>0</v>
      </c>
      <c r="G76" s="14">
        <v>0</v>
      </c>
      <c r="H76" s="100"/>
    </row>
    <row r="77" spans="1:8" x14ac:dyDescent="0.2">
      <c r="A77" s="15" t="s">
        <v>9</v>
      </c>
      <c r="B77" s="15" t="s">
        <v>9</v>
      </c>
      <c r="C77" s="11" t="s">
        <v>9</v>
      </c>
      <c r="D77" s="15" t="s">
        <v>9</v>
      </c>
      <c r="E77" s="15" t="s">
        <v>9</v>
      </c>
      <c r="F77" s="12" t="s">
        <v>9</v>
      </c>
      <c r="G77" s="12" t="s">
        <v>9</v>
      </c>
      <c r="H77" s="100"/>
    </row>
    <row r="78" spans="1:8" x14ac:dyDescent="0.2">
      <c r="A78" s="15" t="s">
        <v>9</v>
      </c>
      <c r="B78" s="15" t="s">
        <v>9</v>
      </c>
      <c r="C78" s="3" t="s">
        <v>96</v>
      </c>
      <c r="D78" s="15" t="s">
        <v>9</v>
      </c>
      <c r="E78" s="15" t="s">
        <v>9</v>
      </c>
      <c r="F78" s="15" t="s">
        <v>9</v>
      </c>
      <c r="G78" s="15" t="s">
        <v>9</v>
      </c>
      <c r="H78" s="100"/>
    </row>
    <row r="79" spans="1:8" x14ac:dyDescent="0.2">
      <c r="A79" s="15" t="s">
        <v>9</v>
      </c>
      <c r="B79" s="15" t="s">
        <v>9</v>
      </c>
      <c r="C79" s="3" t="s">
        <v>94</v>
      </c>
      <c r="D79" s="15" t="s">
        <v>9</v>
      </c>
      <c r="E79" s="15" t="s">
        <v>9</v>
      </c>
      <c r="F79" s="13">
        <v>0</v>
      </c>
      <c r="G79" s="14">
        <v>0</v>
      </c>
      <c r="H79" s="100"/>
    </row>
    <row r="80" spans="1:8" x14ac:dyDescent="0.2">
      <c r="A80" s="15" t="s">
        <v>9</v>
      </c>
      <c r="B80" s="15" t="s">
        <v>9</v>
      </c>
      <c r="C80" s="11" t="s">
        <v>9</v>
      </c>
      <c r="D80" s="15" t="s">
        <v>9</v>
      </c>
      <c r="E80" s="15" t="s">
        <v>9</v>
      </c>
      <c r="F80" s="12" t="s">
        <v>9</v>
      </c>
      <c r="G80" s="12" t="s">
        <v>9</v>
      </c>
      <c r="H80" s="100"/>
    </row>
    <row r="81" spans="1:8" x14ac:dyDescent="0.2">
      <c r="A81" s="15" t="s">
        <v>9</v>
      </c>
      <c r="B81" s="15" t="s">
        <v>9</v>
      </c>
      <c r="C81" s="3" t="s">
        <v>100</v>
      </c>
      <c r="D81" s="15" t="s">
        <v>9</v>
      </c>
      <c r="E81" s="15" t="s">
        <v>9</v>
      </c>
      <c r="F81" s="15" t="s">
        <v>9</v>
      </c>
      <c r="G81" s="15" t="s">
        <v>9</v>
      </c>
      <c r="H81" s="100"/>
    </row>
    <row r="82" spans="1:8" x14ac:dyDescent="0.2">
      <c r="A82" s="15" t="s">
        <v>9</v>
      </c>
      <c r="B82" s="15" t="s">
        <v>9</v>
      </c>
      <c r="C82" s="3" t="s">
        <v>94</v>
      </c>
      <c r="D82" s="15" t="s">
        <v>9</v>
      </c>
      <c r="E82" s="15" t="s">
        <v>9</v>
      </c>
      <c r="F82" s="13">
        <v>0</v>
      </c>
      <c r="G82" s="14">
        <v>0</v>
      </c>
      <c r="H82" s="100"/>
    </row>
    <row r="83" spans="1:8" x14ac:dyDescent="0.2">
      <c r="A83" s="15" t="s">
        <v>9</v>
      </c>
      <c r="B83" s="15" t="s">
        <v>9</v>
      </c>
      <c r="C83" s="11" t="s">
        <v>9</v>
      </c>
      <c r="D83" s="15" t="s">
        <v>9</v>
      </c>
      <c r="E83" s="15" t="s">
        <v>9</v>
      </c>
      <c r="F83" s="12" t="s">
        <v>9</v>
      </c>
      <c r="G83" s="12" t="s">
        <v>9</v>
      </c>
      <c r="H83" s="100"/>
    </row>
    <row r="84" spans="1:8" x14ac:dyDescent="0.2">
      <c r="A84" s="15" t="s">
        <v>9</v>
      </c>
      <c r="B84" s="15" t="s">
        <v>9</v>
      </c>
      <c r="C84" s="3" t="s">
        <v>101</v>
      </c>
      <c r="D84" s="15" t="s">
        <v>9</v>
      </c>
      <c r="E84" s="15" t="s">
        <v>9</v>
      </c>
      <c r="F84" s="12" t="s">
        <v>9</v>
      </c>
      <c r="G84" s="12" t="s">
        <v>9</v>
      </c>
      <c r="H84" s="100"/>
    </row>
    <row r="85" spans="1:8" x14ac:dyDescent="0.2">
      <c r="A85" s="15" t="s">
        <v>9</v>
      </c>
      <c r="B85" s="15" t="s">
        <v>9</v>
      </c>
      <c r="C85" s="3" t="s">
        <v>94</v>
      </c>
      <c r="D85" s="15" t="s">
        <v>9</v>
      </c>
      <c r="E85" s="15" t="s">
        <v>9</v>
      </c>
      <c r="F85" s="13">
        <v>0</v>
      </c>
      <c r="G85" s="14">
        <v>0</v>
      </c>
      <c r="H85" s="100"/>
    </row>
    <row r="86" spans="1:8" x14ac:dyDescent="0.2">
      <c r="A86" s="15" t="s">
        <v>9</v>
      </c>
      <c r="B86" s="15" t="s">
        <v>9</v>
      </c>
      <c r="C86" s="11" t="s">
        <v>9</v>
      </c>
      <c r="D86" s="15" t="s">
        <v>9</v>
      </c>
      <c r="E86" s="15" t="s">
        <v>9</v>
      </c>
      <c r="F86" s="12" t="s">
        <v>9</v>
      </c>
      <c r="G86" s="12" t="s">
        <v>9</v>
      </c>
      <c r="H86" s="100"/>
    </row>
    <row r="87" spans="1:8" x14ac:dyDescent="0.2">
      <c r="A87" s="15" t="s">
        <v>9</v>
      </c>
      <c r="B87" s="15" t="s">
        <v>9</v>
      </c>
      <c r="C87" s="3" t="s">
        <v>102</v>
      </c>
      <c r="D87" s="15" t="s">
        <v>9</v>
      </c>
      <c r="E87" s="15" t="s">
        <v>9</v>
      </c>
      <c r="F87" s="12" t="s">
        <v>9</v>
      </c>
      <c r="G87" s="12" t="s">
        <v>9</v>
      </c>
      <c r="H87" s="100"/>
    </row>
    <row r="88" spans="1:8" x14ac:dyDescent="0.2">
      <c r="A88" s="15" t="s">
        <v>9</v>
      </c>
      <c r="B88" s="15" t="s">
        <v>9</v>
      </c>
      <c r="C88" s="3" t="s">
        <v>94</v>
      </c>
      <c r="D88" s="15" t="s">
        <v>9</v>
      </c>
      <c r="E88" s="15" t="s">
        <v>9</v>
      </c>
      <c r="F88" s="13">
        <v>0</v>
      </c>
      <c r="G88" s="14">
        <v>0</v>
      </c>
      <c r="H88" s="100"/>
    </row>
    <row r="89" spans="1:8" x14ac:dyDescent="0.2">
      <c r="A89" s="15" t="s">
        <v>9</v>
      </c>
      <c r="B89" s="15" t="s">
        <v>9</v>
      </c>
      <c r="C89" s="11" t="s">
        <v>9</v>
      </c>
      <c r="D89" s="15" t="s">
        <v>9</v>
      </c>
      <c r="E89" s="15" t="s">
        <v>9</v>
      </c>
      <c r="F89" s="12" t="s">
        <v>9</v>
      </c>
      <c r="G89" s="12" t="s">
        <v>9</v>
      </c>
      <c r="H89" s="100"/>
    </row>
    <row r="90" spans="1:8" x14ac:dyDescent="0.2">
      <c r="A90" s="15" t="s">
        <v>9</v>
      </c>
      <c r="B90" s="15" t="s">
        <v>9</v>
      </c>
      <c r="C90" s="3" t="s">
        <v>104</v>
      </c>
      <c r="D90" s="15" t="s">
        <v>9</v>
      </c>
      <c r="E90" s="15" t="s">
        <v>9</v>
      </c>
      <c r="F90" s="9">
        <v>3659.3205330000001</v>
      </c>
      <c r="G90" s="10">
        <v>0.97573255299999995</v>
      </c>
      <c r="H90" s="100"/>
    </row>
    <row r="91" spans="1:8" x14ac:dyDescent="0.2">
      <c r="A91" s="15" t="s">
        <v>9</v>
      </c>
      <c r="B91" s="15" t="s">
        <v>9</v>
      </c>
      <c r="C91" s="11" t="s">
        <v>9</v>
      </c>
      <c r="D91" s="15" t="s">
        <v>9</v>
      </c>
      <c r="E91" s="15" t="s">
        <v>9</v>
      </c>
      <c r="F91" s="12" t="s">
        <v>9</v>
      </c>
      <c r="G91" s="12" t="s">
        <v>9</v>
      </c>
      <c r="H91" s="100"/>
    </row>
    <row r="92" spans="1:8" x14ac:dyDescent="0.2">
      <c r="A92" s="15" t="s">
        <v>9</v>
      </c>
      <c r="B92" s="15" t="s">
        <v>9</v>
      </c>
      <c r="C92" s="3" t="s">
        <v>105</v>
      </c>
      <c r="D92" s="15" t="s">
        <v>9</v>
      </c>
      <c r="E92" s="15" t="s">
        <v>9</v>
      </c>
      <c r="F92" s="12" t="s">
        <v>9</v>
      </c>
      <c r="G92" s="12" t="s">
        <v>9</v>
      </c>
      <c r="H92" s="100"/>
    </row>
    <row r="93" spans="1:8" ht="25.5" x14ac:dyDescent="0.2">
      <c r="A93" s="15" t="s">
        <v>9</v>
      </c>
      <c r="B93" s="15" t="s">
        <v>9</v>
      </c>
      <c r="C93" s="3" t="s">
        <v>11</v>
      </c>
      <c r="D93" s="15" t="s">
        <v>9</v>
      </c>
      <c r="E93" s="15" t="s">
        <v>9</v>
      </c>
      <c r="F93" s="12" t="s">
        <v>9</v>
      </c>
      <c r="G93" s="12" t="s">
        <v>9</v>
      </c>
      <c r="H93" s="100"/>
    </row>
    <row r="94" spans="1:8" x14ac:dyDescent="0.2">
      <c r="A94" s="15" t="s">
        <v>9</v>
      </c>
      <c r="B94" s="15" t="s">
        <v>9</v>
      </c>
      <c r="C94" s="3" t="s">
        <v>94</v>
      </c>
      <c r="D94" s="15" t="s">
        <v>9</v>
      </c>
      <c r="E94" s="15" t="s">
        <v>9</v>
      </c>
      <c r="F94" s="13">
        <v>0</v>
      </c>
      <c r="G94" s="14">
        <v>0</v>
      </c>
      <c r="H94" s="100"/>
    </row>
    <row r="95" spans="1:8" x14ac:dyDescent="0.2">
      <c r="A95" s="15" t="s">
        <v>9</v>
      </c>
      <c r="B95" s="15" t="s">
        <v>9</v>
      </c>
      <c r="C95" s="11" t="s">
        <v>9</v>
      </c>
      <c r="D95" s="15" t="s">
        <v>9</v>
      </c>
      <c r="E95" s="15" t="s">
        <v>9</v>
      </c>
      <c r="F95" s="12" t="s">
        <v>9</v>
      </c>
      <c r="G95" s="12" t="s">
        <v>9</v>
      </c>
      <c r="H95" s="100"/>
    </row>
    <row r="96" spans="1:8" x14ac:dyDescent="0.2">
      <c r="A96" s="15" t="s">
        <v>9</v>
      </c>
      <c r="B96" s="15" t="s">
        <v>9</v>
      </c>
      <c r="C96" s="3" t="s">
        <v>106</v>
      </c>
      <c r="D96" s="15" t="s">
        <v>9</v>
      </c>
      <c r="E96" s="15" t="s">
        <v>9</v>
      </c>
      <c r="F96" s="15" t="s">
        <v>9</v>
      </c>
      <c r="G96" s="15" t="s">
        <v>9</v>
      </c>
      <c r="H96" s="100"/>
    </row>
    <row r="97" spans="1:8" x14ac:dyDescent="0.2">
      <c r="A97" s="15" t="s">
        <v>9</v>
      </c>
      <c r="B97" s="15" t="s">
        <v>9</v>
      </c>
      <c r="C97" s="3" t="s">
        <v>94</v>
      </c>
      <c r="D97" s="15" t="s">
        <v>9</v>
      </c>
      <c r="E97" s="15" t="s">
        <v>9</v>
      </c>
      <c r="F97" s="13">
        <v>0</v>
      </c>
      <c r="G97" s="14">
        <v>0</v>
      </c>
      <c r="H97" s="100"/>
    </row>
    <row r="98" spans="1:8" x14ac:dyDescent="0.2">
      <c r="A98" s="15" t="s">
        <v>9</v>
      </c>
      <c r="B98" s="15" t="s">
        <v>9</v>
      </c>
      <c r="C98" s="11" t="s">
        <v>9</v>
      </c>
      <c r="D98" s="15" t="s">
        <v>9</v>
      </c>
      <c r="E98" s="15" t="s">
        <v>9</v>
      </c>
      <c r="F98" s="12" t="s">
        <v>9</v>
      </c>
      <c r="G98" s="12" t="s">
        <v>9</v>
      </c>
      <c r="H98" s="100"/>
    </row>
    <row r="99" spans="1:8" x14ac:dyDescent="0.2">
      <c r="A99" s="15" t="s">
        <v>9</v>
      </c>
      <c r="B99" s="15" t="s">
        <v>9</v>
      </c>
      <c r="C99" s="3" t="s">
        <v>107</v>
      </c>
      <c r="D99" s="15" t="s">
        <v>9</v>
      </c>
      <c r="E99" s="15" t="s">
        <v>9</v>
      </c>
      <c r="F99" s="15" t="s">
        <v>9</v>
      </c>
      <c r="G99" s="15" t="s">
        <v>9</v>
      </c>
      <c r="H99" s="100"/>
    </row>
    <row r="100" spans="1:8" x14ac:dyDescent="0.2">
      <c r="A100" s="15" t="s">
        <v>9</v>
      </c>
      <c r="B100" s="15" t="s">
        <v>9</v>
      </c>
      <c r="C100" s="3" t="s">
        <v>94</v>
      </c>
      <c r="D100" s="15" t="s">
        <v>9</v>
      </c>
      <c r="E100" s="15" t="s">
        <v>9</v>
      </c>
      <c r="F100" s="13">
        <v>0</v>
      </c>
      <c r="G100" s="14">
        <v>0</v>
      </c>
      <c r="H100" s="100"/>
    </row>
    <row r="101" spans="1:8" x14ac:dyDescent="0.2">
      <c r="A101" s="15" t="s">
        <v>9</v>
      </c>
      <c r="B101" s="15" t="s">
        <v>9</v>
      </c>
      <c r="C101" s="11" t="s">
        <v>9</v>
      </c>
      <c r="D101" s="15" t="s">
        <v>9</v>
      </c>
      <c r="E101" s="15" t="s">
        <v>9</v>
      </c>
      <c r="F101" s="12" t="s">
        <v>9</v>
      </c>
      <c r="G101" s="12" t="s">
        <v>9</v>
      </c>
      <c r="H101" s="100"/>
    </row>
    <row r="102" spans="1:8" x14ac:dyDescent="0.2">
      <c r="A102" s="15" t="s">
        <v>9</v>
      </c>
      <c r="B102" s="15" t="s">
        <v>9</v>
      </c>
      <c r="C102" s="3" t="s">
        <v>108</v>
      </c>
      <c r="D102" s="15" t="s">
        <v>9</v>
      </c>
      <c r="E102" s="15" t="s">
        <v>9</v>
      </c>
      <c r="F102" s="12" t="s">
        <v>9</v>
      </c>
      <c r="G102" s="12" t="s">
        <v>9</v>
      </c>
      <c r="H102" s="100"/>
    </row>
    <row r="103" spans="1:8" x14ac:dyDescent="0.2">
      <c r="A103" s="15" t="s">
        <v>9</v>
      </c>
      <c r="B103" s="15" t="s">
        <v>9</v>
      </c>
      <c r="C103" s="3" t="s">
        <v>94</v>
      </c>
      <c r="D103" s="15" t="s">
        <v>9</v>
      </c>
      <c r="E103" s="15" t="s">
        <v>9</v>
      </c>
      <c r="F103" s="13">
        <v>0</v>
      </c>
      <c r="G103" s="14">
        <v>0</v>
      </c>
      <c r="H103" s="100"/>
    </row>
    <row r="104" spans="1:8" x14ac:dyDescent="0.2">
      <c r="A104" s="15" t="s">
        <v>9</v>
      </c>
      <c r="B104" s="15" t="s">
        <v>9</v>
      </c>
      <c r="C104" s="11" t="s">
        <v>9</v>
      </c>
      <c r="D104" s="15" t="s">
        <v>9</v>
      </c>
      <c r="E104" s="15" t="s">
        <v>9</v>
      </c>
      <c r="F104" s="12" t="s">
        <v>9</v>
      </c>
      <c r="G104" s="12" t="s">
        <v>9</v>
      </c>
      <c r="H104" s="100"/>
    </row>
    <row r="105" spans="1:8" x14ac:dyDescent="0.2">
      <c r="A105" s="15" t="s">
        <v>9</v>
      </c>
      <c r="B105" s="15" t="s">
        <v>9</v>
      </c>
      <c r="C105" s="3" t="s">
        <v>109</v>
      </c>
      <c r="D105" s="15" t="s">
        <v>9</v>
      </c>
      <c r="E105" s="15" t="s">
        <v>9</v>
      </c>
      <c r="F105" s="9">
        <v>0</v>
      </c>
      <c r="G105" s="10">
        <v>0</v>
      </c>
      <c r="H105" s="100"/>
    </row>
    <row r="106" spans="1:8" x14ac:dyDescent="0.2">
      <c r="A106" s="15" t="s">
        <v>9</v>
      </c>
      <c r="B106" s="15" t="s">
        <v>9</v>
      </c>
      <c r="C106" s="11" t="s">
        <v>9</v>
      </c>
      <c r="D106" s="15" t="s">
        <v>9</v>
      </c>
      <c r="E106" s="15" t="s">
        <v>9</v>
      </c>
      <c r="F106" s="12" t="s">
        <v>9</v>
      </c>
      <c r="G106" s="12" t="s">
        <v>9</v>
      </c>
      <c r="H106" s="100"/>
    </row>
    <row r="107" spans="1:8" x14ac:dyDescent="0.2">
      <c r="A107" s="15" t="s">
        <v>9</v>
      </c>
      <c r="B107" s="15" t="s">
        <v>9</v>
      </c>
      <c r="C107" s="3" t="s">
        <v>110</v>
      </c>
      <c r="D107" s="15" t="s">
        <v>9</v>
      </c>
      <c r="E107" s="15" t="s">
        <v>9</v>
      </c>
      <c r="F107" s="12" t="s">
        <v>9</v>
      </c>
      <c r="G107" s="12" t="s">
        <v>9</v>
      </c>
      <c r="H107" s="100"/>
    </row>
    <row r="108" spans="1:8" x14ac:dyDescent="0.2">
      <c r="A108" s="15" t="s">
        <v>9</v>
      </c>
      <c r="B108" s="15" t="s">
        <v>9</v>
      </c>
      <c r="C108" s="3" t="s">
        <v>111</v>
      </c>
      <c r="D108" s="15" t="s">
        <v>9</v>
      </c>
      <c r="E108" s="15" t="s">
        <v>9</v>
      </c>
      <c r="F108" s="12" t="s">
        <v>9</v>
      </c>
      <c r="G108" s="12" t="s">
        <v>9</v>
      </c>
      <c r="H108" s="100"/>
    </row>
    <row r="109" spans="1:8" x14ac:dyDescent="0.2">
      <c r="A109" s="15" t="s">
        <v>9</v>
      </c>
      <c r="B109" s="15" t="s">
        <v>9</v>
      </c>
      <c r="C109" s="3" t="s">
        <v>94</v>
      </c>
      <c r="D109" s="15" t="s">
        <v>9</v>
      </c>
      <c r="E109" s="15" t="s">
        <v>9</v>
      </c>
      <c r="F109" s="13">
        <v>0</v>
      </c>
      <c r="G109" s="14">
        <v>0</v>
      </c>
      <c r="H109" s="100"/>
    </row>
    <row r="110" spans="1:8" x14ac:dyDescent="0.2">
      <c r="A110" s="15" t="s">
        <v>9</v>
      </c>
      <c r="B110" s="15" t="s">
        <v>9</v>
      </c>
      <c r="C110" s="11" t="s">
        <v>9</v>
      </c>
      <c r="D110" s="15" t="s">
        <v>9</v>
      </c>
      <c r="E110" s="15" t="s">
        <v>9</v>
      </c>
      <c r="F110" s="12" t="s">
        <v>9</v>
      </c>
      <c r="G110" s="12" t="s">
        <v>9</v>
      </c>
      <c r="H110" s="100"/>
    </row>
    <row r="111" spans="1:8" x14ac:dyDescent="0.2">
      <c r="A111" s="15" t="s">
        <v>9</v>
      </c>
      <c r="B111" s="15" t="s">
        <v>9</v>
      </c>
      <c r="C111" s="3" t="s">
        <v>112</v>
      </c>
      <c r="D111" s="15" t="s">
        <v>9</v>
      </c>
      <c r="E111" s="15" t="s">
        <v>9</v>
      </c>
      <c r="F111" s="12" t="s">
        <v>9</v>
      </c>
      <c r="G111" s="12" t="s">
        <v>9</v>
      </c>
      <c r="H111" s="100"/>
    </row>
    <row r="112" spans="1:8" x14ac:dyDescent="0.2">
      <c r="A112" s="15" t="s">
        <v>9</v>
      </c>
      <c r="B112" s="15" t="s">
        <v>9</v>
      </c>
      <c r="C112" s="3" t="s">
        <v>94</v>
      </c>
      <c r="D112" s="15" t="s">
        <v>9</v>
      </c>
      <c r="E112" s="15" t="s">
        <v>9</v>
      </c>
      <c r="F112" s="13">
        <v>0</v>
      </c>
      <c r="G112" s="14">
        <v>0</v>
      </c>
      <c r="H112" s="100"/>
    </row>
    <row r="113" spans="1:8" x14ac:dyDescent="0.2">
      <c r="A113" s="15" t="s">
        <v>9</v>
      </c>
      <c r="B113" s="15" t="s">
        <v>9</v>
      </c>
      <c r="C113" s="11" t="s">
        <v>9</v>
      </c>
      <c r="D113" s="15" t="s">
        <v>9</v>
      </c>
      <c r="E113" s="15" t="s">
        <v>9</v>
      </c>
      <c r="F113" s="12" t="s">
        <v>9</v>
      </c>
      <c r="G113" s="12" t="s">
        <v>9</v>
      </c>
      <c r="H113" s="100"/>
    </row>
    <row r="114" spans="1:8" x14ac:dyDescent="0.2">
      <c r="A114" s="15" t="s">
        <v>9</v>
      </c>
      <c r="B114" s="15" t="s">
        <v>9</v>
      </c>
      <c r="C114" s="3" t="s">
        <v>113</v>
      </c>
      <c r="D114" s="15" t="s">
        <v>9</v>
      </c>
      <c r="E114" s="15" t="s">
        <v>9</v>
      </c>
      <c r="F114" s="12" t="s">
        <v>9</v>
      </c>
      <c r="G114" s="12" t="s">
        <v>9</v>
      </c>
      <c r="H114" s="100"/>
    </row>
    <row r="115" spans="1:8" x14ac:dyDescent="0.2">
      <c r="A115" s="15" t="s">
        <v>9</v>
      </c>
      <c r="B115" s="15" t="s">
        <v>9</v>
      </c>
      <c r="C115" s="3" t="s">
        <v>94</v>
      </c>
      <c r="D115" s="15" t="s">
        <v>9</v>
      </c>
      <c r="E115" s="15" t="s">
        <v>9</v>
      </c>
      <c r="F115" s="13">
        <v>0</v>
      </c>
      <c r="G115" s="14">
        <v>0</v>
      </c>
      <c r="H115" s="100"/>
    </row>
    <row r="116" spans="1:8" x14ac:dyDescent="0.2">
      <c r="A116" s="15" t="s">
        <v>9</v>
      </c>
      <c r="B116" s="15" t="s">
        <v>9</v>
      </c>
      <c r="C116" s="11" t="s">
        <v>9</v>
      </c>
      <c r="D116" s="15" t="s">
        <v>9</v>
      </c>
      <c r="E116" s="15" t="s">
        <v>9</v>
      </c>
      <c r="F116" s="12" t="s">
        <v>9</v>
      </c>
      <c r="G116" s="12" t="s">
        <v>9</v>
      </c>
      <c r="H116" s="100"/>
    </row>
    <row r="117" spans="1:8" x14ac:dyDescent="0.2">
      <c r="A117" s="15" t="s">
        <v>9</v>
      </c>
      <c r="B117" s="15" t="s">
        <v>9</v>
      </c>
      <c r="C117" s="3" t="s">
        <v>114</v>
      </c>
      <c r="D117" s="15" t="s">
        <v>9</v>
      </c>
      <c r="E117" s="15" t="s">
        <v>9</v>
      </c>
      <c r="F117" s="12" t="s">
        <v>9</v>
      </c>
      <c r="G117" s="12" t="s">
        <v>9</v>
      </c>
      <c r="H117" s="100"/>
    </row>
    <row r="118" spans="1:8" x14ac:dyDescent="0.2">
      <c r="A118" s="4">
        <v>1</v>
      </c>
      <c r="B118" s="5"/>
      <c r="C118" s="5" t="s">
        <v>115</v>
      </c>
      <c r="D118" s="5"/>
      <c r="E118" s="15" t="s">
        <v>9</v>
      </c>
      <c r="F118" s="7">
        <v>68.406717799999996</v>
      </c>
      <c r="G118" s="8">
        <v>1.8240178999999999E-2</v>
      </c>
      <c r="H118" s="99">
        <v>3.2516689338443991</v>
      </c>
    </row>
    <row r="119" spans="1:8" x14ac:dyDescent="0.2">
      <c r="A119" s="4">
        <v>2</v>
      </c>
      <c r="B119" s="5"/>
      <c r="C119" s="5" t="s">
        <v>116</v>
      </c>
      <c r="D119" s="5"/>
      <c r="E119" s="15" t="s">
        <v>9</v>
      </c>
      <c r="F119" s="7">
        <v>9.3723462000000008</v>
      </c>
      <c r="G119" s="8">
        <v>2.4990709999999998E-3</v>
      </c>
      <c r="H119" s="100">
        <v>3.350000000000001</v>
      </c>
    </row>
    <row r="120" spans="1:8" x14ac:dyDescent="0.2">
      <c r="A120" s="15" t="s">
        <v>9</v>
      </c>
      <c r="B120" s="15" t="s">
        <v>9</v>
      </c>
      <c r="C120" s="3" t="s">
        <v>94</v>
      </c>
      <c r="D120" s="15" t="s">
        <v>9</v>
      </c>
      <c r="E120" s="15" t="s">
        <v>9</v>
      </c>
      <c r="F120" s="9">
        <v>77.779064000000005</v>
      </c>
      <c r="G120" s="10">
        <v>2.0739250000000001E-2</v>
      </c>
      <c r="H120" s="100"/>
    </row>
    <row r="121" spans="1:8" x14ac:dyDescent="0.2">
      <c r="A121" s="15" t="s">
        <v>9</v>
      </c>
      <c r="B121" s="15" t="s">
        <v>9</v>
      </c>
      <c r="C121" s="11" t="s">
        <v>9</v>
      </c>
      <c r="D121" s="15" t="s">
        <v>9</v>
      </c>
      <c r="E121" s="15" t="s">
        <v>9</v>
      </c>
      <c r="F121" s="12" t="s">
        <v>9</v>
      </c>
      <c r="G121" s="12" t="s">
        <v>9</v>
      </c>
      <c r="H121" s="100"/>
    </row>
    <row r="122" spans="1:8" x14ac:dyDescent="0.2">
      <c r="A122" s="15" t="s">
        <v>9</v>
      </c>
      <c r="B122" s="15" t="s">
        <v>9</v>
      </c>
      <c r="C122" s="3" t="s">
        <v>117</v>
      </c>
      <c r="D122" s="15" t="s">
        <v>9</v>
      </c>
      <c r="E122" s="15" t="s">
        <v>9</v>
      </c>
      <c r="F122" s="9">
        <v>77.779064000000005</v>
      </c>
      <c r="G122" s="10">
        <v>2.0739250000000001E-2</v>
      </c>
      <c r="H122" s="100"/>
    </row>
    <row r="123" spans="1:8" x14ac:dyDescent="0.2">
      <c r="A123" s="15" t="s">
        <v>9</v>
      </c>
      <c r="B123" s="15" t="s">
        <v>9</v>
      </c>
      <c r="C123" s="12" t="s">
        <v>9</v>
      </c>
      <c r="D123" s="15" t="s">
        <v>9</v>
      </c>
      <c r="E123" s="15" t="s">
        <v>9</v>
      </c>
      <c r="F123" s="15" t="s">
        <v>9</v>
      </c>
      <c r="G123" s="15" t="s">
        <v>9</v>
      </c>
      <c r="H123" s="100"/>
    </row>
    <row r="124" spans="1:8" x14ac:dyDescent="0.2">
      <c r="A124" s="15" t="s">
        <v>9</v>
      </c>
      <c r="B124" s="15" t="s">
        <v>9</v>
      </c>
      <c r="C124" s="3" t="s">
        <v>118</v>
      </c>
      <c r="D124" s="15" t="s">
        <v>9</v>
      </c>
      <c r="E124" s="15" t="s">
        <v>9</v>
      </c>
      <c r="F124" s="15" t="s">
        <v>9</v>
      </c>
      <c r="G124" s="15" t="s">
        <v>9</v>
      </c>
      <c r="H124" s="100"/>
    </row>
    <row r="125" spans="1:8" x14ac:dyDescent="0.2">
      <c r="A125" s="15" t="s">
        <v>9</v>
      </c>
      <c r="B125" s="15" t="s">
        <v>9</v>
      </c>
      <c r="C125" s="3" t="s">
        <v>119</v>
      </c>
      <c r="D125" s="15" t="s">
        <v>9</v>
      </c>
      <c r="E125" s="15" t="s">
        <v>9</v>
      </c>
      <c r="F125" s="15" t="s">
        <v>9</v>
      </c>
      <c r="G125" s="15" t="s">
        <v>9</v>
      </c>
      <c r="H125" s="100"/>
    </row>
    <row r="126" spans="1:8" x14ac:dyDescent="0.2">
      <c r="A126" s="15" t="s">
        <v>9</v>
      </c>
      <c r="B126" s="15" t="s">
        <v>9</v>
      </c>
      <c r="C126" s="3" t="s">
        <v>94</v>
      </c>
      <c r="D126" s="15" t="s">
        <v>9</v>
      </c>
      <c r="E126" s="15" t="s">
        <v>9</v>
      </c>
      <c r="F126" s="13">
        <v>0</v>
      </c>
      <c r="G126" s="14">
        <v>0</v>
      </c>
      <c r="H126" s="100"/>
    </row>
    <row r="127" spans="1:8" x14ac:dyDescent="0.2">
      <c r="A127" s="15" t="s">
        <v>9</v>
      </c>
      <c r="B127" s="15" t="s">
        <v>9</v>
      </c>
      <c r="C127" s="11" t="s">
        <v>9</v>
      </c>
      <c r="D127" s="15" t="s">
        <v>9</v>
      </c>
      <c r="E127" s="15" t="s">
        <v>9</v>
      </c>
      <c r="F127" s="12" t="s">
        <v>9</v>
      </c>
      <c r="G127" s="12" t="s">
        <v>9</v>
      </c>
      <c r="H127" s="100"/>
    </row>
    <row r="128" spans="1:8" x14ac:dyDescent="0.2">
      <c r="A128" s="15" t="s">
        <v>9</v>
      </c>
      <c r="B128" s="15" t="s">
        <v>9</v>
      </c>
      <c r="C128" s="3" t="s">
        <v>120</v>
      </c>
      <c r="D128" s="15" t="s">
        <v>9</v>
      </c>
      <c r="E128" s="15" t="s">
        <v>9</v>
      </c>
      <c r="F128" s="15" t="s">
        <v>9</v>
      </c>
      <c r="G128" s="15" t="s">
        <v>9</v>
      </c>
      <c r="H128" s="100"/>
    </row>
    <row r="129" spans="1:8" x14ac:dyDescent="0.2">
      <c r="A129" s="15" t="s">
        <v>9</v>
      </c>
      <c r="B129" s="15" t="s">
        <v>9</v>
      </c>
      <c r="C129" s="3" t="s">
        <v>121</v>
      </c>
      <c r="D129" s="15" t="s">
        <v>9</v>
      </c>
      <c r="E129" s="15" t="s">
        <v>9</v>
      </c>
      <c r="F129" s="15" t="s">
        <v>9</v>
      </c>
      <c r="G129" s="15" t="s">
        <v>9</v>
      </c>
      <c r="H129" s="100"/>
    </row>
    <row r="130" spans="1:8" x14ac:dyDescent="0.2">
      <c r="A130" s="15" t="s">
        <v>9</v>
      </c>
      <c r="B130" s="15" t="s">
        <v>9</v>
      </c>
      <c r="C130" s="3" t="s">
        <v>94</v>
      </c>
      <c r="D130" s="15" t="s">
        <v>9</v>
      </c>
      <c r="E130" s="15" t="s">
        <v>9</v>
      </c>
      <c r="F130" s="13">
        <v>0</v>
      </c>
      <c r="G130" s="14">
        <v>0</v>
      </c>
      <c r="H130" s="100"/>
    </row>
    <row r="131" spans="1:8" x14ac:dyDescent="0.2">
      <c r="A131" s="15" t="s">
        <v>9</v>
      </c>
      <c r="B131" s="15" t="s">
        <v>9</v>
      </c>
      <c r="C131" s="11" t="s">
        <v>9</v>
      </c>
      <c r="D131" s="15" t="s">
        <v>9</v>
      </c>
      <c r="E131" s="15" t="s">
        <v>9</v>
      </c>
      <c r="F131" s="12" t="s">
        <v>9</v>
      </c>
      <c r="G131" s="12" t="s">
        <v>9</v>
      </c>
      <c r="H131" s="100"/>
    </row>
    <row r="132" spans="1:8" x14ac:dyDescent="0.2">
      <c r="A132" s="15" t="s">
        <v>9</v>
      </c>
      <c r="B132" s="15" t="s">
        <v>9</v>
      </c>
      <c r="C132" s="11" t="s">
        <v>9</v>
      </c>
      <c r="D132" s="15" t="s">
        <v>9</v>
      </c>
      <c r="E132" s="15" t="s">
        <v>9</v>
      </c>
      <c r="F132" s="12" t="s">
        <v>9</v>
      </c>
      <c r="G132" s="12" t="s">
        <v>9</v>
      </c>
      <c r="H132" s="100"/>
    </row>
    <row r="133" spans="1:8" ht="25.5" x14ac:dyDescent="0.2">
      <c r="A133" s="15" t="s">
        <v>9</v>
      </c>
      <c r="B133" s="15" t="s">
        <v>9</v>
      </c>
      <c r="C133" s="3" t="s">
        <v>122</v>
      </c>
      <c r="D133" s="15" t="s">
        <v>9</v>
      </c>
      <c r="E133" s="15" t="s">
        <v>9</v>
      </c>
      <c r="F133" s="12" t="s">
        <v>9</v>
      </c>
      <c r="G133" s="12" t="s">
        <v>9</v>
      </c>
      <c r="H133" s="100"/>
    </row>
    <row r="134" spans="1:8" x14ac:dyDescent="0.2">
      <c r="A134" s="15" t="s">
        <v>9</v>
      </c>
      <c r="B134" s="15" t="s">
        <v>9</v>
      </c>
      <c r="C134" s="3" t="s">
        <v>94</v>
      </c>
      <c r="D134" s="15" t="s">
        <v>9</v>
      </c>
      <c r="E134" s="15" t="s">
        <v>9</v>
      </c>
      <c r="F134" s="13">
        <v>0</v>
      </c>
      <c r="G134" s="14">
        <v>0</v>
      </c>
      <c r="H134" s="100"/>
    </row>
    <row r="135" spans="1:8" x14ac:dyDescent="0.2">
      <c r="A135" s="15" t="s">
        <v>9</v>
      </c>
      <c r="B135" s="15" t="s">
        <v>9</v>
      </c>
      <c r="C135" s="11" t="s">
        <v>9</v>
      </c>
      <c r="D135" s="15" t="s">
        <v>9</v>
      </c>
      <c r="E135" s="15" t="s">
        <v>9</v>
      </c>
      <c r="F135" s="12" t="s">
        <v>9</v>
      </c>
      <c r="G135" s="12" t="s">
        <v>9</v>
      </c>
      <c r="H135" s="100"/>
    </row>
    <row r="136" spans="1:8" x14ac:dyDescent="0.2">
      <c r="A136" s="15" t="s">
        <v>9</v>
      </c>
      <c r="B136" s="5" t="s">
        <v>9</v>
      </c>
      <c r="C136" s="5" t="s">
        <v>9</v>
      </c>
      <c r="D136" s="3" t="s">
        <v>9</v>
      </c>
      <c r="E136" s="15" t="s">
        <v>9</v>
      </c>
      <c r="F136" s="5" t="s">
        <v>9</v>
      </c>
      <c r="G136" s="15" t="s">
        <v>9</v>
      </c>
      <c r="H136" s="100"/>
    </row>
    <row r="137" spans="1:8" x14ac:dyDescent="0.2">
      <c r="A137" s="15" t="s">
        <v>9</v>
      </c>
      <c r="B137" s="5" t="s">
        <v>9</v>
      </c>
      <c r="C137" s="5" t="s">
        <v>124</v>
      </c>
      <c r="D137" s="5" t="s">
        <v>9</v>
      </c>
      <c r="E137" s="15" t="s">
        <v>9</v>
      </c>
      <c r="F137" s="7">
        <v>13.23190522</v>
      </c>
      <c r="G137" s="8">
        <v>3.5281959999999999E-3</v>
      </c>
      <c r="H137" s="100"/>
    </row>
    <row r="138" spans="1:8" x14ac:dyDescent="0.2">
      <c r="A138" s="11" t="s">
        <v>9</v>
      </c>
      <c r="B138" s="11" t="s">
        <v>9</v>
      </c>
      <c r="C138" s="3" t="s">
        <v>125</v>
      </c>
      <c r="D138" s="16" t="s">
        <v>9</v>
      </c>
      <c r="E138" s="16" t="s">
        <v>9</v>
      </c>
      <c r="F138" s="9">
        <v>3750.3315022199999</v>
      </c>
      <c r="G138" s="10">
        <v>0.99999999900000003</v>
      </c>
      <c r="H138" s="100"/>
    </row>
    <row r="139" spans="1:8" x14ac:dyDescent="0.2">
      <c r="A139" s="17" t="s">
        <v>9</v>
      </c>
      <c r="B139" s="17" t="s">
        <v>9</v>
      </c>
      <c r="C139" s="17" t="s">
        <v>9</v>
      </c>
      <c r="D139" s="18" t="s">
        <v>9</v>
      </c>
      <c r="E139" s="18" t="s">
        <v>9</v>
      </c>
      <c r="F139" s="18" t="s">
        <v>9</v>
      </c>
      <c r="G139" s="18" t="s">
        <v>9</v>
      </c>
      <c r="H139" s="142"/>
    </row>
    <row r="140" spans="1:8" x14ac:dyDescent="0.2">
      <c r="A140" s="19" t="s">
        <v>9</v>
      </c>
      <c r="B140" s="254" t="s">
        <v>9</v>
      </c>
      <c r="C140" s="254"/>
      <c r="D140" s="254"/>
      <c r="E140" s="254"/>
      <c r="F140" s="254"/>
      <c r="G140" s="20" t="s">
        <v>9</v>
      </c>
      <c r="H140" s="142"/>
    </row>
    <row r="141" spans="1:8" x14ac:dyDescent="0.2">
      <c r="A141" s="19" t="s">
        <v>9</v>
      </c>
      <c r="B141" s="254" t="s">
        <v>9</v>
      </c>
      <c r="C141" s="254"/>
      <c r="D141" s="254"/>
      <c r="E141" s="254"/>
      <c r="F141" s="254"/>
      <c r="G141" s="20" t="s">
        <v>9</v>
      </c>
      <c r="H141" s="142"/>
    </row>
    <row r="142" spans="1:8" x14ac:dyDescent="0.2">
      <c r="A142" s="19" t="s">
        <v>9</v>
      </c>
      <c r="B142" s="19" t="s">
        <v>9</v>
      </c>
      <c r="C142" s="19" t="s">
        <v>9</v>
      </c>
      <c r="D142" s="20" t="s">
        <v>9</v>
      </c>
      <c r="E142" s="20" t="s">
        <v>9</v>
      </c>
      <c r="F142" s="20" t="s">
        <v>9</v>
      </c>
      <c r="G142" s="20" t="s">
        <v>9</v>
      </c>
      <c r="H142" s="142"/>
    </row>
    <row r="143" spans="1:8" x14ac:dyDescent="0.2">
      <c r="A143" s="19" t="s">
        <v>9</v>
      </c>
      <c r="B143" s="247" t="s">
        <v>127</v>
      </c>
      <c r="C143" s="248"/>
      <c r="D143" s="182" t="s">
        <v>9</v>
      </c>
      <c r="E143" s="21" t="s">
        <v>9</v>
      </c>
      <c r="F143" s="20" t="s">
        <v>9</v>
      </c>
      <c r="G143" s="20" t="s">
        <v>9</v>
      </c>
      <c r="H143" s="142"/>
    </row>
    <row r="144" spans="1:8" ht="28.5" customHeight="1" x14ac:dyDescent="0.2">
      <c r="A144" s="19" t="s">
        <v>9</v>
      </c>
      <c r="B144" s="242" t="s">
        <v>128</v>
      </c>
      <c r="C144" s="243"/>
      <c r="D144" s="3" t="s">
        <v>129</v>
      </c>
      <c r="E144" s="21" t="s">
        <v>9</v>
      </c>
      <c r="F144" s="20" t="s">
        <v>9</v>
      </c>
      <c r="G144" s="20" t="s">
        <v>9</v>
      </c>
      <c r="H144" s="142"/>
    </row>
    <row r="145" spans="1:8" x14ac:dyDescent="0.2">
      <c r="A145" s="19" t="s">
        <v>9</v>
      </c>
      <c r="B145" s="240" t="s">
        <v>130</v>
      </c>
      <c r="C145" s="241"/>
      <c r="D145" s="177" t="s">
        <v>129</v>
      </c>
      <c r="E145" s="21" t="s">
        <v>9</v>
      </c>
      <c r="F145" s="20" t="s">
        <v>9</v>
      </c>
      <c r="G145" s="20" t="s">
        <v>9</v>
      </c>
      <c r="H145" s="142"/>
    </row>
    <row r="146" spans="1:8" x14ac:dyDescent="0.2">
      <c r="A146" s="19" t="s">
        <v>9</v>
      </c>
      <c r="B146" s="240" t="s">
        <v>131</v>
      </c>
      <c r="C146" s="241"/>
      <c r="D146" s="182" t="s">
        <v>9</v>
      </c>
      <c r="E146" s="21" t="s">
        <v>9</v>
      </c>
      <c r="F146" s="20" t="s">
        <v>9</v>
      </c>
      <c r="G146" s="20" t="s">
        <v>9</v>
      </c>
      <c r="H146" s="142"/>
    </row>
    <row r="147" spans="1:8" ht="25.5" x14ac:dyDescent="0.2">
      <c r="A147" s="25" t="s">
        <v>9</v>
      </c>
      <c r="B147" s="23" t="s">
        <v>9</v>
      </c>
      <c r="C147" s="23" t="s">
        <v>132</v>
      </c>
      <c r="D147" s="23" t="s">
        <v>133</v>
      </c>
      <c r="E147" s="25" t="s">
        <v>9</v>
      </c>
      <c r="F147" s="25" t="s">
        <v>9</v>
      </c>
      <c r="G147" s="25" t="s">
        <v>9</v>
      </c>
      <c r="H147" s="142"/>
    </row>
    <row r="148" spans="1:8" x14ac:dyDescent="0.2">
      <c r="A148" s="25" t="s">
        <v>9</v>
      </c>
      <c r="B148" s="23" t="s">
        <v>134</v>
      </c>
      <c r="C148" s="23" t="s">
        <v>135</v>
      </c>
      <c r="D148" s="23" t="s">
        <v>136</v>
      </c>
      <c r="E148" s="25" t="s">
        <v>9</v>
      </c>
      <c r="F148" s="25" t="s">
        <v>9</v>
      </c>
      <c r="G148" s="25" t="s">
        <v>9</v>
      </c>
      <c r="H148" s="142"/>
    </row>
    <row r="149" spans="1:8" x14ac:dyDescent="0.2">
      <c r="A149" s="25" t="s">
        <v>9</v>
      </c>
      <c r="B149" s="183" t="s">
        <v>137</v>
      </c>
      <c r="C149" s="184">
        <v>10.474500000000001</v>
      </c>
      <c r="D149" s="184">
        <v>11.0002</v>
      </c>
      <c r="E149" s="25" t="s">
        <v>9</v>
      </c>
      <c r="F149" s="73" t="s">
        <v>9</v>
      </c>
      <c r="G149" s="25" t="s">
        <v>9</v>
      </c>
      <c r="H149" s="142"/>
    </row>
    <row r="150" spans="1:8" x14ac:dyDescent="0.2">
      <c r="A150" s="25" t="s">
        <v>9</v>
      </c>
      <c r="B150" s="183" t="s">
        <v>921</v>
      </c>
      <c r="C150" s="184">
        <v>10.474500000000001</v>
      </c>
      <c r="D150" s="184">
        <v>11.0002</v>
      </c>
      <c r="E150" s="25" t="s">
        <v>9</v>
      </c>
      <c r="F150" s="73" t="s">
        <v>9</v>
      </c>
      <c r="G150" s="25" t="s">
        <v>9</v>
      </c>
      <c r="H150" s="142"/>
    </row>
    <row r="151" spans="1:8" x14ac:dyDescent="0.2">
      <c r="A151" s="25" t="s">
        <v>9</v>
      </c>
      <c r="B151" s="183" t="s">
        <v>138</v>
      </c>
      <c r="C151" s="184">
        <v>10.2805</v>
      </c>
      <c r="D151" s="184">
        <v>10.794499999999999</v>
      </c>
      <c r="E151" s="25" t="s">
        <v>9</v>
      </c>
      <c r="F151" s="73" t="s">
        <v>9</v>
      </c>
      <c r="G151" s="25" t="s">
        <v>9</v>
      </c>
      <c r="H151" s="142"/>
    </row>
    <row r="152" spans="1:8" x14ac:dyDescent="0.2">
      <c r="A152" s="25" t="s">
        <v>9</v>
      </c>
      <c r="B152" s="183" t="s">
        <v>922</v>
      </c>
      <c r="C152" s="184">
        <v>10.2805</v>
      </c>
      <c r="D152" s="184">
        <v>10.794600000000001</v>
      </c>
      <c r="E152" s="25" t="s">
        <v>9</v>
      </c>
      <c r="F152" s="73" t="s">
        <v>9</v>
      </c>
      <c r="G152" s="25" t="s">
        <v>9</v>
      </c>
      <c r="H152" s="142"/>
    </row>
    <row r="153" spans="1:8" x14ac:dyDescent="0.2">
      <c r="A153" s="25" t="s">
        <v>9</v>
      </c>
      <c r="B153" s="22" t="s">
        <v>9</v>
      </c>
      <c r="C153" s="22" t="s">
        <v>9</v>
      </c>
      <c r="D153" s="22" t="s">
        <v>9</v>
      </c>
      <c r="E153" s="25" t="s">
        <v>9</v>
      </c>
      <c r="F153" s="25" t="s">
        <v>9</v>
      </c>
      <c r="G153" s="25" t="s">
        <v>9</v>
      </c>
      <c r="H153" s="142"/>
    </row>
    <row r="154" spans="1:8" x14ac:dyDescent="0.2">
      <c r="A154" s="25" t="s">
        <v>9</v>
      </c>
      <c r="B154" s="240" t="s">
        <v>1012</v>
      </c>
      <c r="C154" s="241"/>
      <c r="D154" s="177" t="s">
        <v>129</v>
      </c>
      <c r="E154" s="25" t="s">
        <v>9</v>
      </c>
      <c r="F154" s="25" t="s">
        <v>9</v>
      </c>
      <c r="G154" s="25" t="s">
        <v>9</v>
      </c>
      <c r="H154" s="142"/>
    </row>
    <row r="155" spans="1:8" x14ac:dyDescent="0.2">
      <c r="A155" s="25" t="s">
        <v>9</v>
      </c>
      <c r="B155" s="98"/>
      <c r="C155" s="98"/>
      <c r="D155" s="26" t="s">
        <v>9</v>
      </c>
      <c r="E155" s="25" t="s">
        <v>9</v>
      </c>
      <c r="F155" s="25" t="s">
        <v>9</v>
      </c>
      <c r="G155" s="25" t="s">
        <v>9</v>
      </c>
      <c r="H155" s="142"/>
    </row>
    <row r="156" spans="1:8" s="238" customFormat="1" ht="12.75" x14ac:dyDescent="0.2">
      <c r="B156" s="246" t="s">
        <v>923</v>
      </c>
      <c r="C156" s="246"/>
      <c r="D156" s="246"/>
      <c r="E156" s="246"/>
      <c r="F156" s="246"/>
    </row>
    <row r="157" spans="1:8" x14ac:dyDescent="0.2">
      <c r="A157" s="25" t="s">
        <v>9</v>
      </c>
      <c r="B157" s="185" t="s">
        <v>9</v>
      </c>
      <c r="C157" s="185" t="s">
        <v>9</v>
      </c>
      <c r="D157" s="22" t="s">
        <v>9</v>
      </c>
      <c r="E157" s="25" t="s">
        <v>9</v>
      </c>
      <c r="F157" s="25" t="s">
        <v>9</v>
      </c>
      <c r="G157" s="25" t="s">
        <v>9</v>
      </c>
      <c r="H157" s="142"/>
    </row>
    <row r="158" spans="1:8" x14ac:dyDescent="0.2">
      <c r="A158" s="25" t="s">
        <v>9</v>
      </c>
      <c r="B158" s="240" t="s">
        <v>139</v>
      </c>
      <c r="C158" s="241"/>
      <c r="D158" s="177" t="s">
        <v>129</v>
      </c>
      <c r="E158" s="25" t="s">
        <v>9</v>
      </c>
      <c r="F158" s="25" t="s">
        <v>9</v>
      </c>
      <c r="G158" s="25" t="s">
        <v>9</v>
      </c>
      <c r="H158" s="142"/>
    </row>
    <row r="159" spans="1:8" x14ac:dyDescent="0.2">
      <c r="A159" s="25" t="s">
        <v>9</v>
      </c>
      <c r="B159" s="240" t="s">
        <v>140</v>
      </c>
      <c r="C159" s="241"/>
      <c r="D159" s="177" t="s">
        <v>129</v>
      </c>
      <c r="E159" s="25" t="s">
        <v>9</v>
      </c>
      <c r="F159" s="25" t="s">
        <v>9</v>
      </c>
      <c r="G159" s="25" t="s">
        <v>9</v>
      </c>
      <c r="H159" s="142"/>
    </row>
    <row r="160" spans="1:8" x14ac:dyDescent="0.2">
      <c r="A160" s="25" t="s">
        <v>9</v>
      </c>
      <c r="B160" s="240" t="s">
        <v>141</v>
      </c>
      <c r="C160" s="241"/>
      <c r="D160" s="186">
        <v>0.42017814803065617</v>
      </c>
      <c r="E160" s="25" t="s">
        <v>9</v>
      </c>
      <c r="F160" s="73" t="s">
        <v>9</v>
      </c>
      <c r="G160" s="25" t="s">
        <v>9</v>
      </c>
      <c r="H160" s="142"/>
    </row>
    <row r="161" spans="1:8" x14ac:dyDescent="0.2">
      <c r="A161" s="25" t="s">
        <v>9</v>
      </c>
      <c r="B161" s="240" t="s">
        <v>142</v>
      </c>
      <c r="C161" s="241"/>
      <c r="D161" s="177" t="s">
        <v>129</v>
      </c>
      <c r="E161" s="25" t="s">
        <v>9</v>
      </c>
      <c r="F161" s="25" t="s">
        <v>9</v>
      </c>
      <c r="G161" s="25" t="s">
        <v>9</v>
      </c>
      <c r="H161" s="142"/>
    </row>
  </sheetData>
  <mergeCells count="15">
    <mergeCell ref="B143:C143"/>
    <mergeCell ref="B140:F140"/>
    <mergeCell ref="B141:F141"/>
    <mergeCell ref="A1:H1"/>
    <mergeCell ref="A2:H2"/>
    <mergeCell ref="A3:H3"/>
    <mergeCell ref="B160:C160"/>
    <mergeCell ref="B161:C161"/>
    <mergeCell ref="B144:C144"/>
    <mergeCell ref="B145:C145"/>
    <mergeCell ref="B146:C146"/>
    <mergeCell ref="B154:C154"/>
    <mergeCell ref="B158:C158"/>
    <mergeCell ref="B159:C159"/>
    <mergeCell ref="B156:F156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outlinePr summaryBelow="0" summaryRight="0"/>
  </sheetPr>
  <dimension ref="A1:H163"/>
  <sheetViews>
    <sheetView showGridLines="0" workbookViewId="0">
      <selection activeCell="J1" sqref="J1"/>
    </sheetView>
  </sheetViews>
  <sheetFormatPr defaultRowHeight="15" x14ac:dyDescent="0.2"/>
  <cols>
    <col min="1" max="1" width="6.85546875" style="155" customWidth="1"/>
    <col min="2" max="2" width="20.5703125" style="155" customWidth="1"/>
    <col min="3" max="3" width="34.28515625" style="155" customWidth="1"/>
    <col min="4" max="4" width="17.85546875" style="155" customWidth="1"/>
    <col min="5" max="6" width="19.140625" style="155" customWidth="1"/>
    <col min="7" max="7" width="16.42578125" style="155" customWidth="1"/>
    <col min="8" max="16384" width="9.140625" style="155"/>
  </cols>
  <sheetData>
    <row r="1" spans="1:8" x14ac:dyDescent="0.2">
      <c r="A1" s="250" t="s">
        <v>0</v>
      </c>
      <c r="B1" s="250"/>
      <c r="C1" s="250"/>
      <c r="D1" s="250"/>
      <c r="E1" s="250"/>
      <c r="F1" s="250"/>
      <c r="G1" s="250"/>
      <c r="H1" s="250"/>
    </row>
    <row r="2" spans="1:8" x14ac:dyDescent="0.2">
      <c r="A2" s="251" t="s">
        <v>502</v>
      </c>
      <c r="B2" s="252"/>
      <c r="C2" s="252"/>
      <c r="D2" s="252"/>
      <c r="E2" s="252"/>
      <c r="F2" s="252"/>
      <c r="G2" s="252"/>
      <c r="H2" s="253"/>
    </row>
    <row r="3" spans="1:8" x14ac:dyDescent="0.2">
      <c r="A3" s="250" t="s">
        <v>1015</v>
      </c>
      <c r="B3" s="250"/>
      <c r="C3" s="250"/>
      <c r="D3" s="250"/>
      <c r="E3" s="250"/>
      <c r="F3" s="250"/>
      <c r="G3" s="250"/>
      <c r="H3" s="250"/>
    </row>
    <row r="4" spans="1:8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60" t="s">
        <v>6</v>
      </c>
      <c r="F4" s="160" t="s">
        <v>7</v>
      </c>
      <c r="G4" s="160" t="s">
        <v>8</v>
      </c>
      <c r="H4" s="161" t="s">
        <v>909</v>
      </c>
    </row>
    <row r="5" spans="1:8" x14ac:dyDescent="0.2">
      <c r="A5" s="15" t="s">
        <v>9</v>
      </c>
      <c r="B5" s="15" t="s">
        <v>9</v>
      </c>
      <c r="C5" s="3" t="s">
        <v>10</v>
      </c>
      <c r="D5" s="15" t="s">
        <v>9</v>
      </c>
      <c r="E5" s="15" t="s">
        <v>9</v>
      </c>
      <c r="F5" s="15" t="s">
        <v>9</v>
      </c>
      <c r="G5" s="15" t="s">
        <v>9</v>
      </c>
      <c r="H5" s="100"/>
    </row>
    <row r="6" spans="1:8" ht="25.5" x14ac:dyDescent="0.2">
      <c r="A6" s="15" t="s">
        <v>9</v>
      </c>
      <c r="B6" s="15" t="s">
        <v>9</v>
      </c>
      <c r="C6" s="3" t="s">
        <v>11</v>
      </c>
      <c r="D6" s="15" t="s">
        <v>9</v>
      </c>
      <c r="E6" s="15" t="s">
        <v>9</v>
      </c>
      <c r="F6" s="15" t="s">
        <v>9</v>
      </c>
      <c r="G6" s="15" t="s">
        <v>9</v>
      </c>
      <c r="H6" s="100"/>
    </row>
    <row r="7" spans="1:8" x14ac:dyDescent="0.2">
      <c r="A7" s="4">
        <v>1</v>
      </c>
      <c r="B7" s="5" t="s">
        <v>144</v>
      </c>
      <c r="C7" s="5" t="s">
        <v>145</v>
      </c>
      <c r="D7" s="5" t="s">
        <v>146</v>
      </c>
      <c r="E7" s="6">
        <v>4537</v>
      </c>
      <c r="F7" s="7">
        <v>155.53743399999999</v>
      </c>
      <c r="G7" s="8">
        <v>3.9771091000000001E-2</v>
      </c>
      <c r="H7" s="100"/>
    </row>
    <row r="8" spans="1:8" x14ac:dyDescent="0.2">
      <c r="A8" s="4">
        <v>2</v>
      </c>
      <c r="B8" s="5" t="s">
        <v>179</v>
      </c>
      <c r="C8" s="5" t="s">
        <v>933</v>
      </c>
      <c r="D8" s="5" t="s">
        <v>47</v>
      </c>
      <c r="E8" s="6">
        <v>56011</v>
      </c>
      <c r="F8" s="7">
        <v>120.08758400000001</v>
      </c>
      <c r="G8" s="8">
        <v>3.0706526000000001E-2</v>
      </c>
      <c r="H8" s="100"/>
    </row>
    <row r="9" spans="1:8" x14ac:dyDescent="0.2">
      <c r="A9" s="4">
        <v>3</v>
      </c>
      <c r="B9" s="5" t="s">
        <v>164</v>
      </c>
      <c r="C9" s="5" t="s">
        <v>947</v>
      </c>
      <c r="D9" s="5" t="s">
        <v>151</v>
      </c>
      <c r="E9" s="6">
        <v>14468</v>
      </c>
      <c r="F9" s="7">
        <v>104.81342600000001</v>
      </c>
      <c r="G9" s="8">
        <v>2.6800906999999999E-2</v>
      </c>
      <c r="H9" s="100"/>
    </row>
    <row r="10" spans="1:8" ht="25.5" x14ac:dyDescent="0.2">
      <c r="A10" s="4">
        <v>4</v>
      </c>
      <c r="B10" s="5" t="s">
        <v>34</v>
      </c>
      <c r="C10" s="5" t="s">
        <v>35</v>
      </c>
      <c r="D10" s="5" t="s">
        <v>1001</v>
      </c>
      <c r="E10" s="6">
        <v>3553</v>
      </c>
      <c r="F10" s="7">
        <v>99.711392000000004</v>
      </c>
      <c r="G10" s="8">
        <v>2.5496311000000001E-2</v>
      </c>
      <c r="H10" s="100"/>
    </row>
    <row r="11" spans="1:8" x14ac:dyDescent="0.2">
      <c r="A11" s="4">
        <v>5</v>
      </c>
      <c r="B11" s="5" t="s">
        <v>157</v>
      </c>
      <c r="C11" s="5" t="s">
        <v>158</v>
      </c>
      <c r="D11" s="5" t="s">
        <v>28</v>
      </c>
      <c r="E11" s="6">
        <v>18956</v>
      </c>
      <c r="F11" s="7">
        <v>98.741804000000002</v>
      </c>
      <c r="G11" s="8">
        <v>2.5248386000000001E-2</v>
      </c>
      <c r="H11" s="100"/>
    </row>
    <row r="12" spans="1:8" x14ac:dyDescent="0.2">
      <c r="A12" s="4">
        <v>6</v>
      </c>
      <c r="B12" s="5" t="s">
        <v>461</v>
      </c>
      <c r="C12" s="5" t="s">
        <v>462</v>
      </c>
      <c r="D12" s="5" t="s">
        <v>193</v>
      </c>
      <c r="E12" s="6">
        <v>36209</v>
      </c>
      <c r="F12" s="7">
        <v>96.008163499999995</v>
      </c>
      <c r="G12" s="8">
        <v>2.4549392E-2</v>
      </c>
      <c r="H12" s="100"/>
    </row>
    <row r="13" spans="1:8" x14ac:dyDescent="0.2">
      <c r="A13" s="4">
        <v>7</v>
      </c>
      <c r="B13" s="5" t="s">
        <v>168</v>
      </c>
      <c r="C13" s="5" t="s">
        <v>169</v>
      </c>
      <c r="D13" s="5" t="s">
        <v>151</v>
      </c>
      <c r="E13" s="6">
        <v>46523</v>
      </c>
      <c r="F13" s="7">
        <v>91.766617499999995</v>
      </c>
      <c r="G13" s="8">
        <v>2.3464823999999999E-2</v>
      </c>
      <c r="H13" s="100"/>
    </row>
    <row r="14" spans="1:8" x14ac:dyDescent="0.2">
      <c r="A14" s="4">
        <v>8</v>
      </c>
      <c r="B14" s="5" t="s">
        <v>154</v>
      </c>
      <c r="C14" s="5" t="s">
        <v>155</v>
      </c>
      <c r="D14" s="5" t="s">
        <v>156</v>
      </c>
      <c r="E14" s="6">
        <v>113171</v>
      </c>
      <c r="F14" s="7">
        <v>91.668509999999998</v>
      </c>
      <c r="G14" s="8">
        <v>2.3439736999999999E-2</v>
      </c>
      <c r="H14" s="100"/>
    </row>
    <row r="15" spans="1:8" x14ac:dyDescent="0.2">
      <c r="A15" s="4">
        <v>9</v>
      </c>
      <c r="B15" s="5" t="s">
        <v>159</v>
      </c>
      <c r="C15" s="5" t="s">
        <v>160</v>
      </c>
      <c r="D15" s="5" t="s">
        <v>58</v>
      </c>
      <c r="E15" s="6">
        <v>25103</v>
      </c>
      <c r="F15" s="7">
        <v>87.860500000000002</v>
      </c>
      <c r="G15" s="8">
        <v>2.2466025000000001E-2</v>
      </c>
      <c r="H15" s="100"/>
    </row>
    <row r="16" spans="1:8" x14ac:dyDescent="0.2">
      <c r="A16" s="4">
        <v>10</v>
      </c>
      <c r="B16" s="5" t="s">
        <v>48</v>
      </c>
      <c r="C16" s="5" t="s">
        <v>49</v>
      </c>
      <c r="D16" s="5" t="s">
        <v>28</v>
      </c>
      <c r="E16" s="6">
        <v>6188</v>
      </c>
      <c r="F16" s="7">
        <v>86.888801999999998</v>
      </c>
      <c r="G16" s="8">
        <v>2.2217561E-2</v>
      </c>
      <c r="H16" s="100"/>
    </row>
    <row r="17" spans="1:8" ht="25.5" x14ac:dyDescent="0.2">
      <c r="A17" s="4">
        <v>11</v>
      </c>
      <c r="B17" s="5" t="s">
        <v>67</v>
      </c>
      <c r="C17" s="5" t="s">
        <v>929</v>
      </c>
      <c r="D17" s="5" t="s">
        <v>25</v>
      </c>
      <c r="E17" s="6">
        <v>15169</v>
      </c>
      <c r="F17" s="7">
        <v>81.745740999999995</v>
      </c>
      <c r="G17" s="8">
        <v>2.0902475E-2</v>
      </c>
      <c r="H17" s="100"/>
    </row>
    <row r="18" spans="1:8" x14ac:dyDescent="0.2">
      <c r="A18" s="4">
        <v>12</v>
      </c>
      <c r="B18" s="5" t="s">
        <v>56</v>
      </c>
      <c r="C18" s="5" t="s">
        <v>57</v>
      </c>
      <c r="D18" s="5" t="s">
        <v>58</v>
      </c>
      <c r="E18" s="6">
        <v>2581</v>
      </c>
      <c r="F18" s="7">
        <v>79.992932999999994</v>
      </c>
      <c r="G18" s="8">
        <v>2.0454279999999998E-2</v>
      </c>
      <c r="H18" s="100"/>
    </row>
    <row r="19" spans="1:8" ht="25.5" x14ac:dyDescent="0.2">
      <c r="A19" s="4">
        <v>13</v>
      </c>
      <c r="B19" s="5" t="s">
        <v>442</v>
      </c>
      <c r="C19" s="5" t="s">
        <v>443</v>
      </c>
      <c r="D19" s="5" t="s">
        <v>25</v>
      </c>
      <c r="E19" s="6">
        <v>7360</v>
      </c>
      <c r="F19" s="7">
        <v>77.191680000000005</v>
      </c>
      <c r="G19" s="8">
        <v>1.9737996000000001E-2</v>
      </c>
      <c r="H19" s="100"/>
    </row>
    <row r="20" spans="1:8" x14ac:dyDescent="0.2">
      <c r="A20" s="4">
        <v>14</v>
      </c>
      <c r="B20" s="5" t="s">
        <v>173</v>
      </c>
      <c r="C20" s="5" t="s">
        <v>949</v>
      </c>
      <c r="D20" s="5" t="s">
        <v>28</v>
      </c>
      <c r="E20" s="6">
        <v>17081</v>
      </c>
      <c r="F20" s="7">
        <v>76.283745999999994</v>
      </c>
      <c r="G20" s="8">
        <v>1.9505837000000002E-2</v>
      </c>
      <c r="H20" s="100"/>
    </row>
    <row r="21" spans="1:8" ht="25.5" x14ac:dyDescent="0.2">
      <c r="A21" s="4">
        <v>15</v>
      </c>
      <c r="B21" s="5" t="s">
        <v>166</v>
      </c>
      <c r="C21" s="5" t="s">
        <v>948</v>
      </c>
      <c r="D21" s="5" t="s">
        <v>1001</v>
      </c>
      <c r="E21" s="6">
        <v>32011</v>
      </c>
      <c r="F21" s="7">
        <v>75.898081000000005</v>
      </c>
      <c r="G21" s="8">
        <v>1.9407221999999998E-2</v>
      </c>
      <c r="H21" s="100"/>
    </row>
    <row r="22" spans="1:8" x14ac:dyDescent="0.2">
      <c r="A22" s="4">
        <v>16</v>
      </c>
      <c r="B22" s="5" t="s">
        <v>184</v>
      </c>
      <c r="C22" s="5" t="s">
        <v>185</v>
      </c>
      <c r="D22" s="5" t="s">
        <v>172</v>
      </c>
      <c r="E22" s="6">
        <v>41749</v>
      </c>
      <c r="F22" s="7">
        <v>74.146224000000004</v>
      </c>
      <c r="G22" s="8">
        <v>1.895927E-2</v>
      </c>
      <c r="H22" s="100"/>
    </row>
    <row r="23" spans="1:8" x14ac:dyDescent="0.2">
      <c r="A23" s="4">
        <v>17</v>
      </c>
      <c r="B23" s="5" t="s">
        <v>175</v>
      </c>
      <c r="C23" s="5" t="s">
        <v>176</v>
      </c>
      <c r="D23" s="5" t="s">
        <v>53</v>
      </c>
      <c r="E23" s="6">
        <v>19575</v>
      </c>
      <c r="F23" s="7">
        <v>72.163237499999994</v>
      </c>
      <c r="G23" s="8">
        <v>1.8452217999999999E-2</v>
      </c>
      <c r="H23" s="100"/>
    </row>
    <row r="24" spans="1:8" x14ac:dyDescent="0.2">
      <c r="A24" s="4">
        <v>18</v>
      </c>
      <c r="B24" s="5" t="s">
        <v>189</v>
      </c>
      <c r="C24" s="5" t="s">
        <v>190</v>
      </c>
      <c r="D24" s="5" t="s">
        <v>151</v>
      </c>
      <c r="E24" s="6">
        <v>3515</v>
      </c>
      <c r="F24" s="7">
        <v>71.646244999999993</v>
      </c>
      <c r="G24" s="8">
        <v>1.8320023000000001E-2</v>
      </c>
      <c r="H24" s="100"/>
    </row>
    <row r="25" spans="1:8" x14ac:dyDescent="0.2">
      <c r="A25" s="4">
        <v>19</v>
      </c>
      <c r="B25" s="5" t="s">
        <v>191</v>
      </c>
      <c r="C25" s="5" t="s">
        <v>192</v>
      </c>
      <c r="D25" s="5" t="s">
        <v>193</v>
      </c>
      <c r="E25" s="6">
        <v>21332</v>
      </c>
      <c r="F25" s="7">
        <v>70.075620000000001</v>
      </c>
      <c r="G25" s="8">
        <v>1.7918412000000002E-2</v>
      </c>
      <c r="H25" s="100"/>
    </row>
    <row r="26" spans="1:8" ht="25.5" x14ac:dyDescent="0.2">
      <c r="A26" s="4">
        <v>20</v>
      </c>
      <c r="B26" s="5" t="s">
        <v>194</v>
      </c>
      <c r="C26" s="5" t="s">
        <v>195</v>
      </c>
      <c r="D26" s="5" t="s">
        <v>73</v>
      </c>
      <c r="E26" s="6">
        <v>18670</v>
      </c>
      <c r="F26" s="7">
        <v>68.565574999999995</v>
      </c>
      <c r="G26" s="8">
        <v>1.7532292000000001E-2</v>
      </c>
      <c r="H26" s="100"/>
    </row>
    <row r="27" spans="1:8" x14ac:dyDescent="0.2">
      <c r="A27" s="4">
        <v>21</v>
      </c>
      <c r="B27" s="5" t="s">
        <v>206</v>
      </c>
      <c r="C27" s="5" t="s">
        <v>207</v>
      </c>
      <c r="D27" s="5" t="s">
        <v>163</v>
      </c>
      <c r="E27" s="6">
        <v>17672</v>
      </c>
      <c r="F27" s="7">
        <v>67.533547999999996</v>
      </c>
      <c r="G27" s="8">
        <v>1.7268401999999999E-2</v>
      </c>
      <c r="H27" s="100"/>
    </row>
    <row r="28" spans="1:8" x14ac:dyDescent="0.2">
      <c r="A28" s="4">
        <v>22</v>
      </c>
      <c r="B28" s="5" t="s">
        <v>216</v>
      </c>
      <c r="C28" s="5" t="s">
        <v>217</v>
      </c>
      <c r="D28" s="5" t="s">
        <v>1005</v>
      </c>
      <c r="E28" s="6">
        <v>31833</v>
      </c>
      <c r="F28" s="7">
        <v>67.072130999999999</v>
      </c>
      <c r="G28" s="8">
        <v>1.7150417000000001E-2</v>
      </c>
      <c r="H28" s="100"/>
    </row>
    <row r="29" spans="1:8" ht="25.5" x14ac:dyDescent="0.2">
      <c r="A29" s="4">
        <v>23</v>
      </c>
      <c r="B29" s="5" t="s">
        <v>180</v>
      </c>
      <c r="C29" s="5" t="s">
        <v>934</v>
      </c>
      <c r="D29" s="5" t="s">
        <v>146</v>
      </c>
      <c r="E29" s="6">
        <v>18376</v>
      </c>
      <c r="F29" s="7">
        <v>66.493555999999998</v>
      </c>
      <c r="G29" s="8">
        <v>1.7002474E-2</v>
      </c>
      <c r="H29" s="100"/>
    </row>
    <row r="30" spans="1:8" x14ac:dyDescent="0.2">
      <c r="A30" s="4">
        <v>24</v>
      </c>
      <c r="B30" s="5" t="s">
        <v>282</v>
      </c>
      <c r="C30" s="5" t="s">
        <v>283</v>
      </c>
      <c r="D30" s="5" t="s">
        <v>28</v>
      </c>
      <c r="E30" s="6">
        <v>16694</v>
      </c>
      <c r="F30" s="7">
        <v>63.712651000000001</v>
      </c>
      <c r="G30" s="8">
        <v>1.6291394000000001E-2</v>
      </c>
      <c r="H30" s="100"/>
    </row>
    <row r="31" spans="1:8" x14ac:dyDescent="0.2">
      <c r="A31" s="4">
        <v>25</v>
      </c>
      <c r="B31" s="5" t="s">
        <v>177</v>
      </c>
      <c r="C31" s="5" t="s">
        <v>178</v>
      </c>
      <c r="D31" s="5" t="s">
        <v>47</v>
      </c>
      <c r="E31" s="6">
        <v>5810</v>
      </c>
      <c r="F31" s="7">
        <v>61.336170000000003</v>
      </c>
      <c r="G31" s="8">
        <v>1.5683724999999999E-2</v>
      </c>
      <c r="H31" s="100"/>
    </row>
    <row r="32" spans="1:8" x14ac:dyDescent="0.2">
      <c r="A32" s="4">
        <v>26</v>
      </c>
      <c r="B32" s="5" t="s">
        <v>196</v>
      </c>
      <c r="C32" s="5" t="s">
        <v>197</v>
      </c>
      <c r="D32" s="5" t="s">
        <v>151</v>
      </c>
      <c r="E32" s="6">
        <v>7920</v>
      </c>
      <c r="F32" s="7">
        <v>58.374360000000003</v>
      </c>
      <c r="G32" s="8">
        <v>1.4926386999999999E-2</v>
      </c>
      <c r="H32" s="100"/>
    </row>
    <row r="33" spans="1:8" x14ac:dyDescent="0.2">
      <c r="A33" s="4">
        <v>27</v>
      </c>
      <c r="B33" s="5" t="s">
        <v>226</v>
      </c>
      <c r="C33" s="5" t="s">
        <v>227</v>
      </c>
      <c r="D33" s="5" t="s">
        <v>228</v>
      </c>
      <c r="E33" s="6">
        <v>37187</v>
      </c>
      <c r="F33" s="7">
        <v>58.216248499999999</v>
      </c>
      <c r="G33" s="8">
        <v>1.4885957999999999E-2</v>
      </c>
      <c r="H33" s="100"/>
    </row>
    <row r="34" spans="1:8" x14ac:dyDescent="0.2">
      <c r="A34" s="4">
        <v>28</v>
      </c>
      <c r="B34" s="5" t="s">
        <v>198</v>
      </c>
      <c r="C34" s="5" t="s">
        <v>199</v>
      </c>
      <c r="D34" s="5" t="s">
        <v>156</v>
      </c>
      <c r="E34" s="6">
        <v>108798</v>
      </c>
      <c r="F34" s="7">
        <v>57.662939999999999</v>
      </c>
      <c r="G34" s="8">
        <v>1.4744475999999999E-2</v>
      </c>
      <c r="H34" s="100"/>
    </row>
    <row r="35" spans="1:8" ht="25.5" x14ac:dyDescent="0.2">
      <c r="A35" s="4">
        <v>29</v>
      </c>
      <c r="B35" s="5" t="s">
        <v>23</v>
      </c>
      <c r="C35" s="5" t="s">
        <v>24</v>
      </c>
      <c r="D35" s="5" t="s">
        <v>25</v>
      </c>
      <c r="E35" s="6">
        <v>24571</v>
      </c>
      <c r="F35" s="7">
        <v>57.655851499999997</v>
      </c>
      <c r="G35" s="8">
        <v>1.4742664000000001E-2</v>
      </c>
      <c r="H35" s="100"/>
    </row>
    <row r="36" spans="1:8" x14ac:dyDescent="0.2">
      <c r="A36" s="4">
        <v>30</v>
      </c>
      <c r="B36" s="5" t="s">
        <v>170</v>
      </c>
      <c r="C36" s="5" t="s">
        <v>171</v>
      </c>
      <c r="D36" s="5" t="s">
        <v>172</v>
      </c>
      <c r="E36" s="6">
        <v>5623</v>
      </c>
      <c r="F36" s="7">
        <v>57.641373000000002</v>
      </c>
      <c r="G36" s="8">
        <v>1.4738962E-2</v>
      </c>
      <c r="H36" s="100"/>
    </row>
    <row r="37" spans="1:8" x14ac:dyDescent="0.2">
      <c r="A37" s="4">
        <v>31</v>
      </c>
      <c r="B37" s="5" t="s">
        <v>210</v>
      </c>
      <c r="C37" s="5" t="s">
        <v>211</v>
      </c>
      <c r="D37" s="5" t="s">
        <v>193</v>
      </c>
      <c r="E37" s="6">
        <v>12554</v>
      </c>
      <c r="F37" s="7">
        <v>56.838234999999997</v>
      </c>
      <c r="G37" s="8">
        <v>1.4533598E-2</v>
      </c>
      <c r="H37" s="100"/>
    </row>
    <row r="38" spans="1:8" x14ac:dyDescent="0.2">
      <c r="A38" s="4">
        <v>32</v>
      </c>
      <c r="B38" s="5" t="s">
        <v>204</v>
      </c>
      <c r="C38" s="5" t="s">
        <v>205</v>
      </c>
      <c r="D38" s="5" t="s">
        <v>1004</v>
      </c>
      <c r="E38" s="6">
        <v>20902</v>
      </c>
      <c r="F38" s="7">
        <v>56.832538</v>
      </c>
      <c r="G38" s="8">
        <v>1.4532142E-2</v>
      </c>
      <c r="H38" s="100"/>
    </row>
    <row r="39" spans="1:8" x14ac:dyDescent="0.2">
      <c r="A39" s="4">
        <v>33</v>
      </c>
      <c r="B39" s="5" t="s">
        <v>64</v>
      </c>
      <c r="C39" s="5" t="s">
        <v>65</v>
      </c>
      <c r="D39" s="5" t="s">
        <v>1002</v>
      </c>
      <c r="E39" s="6">
        <v>48585</v>
      </c>
      <c r="F39" s="7">
        <v>56.139967499999997</v>
      </c>
      <c r="G39" s="8">
        <v>1.4355051000000001E-2</v>
      </c>
      <c r="H39" s="100"/>
    </row>
    <row r="40" spans="1:8" x14ac:dyDescent="0.2">
      <c r="A40" s="4">
        <v>34</v>
      </c>
      <c r="B40" s="5" t="s">
        <v>50</v>
      </c>
      <c r="C40" s="5" t="s">
        <v>51</v>
      </c>
      <c r="D40" s="5" t="s">
        <v>28</v>
      </c>
      <c r="E40" s="6">
        <v>6163</v>
      </c>
      <c r="F40" s="7">
        <v>54.508653500000001</v>
      </c>
      <c r="G40" s="8">
        <v>1.3937922E-2</v>
      </c>
      <c r="H40" s="100"/>
    </row>
    <row r="41" spans="1:8" ht="25.5" x14ac:dyDescent="0.2">
      <c r="A41" s="4">
        <v>35</v>
      </c>
      <c r="B41" s="5" t="s">
        <v>182</v>
      </c>
      <c r="C41" s="5" t="s">
        <v>944</v>
      </c>
      <c r="D41" s="5" t="s">
        <v>58</v>
      </c>
      <c r="E41" s="6">
        <v>2285</v>
      </c>
      <c r="F41" s="7">
        <v>53.362747499999998</v>
      </c>
      <c r="G41" s="8">
        <v>1.3644912E-2</v>
      </c>
      <c r="H41" s="100"/>
    </row>
    <row r="42" spans="1:8" x14ac:dyDescent="0.2">
      <c r="A42" s="4">
        <v>36</v>
      </c>
      <c r="B42" s="5" t="s">
        <v>36</v>
      </c>
      <c r="C42" s="5" t="s">
        <v>37</v>
      </c>
      <c r="D42" s="5" t="s">
        <v>38</v>
      </c>
      <c r="E42" s="6">
        <v>21150</v>
      </c>
      <c r="F42" s="7">
        <v>52.959600000000002</v>
      </c>
      <c r="G42" s="8">
        <v>1.3541826999999999E-2</v>
      </c>
      <c r="H42" s="100"/>
    </row>
    <row r="43" spans="1:8" x14ac:dyDescent="0.2">
      <c r="A43" s="4">
        <v>37</v>
      </c>
      <c r="B43" s="5" t="s">
        <v>278</v>
      </c>
      <c r="C43" s="5" t="s">
        <v>279</v>
      </c>
      <c r="D43" s="5" t="s">
        <v>28</v>
      </c>
      <c r="E43" s="6">
        <v>4820</v>
      </c>
      <c r="F43" s="7">
        <v>51.010060000000003</v>
      </c>
      <c r="G43" s="8">
        <v>1.3043328E-2</v>
      </c>
      <c r="H43" s="100"/>
    </row>
    <row r="44" spans="1:8" x14ac:dyDescent="0.2">
      <c r="A44" s="4">
        <v>38</v>
      </c>
      <c r="B44" s="5" t="s">
        <v>208</v>
      </c>
      <c r="C44" s="5" t="s">
        <v>209</v>
      </c>
      <c r="D44" s="5" t="s">
        <v>163</v>
      </c>
      <c r="E44" s="6">
        <v>13354</v>
      </c>
      <c r="F44" s="7">
        <v>49.009180000000001</v>
      </c>
      <c r="G44" s="8">
        <v>1.2531700999999999E-2</v>
      </c>
      <c r="H44" s="100"/>
    </row>
    <row r="45" spans="1:8" ht="25.5" x14ac:dyDescent="0.2">
      <c r="A45" s="4">
        <v>39</v>
      </c>
      <c r="B45" s="5" t="s">
        <v>214</v>
      </c>
      <c r="C45" s="5" t="s">
        <v>215</v>
      </c>
      <c r="D45" s="5" t="s">
        <v>25</v>
      </c>
      <c r="E45" s="6">
        <v>69803</v>
      </c>
      <c r="F45" s="7">
        <v>48.582887999999997</v>
      </c>
      <c r="G45" s="8">
        <v>1.2422697E-2</v>
      </c>
      <c r="H45" s="100"/>
    </row>
    <row r="46" spans="1:8" ht="25.5" x14ac:dyDescent="0.2">
      <c r="A46" s="4">
        <v>40</v>
      </c>
      <c r="B46" s="5" t="s">
        <v>233</v>
      </c>
      <c r="C46" s="5" t="s">
        <v>234</v>
      </c>
      <c r="D46" s="5" t="s">
        <v>1001</v>
      </c>
      <c r="E46" s="6">
        <v>16931</v>
      </c>
      <c r="F46" s="7">
        <v>47.830075000000001</v>
      </c>
      <c r="G46" s="8">
        <v>1.2230202000000001E-2</v>
      </c>
      <c r="H46" s="100"/>
    </row>
    <row r="47" spans="1:8" x14ac:dyDescent="0.2">
      <c r="A47" s="4">
        <v>41</v>
      </c>
      <c r="B47" s="5" t="s">
        <v>218</v>
      </c>
      <c r="C47" s="5" t="s">
        <v>219</v>
      </c>
      <c r="D47" s="5" t="s">
        <v>156</v>
      </c>
      <c r="E47" s="6">
        <v>7907</v>
      </c>
      <c r="F47" s="7">
        <v>45.975251499999999</v>
      </c>
      <c r="G47" s="8">
        <v>1.1755922E-2</v>
      </c>
      <c r="H47" s="100"/>
    </row>
    <row r="48" spans="1:8" x14ac:dyDescent="0.2">
      <c r="A48" s="4">
        <v>42</v>
      </c>
      <c r="B48" s="5" t="s">
        <v>212</v>
      </c>
      <c r="C48" s="5" t="s">
        <v>213</v>
      </c>
      <c r="D48" s="5" t="s">
        <v>38</v>
      </c>
      <c r="E48" s="6">
        <v>6312</v>
      </c>
      <c r="F48" s="7">
        <v>45.250728000000002</v>
      </c>
      <c r="G48" s="8">
        <v>1.157066E-2</v>
      </c>
      <c r="H48" s="100"/>
    </row>
    <row r="49" spans="1:8" x14ac:dyDescent="0.2">
      <c r="A49" s="4">
        <v>43</v>
      </c>
      <c r="B49" s="5" t="s">
        <v>235</v>
      </c>
      <c r="C49" s="5" t="s">
        <v>236</v>
      </c>
      <c r="D49" s="5" t="s">
        <v>1005</v>
      </c>
      <c r="E49" s="6">
        <v>10181</v>
      </c>
      <c r="F49" s="7">
        <v>44.506241500000002</v>
      </c>
      <c r="G49" s="8">
        <v>1.1380293999999999E-2</v>
      </c>
      <c r="H49" s="100"/>
    </row>
    <row r="50" spans="1:8" x14ac:dyDescent="0.2">
      <c r="A50" s="4">
        <v>44</v>
      </c>
      <c r="B50" s="5" t="s">
        <v>200</v>
      </c>
      <c r="C50" s="5" t="s">
        <v>201</v>
      </c>
      <c r="D50" s="5" t="s">
        <v>1003</v>
      </c>
      <c r="E50" s="6">
        <v>7019</v>
      </c>
      <c r="F50" s="7">
        <v>44.100377000000002</v>
      </c>
      <c r="G50" s="8">
        <v>1.1276514E-2</v>
      </c>
      <c r="H50" s="100"/>
    </row>
    <row r="51" spans="1:8" x14ac:dyDescent="0.2">
      <c r="A51" s="4">
        <v>45</v>
      </c>
      <c r="B51" s="5" t="s">
        <v>237</v>
      </c>
      <c r="C51" s="5" t="s">
        <v>951</v>
      </c>
      <c r="D51" s="5" t="s">
        <v>1006</v>
      </c>
      <c r="E51" s="6">
        <v>11809</v>
      </c>
      <c r="F51" s="7">
        <v>43.728726999999999</v>
      </c>
      <c r="G51" s="8">
        <v>1.1181483000000001E-2</v>
      </c>
      <c r="H51" s="100"/>
    </row>
    <row r="52" spans="1:8" x14ac:dyDescent="0.2">
      <c r="A52" s="4">
        <v>46</v>
      </c>
      <c r="B52" s="5" t="s">
        <v>220</v>
      </c>
      <c r="C52" s="5" t="s">
        <v>221</v>
      </c>
      <c r="D52" s="5" t="s">
        <v>1002</v>
      </c>
      <c r="E52" s="6">
        <v>4681</v>
      </c>
      <c r="F52" s="7">
        <v>43.699475499999998</v>
      </c>
      <c r="G52" s="8">
        <v>1.1174003E-2</v>
      </c>
      <c r="H52" s="100"/>
    </row>
    <row r="53" spans="1:8" x14ac:dyDescent="0.2">
      <c r="A53" s="4">
        <v>47</v>
      </c>
      <c r="B53" s="5" t="s">
        <v>241</v>
      </c>
      <c r="C53" s="5" t="s">
        <v>242</v>
      </c>
      <c r="D53" s="5" t="s">
        <v>163</v>
      </c>
      <c r="E53" s="6">
        <v>7112</v>
      </c>
      <c r="F53" s="7">
        <v>42.359071999999998</v>
      </c>
      <c r="G53" s="8">
        <v>1.0831261E-2</v>
      </c>
      <c r="H53" s="100"/>
    </row>
    <row r="54" spans="1:8" x14ac:dyDescent="0.2">
      <c r="A54" s="4">
        <v>48</v>
      </c>
      <c r="B54" s="5" t="s">
        <v>222</v>
      </c>
      <c r="C54" s="5" t="s">
        <v>950</v>
      </c>
      <c r="D54" s="5" t="s">
        <v>28</v>
      </c>
      <c r="E54" s="6">
        <v>39144</v>
      </c>
      <c r="F54" s="7">
        <v>42.138516000000003</v>
      </c>
      <c r="G54" s="8">
        <v>1.0774864E-2</v>
      </c>
      <c r="H54" s="100"/>
    </row>
    <row r="55" spans="1:8" x14ac:dyDescent="0.2">
      <c r="A55" s="4">
        <v>49</v>
      </c>
      <c r="B55" s="5" t="s">
        <v>202</v>
      </c>
      <c r="C55" s="5" t="s">
        <v>203</v>
      </c>
      <c r="D55" s="5" t="s">
        <v>38</v>
      </c>
      <c r="E55" s="6">
        <v>50979</v>
      </c>
      <c r="F55" s="7">
        <v>42.083164500000002</v>
      </c>
      <c r="G55" s="8">
        <v>1.0760710999999999E-2</v>
      </c>
      <c r="H55" s="100"/>
    </row>
    <row r="56" spans="1:8" x14ac:dyDescent="0.2">
      <c r="A56" s="4">
        <v>50</v>
      </c>
      <c r="B56" s="5" t="s">
        <v>239</v>
      </c>
      <c r="C56" s="5" t="s">
        <v>240</v>
      </c>
      <c r="D56" s="5" t="s">
        <v>58</v>
      </c>
      <c r="E56" s="6">
        <v>8892</v>
      </c>
      <c r="F56" s="7">
        <v>40.649777999999998</v>
      </c>
      <c r="G56" s="8">
        <v>1.0394192E-2</v>
      </c>
      <c r="H56" s="100"/>
    </row>
    <row r="57" spans="1:8" x14ac:dyDescent="0.2">
      <c r="A57" s="4">
        <v>51</v>
      </c>
      <c r="B57" s="5" t="s">
        <v>231</v>
      </c>
      <c r="C57" s="5" t="s">
        <v>935</v>
      </c>
      <c r="D57" s="5" t="s">
        <v>156</v>
      </c>
      <c r="E57" s="6">
        <v>8155</v>
      </c>
      <c r="F57" s="7">
        <v>40.587434999999999</v>
      </c>
      <c r="G57" s="8">
        <v>1.0378251E-2</v>
      </c>
      <c r="H57" s="100"/>
    </row>
    <row r="58" spans="1:8" x14ac:dyDescent="0.2">
      <c r="A58" s="4">
        <v>52</v>
      </c>
      <c r="B58" s="5" t="s">
        <v>252</v>
      </c>
      <c r="C58" s="5" t="s">
        <v>253</v>
      </c>
      <c r="D58" s="5" t="s">
        <v>53</v>
      </c>
      <c r="E58" s="6">
        <v>48028</v>
      </c>
      <c r="F58" s="7">
        <v>39.022750000000002</v>
      </c>
      <c r="G58" s="8">
        <v>9.9781599999999998E-3</v>
      </c>
      <c r="H58" s="100"/>
    </row>
    <row r="59" spans="1:8" x14ac:dyDescent="0.2">
      <c r="A59" s="4">
        <v>53</v>
      </c>
      <c r="B59" s="5" t="s">
        <v>245</v>
      </c>
      <c r="C59" s="5" t="s">
        <v>246</v>
      </c>
      <c r="D59" s="5" t="s">
        <v>22</v>
      </c>
      <c r="E59" s="6">
        <v>42227</v>
      </c>
      <c r="F59" s="7">
        <v>38.278775500000002</v>
      </c>
      <c r="G59" s="8">
        <v>9.7879239999999999E-3</v>
      </c>
      <c r="H59" s="100"/>
    </row>
    <row r="60" spans="1:8" x14ac:dyDescent="0.2">
      <c r="A60" s="4">
        <v>54</v>
      </c>
      <c r="B60" s="5" t="s">
        <v>249</v>
      </c>
      <c r="C60" s="5" t="s">
        <v>952</v>
      </c>
      <c r="D60" s="5" t="s">
        <v>251</v>
      </c>
      <c r="E60" s="6">
        <v>16931</v>
      </c>
      <c r="F60" s="7">
        <v>35.868323500000002</v>
      </c>
      <c r="G60" s="8">
        <v>9.1715689999999992E-3</v>
      </c>
      <c r="H60" s="100"/>
    </row>
    <row r="61" spans="1:8" x14ac:dyDescent="0.2">
      <c r="A61" s="4">
        <v>55</v>
      </c>
      <c r="B61" s="5" t="s">
        <v>256</v>
      </c>
      <c r="C61" s="5" t="s">
        <v>257</v>
      </c>
      <c r="D61" s="5" t="s">
        <v>1005</v>
      </c>
      <c r="E61" s="6">
        <v>32152</v>
      </c>
      <c r="F61" s="7">
        <v>34.868844000000003</v>
      </c>
      <c r="G61" s="8">
        <v>8.9160009999999998E-3</v>
      </c>
      <c r="H61" s="100"/>
    </row>
    <row r="62" spans="1:8" x14ac:dyDescent="0.2">
      <c r="A62" s="4">
        <v>56</v>
      </c>
      <c r="B62" s="5" t="s">
        <v>455</v>
      </c>
      <c r="C62" s="5" t="s">
        <v>456</v>
      </c>
      <c r="D62" s="5" t="s">
        <v>1006</v>
      </c>
      <c r="E62" s="6">
        <v>62102</v>
      </c>
      <c r="F62" s="7">
        <v>32.448295000000002</v>
      </c>
      <c r="G62" s="8">
        <v>8.2970639999999998E-3</v>
      </c>
      <c r="H62" s="100"/>
    </row>
    <row r="63" spans="1:8" x14ac:dyDescent="0.2">
      <c r="A63" s="4">
        <v>57</v>
      </c>
      <c r="B63" s="5" t="s">
        <v>247</v>
      </c>
      <c r="C63" s="5" t="s">
        <v>248</v>
      </c>
      <c r="D63" s="5" t="s">
        <v>1005</v>
      </c>
      <c r="E63" s="6">
        <v>16042</v>
      </c>
      <c r="F63" s="7">
        <v>30.062708000000001</v>
      </c>
      <c r="G63" s="8">
        <v>7.6870669999999997E-3</v>
      </c>
      <c r="H63" s="100"/>
    </row>
    <row r="64" spans="1:8" x14ac:dyDescent="0.2">
      <c r="A64" s="4">
        <v>58</v>
      </c>
      <c r="B64" s="5" t="s">
        <v>59</v>
      </c>
      <c r="C64" s="5" t="s">
        <v>60</v>
      </c>
      <c r="D64" s="5" t="s">
        <v>38</v>
      </c>
      <c r="E64" s="6">
        <v>15702</v>
      </c>
      <c r="F64" s="7">
        <v>29.778842999999998</v>
      </c>
      <c r="G64" s="8">
        <v>7.6144819999999997E-3</v>
      </c>
      <c r="H64" s="100"/>
    </row>
    <row r="65" spans="1:8" x14ac:dyDescent="0.2">
      <c r="A65" s="4">
        <v>59</v>
      </c>
      <c r="B65" s="5" t="s">
        <v>260</v>
      </c>
      <c r="C65" s="5" t="s">
        <v>261</v>
      </c>
      <c r="D65" s="5" t="s">
        <v>58</v>
      </c>
      <c r="E65" s="6">
        <v>18903</v>
      </c>
      <c r="F65" s="7">
        <v>29.441422500000002</v>
      </c>
      <c r="G65" s="8">
        <v>7.5282040000000001E-3</v>
      </c>
      <c r="H65" s="100"/>
    </row>
    <row r="66" spans="1:8" x14ac:dyDescent="0.2">
      <c r="A66" s="4">
        <v>60</v>
      </c>
      <c r="B66" s="5" t="s">
        <v>262</v>
      </c>
      <c r="C66" s="5" t="s">
        <v>263</v>
      </c>
      <c r="D66" s="5" t="s">
        <v>146</v>
      </c>
      <c r="E66" s="6">
        <v>1792</v>
      </c>
      <c r="F66" s="7">
        <v>27.728511999999998</v>
      </c>
      <c r="G66" s="8">
        <v>7.0902109999999999E-3</v>
      </c>
      <c r="H66" s="100"/>
    </row>
    <row r="67" spans="1:8" x14ac:dyDescent="0.2">
      <c r="A67" s="4">
        <v>61</v>
      </c>
      <c r="B67" s="5" t="s">
        <v>264</v>
      </c>
      <c r="C67" s="5" t="s">
        <v>265</v>
      </c>
      <c r="D67" s="5" t="s">
        <v>193</v>
      </c>
      <c r="E67" s="6">
        <v>2730</v>
      </c>
      <c r="F67" s="7">
        <v>26.909610000000001</v>
      </c>
      <c r="G67" s="8">
        <v>6.8808159999999997E-3</v>
      </c>
      <c r="H67" s="100"/>
    </row>
    <row r="68" spans="1:8" x14ac:dyDescent="0.2">
      <c r="A68" s="4">
        <v>62</v>
      </c>
      <c r="B68" s="5" t="s">
        <v>229</v>
      </c>
      <c r="C68" s="5" t="s">
        <v>230</v>
      </c>
      <c r="D68" s="5" t="s">
        <v>193</v>
      </c>
      <c r="E68" s="6">
        <v>1825</v>
      </c>
      <c r="F68" s="7">
        <v>25.465137500000001</v>
      </c>
      <c r="G68" s="8">
        <v>6.5114630000000003E-3</v>
      </c>
      <c r="H68" s="100"/>
    </row>
    <row r="69" spans="1:8" x14ac:dyDescent="0.2">
      <c r="A69" s="4">
        <v>63</v>
      </c>
      <c r="B69" s="5" t="s">
        <v>258</v>
      </c>
      <c r="C69" s="5" t="s">
        <v>259</v>
      </c>
      <c r="D69" s="5" t="s">
        <v>1006</v>
      </c>
      <c r="E69" s="6">
        <v>1636</v>
      </c>
      <c r="F69" s="7">
        <v>24.151450000000001</v>
      </c>
      <c r="G69" s="8">
        <v>6.175552E-3</v>
      </c>
      <c r="H69" s="100"/>
    </row>
    <row r="70" spans="1:8" x14ac:dyDescent="0.2">
      <c r="A70" s="4">
        <v>64</v>
      </c>
      <c r="B70" s="5" t="s">
        <v>254</v>
      </c>
      <c r="C70" s="5" t="s">
        <v>255</v>
      </c>
      <c r="D70" s="5" t="s">
        <v>58</v>
      </c>
      <c r="E70" s="6">
        <v>16672</v>
      </c>
      <c r="F70" s="7">
        <v>23.149072</v>
      </c>
      <c r="G70" s="8">
        <v>5.9192430000000002E-3</v>
      </c>
      <c r="H70" s="100"/>
    </row>
    <row r="71" spans="1:8" x14ac:dyDescent="0.2">
      <c r="A71" s="4">
        <v>65</v>
      </c>
      <c r="B71" s="5" t="s">
        <v>270</v>
      </c>
      <c r="C71" s="5" t="s">
        <v>271</v>
      </c>
      <c r="D71" s="5" t="s">
        <v>272</v>
      </c>
      <c r="E71" s="6">
        <v>13161</v>
      </c>
      <c r="F71" s="7">
        <v>17.1553635</v>
      </c>
      <c r="G71" s="8">
        <v>4.3866449999999998E-3</v>
      </c>
      <c r="H71" s="100"/>
    </row>
    <row r="72" spans="1:8" x14ac:dyDescent="0.2">
      <c r="A72" s="4">
        <v>66</v>
      </c>
      <c r="B72" s="5" t="s">
        <v>268</v>
      </c>
      <c r="C72" s="5" t="s">
        <v>269</v>
      </c>
      <c r="D72" s="5" t="s">
        <v>1005</v>
      </c>
      <c r="E72" s="6">
        <v>46501</v>
      </c>
      <c r="F72" s="7">
        <v>16.461354</v>
      </c>
      <c r="G72" s="8">
        <v>4.2091860000000002E-3</v>
      </c>
      <c r="H72" s="100"/>
    </row>
    <row r="73" spans="1:8" ht="25.5" x14ac:dyDescent="0.2">
      <c r="A73" s="4">
        <v>67</v>
      </c>
      <c r="B73" s="5" t="s">
        <v>273</v>
      </c>
      <c r="C73" s="5" t="s">
        <v>274</v>
      </c>
      <c r="D73" s="5" t="s">
        <v>1008</v>
      </c>
      <c r="E73" s="6">
        <v>6358</v>
      </c>
      <c r="F73" s="7">
        <v>5.6649779999999996</v>
      </c>
      <c r="G73" s="8">
        <v>1.448541E-3</v>
      </c>
      <c r="H73" s="100"/>
    </row>
    <row r="74" spans="1:8" x14ac:dyDescent="0.2">
      <c r="A74" s="4">
        <v>68</v>
      </c>
      <c r="B74" s="5" t="s">
        <v>275</v>
      </c>
      <c r="C74" s="5" t="s">
        <v>276</v>
      </c>
      <c r="D74" s="5" t="s">
        <v>228</v>
      </c>
      <c r="E74" s="6">
        <v>9820</v>
      </c>
      <c r="F74" s="7">
        <v>2.7103199999999998</v>
      </c>
      <c r="G74" s="8">
        <v>6.93032E-4</v>
      </c>
      <c r="H74" s="100"/>
    </row>
    <row r="75" spans="1:8" x14ac:dyDescent="0.2">
      <c r="A75" s="15" t="s">
        <v>9</v>
      </c>
      <c r="B75" s="15" t="s">
        <v>9</v>
      </c>
      <c r="C75" s="3" t="s">
        <v>94</v>
      </c>
      <c r="D75" s="15" t="s">
        <v>9</v>
      </c>
      <c r="E75" s="15" t="s">
        <v>9</v>
      </c>
      <c r="F75" s="9">
        <v>3837.8106134999998</v>
      </c>
      <c r="G75" s="10">
        <v>0.98133233900000005</v>
      </c>
      <c r="H75" s="100"/>
    </row>
    <row r="76" spans="1:8" x14ac:dyDescent="0.2">
      <c r="A76" s="15" t="s">
        <v>9</v>
      </c>
      <c r="B76" s="15" t="s">
        <v>9</v>
      </c>
      <c r="C76" s="11" t="s">
        <v>9</v>
      </c>
      <c r="D76" s="15" t="s">
        <v>9</v>
      </c>
      <c r="E76" s="15" t="s">
        <v>9</v>
      </c>
      <c r="F76" s="12" t="s">
        <v>9</v>
      </c>
      <c r="G76" s="12" t="s">
        <v>9</v>
      </c>
      <c r="H76" s="100"/>
    </row>
    <row r="77" spans="1:8" x14ac:dyDescent="0.2">
      <c r="A77" s="15" t="s">
        <v>9</v>
      </c>
      <c r="B77" s="15" t="s">
        <v>9</v>
      </c>
      <c r="C77" s="3" t="s">
        <v>95</v>
      </c>
      <c r="D77" s="15" t="s">
        <v>9</v>
      </c>
      <c r="E77" s="15" t="s">
        <v>9</v>
      </c>
      <c r="F77" s="15" t="s">
        <v>9</v>
      </c>
      <c r="G77" s="15" t="s">
        <v>9</v>
      </c>
      <c r="H77" s="100"/>
    </row>
    <row r="78" spans="1:8" x14ac:dyDescent="0.2">
      <c r="A78" s="15" t="s">
        <v>9</v>
      </c>
      <c r="B78" s="15" t="s">
        <v>9</v>
      </c>
      <c r="C78" s="3" t="s">
        <v>94</v>
      </c>
      <c r="D78" s="15" t="s">
        <v>9</v>
      </c>
      <c r="E78" s="15" t="s">
        <v>9</v>
      </c>
      <c r="F78" s="13">
        <v>0</v>
      </c>
      <c r="G78" s="14">
        <v>0</v>
      </c>
      <c r="H78" s="100"/>
    </row>
    <row r="79" spans="1:8" x14ac:dyDescent="0.2">
      <c r="A79" s="15" t="s">
        <v>9</v>
      </c>
      <c r="B79" s="15" t="s">
        <v>9</v>
      </c>
      <c r="C79" s="11" t="s">
        <v>9</v>
      </c>
      <c r="D79" s="15" t="s">
        <v>9</v>
      </c>
      <c r="E79" s="15" t="s">
        <v>9</v>
      </c>
      <c r="F79" s="12" t="s">
        <v>9</v>
      </c>
      <c r="G79" s="12" t="s">
        <v>9</v>
      </c>
      <c r="H79" s="100"/>
    </row>
    <row r="80" spans="1:8" x14ac:dyDescent="0.2">
      <c r="A80" s="15" t="s">
        <v>9</v>
      </c>
      <c r="B80" s="15" t="s">
        <v>9</v>
      </c>
      <c r="C80" s="3" t="s">
        <v>96</v>
      </c>
      <c r="D80" s="15" t="s">
        <v>9</v>
      </c>
      <c r="E80" s="15" t="s">
        <v>9</v>
      </c>
      <c r="F80" s="15" t="s">
        <v>9</v>
      </c>
      <c r="G80" s="15" t="s">
        <v>9</v>
      </c>
      <c r="H80" s="100"/>
    </row>
    <row r="81" spans="1:8" x14ac:dyDescent="0.2">
      <c r="A81" s="15" t="s">
        <v>9</v>
      </c>
      <c r="B81" s="15" t="s">
        <v>9</v>
      </c>
      <c r="C81" s="3" t="s">
        <v>94</v>
      </c>
      <c r="D81" s="15" t="s">
        <v>9</v>
      </c>
      <c r="E81" s="15" t="s">
        <v>9</v>
      </c>
      <c r="F81" s="13">
        <v>0</v>
      </c>
      <c r="G81" s="14">
        <v>0</v>
      </c>
      <c r="H81" s="100"/>
    </row>
    <row r="82" spans="1:8" x14ac:dyDescent="0.2">
      <c r="A82" s="15" t="s">
        <v>9</v>
      </c>
      <c r="B82" s="15" t="s">
        <v>9</v>
      </c>
      <c r="C82" s="11" t="s">
        <v>9</v>
      </c>
      <c r="D82" s="15" t="s">
        <v>9</v>
      </c>
      <c r="E82" s="15" t="s">
        <v>9</v>
      </c>
      <c r="F82" s="12" t="s">
        <v>9</v>
      </c>
      <c r="G82" s="12" t="s">
        <v>9</v>
      </c>
      <c r="H82" s="100"/>
    </row>
    <row r="83" spans="1:8" x14ac:dyDescent="0.2">
      <c r="A83" s="15" t="s">
        <v>9</v>
      </c>
      <c r="B83" s="15" t="s">
        <v>9</v>
      </c>
      <c r="C83" s="3" t="s">
        <v>100</v>
      </c>
      <c r="D83" s="15" t="s">
        <v>9</v>
      </c>
      <c r="E83" s="15" t="s">
        <v>9</v>
      </c>
      <c r="F83" s="15" t="s">
        <v>9</v>
      </c>
      <c r="G83" s="15" t="s">
        <v>9</v>
      </c>
      <c r="H83" s="100"/>
    </row>
    <row r="84" spans="1:8" x14ac:dyDescent="0.2">
      <c r="A84" s="15" t="s">
        <v>9</v>
      </c>
      <c r="B84" s="15" t="s">
        <v>9</v>
      </c>
      <c r="C84" s="3" t="s">
        <v>94</v>
      </c>
      <c r="D84" s="15" t="s">
        <v>9</v>
      </c>
      <c r="E84" s="15" t="s">
        <v>9</v>
      </c>
      <c r="F84" s="13">
        <v>0</v>
      </c>
      <c r="G84" s="14">
        <v>0</v>
      </c>
      <c r="H84" s="100"/>
    </row>
    <row r="85" spans="1:8" x14ac:dyDescent="0.2">
      <c r="A85" s="15" t="s">
        <v>9</v>
      </c>
      <c r="B85" s="15" t="s">
        <v>9</v>
      </c>
      <c r="C85" s="11" t="s">
        <v>9</v>
      </c>
      <c r="D85" s="15" t="s">
        <v>9</v>
      </c>
      <c r="E85" s="15" t="s">
        <v>9</v>
      </c>
      <c r="F85" s="12" t="s">
        <v>9</v>
      </c>
      <c r="G85" s="12" t="s">
        <v>9</v>
      </c>
      <c r="H85" s="100"/>
    </row>
    <row r="86" spans="1:8" x14ac:dyDescent="0.2">
      <c r="A86" s="15" t="s">
        <v>9</v>
      </c>
      <c r="B86" s="15" t="s">
        <v>9</v>
      </c>
      <c r="C86" s="3" t="s">
        <v>101</v>
      </c>
      <c r="D86" s="15" t="s">
        <v>9</v>
      </c>
      <c r="E86" s="15" t="s">
        <v>9</v>
      </c>
      <c r="F86" s="12" t="s">
        <v>9</v>
      </c>
      <c r="G86" s="12" t="s">
        <v>9</v>
      </c>
      <c r="H86" s="100"/>
    </row>
    <row r="87" spans="1:8" x14ac:dyDescent="0.2">
      <c r="A87" s="15" t="s">
        <v>9</v>
      </c>
      <c r="B87" s="15" t="s">
        <v>9</v>
      </c>
      <c r="C87" s="3" t="s">
        <v>94</v>
      </c>
      <c r="D87" s="15" t="s">
        <v>9</v>
      </c>
      <c r="E87" s="15" t="s">
        <v>9</v>
      </c>
      <c r="F87" s="13">
        <v>0</v>
      </c>
      <c r="G87" s="14">
        <v>0</v>
      </c>
      <c r="H87" s="100"/>
    </row>
    <row r="88" spans="1:8" x14ac:dyDescent="0.2">
      <c r="A88" s="15" t="s">
        <v>9</v>
      </c>
      <c r="B88" s="15" t="s">
        <v>9</v>
      </c>
      <c r="C88" s="11" t="s">
        <v>9</v>
      </c>
      <c r="D88" s="15" t="s">
        <v>9</v>
      </c>
      <c r="E88" s="15" t="s">
        <v>9</v>
      </c>
      <c r="F88" s="12" t="s">
        <v>9</v>
      </c>
      <c r="G88" s="12" t="s">
        <v>9</v>
      </c>
      <c r="H88" s="100"/>
    </row>
    <row r="89" spans="1:8" x14ac:dyDescent="0.2">
      <c r="A89" s="15" t="s">
        <v>9</v>
      </c>
      <c r="B89" s="15" t="s">
        <v>9</v>
      </c>
      <c r="C89" s="3" t="s">
        <v>102</v>
      </c>
      <c r="D89" s="15" t="s">
        <v>9</v>
      </c>
      <c r="E89" s="15" t="s">
        <v>9</v>
      </c>
      <c r="F89" s="12" t="s">
        <v>9</v>
      </c>
      <c r="G89" s="12" t="s">
        <v>9</v>
      </c>
      <c r="H89" s="100"/>
    </row>
    <row r="90" spans="1:8" x14ac:dyDescent="0.2">
      <c r="A90" s="15" t="s">
        <v>9</v>
      </c>
      <c r="B90" s="15" t="s">
        <v>9</v>
      </c>
      <c r="C90" s="3" t="s">
        <v>94</v>
      </c>
      <c r="D90" s="15" t="s">
        <v>9</v>
      </c>
      <c r="E90" s="15" t="s">
        <v>9</v>
      </c>
      <c r="F90" s="13">
        <v>0</v>
      </c>
      <c r="G90" s="14">
        <v>0</v>
      </c>
      <c r="H90" s="100"/>
    </row>
    <row r="91" spans="1:8" x14ac:dyDescent="0.2">
      <c r="A91" s="15" t="s">
        <v>9</v>
      </c>
      <c r="B91" s="15" t="s">
        <v>9</v>
      </c>
      <c r="C91" s="11" t="s">
        <v>9</v>
      </c>
      <c r="D91" s="15" t="s">
        <v>9</v>
      </c>
      <c r="E91" s="15" t="s">
        <v>9</v>
      </c>
      <c r="F91" s="12" t="s">
        <v>9</v>
      </c>
      <c r="G91" s="12" t="s">
        <v>9</v>
      </c>
      <c r="H91" s="100"/>
    </row>
    <row r="92" spans="1:8" x14ac:dyDescent="0.2">
      <c r="A92" s="15" t="s">
        <v>9</v>
      </c>
      <c r="B92" s="15" t="s">
        <v>9</v>
      </c>
      <c r="C92" s="3" t="s">
        <v>104</v>
      </c>
      <c r="D92" s="15" t="s">
        <v>9</v>
      </c>
      <c r="E92" s="15" t="s">
        <v>9</v>
      </c>
      <c r="F92" s="9">
        <v>3837.8106134999998</v>
      </c>
      <c r="G92" s="10">
        <v>0.98133233900000005</v>
      </c>
      <c r="H92" s="100"/>
    </row>
    <row r="93" spans="1:8" x14ac:dyDescent="0.2">
      <c r="A93" s="15" t="s">
        <v>9</v>
      </c>
      <c r="B93" s="15" t="s">
        <v>9</v>
      </c>
      <c r="C93" s="11" t="s">
        <v>9</v>
      </c>
      <c r="D93" s="15" t="s">
        <v>9</v>
      </c>
      <c r="E93" s="15" t="s">
        <v>9</v>
      </c>
      <c r="F93" s="12" t="s">
        <v>9</v>
      </c>
      <c r="G93" s="12" t="s">
        <v>9</v>
      </c>
      <c r="H93" s="100"/>
    </row>
    <row r="94" spans="1:8" x14ac:dyDescent="0.2">
      <c r="A94" s="15" t="s">
        <v>9</v>
      </c>
      <c r="B94" s="15" t="s">
        <v>9</v>
      </c>
      <c r="C94" s="3" t="s">
        <v>105</v>
      </c>
      <c r="D94" s="15" t="s">
        <v>9</v>
      </c>
      <c r="E94" s="15" t="s">
        <v>9</v>
      </c>
      <c r="F94" s="12" t="s">
        <v>9</v>
      </c>
      <c r="G94" s="12" t="s">
        <v>9</v>
      </c>
      <c r="H94" s="100"/>
    </row>
    <row r="95" spans="1:8" ht="25.5" x14ac:dyDescent="0.2">
      <c r="A95" s="15" t="s">
        <v>9</v>
      </c>
      <c r="B95" s="15" t="s">
        <v>9</v>
      </c>
      <c r="C95" s="3" t="s">
        <v>11</v>
      </c>
      <c r="D95" s="15" t="s">
        <v>9</v>
      </c>
      <c r="E95" s="15" t="s">
        <v>9</v>
      </c>
      <c r="F95" s="12" t="s">
        <v>9</v>
      </c>
      <c r="G95" s="12" t="s">
        <v>9</v>
      </c>
      <c r="H95" s="100"/>
    </row>
    <row r="96" spans="1:8" x14ac:dyDescent="0.2">
      <c r="A96" s="15" t="s">
        <v>9</v>
      </c>
      <c r="B96" s="15" t="s">
        <v>9</v>
      </c>
      <c r="C96" s="3" t="s">
        <v>94</v>
      </c>
      <c r="D96" s="15" t="s">
        <v>9</v>
      </c>
      <c r="E96" s="15" t="s">
        <v>9</v>
      </c>
      <c r="F96" s="13">
        <v>0</v>
      </c>
      <c r="G96" s="14">
        <v>0</v>
      </c>
      <c r="H96" s="100"/>
    </row>
    <row r="97" spans="1:8" x14ac:dyDescent="0.2">
      <c r="A97" s="15" t="s">
        <v>9</v>
      </c>
      <c r="B97" s="15" t="s">
        <v>9</v>
      </c>
      <c r="C97" s="11" t="s">
        <v>9</v>
      </c>
      <c r="D97" s="15" t="s">
        <v>9</v>
      </c>
      <c r="E97" s="15" t="s">
        <v>9</v>
      </c>
      <c r="F97" s="12" t="s">
        <v>9</v>
      </c>
      <c r="G97" s="12" t="s">
        <v>9</v>
      </c>
      <c r="H97" s="100"/>
    </row>
    <row r="98" spans="1:8" x14ac:dyDescent="0.2">
      <c r="A98" s="15" t="s">
        <v>9</v>
      </c>
      <c r="B98" s="15" t="s">
        <v>9</v>
      </c>
      <c r="C98" s="3" t="s">
        <v>106</v>
      </c>
      <c r="D98" s="15" t="s">
        <v>9</v>
      </c>
      <c r="E98" s="15" t="s">
        <v>9</v>
      </c>
      <c r="F98" s="15" t="s">
        <v>9</v>
      </c>
      <c r="G98" s="15" t="s">
        <v>9</v>
      </c>
      <c r="H98" s="100"/>
    </row>
    <row r="99" spans="1:8" x14ac:dyDescent="0.2">
      <c r="A99" s="15" t="s">
        <v>9</v>
      </c>
      <c r="B99" s="15" t="s">
        <v>9</v>
      </c>
      <c r="C99" s="3" t="s">
        <v>94</v>
      </c>
      <c r="D99" s="15" t="s">
        <v>9</v>
      </c>
      <c r="E99" s="15" t="s">
        <v>9</v>
      </c>
      <c r="F99" s="13">
        <v>0</v>
      </c>
      <c r="G99" s="14">
        <v>0</v>
      </c>
      <c r="H99" s="100"/>
    </row>
    <row r="100" spans="1:8" x14ac:dyDescent="0.2">
      <c r="A100" s="15" t="s">
        <v>9</v>
      </c>
      <c r="B100" s="15" t="s">
        <v>9</v>
      </c>
      <c r="C100" s="11" t="s">
        <v>9</v>
      </c>
      <c r="D100" s="15" t="s">
        <v>9</v>
      </c>
      <c r="E100" s="15" t="s">
        <v>9</v>
      </c>
      <c r="F100" s="12" t="s">
        <v>9</v>
      </c>
      <c r="G100" s="12" t="s">
        <v>9</v>
      </c>
      <c r="H100" s="100"/>
    </row>
    <row r="101" spans="1:8" x14ac:dyDescent="0.2">
      <c r="A101" s="15" t="s">
        <v>9</v>
      </c>
      <c r="B101" s="15" t="s">
        <v>9</v>
      </c>
      <c r="C101" s="3" t="s">
        <v>107</v>
      </c>
      <c r="D101" s="15" t="s">
        <v>9</v>
      </c>
      <c r="E101" s="15" t="s">
        <v>9</v>
      </c>
      <c r="F101" s="15" t="s">
        <v>9</v>
      </c>
      <c r="G101" s="15" t="s">
        <v>9</v>
      </c>
      <c r="H101" s="100"/>
    </row>
    <row r="102" spans="1:8" x14ac:dyDescent="0.2">
      <c r="A102" s="15" t="s">
        <v>9</v>
      </c>
      <c r="B102" s="15" t="s">
        <v>9</v>
      </c>
      <c r="C102" s="3" t="s">
        <v>94</v>
      </c>
      <c r="D102" s="15" t="s">
        <v>9</v>
      </c>
      <c r="E102" s="15" t="s">
        <v>9</v>
      </c>
      <c r="F102" s="13">
        <v>0</v>
      </c>
      <c r="G102" s="14">
        <v>0</v>
      </c>
      <c r="H102" s="100"/>
    </row>
    <row r="103" spans="1:8" x14ac:dyDescent="0.2">
      <c r="A103" s="15" t="s">
        <v>9</v>
      </c>
      <c r="B103" s="15" t="s">
        <v>9</v>
      </c>
      <c r="C103" s="11" t="s">
        <v>9</v>
      </c>
      <c r="D103" s="15" t="s">
        <v>9</v>
      </c>
      <c r="E103" s="15" t="s">
        <v>9</v>
      </c>
      <c r="F103" s="12" t="s">
        <v>9</v>
      </c>
      <c r="G103" s="12" t="s">
        <v>9</v>
      </c>
      <c r="H103" s="100"/>
    </row>
    <row r="104" spans="1:8" x14ac:dyDescent="0.2">
      <c r="A104" s="15" t="s">
        <v>9</v>
      </c>
      <c r="B104" s="15" t="s">
        <v>9</v>
      </c>
      <c r="C104" s="3" t="s">
        <v>108</v>
      </c>
      <c r="D104" s="15" t="s">
        <v>9</v>
      </c>
      <c r="E104" s="15" t="s">
        <v>9</v>
      </c>
      <c r="F104" s="12" t="s">
        <v>9</v>
      </c>
      <c r="G104" s="12" t="s">
        <v>9</v>
      </c>
      <c r="H104" s="100"/>
    </row>
    <row r="105" spans="1:8" x14ac:dyDescent="0.2">
      <c r="A105" s="15" t="s">
        <v>9</v>
      </c>
      <c r="B105" s="15" t="s">
        <v>9</v>
      </c>
      <c r="C105" s="3" t="s">
        <v>94</v>
      </c>
      <c r="D105" s="15" t="s">
        <v>9</v>
      </c>
      <c r="E105" s="15" t="s">
        <v>9</v>
      </c>
      <c r="F105" s="13">
        <v>0</v>
      </c>
      <c r="G105" s="14">
        <v>0</v>
      </c>
      <c r="H105" s="100"/>
    </row>
    <row r="106" spans="1:8" x14ac:dyDescent="0.2">
      <c r="A106" s="15" t="s">
        <v>9</v>
      </c>
      <c r="B106" s="15" t="s">
        <v>9</v>
      </c>
      <c r="C106" s="11" t="s">
        <v>9</v>
      </c>
      <c r="D106" s="15" t="s">
        <v>9</v>
      </c>
      <c r="E106" s="15" t="s">
        <v>9</v>
      </c>
      <c r="F106" s="12" t="s">
        <v>9</v>
      </c>
      <c r="G106" s="12" t="s">
        <v>9</v>
      </c>
      <c r="H106" s="100"/>
    </row>
    <row r="107" spans="1:8" x14ac:dyDescent="0.2">
      <c r="A107" s="15" t="s">
        <v>9</v>
      </c>
      <c r="B107" s="15" t="s">
        <v>9</v>
      </c>
      <c r="C107" s="3" t="s">
        <v>109</v>
      </c>
      <c r="D107" s="15" t="s">
        <v>9</v>
      </c>
      <c r="E107" s="15" t="s">
        <v>9</v>
      </c>
      <c r="F107" s="9">
        <v>0</v>
      </c>
      <c r="G107" s="10">
        <v>0</v>
      </c>
      <c r="H107" s="100"/>
    </row>
    <row r="108" spans="1:8" x14ac:dyDescent="0.2">
      <c r="A108" s="15" t="s">
        <v>9</v>
      </c>
      <c r="B108" s="15" t="s">
        <v>9</v>
      </c>
      <c r="C108" s="11" t="s">
        <v>9</v>
      </c>
      <c r="D108" s="15" t="s">
        <v>9</v>
      </c>
      <c r="E108" s="15" t="s">
        <v>9</v>
      </c>
      <c r="F108" s="12" t="s">
        <v>9</v>
      </c>
      <c r="G108" s="12" t="s">
        <v>9</v>
      </c>
      <c r="H108" s="100"/>
    </row>
    <row r="109" spans="1:8" x14ac:dyDescent="0.2">
      <c r="A109" s="15" t="s">
        <v>9</v>
      </c>
      <c r="B109" s="15" t="s">
        <v>9</v>
      </c>
      <c r="C109" s="3" t="s">
        <v>110</v>
      </c>
      <c r="D109" s="15" t="s">
        <v>9</v>
      </c>
      <c r="E109" s="15" t="s">
        <v>9</v>
      </c>
      <c r="F109" s="12" t="s">
        <v>9</v>
      </c>
      <c r="G109" s="12" t="s">
        <v>9</v>
      </c>
      <c r="H109" s="100"/>
    </row>
    <row r="110" spans="1:8" x14ac:dyDescent="0.2">
      <c r="A110" s="15" t="s">
        <v>9</v>
      </c>
      <c r="B110" s="15" t="s">
        <v>9</v>
      </c>
      <c r="C110" s="3" t="s">
        <v>111</v>
      </c>
      <c r="D110" s="15" t="s">
        <v>9</v>
      </c>
      <c r="E110" s="15" t="s">
        <v>9</v>
      </c>
      <c r="F110" s="12" t="s">
        <v>9</v>
      </c>
      <c r="G110" s="12" t="s">
        <v>9</v>
      </c>
      <c r="H110" s="100"/>
    </row>
    <row r="111" spans="1:8" x14ac:dyDescent="0.2">
      <c r="A111" s="15" t="s">
        <v>9</v>
      </c>
      <c r="B111" s="15" t="s">
        <v>9</v>
      </c>
      <c r="C111" s="3" t="s">
        <v>94</v>
      </c>
      <c r="D111" s="15" t="s">
        <v>9</v>
      </c>
      <c r="E111" s="15" t="s">
        <v>9</v>
      </c>
      <c r="F111" s="13">
        <v>0</v>
      </c>
      <c r="G111" s="14">
        <v>0</v>
      </c>
      <c r="H111" s="100"/>
    </row>
    <row r="112" spans="1:8" x14ac:dyDescent="0.2">
      <c r="A112" s="15" t="s">
        <v>9</v>
      </c>
      <c r="B112" s="15" t="s">
        <v>9</v>
      </c>
      <c r="C112" s="11" t="s">
        <v>9</v>
      </c>
      <c r="D112" s="15" t="s">
        <v>9</v>
      </c>
      <c r="E112" s="15" t="s">
        <v>9</v>
      </c>
      <c r="F112" s="12" t="s">
        <v>9</v>
      </c>
      <c r="G112" s="12" t="s">
        <v>9</v>
      </c>
      <c r="H112" s="100"/>
    </row>
    <row r="113" spans="1:8" x14ac:dyDescent="0.2">
      <c r="A113" s="15" t="s">
        <v>9</v>
      </c>
      <c r="B113" s="15" t="s">
        <v>9</v>
      </c>
      <c r="C113" s="3" t="s">
        <v>112</v>
      </c>
      <c r="D113" s="15" t="s">
        <v>9</v>
      </c>
      <c r="E113" s="15" t="s">
        <v>9</v>
      </c>
      <c r="F113" s="12" t="s">
        <v>9</v>
      </c>
      <c r="G113" s="12" t="s">
        <v>9</v>
      </c>
      <c r="H113" s="100"/>
    </row>
    <row r="114" spans="1:8" x14ac:dyDescent="0.2">
      <c r="A114" s="15" t="s">
        <v>9</v>
      </c>
      <c r="B114" s="15" t="s">
        <v>9</v>
      </c>
      <c r="C114" s="3" t="s">
        <v>94</v>
      </c>
      <c r="D114" s="15" t="s">
        <v>9</v>
      </c>
      <c r="E114" s="15" t="s">
        <v>9</v>
      </c>
      <c r="F114" s="13">
        <v>0</v>
      </c>
      <c r="G114" s="14">
        <v>0</v>
      </c>
      <c r="H114" s="100"/>
    </row>
    <row r="115" spans="1:8" x14ac:dyDescent="0.2">
      <c r="A115" s="15" t="s">
        <v>9</v>
      </c>
      <c r="B115" s="15" t="s">
        <v>9</v>
      </c>
      <c r="C115" s="11" t="s">
        <v>9</v>
      </c>
      <c r="D115" s="15" t="s">
        <v>9</v>
      </c>
      <c r="E115" s="15" t="s">
        <v>9</v>
      </c>
      <c r="F115" s="12" t="s">
        <v>9</v>
      </c>
      <c r="G115" s="12" t="s">
        <v>9</v>
      </c>
      <c r="H115" s="100"/>
    </row>
    <row r="116" spans="1:8" x14ac:dyDescent="0.2">
      <c r="A116" s="15" t="s">
        <v>9</v>
      </c>
      <c r="B116" s="15" t="s">
        <v>9</v>
      </c>
      <c r="C116" s="3" t="s">
        <v>113</v>
      </c>
      <c r="D116" s="15" t="s">
        <v>9</v>
      </c>
      <c r="E116" s="15" t="s">
        <v>9</v>
      </c>
      <c r="F116" s="12" t="s">
        <v>9</v>
      </c>
      <c r="G116" s="12" t="s">
        <v>9</v>
      </c>
      <c r="H116" s="100"/>
    </row>
    <row r="117" spans="1:8" x14ac:dyDescent="0.2">
      <c r="A117" s="15" t="s">
        <v>9</v>
      </c>
      <c r="B117" s="15" t="s">
        <v>9</v>
      </c>
      <c r="C117" s="3" t="s">
        <v>94</v>
      </c>
      <c r="D117" s="15" t="s">
        <v>9</v>
      </c>
      <c r="E117" s="15" t="s">
        <v>9</v>
      </c>
      <c r="F117" s="13">
        <v>0</v>
      </c>
      <c r="G117" s="14">
        <v>0</v>
      </c>
      <c r="H117" s="100"/>
    </row>
    <row r="118" spans="1:8" x14ac:dyDescent="0.2">
      <c r="A118" s="15" t="s">
        <v>9</v>
      </c>
      <c r="B118" s="15" t="s">
        <v>9</v>
      </c>
      <c r="C118" s="11" t="s">
        <v>9</v>
      </c>
      <c r="D118" s="15" t="s">
        <v>9</v>
      </c>
      <c r="E118" s="15" t="s">
        <v>9</v>
      </c>
      <c r="F118" s="12" t="s">
        <v>9</v>
      </c>
      <c r="G118" s="12" t="s">
        <v>9</v>
      </c>
      <c r="H118" s="100"/>
    </row>
    <row r="119" spans="1:8" x14ac:dyDescent="0.2">
      <c r="A119" s="15" t="s">
        <v>9</v>
      </c>
      <c r="B119" s="15" t="s">
        <v>9</v>
      </c>
      <c r="C119" s="3" t="s">
        <v>114</v>
      </c>
      <c r="D119" s="15" t="s">
        <v>9</v>
      </c>
      <c r="E119" s="15" t="s">
        <v>9</v>
      </c>
      <c r="F119" s="12" t="s">
        <v>9</v>
      </c>
      <c r="G119" s="12" t="s">
        <v>9</v>
      </c>
      <c r="H119" s="100"/>
    </row>
    <row r="120" spans="1:8" x14ac:dyDescent="0.2">
      <c r="A120" s="4">
        <v>1</v>
      </c>
      <c r="B120" s="5"/>
      <c r="C120" s="5" t="s">
        <v>115</v>
      </c>
      <c r="D120" s="5"/>
      <c r="E120" s="15" t="s">
        <v>9</v>
      </c>
      <c r="F120" s="7">
        <v>86.203061399999996</v>
      </c>
      <c r="G120" s="8">
        <v>2.2042216E-2</v>
      </c>
      <c r="H120" s="99">
        <v>3.2516689338443991</v>
      </c>
    </row>
    <row r="121" spans="1:8" x14ac:dyDescent="0.2">
      <c r="A121" s="4">
        <v>2</v>
      </c>
      <c r="B121" s="5"/>
      <c r="C121" s="5" t="s">
        <v>116</v>
      </c>
      <c r="D121" s="5"/>
      <c r="E121" s="15" t="s">
        <v>9</v>
      </c>
      <c r="F121" s="7">
        <v>11.8106008</v>
      </c>
      <c r="G121" s="8">
        <v>3.019983E-3</v>
      </c>
      <c r="H121" s="100">
        <v>3.350000000000001</v>
      </c>
    </row>
    <row r="122" spans="1:8" x14ac:dyDescent="0.2">
      <c r="A122" s="15" t="s">
        <v>9</v>
      </c>
      <c r="B122" s="15" t="s">
        <v>9</v>
      </c>
      <c r="C122" s="3" t="s">
        <v>94</v>
      </c>
      <c r="D122" s="15" t="s">
        <v>9</v>
      </c>
      <c r="E122" s="15" t="s">
        <v>9</v>
      </c>
      <c r="F122" s="9">
        <v>98.013662199999999</v>
      </c>
      <c r="G122" s="10">
        <v>2.5062199E-2</v>
      </c>
      <c r="H122" s="100"/>
    </row>
    <row r="123" spans="1:8" x14ac:dyDescent="0.2">
      <c r="A123" s="15" t="s">
        <v>9</v>
      </c>
      <c r="B123" s="15" t="s">
        <v>9</v>
      </c>
      <c r="C123" s="11" t="s">
        <v>9</v>
      </c>
      <c r="D123" s="15" t="s">
        <v>9</v>
      </c>
      <c r="E123" s="15" t="s">
        <v>9</v>
      </c>
      <c r="F123" s="12" t="s">
        <v>9</v>
      </c>
      <c r="G123" s="12" t="s">
        <v>9</v>
      </c>
      <c r="H123" s="100"/>
    </row>
    <row r="124" spans="1:8" x14ac:dyDescent="0.2">
      <c r="A124" s="15" t="s">
        <v>9</v>
      </c>
      <c r="B124" s="15" t="s">
        <v>9</v>
      </c>
      <c r="C124" s="3" t="s">
        <v>117</v>
      </c>
      <c r="D124" s="15" t="s">
        <v>9</v>
      </c>
      <c r="E124" s="15" t="s">
        <v>9</v>
      </c>
      <c r="F124" s="9">
        <v>98.013662199999999</v>
      </c>
      <c r="G124" s="10">
        <v>2.5062199E-2</v>
      </c>
      <c r="H124" s="100"/>
    </row>
    <row r="125" spans="1:8" x14ac:dyDescent="0.2">
      <c r="A125" s="15" t="s">
        <v>9</v>
      </c>
      <c r="B125" s="15" t="s">
        <v>9</v>
      </c>
      <c r="C125" s="12" t="s">
        <v>9</v>
      </c>
      <c r="D125" s="15" t="s">
        <v>9</v>
      </c>
      <c r="E125" s="15" t="s">
        <v>9</v>
      </c>
      <c r="F125" s="15" t="s">
        <v>9</v>
      </c>
      <c r="G125" s="15" t="s">
        <v>9</v>
      </c>
      <c r="H125" s="100"/>
    </row>
    <row r="126" spans="1:8" x14ac:dyDescent="0.2">
      <c r="A126" s="15" t="s">
        <v>9</v>
      </c>
      <c r="B126" s="15" t="s">
        <v>9</v>
      </c>
      <c r="C126" s="3" t="s">
        <v>118</v>
      </c>
      <c r="D126" s="15" t="s">
        <v>9</v>
      </c>
      <c r="E126" s="15" t="s">
        <v>9</v>
      </c>
      <c r="F126" s="15" t="s">
        <v>9</v>
      </c>
      <c r="G126" s="15" t="s">
        <v>9</v>
      </c>
      <c r="H126" s="100"/>
    </row>
    <row r="127" spans="1:8" x14ac:dyDescent="0.2">
      <c r="A127" s="15" t="s">
        <v>9</v>
      </c>
      <c r="B127" s="15" t="s">
        <v>9</v>
      </c>
      <c r="C127" s="3" t="s">
        <v>119</v>
      </c>
      <c r="D127" s="15" t="s">
        <v>9</v>
      </c>
      <c r="E127" s="15" t="s">
        <v>9</v>
      </c>
      <c r="F127" s="15" t="s">
        <v>9</v>
      </c>
      <c r="G127" s="15" t="s">
        <v>9</v>
      </c>
      <c r="H127" s="100"/>
    </row>
    <row r="128" spans="1:8" x14ac:dyDescent="0.2">
      <c r="A128" s="15" t="s">
        <v>9</v>
      </c>
      <c r="B128" s="15" t="s">
        <v>9</v>
      </c>
      <c r="C128" s="3" t="s">
        <v>94</v>
      </c>
      <c r="D128" s="15" t="s">
        <v>9</v>
      </c>
      <c r="E128" s="15" t="s">
        <v>9</v>
      </c>
      <c r="F128" s="13">
        <v>0</v>
      </c>
      <c r="G128" s="14">
        <v>0</v>
      </c>
      <c r="H128" s="100"/>
    </row>
    <row r="129" spans="1:8" x14ac:dyDescent="0.2">
      <c r="A129" s="15" t="s">
        <v>9</v>
      </c>
      <c r="B129" s="15" t="s">
        <v>9</v>
      </c>
      <c r="C129" s="11" t="s">
        <v>9</v>
      </c>
      <c r="D129" s="15" t="s">
        <v>9</v>
      </c>
      <c r="E129" s="15" t="s">
        <v>9</v>
      </c>
      <c r="F129" s="12" t="s">
        <v>9</v>
      </c>
      <c r="G129" s="12" t="s">
        <v>9</v>
      </c>
      <c r="H129" s="100"/>
    </row>
    <row r="130" spans="1:8" x14ac:dyDescent="0.2">
      <c r="A130" s="15" t="s">
        <v>9</v>
      </c>
      <c r="B130" s="15" t="s">
        <v>9</v>
      </c>
      <c r="C130" s="3" t="s">
        <v>120</v>
      </c>
      <c r="D130" s="15" t="s">
        <v>9</v>
      </c>
      <c r="E130" s="15" t="s">
        <v>9</v>
      </c>
      <c r="F130" s="15" t="s">
        <v>9</v>
      </c>
      <c r="G130" s="15" t="s">
        <v>9</v>
      </c>
      <c r="H130" s="100"/>
    </row>
    <row r="131" spans="1:8" x14ac:dyDescent="0.2">
      <c r="A131" s="15" t="s">
        <v>9</v>
      </c>
      <c r="B131" s="15" t="s">
        <v>9</v>
      </c>
      <c r="C131" s="3" t="s">
        <v>121</v>
      </c>
      <c r="D131" s="15" t="s">
        <v>9</v>
      </c>
      <c r="E131" s="15" t="s">
        <v>9</v>
      </c>
      <c r="F131" s="15" t="s">
        <v>9</v>
      </c>
      <c r="G131" s="15" t="s">
        <v>9</v>
      </c>
      <c r="H131" s="100"/>
    </row>
    <row r="132" spans="1:8" x14ac:dyDescent="0.2">
      <c r="A132" s="15" t="s">
        <v>9</v>
      </c>
      <c r="B132" s="15" t="s">
        <v>9</v>
      </c>
      <c r="C132" s="3" t="s">
        <v>94</v>
      </c>
      <c r="D132" s="15" t="s">
        <v>9</v>
      </c>
      <c r="E132" s="15" t="s">
        <v>9</v>
      </c>
      <c r="F132" s="13">
        <v>0</v>
      </c>
      <c r="G132" s="14">
        <v>0</v>
      </c>
      <c r="H132" s="100"/>
    </row>
    <row r="133" spans="1:8" x14ac:dyDescent="0.2">
      <c r="A133" s="15" t="s">
        <v>9</v>
      </c>
      <c r="B133" s="15" t="s">
        <v>9</v>
      </c>
      <c r="C133" s="11" t="s">
        <v>9</v>
      </c>
      <c r="D133" s="15" t="s">
        <v>9</v>
      </c>
      <c r="E133" s="15" t="s">
        <v>9</v>
      </c>
      <c r="F133" s="12" t="s">
        <v>9</v>
      </c>
      <c r="G133" s="12" t="s">
        <v>9</v>
      </c>
      <c r="H133" s="100"/>
    </row>
    <row r="134" spans="1:8" x14ac:dyDescent="0.2">
      <c r="A134" s="15" t="s">
        <v>9</v>
      </c>
      <c r="B134" s="15" t="s">
        <v>9</v>
      </c>
      <c r="C134" s="11" t="s">
        <v>9</v>
      </c>
      <c r="D134" s="15" t="s">
        <v>9</v>
      </c>
      <c r="E134" s="15" t="s">
        <v>9</v>
      </c>
      <c r="F134" s="12" t="s">
        <v>9</v>
      </c>
      <c r="G134" s="12" t="s">
        <v>9</v>
      </c>
      <c r="H134" s="100"/>
    </row>
    <row r="135" spans="1:8" ht="25.5" x14ac:dyDescent="0.2">
      <c r="A135" s="15" t="s">
        <v>9</v>
      </c>
      <c r="B135" s="15" t="s">
        <v>9</v>
      </c>
      <c r="C135" s="3" t="s">
        <v>122</v>
      </c>
      <c r="D135" s="15" t="s">
        <v>9</v>
      </c>
      <c r="E135" s="15" t="s">
        <v>9</v>
      </c>
      <c r="F135" s="12" t="s">
        <v>9</v>
      </c>
      <c r="G135" s="12" t="s">
        <v>9</v>
      </c>
      <c r="H135" s="100"/>
    </row>
    <row r="136" spans="1:8" x14ac:dyDescent="0.2">
      <c r="A136" s="15" t="s">
        <v>9</v>
      </c>
      <c r="B136" s="15" t="s">
        <v>9</v>
      </c>
      <c r="C136" s="3" t="s">
        <v>94</v>
      </c>
      <c r="D136" s="15" t="s">
        <v>9</v>
      </c>
      <c r="E136" s="15" t="s">
        <v>9</v>
      </c>
      <c r="F136" s="13">
        <v>0</v>
      </c>
      <c r="G136" s="14">
        <v>0</v>
      </c>
      <c r="H136" s="100"/>
    </row>
    <row r="137" spans="1:8" x14ac:dyDescent="0.2">
      <c r="A137" s="15" t="s">
        <v>9</v>
      </c>
      <c r="B137" s="15" t="s">
        <v>9</v>
      </c>
      <c r="C137" s="11" t="s">
        <v>9</v>
      </c>
      <c r="D137" s="15" t="s">
        <v>9</v>
      </c>
      <c r="E137" s="15" t="s">
        <v>9</v>
      </c>
      <c r="F137" s="12" t="s">
        <v>9</v>
      </c>
      <c r="G137" s="12" t="s">
        <v>9</v>
      </c>
      <c r="H137" s="100"/>
    </row>
    <row r="138" spans="1:8" x14ac:dyDescent="0.2">
      <c r="A138" s="15" t="s">
        <v>9</v>
      </c>
      <c r="B138" s="5" t="s">
        <v>9</v>
      </c>
      <c r="C138" s="5" t="s">
        <v>9</v>
      </c>
      <c r="D138" s="3" t="s">
        <v>9</v>
      </c>
      <c r="E138" s="15" t="s">
        <v>9</v>
      </c>
      <c r="F138" s="5" t="s">
        <v>9</v>
      </c>
      <c r="G138" s="15" t="s">
        <v>9</v>
      </c>
      <c r="H138" s="100"/>
    </row>
    <row r="139" spans="1:8" x14ac:dyDescent="0.2">
      <c r="A139" s="15" t="s">
        <v>9</v>
      </c>
      <c r="B139" s="5" t="s">
        <v>9</v>
      </c>
      <c r="C139" s="5" t="s">
        <v>124</v>
      </c>
      <c r="D139" s="5" t="s">
        <v>9</v>
      </c>
      <c r="E139" s="15" t="s">
        <v>9</v>
      </c>
      <c r="F139" s="7">
        <v>-25.007867319999999</v>
      </c>
      <c r="G139" s="8">
        <v>-6.3945390000000003E-3</v>
      </c>
      <c r="H139" s="100"/>
    </row>
    <row r="140" spans="1:8" x14ac:dyDescent="0.2">
      <c r="A140" s="11" t="s">
        <v>9</v>
      </c>
      <c r="B140" s="11" t="s">
        <v>9</v>
      </c>
      <c r="C140" s="3" t="s">
        <v>125</v>
      </c>
      <c r="D140" s="16" t="s">
        <v>9</v>
      </c>
      <c r="E140" s="16" t="s">
        <v>9</v>
      </c>
      <c r="F140" s="9">
        <v>3910.8164083800002</v>
      </c>
      <c r="G140" s="10">
        <v>0.99999999900000003</v>
      </c>
      <c r="H140" s="100"/>
    </row>
    <row r="141" spans="1:8" x14ac:dyDescent="0.2">
      <c r="A141" s="17" t="s">
        <v>9</v>
      </c>
      <c r="B141" s="17" t="s">
        <v>9</v>
      </c>
      <c r="C141" s="17" t="s">
        <v>9</v>
      </c>
      <c r="D141" s="18" t="s">
        <v>9</v>
      </c>
      <c r="E141" s="18" t="s">
        <v>9</v>
      </c>
      <c r="F141" s="18" t="s">
        <v>9</v>
      </c>
      <c r="G141" s="18" t="s">
        <v>9</v>
      </c>
      <c r="H141" s="142"/>
    </row>
    <row r="142" spans="1:8" x14ac:dyDescent="0.2">
      <c r="A142" s="19" t="s">
        <v>9</v>
      </c>
      <c r="B142" s="254" t="s">
        <v>9</v>
      </c>
      <c r="C142" s="254"/>
      <c r="D142" s="254"/>
      <c r="E142" s="254"/>
      <c r="F142" s="254"/>
      <c r="G142" s="20" t="s">
        <v>9</v>
      </c>
      <c r="H142" s="142"/>
    </row>
    <row r="143" spans="1:8" x14ac:dyDescent="0.2">
      <c r="A143" s="19" t="s">
        <v>9</v>
      </c>
      <c r="B143" s="254" t="s">
        <v>9</v>
      </c>
      <c r="C143" s="254"/>
      <c r="D143" s="254"/>
      <c r="E143" s="254"/>
      <c r="F143" s="254"/>
      <c r="G143" s="20" t="s">
        <v>9</v>
      </c>
      <c r="H143" s="142"/>
    </row>
    <row r="144" spans="1:8" x14ac:dyDescent="0.2">
      <c r="A144" s="19" t="s">
        <v>9</v>
      </c>
      <c r="B144" s="19" t="s">
        <v>9</v>
      </c>
      <c r="C144" s="19" t="s">
        <v>9</v>
      </c>
      <c r="D144" s="20" t="s">
        <v>9</v>
      </c>
      <c r="E144" s="20" t="s">
        <v>9</v>
      </c>
      <c r="F144" s="20" t="s">
        <v>9</v>
      </c>
      <c r="G144" s="20" t="s">
        <v>9</v>
      </c>
      <c r="H144" s="142"/>
    </row>
    <row r="145" spans="1:8" x14ac:dyDescent="0.2">
      <c r="A145" s="19" t="s">
        <v>9</v>
      </c>
      <c r="B145" s="247" t="s">
        <v>127</v>
      </c>
      <c r="C145" s="248"/>
      <c r="D145" s="182" t="s">
        <v>9</v>
      </c>
      <c r="E145" s="21" t="s">
        <v>9</v>
      </c>
      <c r="F145" s="20" t="s">
        <v>9</v>
      </c>
      <c r="G145" s="20" t="s">
        <v>9</v>
      </c>
      <c r="H145" s="142"/>
    </row>
    <row r="146" spans="1:8" ht="28.5" customHeight="1" x14ac:dyDescent="0.2">
      <c r="A146" s="19" t="s">
        <v>9</v>
      </c>
      <c r="B146" s="242" t="s">
        <v>128</v>
      </c>
      <c r="C146" s="243"/>
      <c r="D146" s="3" t="s">
        <v>129</v>
      </c>
      <c r="E146" s="21" t="s">
        <v>9</v>
      </c>
      <c r="F146" s="20" t="s">
        <v>9</v>
      </c>
      <c r="G146" s="20" t="s">
        <v>9</v>
      </c>
      <c r="H146" s="142"/>
    </row>
    <row r="147" spans="1:8" x14ac:dyDescent="0.2">
      <c r="A147" s="19" t="s">
        <v>9</v>
      </c>
      <c r="B147" s="240" t="s">
        <v>130</v>
      </c>
      <c r="C147" s="241"/>
      <c r="D147" s="177" t="s">
        <v>129</v>
      </c>
      <c r="E147" s="21" t="s">
        <v>9</v>
      </c>
      <c r="F147" s="20" t="s">
        <v>9</v>
      </c>
      <c r="G147" s="20" t="s">
        <v>9</v>
      </c>
      <c r="H147" s="142"/>
    </row>
    <row r="148" spans="1:8" x14ac:dyDescent="0.2">
      <c r="A148" s="19" t="s">
        <v>9</v>
      </c>
      <c r="B148" s="240" t="s">
        <v>131</v>
      </c>
      <c r="C148" s="241"/>
      <c r="D148" s="182" t="s">
        <v>9</v>
      </c>
      <c r="E148" s="21" t="s">
        <v>9</v>
      </c>
      <c r="F148" s="20" t="s">
        <v>9</v>
      </c>
      <c r="G148" s="20" t="s">
        <v>9</v>
      </c>
      <c r="H148" s="142"/>
    </row>
    <row r="149" spans="1:8" ht="25.5" x14ac:dyDescent="0.2">
      <c r="A149" s="25" t="s">
        <v>9</v>
      </c>
      <c r="B149" s="23" t="s">
        <v>9</v>
      </c>
      <c r="C149" s="23" t="s">
        <v>132</v>
      </c>
      <c r="D149" s="23" t="s">
        <v>133</v>
      </c>
      <c r="E149" s="25" t="s">
        <v>9</v>
      </c>
      <c r="F149" s="25" t="s">
        <v>9</v>
      </c>
      <c r="G149" s="25" t="s">
        <v>9</v>
      </c>
      <c r="H149" s="142"/>
    </row>
    <row r="150" spans="1:8" x14ac:dyDescent="0.2">
      <c r="A150" s="25" t="s">
        <v>9</v>
      </c>
      <c r="B150" s="23" t="s">
        <v>134</v>
      </c>
      <c r="C150" s="23" t="s">
        <v>135</v>
      </c>
      <c r="D150" s="23" t="s">
        <v>136</v>
      </c>
      <c r="E150" s="25" t="s">
        <v>9</v>
      </c>
      <c r="F150" s="25" t="s">
        <v>9</v>
      </c>
      <c r="G150" s="25" t="s">
        <v>9</v>
      </c>
      <c r="H150" s="142"/>
    </row>
    <row r="151" spans="1:8" x14ac:dyDescent="0.2">
      <c r="A151" s="25" t="s">
        <v>9</v>
      </c>
      <c r="B151" s="183" t="s">
        <v>137</v>
      </c>
      <c r="C151" s="184">
        <v>9.7559000000000005</v>
      </c>
      <c r="D151" s="184">
        <v>10.3445</v>
      </c>
      <c r="E151" s="25" t="s">
        <v>9</v>
      </c>
      <c r="F151" s="73" t="s">
        <v>9</v>
      </c>
      <c r="G151" s="25" t="s">
        <v>9</v>
      </c>
      <c r="H151" s="142"/>
    </row>
    <row r="152" spans="1:8" x14ac:dyDescent="0.2">
      <c r="A152" s="25" t="s">
        <v>9</v>
      </c>
      <c r="B152" s="183" t="s">
        <v>921</v>
      </c>
      <c r="C152" s="184">
        <v>9.7559000000000005</v>
      </c>
      <c r="D152" s="184">
        <v>10.3445</v>
      </c>
      <c r="E152" s="25" t="s">
        <v>9</v>
      </c>
      <c r="F152" s="73" t="s">
        <v>9</v>
      </c>
      <c r="G152" s="25" t="s">
        <v>9</v>
      </c>
      <c r="H152" s="142"/>
    </row>
    <row r="153" spans="1:8" x14ac:dyDescent="0.2">
      <c r="A153" s="25" t="s">
        <v>9</v>
      </c>
      <c r="B153" s="183" t="s">
        <v>138</v>
      </c>
      <c r="C153" s="184">
        <v>9.4002999999999997</v>
      </c>
      <c r="D153" s="184">
        <v>9.9657999999999998</v>
      </c>
      <c r="E153" s="25" t="s">
        <v>9</v>
      </c>
      <c r="F153" s="73" t="s">
        <v>9</v>
      </c>
      <c r="G153" s="25" t="s">
        <v>9</v>
      </c>
      <c r="H153" s="142"/>
    </row>
    <row r="154" spans="1:8" x14ac:dyDescent="0.2">
      <c r="A154" s="25" t="s">
        <v>9</v>
      </c>
      <c r="B154" s="183" t="s">
        <v>922</v>
      </c>
      <c r="C154" s="184">
        <v>9.4001999999999999</v>
      </c>
      <c r="D154" s="184">
        <v>9.9657999999999998</v>
      </c>
      <c r="E154" s="25" t="s">
        <v>9</v>
      </c>
      <c r="F154" s="73" t="s">
        <v>9</v>
      </c>
      <c r="G154" s="25" t="s">
        <v>9</v>
      </c>
      <c r="H154" s="142"/>
    </row>
    <row r="155" spans="1:8" x14ac:dyDescent="0.2">
      <c r="A155" s="25" t="s">
        <v>9</v>
      </c>
      <c r="B155" s="22" t="s">
        <v>9</v>
      </c>
      <c r="C155" s="22" t="s">
        <v>9</v>
      </c>
      <c r="D155" s="22" t="s">
        <v>9</v>
      </c>
      <c r="E155" s="25" t="s">
        <v>9</v>
      </c>
      <c r="F155" s="25" t="s">
        <v>9</v>
      </c>
      <c r="G155" s="25" t="s">
        <v>9</v>
      </c>
      <c r="H155" s="142"/>
    </row>
    <row r="156" spans="1:8" x14ac:dyDescent="0.2">
      <c r="A156" s="25" t="s">
        <v>9</v>
      </c>
      <c r="B156" s="240" t="s">
        <v>1012</v>
      </c>
      <c r="C156" s="241"/>
      <c r="D156" s="177" t="s">
        <v>129</v>
      </c>
      <c r="E156" s="25" t="s">
        <v>9</v>
      </c>
      <c r="F156" s="25" t="s">
        <v>9</v>
      </c>
      <c r="G156" s="25" t="s">
        <v>9</v>
      </c>
      <c r="H156" s="142"/>
    </row>
    <row r="157" spans="1:8" x14ac:dyDescent="0.2">
      <c r="A157" s="25" t="s">
        <v>9</v>
      </c>
      <c r="B157" s="98"/>
      <c r="C157" s="98"/>
      <c r="D157" s="26" t="s">
        <v>9</v>
      </c>
      <c r="E157" s="25" t="s">
        <v>9</v>
      </c>
      <c r="F157" s="25" t="s">
        <v>9</v>
      </c>
      <c r="G157" s="25" t="s">
        <v>9</v>
      </c>
      <c r="H157" s="142"/>
    </row>
    <row r="158" spans="1:8" s="238" customFormat="1" ht="12.75" x14ac:dyDescent="0.2">
      <c r="B158" s="246" t="s">
        <v>923</v>
      </c>
      <c r="C158" s="246"/>
      <c r="D158" s="246"/>
      <c r="E158" s="246"/>
      <c r="F158" s="246"/>
    </row>
    <row r="159" spans="1:8" x14ac:dyDescent="0.2">
      <c r="A159" s="25" t="s">
        <v>9</v>
      </c>
      <c r="B159" s="185" t="s">
        <v>9</v>
      </c>
      <c r="C159" s="185" t="s">
        <v>9</v>
      </c>
      <c r="D159" s="22" t="s">
        <v>9</v>
      </c>
      <c r="E159" s="25" t="s">
        <v>9</v>
      </c>
      <c r="F159" s="25" t="s">
        <v>9</v>
      </c>
      <c r="G159" s="25" t="s">
        <v>9</v>
      </c>
      <c r="H159" s="142"/>
    </row>
    <row r="160" spans="1:8" x14ac:dyDescent="0.2">
      <c r="A160" s="25" t="s">
        <v>9</v>
      </c>
      <c r="B160" s="240" t="s">
        <v>139</v>
      </c>
      <c r="C160" s="241"/>
      <c r="D160" s="177" t="s">
        <v>129</v>
      </c>
      <c r="E160" s="25" t="s">
        <v>9</v>
      </c>
      <c r="F160" s="25" t="s">
        <v>9</v>
      </c>
      <c r="G160" s="25" t="s">
        <v>9</v>
      </c>
      <c r="H160" s="142"/>
    </row>
    <row r="161" spans="1:8" x14ac:dyDescent="0.2">
      <c r="A161" s="25" t="s">
        <v>9</v>
      </c>
      <c r="B161" s="240" t="s">
        <v>140</v>
      </c>
      <c r="C161" s="241"/>
      <c r="D161" s="177" t="s">
        <v>129</v>
      </c>
      <c r="E161" s="25" t="s">
        <v>9</v>
      </c>
      <c r="F161" s="25" t="s">
        <v>9</v>
      </c>
      <c r="G161" s="25" t="s">
        <v>9</v>
      </c>
      <c r="H161" s="142"/>
    </row>
    <row r="162" spans="1:8" x14ac:dyDescent="0.2">
      <c r="A162" s="25" t="s">
        <v>9</v>
      </c>
      <c r="B162" s="240" t="s">
        <v>141</v>
      </c>
      <c r="C162" s="241"/>
      <c r="D162" s="186">
        <v>0.43242602562929555</v>
      </c>
      <c r="E162" s="25" t="s">
        <v>9</v>
      </c>
      <c r="F162" s="73" t="s">
        <v>9</v>
      </c>
      <c r="G162" s="25" t="s">
        <v>9</v>
      </c>
      <c r="H162" s="142"/>
    </row>
    <row r="163" spans="1:8" x14ac:dyDescent="0.2">
      <c r="A163" s="25" t="s">
        <v>9</v>
      </c>
      <c r="B163" s="240" t="s">
        <v>142</v>
      </c>
      <c r="C163" s="241"/>
      <c r="D163" s="177" t="s">
        <v>129</v>
      </c>
      <c r="E163" s="25" t="s">
        <v>9</v>
      </c>
      <c r="F163" s="25" t="s">
        <v>9</v>
      </c>
      <c r="G163" s="25" t="s">
        <v>9</v>
      </c>
      <c r="H163" s="142"/>
    </row>
  </sheetData>
  <mergeCells count="15">
    <mergeCell ref="B145:C145"/>
    <mergeCell ref="B142:F142"/>
    <mergeCell ref="B143:F143"/>
    <mergeCell ref="A1:H1"/>
    <mergeCell ref="A2:H2"/>
    <mergeCell ref="A3:H3"/>
    <mergeCell ref="B162:C162"/>
    <mergeCell ref="B163:C163"/>
    <mergeCell ref="B146:C146"/>
    <mergeCell ref="B147:C147"/>
    <mergeCell ref="B148:C148"/>
    <mergeCell ref="B156:C156"/>
    <mergeCell ref="B160:C160"/>
    <mergeCell ref="B161:C161"/>
    <mergeCell ref="B158:F158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outlinePr summaryBelow="0" summaryRight="0"/>
  </sheetPr>
  <dimension ref="A1:H146"/>
  <sheetViews>
    <sheetView showGridLines="0" workbookViewId="0">
      <selection activeCell="J1" sqref="J1"/>
    </sheetView>
  </sheetViews>
  <sheetFormatPr defaultRowHeight="15" x14ac:dyDescent="0.2"/>
  <cols>
    <col min="1" max="1" width="6.85546875" style="155" customWidth="1"/>
    <col min="2" max="2" width="20.5703125" style="155" customWidth="1"/>
    <col min="3" max="3" width="34.28515625" style="155" customWidth="1"/>
    <col min="4" max="4" width="17.85546875" style="155" customWidth="1"/>
    <col min="5" max="6" width="19.140625" style="155" customWidth="1"/>
    <col min="7" max="7" width="16.42578125" style="155" customWidth="1"/>
    <col min="8" max="16384" width="9.140625" style="155"/>
  </cols>
  <sheetData>
    <row r="1" spans="1:8" x14ac:dyDescent="0.2">
      <c r="A1" s="250" t="s">
        <v>0</v>
      </c>
      <c r="B1" s="250"/>
      <c r="C1" s="250"/>
      <c r="D1" s="250"/>
      <c r="E1" s="250"/>
      <c r="F1" s="250"/>
      <c r="G1" s="250"/>
      <c r="H1" s="250"/>
    </row>
    <row r="2" spans="1:8" x14ac:dyDescent="0.2">
      <c r="A2" s="251" t="s">
        <v>503</v>
      </c>
      <c r="B2" s="252"/>
      <c r="C2" s="252"/>
      <c r="D2" s="252"/>
      <c r="E2" s="252"/>
      <c r="F2" s="252"/>
      <c r="G2" s="252"/>
      <c r="H2" s="253"/>
    </row>
    <row r="3" spans="1:8" x14ac:dyDescent="0.2">
      <c r="A3" s="250" t="s">
        <v>1015</v>
      </c>
      <c r="B3" s="250"/>
      <c r="C3" s="250"/>
      <c r="D3" s="250"/>
      <c r="E3" s="250"/>
      <c r="F3" s="250"/>
      <c r="G3" s="250"/>
      <c r="H3" s="250"/>
    </row>
    <row r="4" spans="1:8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60" t="s">
        <v>6</v>
      </c>
      <c r="F4" s="160" t="s">
        <v>7</v>
      </c>
      <c r="G4" s="160" t="s">
        <v>8</v>
      </c>
      <c r="H4" s="161" t="s">
        <v>909</v>
      </c>
    </row>
    <row r="5" spans="1:8" x14ac:dyDescent="0.2">
      <c r="A5" s="15" t="s">
        <v>9</v>
      </c>
      <c r="B5" s="15" t="s">
        <v>9</v>
      </c>
      <c r="C5" s="3" t="s">
        <v>10</v>
      </c>
      <c r="D5" s="15" t="s">
        <v>9</v>
      </c>
      <c r="E5" s="15" t="s">
        <v>9</v>
      </c>
      <c r="F5" s="15" t="s">
        <v>9</v>
      </c>
      <c r="G5" s="15" t="s">
        <v>9</v>
      </c>
      <c r="H5" s="100"/>
    </row>
    <row r="6" spans="1:8" ht="25.5" x14ac:dyDescent="0.2">
      <c r="A6" s="15" t="s">
        <v>9</v>
      </c>
      <c r="B6" s="15" t="s">
        <v>9</v>
      </c>
      <c r="C6" s="3" t="s">
        <v>11</v>
      </c>
      <c r="D6" s="15" t="s">
        <v>9</v>
      </c>
      <c r="E6" s="15" t="s">
        <v>9</v>
      </c>
      <c r="F6" s="15" t="s">
        <v>9</v>
      </c>
      <c r="G6" s="15" t="s">
        <v>9</v>
      </c>
      <c r="H6" s="100"/>
    </row>
    <row r="7" spans="1:8" x14ac:dyDescent="0.2">
      <c r="A7" s="4">
        <v>1</v>
      </c>
      <c r="B7" s="5" t="s">
        <v>293</v>
      </c>
      <c r="C7" s="5" t="s">
        <v>294</v>
      </c>
      <c r="D7" s="5" t="s">
        <v>172</v>
      </c>
      <c r="E7" s="6">
        <v>13562</v>
      </c>
      <c r="F7" s="7">
        <v>433.64494999999999</v>
      </c>
      <c r="G7" s="8">
        <v>3.9526607999999998E-2</v>
      </c>
      <c r="H7" s="100"/>
    </row>
    <row r="8" spans="1:8" x14ac:dyDescent="0.2">
      <c r="A8" s="4">
        <v>2</v>
      </c>
      <c r="B8" s="5" t="s">
        <v>289</v>
      </c>
      <c r="C8" s="5" t="s">
        <v>290</v>
      </c>
      <c r="D8" s="5" t="s">
        <v>1009</v>
      </c>
      <c r="E8" s="6">
        <v>48030</v>
      </c>
      <c r="F8" s="7">
        <v>430.30077</v>
      </c>
      <c r="G8" s="8">
        <v>3.9221787000000001E-2</v>
      </c>
      <c r="H8" s="100"/>
    </row>
    <row r="9" spans="1:8" ht="25.5" x14ac:dyDescent="0.2">
      <c r="A9" s="4">
        <v>3</v>
      </c>
      <c r="B9" s="5" t="s">
        <v>18</v>
      </c>
      <c r="C9" s="5" t="s">
        <v>19</v>
      </c>
      <c r="D9" s="5" t="s">
        <v>1001</v>
      </c>
      <c r="E9" s="6">
        <v>41730</v>
      </c>
      <c r="F9" s="7">
        <v>411.24914999999999</v>
      </c>
      <c r="G9" s="8">
        <v>3.7485237999999997E-2</v>
      </c>
      <c r="H9" s="100"/>
    </row>
    <row r="10" spans="1:8" x14ac:dyDescent="0.2">
      <c r="A10" s="4">
        <v>4</v>
      </c>
      <c r="B10" s="5" t="s">
        <v>305</v>
      </c>
      <c r="C10" s="5" t="s">
        <v>306</v>
      </c>
      <c r="D10" s="5" t="s">
        <v>1005</v>
      </c>
      <c r="E10" s="6">
        <v>13296</v>
      </c>
      <c r="F10" s="7">
        <v>384.48043200000001</v>
      </c>
      <c r="G10" s="8">
        <v>3.5045277E-2</v>
      </c>
      <c r="H10" s="100"/>
    </row>
    <row r="11" spans="1:8" ht="25.5" x14ac:dyDescent="0.2">
      <c r="A11" s="4">
        <v>5</v>
      </c>
      <c r="B11" s="5" t="s">
        <v>34</v>
      </c>
      <c r="C11" s="5" t="s">
        <v>35</v>
      </c>
      <c r="D11" s="5" t="s">
        <v>1001</v>
      </c>
      <c r="E11" s="6">
        <v>13448</v>
      </c>
      <c r="F11" s="7">
        <v>377.40467200000001</v>
      </c>
      <c r="G11" s="8">
        <v>3.4400324000000003E-2</v>
      </c>
      <c r="H11" s="100"/>
    </row>
    <row r="12" spans="1:8" ht="25.5" x14ac:dyDescent="0.2">
      <c r="A12" s="4">
        <v>6</v>
      </c>
      <c r="B12" s="5" t="s">
        <v>324</v>
      </c>
      <c r="C12" s="5" t="s">
        <v>325</v>
      </c>
      <c r="D12" s="5" t="s">
        <v>58</v>
      </c>
      <c r="E12" s="6">
        <v>90854</v>
      </c>
      <c r="F12" s="7">
        <v>349.697046</v>
      </c>
      <c r="G12" s="8">
        <v>3.1874781999999997E-2</v>
      </c>
      <c r="H12" s="100"/>
    </row>
    <row r="13" spans="1:8" ht="25.5" x14ac:dyDescent="0.2">
      <c r="A13" s="4">
        <v>7</v>
      </c>
      <c r="B13" s="5" t="s">
        <v>287</v>
      </c>
      <c r="C13" s="5" t="s">
        <v>288</v>
      </c>
      <c r="D13" s="5" t="s">
        <v>156</v>
      </c>
      <c r="E13" s="6">
        <v>58856</v>
      </c>
      <c r="F13" s="7">
        <v>336.50918000000001</v>
      </c>
      <c r="G13" s="8">
        <v>3.0672712000000001E-2</v>
      </c>
      <c r="H13" s="100"/>
    </row>
    <row r="14" spans="1:8" ht="25.5" x14ac:dyDescent="0.2">
      <c r="A14" s="4">
        <v>8</v>
      </c>
      <c r="B14" s="5" t="s">
        <v>346</v>
      </c>
      <c r="C14" s="5" t="s">
        <v>939</v>
      </c>
      <c r="D14" s="5" t="s">
        <v>73</v>
      </c>
      <c r="E14" s="6">
        <v>49334</v>
      </c>
      <c r="F14" s="7">
        <v>330.29113000000001</v>
      </c>
      <c r="G14" s="8">
        <v>3.0105937999999999E-2</v>
      </c>
      <c r="H14" s="100"/>
    </row>
    <row r="15" spans="1:8" x14ac:dyDescent="0.2">
      <c r="A15" s="4">
        <v>9</v>
      </c>
      <c r="B15" s="5" t="s">
        <v>295</v>
      </c>
      <c r="C15" s="5" t="s">
        <v>296</v>
      </c>
      <c r="D15" s="5" t="s">
        <v>151</v>
      </c>
      <c r="E15" s="6">
        <v>13645</v>
      </c>
      <c r="F15" s="7">
        <v>287.36369999999999</v>
      </c>
      <c r="G15" s="8">
        <v>2.6193115999999999E-2</v>
      </c>
      <c r="H15" s="100"/>
    </row>
    <row r="16" spans="1:8" x14ac:dyDescent="0.2">
      <c r="A16" s="4">
        <v>10</v>
      </c>
      <c r="B16" s="5" t="s">
        <v>309</v>
      </c>
      <c r="C16" s="5" t="s">
        <v>310</v>
      </c>
      <c r="D16" s="5" t="s">
        <v>58</v>
      </c>
      <c r="E16" s="6">
        <v>12017</v>
      </c>
      <c r="F16" s="7">
        <v>266.95164649999998</v>
      </c>
      <c r="G16" s="8">
        <v>2.4332563000000001E-2</v>
      </c>
      <c r="H16" s="100"/>
    </row>
    <row r="17" spans="1:8" x14ac:dyDescent="0.2">
      <c r="A17" s="4">
        <v>11</v>
      </c>
      <c r="B17" s="5" t="s">
        <v>330</v>
      </c>
      <c r="C17" s="5" t="s">
        <v>331</v>
      </c>
      <c r="D17" s="5" t="s">
        <v>272</v>
      </c>
      <c r="E17" s="6">
        <v>34108</v>
      </c>
      <c r="F17" s="7">
        <v>264.91683599999999</v>
      </c>
      <c r="G17" s="8">
        <v>2.4147090999999999E-2</v>
      </c>
      <c r="H17" s="100"/>
    </row>
    <row r="18" spans="1:8" x14ac:dyDescent="0.2">
      <c r="A18" s="4">
        <v>12</v>
      </c>
      <c r="B18" s="5" t="s">
        <v>328</v>
      </c>
      <c r="C18" s="5" t="s">
        <v>953</v>
      </c>
      <c r="D18" s="5" t="s">
        <v>28</v>
      </c>
      <c r="E18" s="6">
        <v>4936</v>
      </c>
      <c r="F18" s="7">
        <v>258.32062400000001</v>
      </c>
      <c r="G18" s="8">
        <v>2.3545848000000001E-2</v>
      </c>
      <c r="H18" s="100"/>
    </row>
    <row r="19" spans="1:8" x14ac:dyDescent="0.2">
      <c r="A19" s="4">
        <v>13</v>
      </c>
      <c r="B19" s="5" t="s">
        <v>382</v>
      </c>
      <c r="C19" s="5" t="s">
        <v>383</v>
      </c>
      <c r="D19" s="5" t="s">
        <v>1009</v>
      </c>
      <c r="E19" s="6">
        <v>2286</v>
      </c>
      <c r="F19" s="7">
        <v>252.41211899999999</v>
      </c>
      <c r="G19" s="8">
        <v>2.300729E-2</v>
      </c>
      <c r="H19" s="100"/>
    </row>
    <row r="20" spans="1:8" ht="25.5" x14ac:dyDescent="0.2">
      <c r="A20" s="4">
        <v>14</v>
      </c>
      <c r="B20" s="5" t="s">
        <v>326</v>
      </c>
      <c r="C20" s="5" t="s">
        <v>327</v>
      </c>
      <c r="D20" s="5" t="s">
        <v>73</v>
      </c>
      <c r="E20" s="6">
        <v>25318</v>
      </c>
      <c r="F20" s="7">
        <v>240.66024899999999</v>
      </c>
      <c r="G20" s="8">
        <v>2.1936110000000002E-2</v>
      </c>
      <c r="H20" s="100"/>
    </row>
    <row r="21" spans="1:8" x14ac:dyDescent="0.2">
      <c r="A21" s="4">
        <v>15</v>
      </c>
      <c r="B21" s="5" t="s">
        <v>322</v>
      </c>
      <c r="C21" s="5" t="s">
        <v>323</v>
      </c>
      <c r="D21" s="5" t="s">
        <v>78</v>
      </c>
      <c r="E21" s="6">
        <v>46316</v>
      </c>
      <c r="F21" s="7">
        <v>235.72528199999999</v>
      </c>
      <c r="G21" s="8">
        <v>2.1486288999999999E-2</v>
      </c>
      <c r="H21" s="100"/>
    </row>
    <row r="22" spans="1:8" x14ac:dyDescent="0.2">
      <c r="A22" s="4">
        <v>16</v>
      </c>
      <c r="B22" s="5" t="s">
        <v>334</v>
      </c>
      <c r="C22" s="5" t="s">
        <v>335</v>
      </c>
      <c r="D22" s="5" t="s">
        <v>156</v>
      </c>
      <c r="E22" s="6">
        <v>57619</v>
      </c>
      <c r="F22" s="7">
        <v>233.76028299999999</v>
      </c>
      <c r="G22" s="8">
        <v>2.1307179999999998E-2</v>
      </c>
      <c r="H22" s="100"/>
    </row>
    <row r="23" spans="1:8" x14ac:dyDescent="0.2">
      <c r="A23" s="4">
        <v>17</v>
      </c>
      <c r="B23" s="5" t="s">
        <v>504</v>
      </c>
      <c r="C23" s="5" t="s">
        <v>505</v>
      </c>
      <c r="D23" s="5" t="s">
        <v>151</v>
      </c>
      <c r="E23" s="6">
        <v>5905</v>
      </c>
      <c r="F23" s="7">
        <v>229.71926250000001</v>
      </c>
      <c r="G23" s="8">
        <v>2.0938842999999999E-2</v>
      </c>
      <c r="H23" s="100"/>
    </row>
    <row r="24" spans="1:8" x14ac:dyDescent="0.2">
      <c r="A24" s="4">
        <v>18</v>
      </c>
      <c r="B24" s="5" t="s">
        <v>89</v>
      </c>
      <c r="C24" s="5" t="s">
        <v>90</v>
      </c>
      <c r="D24" s="5" t="s">
        <v>91</v>
      </c>
      <c r="E24" s="6">
        <v>202265</v>
      </c>
      <c r="F24" s="7">
        <v>227.95265499999999</v>
      </c>
      <c r="G24" s="8">
        <v>2.0777817000000001E-2</v>
      </c>
      <c r="H24" s="100"/>
    </row>
    <row r="25" spans="1:8" x14ac:dyDescent="0.2">
      <c r="A25" s="4">
        <v>19</v>
      </c>
      <c r="B25" s="5" t="s">
        <v>352</v>
      </c>
      <c r="C25" s="5" t="s">
        <v>353</v>
      </c>
      <c r="D25" s="5" t="s">
        <v>28</v>
      </c>
      <c r="E25" s="6">
        <v>36128</v>
      </c>
      <c r="F25" s="7">
        <v>220.52531200000001</v>
      </c>
      <c r="G25" s="8">
        <v>2.0100817E-2</v>
      </c>
      <c r="H25" s="100"/>
    </row>
    <row r="26" spans="1:8" ht="25.5" x14ac:dyDescent="0.2">
      <c r="A26" s="4">
        <v>20</v>
      </c>
      <c r="B26" s="5" t="s">
        <v>314</v>
      </c>
      <c r="C26" s="5" t="s">
        <v>315</v>
      </c>
      <c r="D26" s="5" t="s">
        <v>73</v>
      </c>
      <c r="E26" s="6">
        <v>43750</v>
      </c>
      <c r="F26" s="7">
        <v>215.09687500000001</v>
      </c>
      <c r="G26" s="8">
        <v>1.9606016E-2</v>
      </c>
      <c r="H26" s="100"/>
    </row>
    <row r="27" spans="1:8" ht="25.5" x14ac:dyDescent="0.2">
      <c r="A27" s="4">
        <v>21</v>
      </c>
      <c r="B27" s="5" t="s">
        <v>506</v>
      </c>
      <c r="C27" s="5" t="s">
        <v>507</v>
      </c>
      <c r="D27" s="5" t="s">
        <v>25</v>
      </c>
      <c r="E27" s="6">
        <v>11190</v>
      </c>
      <c r="F27" s="7">
        <v>210.534255</v>
      </c>
      <c r="G27" s="8">
        <v>1.9190135000000001E-2</v>
      </c>
      <c r="H27" s="100"/>
    </row>
    <row r="28" spans="1:8" x14ac:dyDescent="0.2">
      <c r="A28" s="4">
        <v>22</v>
      </c>
      <c r="B28" s="5" t="s">
        <v>350</v>
      </c>
      <c r="C28" s="5" t="s">
        <v>351</v>
      </c>
      <c r="D28" s="5" t="s">
        <v>1006</v>
      </c>
      <c r="E28" s="6">
        <v>46262</v>
      </c>
      <c r="F28" s="7">
        <v>210.006349</v>
      </c>
      <c r="G28" s="8">
        <v>1.9142016000000001E-2</v>
      </c>
      <c r="H28" s="100"/>
    </row>
    <row r="29" spans="1:8" x14ac:dyDescent="0.2">
      <c r="A29" s="4">
        <v>23</v>
      </c>
      <c r="B29" s="5" t="s">
        <v>362</v>
      </c>
      <c r="C29" s="5" t="s">
        <v>363</v>
      </c>
      <c r="D29" s="5" t="s">
        <v>364</v>
      </c>
      <c r="E29" s="6">
        <v>28209</v>
      </c>
      <c r="F29" s="7">
        <v>209.28257099999999</v>
      </c>
      <c r="G29" s="8">
        <v>1.9076044E-2</v>
      </c>
      <c r="H29" s="100"/>
    </row>
    <row r="30" spans="1:8" x14ac:dyDescent="0.2">
      <c r="A30" s="4">
        <v>24</v>
      </c>
      <c r="B30" s="5" t="s">
        <v>297</v>
      </c>
      <c r="C30" s="5" t="s">
        <v>928</v>
      </c>
      <c r="D30" s="5" t="s">
        <v>22</v>
      </c>
      <c r="E30" s="6">
        <v>254142</v>
      </c>
      <c r="F30" s="7">
        <v>203.56774200000001</v>
      </c>
      <c r="G30" s="8">
        <v>1.8555138999999998E-2</v>
      </c>
      <c r="H30" s="100"/>
    </row>
    <row r="31" spans="1:8" x14ac:dyDescent="0.2">
      <c r="A31" s="4">
        <v>25</v>
      </c>
      <c r="B31" s="5" t="s">
        <v>318</v>
      </c>
      <c r="C31" s="5" t="s">
        <v>319</v>
      </c>
      <c r="D31" s="5" t="s">
        <v>22</v>
      </c>
      <c r="E31" s="6">
        <v>120386</v>
      </c>
      <c r="F31" s="7">
        <v>200.74365499999999</v>
      </c>
      <c r="G31" s="8">
        <v>1.8297725000000001E-2</v>
      </c>
      <c r="H31" s="100"/>
    </row>
    <row r="32" spans="1:8" x14ac:dyDescent="0.2">
      <c r="A32" s="4">
        <v>26</v>
      </c>
      <c r="B32" s="5" t="s">
        <v>200</v>
      </c>
      <c r="C32" s="5" t="s">
        <v>201</v>
      </c>
      <c r="D32" s="5" t="s">
        <v>1003</v>
      </c>
      <c r="E32" s="6">
        <v>30220</v>
      </c>
      <c r="F32" s="7">
        <v>189.87226000000001</v>
      </c>
      <c r="G32" s="8">
        <v>1.7306800000000001E-2</v>
      </c>
      <c r="H32" s="100"/>
    </row>
    <row r="33" spans="1:8" ht="25.5" x14ac:dyDescent="0.2">
      <c r="A33" s="4">
        <v>27</v>
      </c>
      <c r="B33" s="5" t="s">
        <v>508</v>
      </c>
      <c r="C33" s="5" t="s">
        <v>509</v>
      </c>
      <c r="D33" s="5" t="s">
        <v>73</v>
      </c>
      <c r="E33" s="6">
        <v>736</v>
      </c>
      <c r="F33" s="7">
        <v>187.95931200000001</v>
      </c>
      <c r="G33" s="8">
        <v>1.7132435000000001E-2</v>
      </c>
      <c r="H33" s="100"/>
    </row>
    <row r="34" spans="1:8" x14ac:dyDescent="0.2">
      <c r="A34" s="4">
        <v>28</v>
      </c>
      <c r="B34" s="5" t="s">
        <v>358</v>
      </c>
      <c r="C34" s="5" t="s">
        <v>359</v>
      </c>
      <c r="D34" s="5" t="s">
        <v>156</v>
      </c>
      <c r="E34" s="6">
        <v>16027</v>
      </c>
      <c r="F34" s="7">
        <v>180.6803845</v>
      </c>
      <c r="G34" s="8">
        <v>1.6468963E-2</v>
      </c>
      <c r="H34" s="100"/>
    </row>
    <row r="35" spans="1:8" x14ac:dyDescent="0.2">
      <c r="A35" s="4">
        <v>29</v>
      </c>
      <c r="B35" s="5" t="s">
        <v>378</v>
      </c>
      <c r="C35" s="5" t="s">
        <v>379</v>
      </c>
      <c r="D35" s="5" t="s">
        <v>151</v>
      </c>
      <c r="E35" s="6">
        <v>9404</v>
      </c>
      <c r="F35" s="7">
        <v>165.961792</v>
      </c>
      <c r="G35" s="8">
        <v>1.5127368E-2</v>
      </c>
      <c r="H35" s="100"/>
    </row>
    <row r="36" spans="1:8" x14ac:dyDescent="0.2">
      <c r="A36" s="4">
        <v>30</v>
      </c>
      <c r="B36" s="5" t="s">
        <v>311</v>
      </c>
      <c r="C36" s="5" t="s">
        <v>312</v>
      </c>
      <c r="D36" s="5" t="s">
        <v>313</v>
      </c>
      <c r="E36" s="6">
        <v>6566</v>
      </c>
      <c r="F36" s="7">
        <v>164.914939</v>
      </c>
      <c r="G36" s="8">
        <v>1.5031948E-2</v>
      </c>
      <c r="H36" s="100"/>
    </row>
    <row r="37" spans="1:8" x14ac:dyDescent="0.2">
      <c r="A37" s="4">
        <v>31</v>
      </c>
      <c r="B37" s="5" t="s">
        <v>510</v>
      </c>
      <c r="C37" s="5" t="s">
        <v>511</v>
      </c>
      <c r="D37" s="5" t="s">
        <v>58</v>
      </c>
      <c r="E37" s="6">
        <v>73074</v>
      </c>
      <c r="F37" s="7">
        <v>163.02809400000001</v>
      </c>
      <c r="G37" s="8">
        <v>1.4859962000000001E-2</v>
      </c>
      <c r="H37" s="100"/>
    </row>
    <row r="38" spans="1:8" x14ac:dyDescent="0.2">
      <c r="A38" s="4">
        <v>32</v>
      </c>
      <c r="B38" s="5" t="s">
        <v>367</v>
      </c>
      <c r="C38" s="5" t="s">
        <v>368</v>
      </c>
      <c r="D38" s="5" t="s">
        <v>22</v>
      </c>
      <c r="E38" s="6">
        <v>242668</v>
      </c>
      <c r="F38" s="7">
        <v>161.98088999999999</v>
      </c>
      <c r="G38" s="8">
        <v>1.476451E-2</v>
      </c>
      <c r="H38" s="100"/>
    </row>
    <row r="39" spans="1:8" x14ac:dyDescent="0.2">
      <c r="A39" s="4">
        <v>33</v>
      </c>
      <c r="B39" s="5" t="s">
        <v>83</v>
      </c>
      <c r="C39" s="5" t="s">
        <v>84</v>
      </c>
      <c r="D39" s="5" t="s">
        <v>28</v>
      </c>
      <c r="E39" s="6">
        <v>17948</v>
      </c>
      <c r="F39" s="7">
        <v>150.332448</v>
      </c>
      <c r="G39" s="8">
        <v>1.3702758000000001E-2</v>
      </c>
      <c r="H39" s="100"/>
    </row>
    <row r="40" spans="1:8" x14ac:dyDescent="0.2">
      <c r="A40" s="4">
        <v>34</v>
      </c>
      <c r="B40" s="5" t="s">
        <v>512</v>
      </c>
      <c r="C40" s="5" t="s">
        <v>513</v>
      </c>
      <c r="D40" s="5" t="s">
        <v>156</v>
      </c>
      <c r="E40" s="6">
        <v>170652</v>
      </c>
      <c r="F40" s="7">
        <v>148.55256600000001</v>
      </c>
      <c r="G40" s="8">
        <v>1.3540521999999999E-2</v>
      </c>
      <c r="H40" s="100"/>
    </row>
    <row r="41" spans="1:8" x14ac:dyDescent="0.2">
      <c r="A41" s="4">
        <v>35</v>
      </c>
      <c r="B41" s="5" t="s">
        <v>514</v>
      </c>
      <c r="C41" s="5" t="s">
        <v>515</v>
      </c>
      <c r="D41" s="5" t="s">
        <v>188</v>
      </c>
      <c r="E41" s="6">
        <v>12225</v>
      </c>
      <c r="F41" s="7">
        <v>143.26477499999999</v>
      </c>
      <c r="G41" s="8">
        <v>1.3058541999999999E-2</v>
      </c>
      <c r="H41" s="100"/>
    </row>
    <row r="42" spans="1:8" x14ac:dyDescent="0.2">
      <c r="A42" s="4">
        <v>36</v>
      </c>
      <c r="B42" s="5" t="s">
        <v>438</v>
      </c>
      <c r="C42" s="5" t="s">
        <v>390</v>
      </c>
      <c r="D42" s="5" t="s">
        <v>272</v>
      </c>
      <c r="E42" s="6">
        <v>80062</v>
      </c>
      <c r="F42" s="7">
        <v>140.10849999999999</v>
      </c>
      <c r="G42" s="8">
        <v>1.2770848E-2</v>
      </c>
      <c r="H42" s="100"/>
    </row>
    <row r="43" spans="1:8" ht="25.5" x14ac:dyDescent="0.2">
      <c r="A43" s="4">
        <v>37</v>
      </c>
      <c r="B43" s="5" t="s">
        <v>419</v>
      </c>
      <c r="C43" s="5" t="s">
        <v>420</v>
      </c>
      <c r="D43" s="5" t="s">
        <v>1009</v>
      </c>
      <c r="E43" s="6">
        <v>9741</v>
      </c>
      <c r="F43" s="7">
        <v>137.73774</v>
      </c>
      <c r="G43" s="8">
        <v>1.2554754E-2</v>
      </c>
      <c r="H43" s="100"/>
    </row>
    <row r="44" spans="1:8" x14ac:dyDescent="0.2">
      <c r="A44" s="4">
        <v>38</v>
      </c>
      <c r="B44" s="5" t="s">
        <v>291</v>
      </c>
      <c r="C44" s="5" t="s">
        <v>292</v>
      </c>
      <c r="D44" s="5" t="s">
        <v>163</v>
      </c>
      <c r="E44" s="6">
        <v>4127</v>
      </c>
      <c r="F44" s="7">
        <v>129.08224250000001</v>
      </c>
      <c r="G44" s="8">
        <v>1.1765808000000001E-2</v>
      </c>
      <c r="H44" s="100"/>
    </row>
    <row r="45" spans="1:8" x14ac:dyDescent="0.2">
      <c r="A45" s="4">
        <v>39</v>
      </c>
      <c r="B45" s="5" t="s">
        <v>299</v>
      </c>
      <c r="C45" s="5" t="s">
        <v>300</v>
      </c>
      <c r="D45" s="5" t="s">
        <v>193</v>
      </c>
      <c r="E45" s="6">
        <v>14220</v>
      </c>
      <c r="F45" s="7">
        <v>127.46097</v>
      </c>
      <c r="G45" s="8">
        <v>1.161803E-2</v>
      </c>
      <c r="H45" s="100"/>
    </row>
    <row r="46" spans="1:8" x14ac:dyDescent="0.2">
      <c r="A46" s="4">
        <v>40</v>
      </c>
      <c r="B46" s="5" t="s">
        <v>229</v>
      </c>
      <c r="C46" s="5" t="s">
        <v>230</v>
      </c>
      <c r="D46" s="5" t="s">
        <v>193</v>
      </c>
      <c r="E46" s="6">
        <v>9128</v>
      </c>
      <c r="F46" s="7">
        <v>127.367548</v>
      </c>
      <c r="G46" s="8">
        <v>1.1609514E-2</v>
      </c>
      <c r="H46" s="100"/>
    </row>
    <row r="47" spans="1:8" ht="25.5" x14ac:dyDescent="0.2">
      <c r="A47" s="4">
        <v>41</v>
      </c>
      <c r="B47" s="5" t="s">
        <v>348</v>
      </c>
      <c r="C47" s="5" t="s">
        <v>349</v>
      </c>
      <c r="D47" s="5" t="s">
        <v>156</v>
      </c>
      <c r="E47" s="6">
        <v>75790</v>
      </c>
      <c r="F47" s="7">
        <v>122.666115</v>
      </c>
      <c r="G47" s="8">
        <v>1.118098E-2</v>
      </c>
      <c r="H47" s="100"/>
    </row>
    <row r="48" spans="1:8" x14ac:dyDescent="0.2">
      <c r="A48" s="4">
        <v>42</v>
      </c>
      <c r="B48" s="5" t="s">
        <v>307</v>
      </c>
      <c r="C48" s="5" t="s">
        <v>308</v>
      </c>
      <c r="D48" s="5" t="s">
        <v>193</v>
      </c>
      <c r="E48" s="6">
        <v>5573</v>
      </c>
      <c r="F48" s="7">
        <v>117.328369</v>
      </c>
      <c r="G48" s="8">
        <v>1.0694446E-2</v>
      </c>
      <c r="H48" s="100"/>
    </row>
    <row r="49" spans="1:8" x14ac:dyDescent="0.2">
      <c r="A49" s="4">
        <v>43</v>
      </c>
      <c r="B49" s="5" t="s">
        <v>48</v>
      </c>
      <c r="C49" s="5" t="s">
        <v>49</v>
      </c>
      <c r="D49" s="5" t="s">
        <v>28</v>
      </c>
      <c r="E49" s="6">
        <v>8318</v>
      </c>
      <c r="F49" s="7">
        <v>116.797197</v>
      </c>
      <c r="G49" s="8">
        <v>1.0646030000000001E-2</v>
      </c>
      <c r="H49" s="100"/>
    </row>
    <row r="50" spans="1:8" x14ac:dyDescent="0.2">
      <c r="A50" s="4">
        <v>44</v>
      </c>
      <c r="B50" s="5" t="s">
        <v>475</v>
      </c>
      <c r="C50" s="5" t="s">
        <v>476</v>
      </c>
      <c r="D50" s="5" t="s">
        <v>17</v>
      </c>
      <c r="E50" s="6">
        <v>90354</v>
      </c>
      <c r="F50" s="7">
        <v>113.620155</v>
      </c>
      <c r="G50" s="8">
        <v>1.0356443E-2</v>
      </c>
      <c r="H50" s="100"/>
    </row>
    <row r="51" spans="1:8" x14ac:dyDescent="0.2">
      <c r="A51" s="4">
        <v>45</v>
      </c>
      <c r="B51" s="5" t="s">
        <v>369</v>
      </c>
      <c r="C51" s="5" t="s">
        <v>954</v>
      </c>
      <c r="D51" s="5" t="s">
        <v>163</v>
      </c>
      <c r="E51" s="6">
        <v>13715</v>
      </c>
      <c r="F51" s="7">
        <v>111.1943625</v>
      </c>
      <c r="G51" s="8">
        <v>1.0135333E-2</v>
      </c>
      <c r="H51" s="100"/>
    </row>
    <row r="52" spans="1:8" x14ac:dyDescent="0.2">
      <c r="A52" s="4">
        <v>46</v>
      </c>
      <c r="B52" s="5" t="s">
        <v>516</v>
      </c>
      <c r="C52" s="5" t="s">
        <v>517</v>
      </c>
      <c r="D52" s="5" t="s">
        <v>156</v>
      </c>
      <c r="E52" s="6">
        <v>138020</v>
      </c>
      <c r="F52" s="7">
        <v>110.89906999999999</v>
      </c>
      <c r="G52" s="8">
        <v>1.0108417E-2</v>
      </c>
      <c r="H52" s="100"/>
    </row>
    <row r="53" spans="1:8" x14ac:dyDescent="0.2">
      <c r="A53" s="4">
        <v>47</v>
      </c>
      <c r="B53" s="5" t="s">
        <v>12</v>
      </c>
      <c r="C53" s="5" t="s">
        <v>13</v>
      </c>
      <c r="D53" s="5" t="s">
        <v>14</v>
      </c>
      <c r="E53" s="6">
        <v>8179</v>
      </c>
      <c r="F53" s="7">
        <v>109.6354055</v>
      </c>
      <c r="G53" s="8">
        <v>9.9932349999999996E-3</v>
      </c>
      <c r="H53" s="100"/>
    </row>
    <row r="54" spans="1:8" x14ac:dyDescent="0.2">
      <c r="A54" s="4">
        <v>48</v>
      </c>
      <c r="B54" s="5" t="s">
        <v>344</v>
      </c>
      <c r="C54" s="5" t="s">
        <v>345</v>
      </c>
      <c r="D54" s="5" t="s">
        <v>1002</v>
      </c>
      <c r="E54" s="6">
        <v>77469</v>
      </c>
      <c r="F54" s="7">
        <v>102.06540750000001</v>
      </c>
      <c r="G54" s="8">
        <v>9.3032319999999998E-3</v>
      </c>
      <c r="H54" s="100"/>
    </row>
    <row r="55" spans="1:8" x14ac:dyDescent="0.2">
      <c r="A55" s="4">
        <v>49</v>
      </c>
      <c r="B55" s="5" t="s">
        <v>518</v>
      </c>
      <c r="C55" s="5" t="s">
        <v>519</v>
      </c>
      <c r="D55" s="5" t="s">
        <v>163</v>
      </c>
      <c r="E55" s="6">
        <v>5158</v>
      </c>
      <c r="F55" s="7">
        <v>91.294021000000001</v>
      </c>
      <c r="G55" s="8">
        <v>8.3214229999999997E-3</v>
      </c>
      <c r="H55" s="100"/>
    </row>
    <row r="56" spans="1:8" x14ac:dyDescent="0.2">
      <c r="A56" s="4">
        <v>50</v>
      </c>
      <c r="B56" s="5" t="s">
        <v>520</v>
      </c>
      <c r="C56" s="5" t="s">
        <v>521</v>
      </c>
      <c r="D56" s="5" t="s">
        <v>1005</v>
      </c>
      <c r="E56" s="6">
        <v>88330</v>
      </c>
      <c r="F56" s="7">
        <v>76.58211</v>
      </c>
      <c r="G56" s="8">
        <v>6.9804369999999999E-3</v>
      </c>
      <c r="H56" s="100"/>
    </row>
    <row r="57" spans="1:8" customFormat="1" ht="25.5" x14ac:dyDescent="0.2">
      <c r="A57" s="239">
        <v>51</v>
      </c>
      <c r="B57" s="76" t="s">
        <v>389</v>
      </c>
      <c r="C57" s="76" t="s">
        <v>1017</v>
      </c>
      <c r="D57" s="76" t="s">
        <v>272</v>
      </c>
      <c r="E57" s="77">
        <v>10292</v>
      </c>
      <c r="F57" s="78">
        <v>14.94913</v>
      </c>
      <c r="G57" s="79">
        <v>1.3626090000000001E-3</v>
      </c>
      <c r="H57" s="78"/>
    </row>
    <row r="58" spans="1:8" x14ac:dyDescent="0.2">
      <c r="A58" s="15" t="s">
        <v>9</v>
      </c>
      <c r="B58" s="15" t="s">
        <v>9</v>
      </c>
      <c r="C58" s="3" t="s">
        <v>94</v>
      </c>
      <c r="D58" s="15" t="s">
        <v>9</v>
      </c>
      <c r="E58" s="15" t="s">
        <v>9</v>
      </c>
      <c r="F58" s="9">
        <v>10426.452549500002</v>
      </c>
      <c r="G58" s="10">
        <v>0.95036805199999985</v>
      </c>
      <c r="H58" s="100"/>
    </row>
    <row r="59" spans="1:8" x14ac:dyDescent="0.2">
      <c r="A59" s="15" t="s">
        <v>9</v>
      </c>
      <c r="B59" s="15" t="s">
        <v>9</v>
      </c>
      <c r="C59" s="11" t="s">
        <v>9</v>
      </c>
      <c r="D59" s="15" t="s">
        <v>9</v>
      </c>
      <c r="E59" s="15" t="s">
        <v>9</v>
      </c>
      <c r="F59" s="12" t="s">
        <v>9</v>
      </c>
      <c r="G59" s="12" t="s">
        <v>9</v>
      </c>
      <c r="H59" s="100"/>
    </row>
    <row r="60" spans="1:8" x14ac:dyDescent="0.2">
      <c r="A60" s="15" t="s">
        <v>9</v>
      </c>
      <c r="B60" s="15" t="s">
        <v>9</v>
      </c>
      <c r="C60" s="3" t="s">
        <v>95</v>
      </c>
      <c r="D60" s="15" t="s">
        <v>9</v>
      </c>
      <c r="E60" s="15" t="s">
        <v>9</v>
      </c>
      <c r="F60" s="15" t="s">
        <v>9</v>
      </c>
      <c r="G60" s="15" t="s">
        <v>9</v>
      </c>
      <c r="H60" s="100"/>
    </row>
    <row r="61" spans="1:8" x14ac:dyDescent="0.2">
      <c r="A61" s="15" t="s">
        <v>9</v>
      </c>
      <c r="B61" s="15" t="s">
        <v>9</v>
      </c>
      <c r="C61" s="3" t="s">
        <v>94</v>
      </c>
      <c r="D61" s="15" t="s">
        <v>9</v>
      </c>
      <c r="E61" s="15" t="s">
        <v>9</v>
      </c>
      <c r="F61" s="13">
        <v>0</v>
      </c>
      <c r="G61" s="14">
        <v>0</v>
      </c>
      <c r="H61" s="100"/>
    </row>
    <row r="62" spans="1:8" x14ac:dyDescent="0.2">
      <c r="A62" s="15" t="s">
        <v>9</v>
      </c>
      <c r="B62" s="15" t="s">
        <v>9</v>
      </c>
      <c r="C62" s="11" t="s">
        <v>9</v>
      </c>
      <c r="D62" s="15" t="s">
        <v>9</v>
      </c>
      <c r="E62" s="15" t="s">
        <v>9</v>
      </c>
      <c r="F62" s="12" t="s">
        <v>9</v>
      </c>
      <c r="G62" s="12" t="s">
        <v>9</v>
      </c>
      <c r="H62" s="100"/>
    </row>
    <row r="63" spans="1:8" x14ac:dyDescent="0.2">
      <c r="A63" s="15" t="s">
        <v>9</v>
      </c>
      <c r="B63" s="15" t="s">
        <v>9</v>
      </c>
      <c r="C63" s="3" t="s">
        <v>96</v>
      </c>
      <c r="D63" s="15" t="s">
        <v>9</v>
      </c>
      <c r="E63" s="15" t="s">
        <v>9</v>
      </c>
      <c r="F63" s="15" t="s">
        <v>9</v>
      </c>
      <c r="G63" s="15" t="s">
        <v>9</v>
      </c>
      <c r="H63" s="100"/>
    </row>
    <row r="64" spans="1:8" x14ac:dyDescent="0.2">
      <c r="A64" s="15" t="s">
        <v>9</v>
      </c>
      <c r="B64" s="15" t="s">
        <v>9</v>
      </c>
      <c r="C64" s="3" t="s">
        <v>94</v>
      </c>
      <c r="D64" s="15" t="s">
        <v>9</v>
      </c>
      <c r="E64" s="15" t="s">
        <v>9</v>
      </c>
      <c r="F64" s="13">
        <v>0</v>
      </c>
      <c r="G64" s="14">
        <v>0</v>
      </c>
      <c r="H64" s="100"/>
    </row>
    <row r="65" spans="1:8" x14ac:dyDescent="0.2">
      <c r="A65" s="15" t="s">
        <v>9</v>
      </c>
      <c r="B65" s="15" t="s">
        <v>9</v>
      </c>
      <c r="C65" s="11" t="s">
        <v>9</v>
      </c>
      <c r="D65" s="15" t="s">
        <v>9</v>
      </c>
      <c r="E65" s="15" t="s">
        <v>9</v>
      </c>
      <c r="F65" s="12" t="s">
        <v>9</v>
      </c>
      <c r="G65" s="12" t="s">
        <v>9</v>
      </c>
      <c r="H65" s="100"/>
    </row>
    <row r="66" spans="1:8" x14ac:dyDescent="0.2">
      <c r="A66" s="15" t="s">
        <v>9</v>
      </c>
      <c r="B66" s="15" t="s">
        <v>9</v>
      </c>
      <c r="C66" s="3" t="s">
        <v>100</v>
      </c>
      <c r="D66" s="15" t="s">
        <v>9</v>
      </c>
      <c r="E66" s="15" t="s">
        <v>9</v>
      </c>
      <c r="F66" s="15" t="s">
        <v>9</v>
      </c>
      <c r="G66" s="15" t="s">
        <v>9</v>
      </c>
      <c r="H66" s="100"/>
    </row>
    <row r="67" spans="1:8" x14ac:dyDescent="0.2">
      <c r="A67" s="15" t="s">
        <v>9</v>
      </c>
      <c r="B67" s="15" t="s">
        <v>9</v>
      </c>
      <c r="C67" s="3" t="s">
        <v>94</v>
      </c>
      <c r="D67" s="15" t="s">
        <v>9</v>
      </c>
      <c r="E67" s="15" t="s">
        <v>9</v>
      </c>
      <c r="F67" s="9">
        <v>0</v>
      </c>
      <c r="G67" s="10">
        <v>0</v>
      </c>
      <c r="H67" s="100"/>
    </row>
    <row r="68" spans="1:8" x14ac:dyDescent="0.2">
      <c r="A68" s="15" t="s">
        <v>9</v>
      </c>
      <c r="B68" s="15" t="s">
        <v>9</v>
      </c>
      <c r="C68" s="11" t="s">
        <v>9</v>
      </c>
      <c r="D68" s="15" t="s">
        <v>9</v>
      </c>
      <c r="E68" s="15" t="s">
        <v>9</v>
      </c>
      <c r="F68" s="12" t="s">
        <v>9</v>
      </c>
      <c r="G68" s="12" t="s">
        <v>9</v>
      </c>
      <c r="H68" s="100"/>
    </row>
    <row r="69" spans="1:8" x14ac:dyDescent="0.2">
      <c r="A69" s="15" t="s">
        <v>9</v>
      </c>
      <c r="B69" s="15" t="s">
        <v>9</v>
      </c>
      <c r="C69" s="3" t="s">
        <v>101</v>
      </c>
      <c r="D69" s="15" t="s">
        <v>9</v>
      </c>
      <c r="E69" s="15" t="s">
        <v>9</v>
      </c>
      <c r="F69" s="12" t="s">
        <v>9</v>
      </c>
      <c r="G69" s="12" t="s">
        <v>9</v>
      </c>
      <c r="H69" s="100"/>
    </row>
    <row r="70" spans="1:8" x14ac:dyDescent="0.2">
      <c r="A70" s="15" t="s">
        <v>9</v>
      </c>
      <c r="B70" s="15" t="s">
        <v>9</v>
      </c>
      <c r="C70" s="3" t="s">
        <v>94</v>
      </c>
      <c r="D70" s="15" t="s">
        <v>9</v>
      </c>
      <c r="E70" s="15" t="s">
        <v>9</v>
      </c>
      <c r="F70" s="13">
        <v>0</v>
      </c>
      <c r="G70" s="14">
        <v>0</v>
      </c>
      <c r="H70" s="100"/>
    </row>
    <row r="71" spans="1:8" x14ac:dyDescent="0.2">
      <c r="A71" s="15" t="s">
        <v>9</v>
      </c>
      <c r="B71" s="15" t="s">
        <v>9</v>
      </c>
      <c r="C71" s="11" t="s">
        <v>9</v>
      </c>
      <c r="D71" s="15" t="s">
        <v>9</v>
      </c>
      <c r="E71" s="15" t="s">
        <v>9</v>
      </c>
      <c r="F71" s="12" t="s">
        <v>9</v>
      </c>
      <c r="G71" s="12" t="s">
        <v>9</v>
      </c>
      <c r="H71" s="100"/>
    </row>
    <row r="72" spans="1:8" x14ac:dyDescent="0.2">
      <c r="A72" s="15" t="s">
        <v>9</v>
      </c>
      <c r="B72" s="15" t="s">
        <v>9</v>
      </c>
      <c r="C72" s="3" t="s">
        <v>102</v>
      </c>
      <c r="D72" s="15" t="s">
        <v>9</v>
      </c>
      <c r="E72" s="15" t="s">
        <v>9</v>
      </c>
      <c r="F72" s="12" t="s">
        <v>9</v>
      </c>
      <c r="G72" s="12" t="s">
        <v>9</v>
      </c>
      <c r="H72" s="100"/>
    </row>
    <row r="73" spans="1:8" x14ac:dyDescent="0.2">
      <c r="A73" s="15" t="s">
        <v>9</v>
      </c>
      <c r="B73" s="15" t="s">
        <v>9</v>
      </c>
      <c r="C73" s="3" t="s">
        <v>94</v>
      </c>
      <c r="D73" s="15" t="s">
        <v>9</v>
      </c>
      <c r="E73" s="15" t="s">
        <v>9</v>
      </c>
      <c r="F73" s="13">
        <v>0</v>
      </c>
      <c r="G73" s="14">
        <v>0</v>
      </c>
      <c r="H73" s="100"/>
    </row>
    <row r="74" spans="1:8" x14ac:dyDescent="0.2">
      <c r="A74" s="15" t="s">
        <v>9</v>
      </c>
      <c r="B74" s="15" t="s">
        <v>9</v>
      </c>
      <c r="C74" s="11" t="s">
        <v>9</v>
      </c>
      <c r="D74" s="15" t="s">
        <v>9</v>
      </c>
      <c r="E74" s="15" t="s">
        <v>9</v>
      </c>
      <c r="F74" s="12" t="s">
        <v>9</v>
      </c>
      <c r="G74" s="12" t="s">
        <v>9</v>
      </c>
      <c r="H74" s="100"/>
    </row>
    <row r="75" spans="1:8" x14ac:dyDescent="0.2">
      <c r="A75" s="15" t="s">
        <v>9</v>
      </c>
      <c r="B75" s="15" t="s">
        <v>9</v>
      </c>
      <c r="C75" s="3" t="s">
        <v>104</v>
      </c>
      <c r="D75" s="15" t="s">
        <v>9</v>
      </c>
      <c r="E75" s="15" t="s">
        <v>9</v>
      </c>
      <c r="F75" s="9">
        <v>10426.4525495</v>
      </c>
      <c r="G75" s="10">
        <v>0.95036805199999996</v>
      </c>
      <c r="H75" s="100"/>
    </row>
    <row r="76" spans="1:8" x14ac:dyDescent="0.2">
      <c r="A76" s="15" t="s">
        <v>9</v>
      </c>
      <c r="B76" s="15" t="s">
        <v>9</v>
      </c>
      <c r="C76" s="11" t="s">
        <v>9</v>
      </c>
      <c r="D76" s="15" t="s">
        <v>9</v>
      </c>
      <c r="E76" s="15" t="s">
        <v>9</v>
      </c>
      <c r="F76" s="12" t="s">
        <v>9</v>
      </c>
      <c r="G76" s="12" t="s">
        <v>9</v>
      </c>
      <c r="H76" s="100"/>
    </row>
    <row r="77" spans="1:8" x14ac:dyDescent="0.2">
      <c r="A77" s="15" t="s">
        <v>9</v>
      </c>
      <c r="B77" s="15" t="s">
        <v>9</v>
      </c>
      <c r="C77" s="3" t="s">
        <v>105</v>
      </c>
      <c r="D77" s="15" t="s">
        <v>9</v>
      </c>
      <c r="E77" s="15" t="s">
        <v>9</v>
      </c>
      <c r="F77" s="12" t="s">
        <v>9</v>
      </c>
      <c r="G77" s="12" t="s">
        <v>9</v>
      </c>
      <c r="H77" s="100"/>
    </row>
    <row r="78" spans="1:8" ht="25.5" x14ac:dyDescent="0.2">
      <c r="A78" s="15" t="s">
        <v>9</v>
      </c>
      <c r="B78" s="15" t="s">
        <v>9</v>
      </c>
      <c r="C78" s="3" t="s">
        <v>11</v>
      </c>
      <c r="D78" s="15" t="s">
        <v>9</v>
      </c>
      <c r="E78" s="15" t="s">
        <v>9</v>
      </c>
      <c r="F78" s="12" t="s">
        <v>9</v>
      </c>
      <c r="G78" s="12" t="s">
        <v>9</v>
      </c>
      <c r="H78" s="100"/>
    </row>
    <row r="79" spans="1:8" x14ac:dyDescent="0.2">
      <c r="A79" s="15" t="s">
        <v>9</v>
      </c>
      <c r="B79" s="15" t="s">
        <v>9</v>
      </c>
      <c r="C79" s="3" t="s">
        <v>94</v>
      </c>
      <c r="D79" s="15" t="s">
        <v>9</v>
      </c>
      <c r="E79" s="15" t="s">
        <v>9</v>
      </c>
      <c r="F79" s="13">
        <v>0</v>
      </c>
      <c r="G79" s="14">
        <v>0</v>
      </c>
      <c r="H79" s="100"/>
    </row>
    <row r="80" spans="1:8" x14ac:dyDescent="0.2">
      <c r="A80" s="15" t="s">
        <v>9</v>
      </c>
      <c r="B80" s="15" t="s">
        <v>9</v>
      </c>
      <c r="C80" s="11" t="s">
        <v>9</v>
      </c>
      <c r="D80" s="15" t="s">
        <v>9</v>
      </c>
      <c r="E80" s="15" t="s">
        <v>9</v>
      </c>
      <c r="F80" s="12" t="s">
        <v>9</v>
      </c>
      <c r="G80" s="12" t="s">
        <v>9</v>
      </c>
      <c r="H80" s="100"/>
    </row>
    <row r="81" spans="1:8" x14ac:dyDescent="0.2">
      <c r="A81" s="15" t="s">
        <v>9</v>
      </c>
      <c r="B81" s="15" t="s">
        <v>9</v>
      </c>
      <c r="C81" s="3" t="s">
        <v>106</v>
      </c>
      <c r="D81" s="15" t="s">
        <v>9</v>
      </c>
      <c r="E81" s="15" t="s">
        <v>9</v>
      </c>
      <c r="F81" s="15" t="s">
        <v>9</v>
      </c>
      <c r="G81" s="15" t="s">
        <v>9</v>
      </c>
      <c r="H81" s="100"/>
    </row>
    <row r="82" spans="1:8" x14ac:dyDescent="0.2">
      <c r="A82" s="15" t="s">
        <v>9</v>
      </c>
      <c r="B82" s="15" t="s">
        <v>9</v>
      </c>
      <c r="C82" s="3" t="s">
        <v>94</v>
      </c>
      <c r="D82" s="15" t="s">
        <v>9</v>
      </c>
      <c r="E82" s="15" t="s">
        <v>9</v>
      </c>
      <c r="F82" s="13">
        <v>0</v>
      </c>
      <c r="G82" s="14">
        <v>0</v>
      </c>
      <c r="H82" s="100"/>
    </row>
    <row r="83" spans="1:8" x14ac:dyDescent="0.2">
      <c r="A83" s="15" t="s">
        <v>9</v>
      </c>
      <c r="B83" s="15" t="s">
        <v>9</v>
      </c>
      <c r="C83" s="11" t="s">
        <v>9</v>
      </c>
      <c r="D83" s="15" t="s">
        <v>9</v>
      </c>
      <c r="E83" s="15" t="s">
        <v>9</v>
      </c>
      <c r="F83" s="12" t="s">
        <v>9</v>
      </c>
      <c r="G83" s="12" t="s">
        <v>9</v>
      </c>
      <c r="H83" s="100"/>
    </row>
    <row r="84" spans="1:8" x14ac:dyDescent="0.2">
      <c r="A84" s="15" t="s">
        <v>9</v>
      </c>
      <c r="B84" s="15" t="s">
        <v>9</v>
      </c>
      <c r="C84" s="3" t="s">
        <v>107</v>
      </c>
      <c r="D84" s="15" t="s">
        <v>9</v>
      </c>
      <c r="E84" s="15" t="s">
        <v>9</v>
      </c>
      <c r="F84" s="15" t="s">
        <v>9</v>
      </c>
      <c r="G84" s="15" t="s">
        <v>9</v>
      </c>
      <c r="H84" s="100"/>
    </row>
    <row r="85" spans="1:8" x14ac:dyDescent="0.2">
      <c r="A85" s="15" t="s">
        <v>9</v>
      </c>
      <c r="B85" s="15" t="s">
        <v>9</v>
      </c>
      <c r="C85" s="3" t="s">
        <v>94</v>
      </c>
      <c r="D85" s="15" t="s">
        <v>9</v>
      </c>
      <c r="E85" s="15" t="s">
        <v>9</v>
      </c>
      <c r="F85" s="13">
        <v>0</v>
      </c>
      <c r="G85" s="14">
        <v>0</v>
      </c>
      <c r="H85" s="100"/>
    </row>
    <row r="86" spans="1:8" x14ac:dyDescent="0.2">
      <c r="A86" s="15" t="s">
        <v>9</v>
      </c>
      <c r="B86" s="15" t="s">
        <v>9</v>
      </c>
      <c r="C86" s="11" t="s">
        <v>9</v>
      </c>
      <c r="D86" s="15" t="s">
        <v>9</v>
      </c>
      <c r="E86" s="15" t="s">
        <v>9</v>
      </c>
      <c r="F86" s="12" t="s">
        <v>9</v>
      </c>
      <c r="G86" s="12" t="s">
        <v>9</v>
      </c>
      <c r="H86" s="100"/>
    </row>
    <row r="87" spans="1:8" x14ac:dyDescent="0.2">
      <c r="A87" s="15" t="s">
        <v>9</v>
      </c>
      <c r="B87" s="15" t="s">
        <v>9</v>
      </c>
      <c r="C87" s="3" t="s">
        <v>108</v>
      </c>
      <c r="D87" s="15" t="s">
        <v>9</v>
      </c>
      <c r="E87" s="15" t="s">
        <v>9</v>
      </c>
      <c r="F87" s="12" t="s">
        <v>9</v>
      </c>
      <c r="G87" s="12" t="s">
        <v>9</v>
      </c>
      <c r="H87" s="100"/>
    </row>
    <row r="88" spans="1:8" x14ac:dyDescent="0.2">
      <c r="A88" s="15" t="s">
        <v>9</v>
      </c>
      <c r="B88" s="15" t="s">
        <v>9</v>
      </c>
      <c r="C88" s="3" t="s">
        <v>94</v>
      </c>
      <c r="D88" s="15" t="s">
        <v>9</v>
      </c>
      <c r="E88" s="15" t="s">
        <v>9</v>
      </c>
      <c r="F88" s="13">
        <v>0</v>
      </c>
      <c r="G88" s="14">
        <v>0</v>
      </c>
      <c r="H88" s="100"/>
    </row>
    <row r="89" spans="1:8" x14ac:dyDescent="0.2">
      <c r="A89" s="15" t="s">
        <v>9</v>
      </c>
      <c r="B89" s="15" t="s">
        <v>9</v>
      </c>
      <c r="C89" s="11" t="s">
        <v>9</v>
      </c>
      <c r="D89" s="15" t="s">
        <v>9</v>
      </c>
      <c r="E89" s="15" t="s">
        <v>9</v>
      </c>
      <c r="F89" s="12" t="s">
        <v>9</v>
      </c>
      <c r="G89" s="12" t="s">
        <v>9</v>
      </c>
      <c r="H89" s="100"/>
    </row>
    <row r="90" spans="1:8" x14ac:dyDescent="0.2">
      <c r="A90" s="15" t="s">
        <v>9</v>
      </c>
      <c r="B90" s="15" t="s">
        <v>9</v>
      </c>
      <c r="C90" s="3" t="s">
        <v>109</v>
      </c>
      <c r="D90" s="15" t="s">
        <v>9</v>
      </c>
      <c r="E90" s="15" t="s">
        <v>9</v>
      </c>
      <c r="F90" s="9">
        <v>0</v>
      </c>
      <c r="G90" s="10">
        <v>0</v>
      </c>
      <c r="H90" s="100"/>
    </row>
    <row r="91" spans="1:8" x14ac:dyDescent="0.2">
      <c r="A91" s="15" t="s">
        <v>9</v>
      </c>
      <c r="B91" s="15" t="s">
        <v>9</v>
      </c>
      <c r="C91" s="11" t="s">
        <v>9</v>
      </c>
      <c r="D91" s="15" t="s">
        <v>9</v>
      </c>
      <c r="E91" s="15" t="s">
        <v>9</v>
      </c>
      <c r="F91" s="12" t="s">
        <v>9</v>
      </c>
      <c r="G91" s="12" t="s">
        <v>9</v>
      </c>
      <c r="H91" s="100"/>
    </row>
    <row r="92" spans="1:8" x14ac:dyDescent="0.2">
      <c r="A92" s="15" t="s">
        <v>9</v>
      </c>
      <c r="B92" s="15" t="s">
        <v>9</v>
      </c>
      <c r="C92" s="3" t="s">
        <v>110</v>
      </c>
      <c r="D92" s="15" t="s">
        <v>9</v>
      </c>
      <c r="E92" s="15" t="s">
        <v>9</v>
      </c>
      <c r="F92" s="12" t="s">
        <v>9</v>
      </c>
      <c r="G92" s="12" t="s">
        <v>9</v>
      </c>
      <c r="H92" s="100"/>
    </row>
    <row r="93" spans="1:8" x14ac:dyDescent="0.2">
      <c r="A93" s="15" t="s">
        <v>9</v>
      </c>
      <c r="B93" s="15" t="s">
        <v>9</v>
      </c>
      <c r="C93" s="3" t="s">
        <v>111</v>
      </c>
      <c r="D93" s="15" t="s">
        <v>9</v>
      </c>
      <c r="E93" s="15" t="s">
        <v>9</v>
      </c>
      <c r="F93" s="12" t="s">
        <v>9</v>
      </c>
      <c r="G93" s="12" t="s">
        <v>9</v>
      </c>
      <c r="H93" s="100"/>
    </row>
    <row r="94" spans="1:8" x14ac:dyDescent="0.2">
      <c r="A94" s="15" t="s">
        <v>9</v>
      </c>
      <c r="B94" s="15" t="s">
        <v>9</v>
      </c>
      <c r="C94" s="3" t="s">
        <v>94</v>
      </c>
      <c r="D94" s="15" t="s">
        <v>9</v>
      </c>
      <c r="E94" s="15" t="s">
        <v>9</v>
      </c>
      <c r="F94" s="13">
        <v>0</v>
      </c>
      <c r="G94" s="14">
        <v>0</v>
      </c>
      <c r="H94" s="100"/>
    </row>
    <row r="95" spans="1:8" x14ac:dyDescent="0.2">
      <c r="A95" s="15" t="s">
        <v>9</v>
      </c>
      <c r="B95" s="15" t="s">
        <v>9</v>
      </c>
      <c r="C95" s="11" t="s">
        <v>9</v>
      </c>
      <c r="D95" s="15" t="s">
        <v>9</v>
      </c>
      <c r="E95" s="15" t="s">
        <v>9</v>
      </c>
      <c r="F95" s="12" t="s">
        <v>9</v>
      </c>
      <c r="G95" s="12" t="s">
        <v>9</v>
      </c>
      <c r="H95" s="100"/>
    </row>
    <row r="96" spans="1:8" x14ac:dyDescent="0.2">
      <c r="A96" s="15" t="s">
        <v>9</v>
      </c>
      <c r="B96" s="15" t="s">
        <v>9</v>
      </c>
      <c r="C96" s="3" t="s">
        <v>112</v>
      </c>
      <c r="D96" s="15" t="s">
        <v>9</v>
      </c>
      <c r="E96" s="15" t="s">
        <v>9</v>
      </c>
      <c r="F96" s="12" t="s">
        <v>9</v>
      </c>
      <c r="G96" s="12" t="s">
        <v>9</v>
      </c>
      <c r="H96" s="100"/>
    </row>
    <row r="97" spans="1:8" x14ac:dyDescent="0.2">
      <c r="A97" s="15" t="s">
        <v>9</v>
      </c>
      <c r="B97" s="15" t="s">
        <v>9</v>
      </c>
      <c r="C97" s="3" t="s">
        <v>94</v>
      </c>
      <c r="D97" s="15" t="s">
        <v>9</v>
      </c>
      <c r="E97" s="15" t="s">
        <v>9</v>
      </c>
      <c r="F97" s="13">
        <v>0</v>
      </c>
      <c r="G97" s="14">
        <v>0</v>
      </c>
      <c r="H97" s="100"/>
    </row>
    <row r="98" spans="1:8" x14ac:dyDescent="0.2">
      <c r="A98" s="15" t="s">
        <v>9</v>
      </c>
      <c r="B98" s="15" t="s">
        <v>9</v>
      </c>
      <c r="C98" s="11" t="s">
        <v>9</v>
      </c>
      <c r="D98" s="15" t="s">
        <v>9</v>
      </c>
      <c r="E98" s="15" t="s">
        <v>9</v>
      </c>
      <c r="F98" s="12" t="s">
        <v>9</v>
      </c>
      <c r="G98" s="12" t="s">
        <v>9</v>
      </c>
      <c r="H98" s="100"/>
    </row>
    <row r="99" spans="1:8" x14ac:dyDescent="0.2">
      <c r="A99" s="15" t="s">
        <v>9</v>
      </c>
      <c r="B99" s="15" t="s">
        <v>9</v>
      </c>
      <c r="C99" s="3" t="s">
        <v>113</v>
      </c>
      <c r="D99" s="15" t="s">
        <v>9</v>
      </c>
      <c r="E99" s="15" t="s">
        <v>9</v>
      </c>
      <c r="F99" s="12" t="s">
        <v>9</v>
      </c>
      <c r="G99" s="12" t="s">
        <v>9</v>
      </c>
      <c r="H99" s="100"/>
    </row>
    <row r="100" spans="1:8" x14ac:dyDescent="0.2">
      <c r="A100" s="15" t="s">
        <v>9</v>
      </c>
      <c r="B100" s="15" t="s">
        <v>9</v>
      </c>
      <c r="C100" s="3" t="s">
        <v>94</v>
      </c>
      <c r="D100" s="15" t="s">
        <v>9</v>
      </c>
      <c r="E100" s="15" t="s">
        <v>9</v>
      </c>
      <c r="F100" s="13">
        <v>0</v>
      </c>
      <c r="G100" s="14">
        <v>0</v>
      </c>
      <c r="H100" s="100"/>
    </row>
    <row r="101" spans="1:8" x14ac:dyDescent="0.2">
      <c r="A101" s="15" t="s">
        <v>9</v>
      </c>
      <c r="B101" s="15" t="s">
        <v>9</v>
      </c>
      <c r="C101" s="11" t="s">
        <v>9</v>
      </c>
      <c r="D101" s="15" t="s">
        <v>9</v>
      </c>
      <c r="E101" s="15" t="s">
        <v>9</v>
      </c>
      <c r="F101" s="12" t="s">
        <v>9</v>
      </c>
      <c r="G101" s="12" t="s">
        <v>9</v>
      </c>
      <c r="H101" s="100"/>
    </row>
    <row r="102" spans="1:8" x14ac:dyDescent="0.2">
      <c r="A102" s="15" t="s">
        <v>9</v>
      </c>
      <c r="B102" s="15" t="s">
        <v>9</v>
      </c>
      <c r="C102" s="3" t="s">
        <v>114</v>
      </c>
      <c r="D102" s="15" t="s">
        <v>9</v>
      </c>
      <c r="E102" s="15" t="s">
        <v>9</v>
      </c>
      <c r="F102" s="12" t="s">
        <v>9</v>
      </c>
      <c r="G102" s="12" t="s">
        <v>9</v>
      </c>
      <c r="H102" s="100"/>
    </row>
    <row r="103" spans="1:8" x14ac:dyDescent="0.2">
      <c r="A103" s="4">
        <v>1</v>
      </c>
      <c r="B103" s="5"/>
      <c r="C103" s="5" t="s">
        <v>115</v>
      </c>
      <c r="D103" s="5"/>
      <c r="E103" s="15" t="s">
        <v>9</v>
      </c>
      <c r="F103" s="7">
        <v>304.57509909999999</v>
      </c>
      <c r="G103" s="8">
        <v>2.7761930000000001E-2</v>
      </c>
      <c r="H103" s="99">
        <v>3.2516689338443991</v>
      </c>
    </row>
    <row r="104" spans="1:8" x14ac:dyDescent="0.2">
      <c r="A104" s="4">
        <v>2</v>
      </c>
      <c r="B104" s="5"/>
      <c r="C104" s="5" t="s">
        <v>116</v>
      </c>
      <c r="D104" s="5"/>
      <c r="E104" s="15" t="s">
        <v>9</v>
      </c>
      <c r="F104" s="7">
        <v>41.729561199999999</v>
      </c>
      <c r="G104" s="8">
        <v>3.8036369999999999E-3</v>
      </c>
      <c r="H104" s="100">
        <v>3.350000000000001</v>
      </c>
    </row>
    <row r="105" spans="1:8" x14ac:dyDescent="0.2">
      <c r="A105" s="15" t="s">
        <v>9</v>
      </c>
      <c r="B105" s="15" t="s">
        <v>9</v>
      </c>
      <c r="C105" s="3" t="s">
        <v>94</v>
      </c>
      <c r="D105" s="15" t="s">
        <v>9</v>
      </c>
      <c r="E105" s="15" t="s">
        <v>9</v>
      </c>
      <c r="F105" s="9">
        <v>346.30466030000002</v>
      </c>
      <c r="G105" s="10">
        <v>3.1565567000000003E-2</v>
      </c>
      <c r="H105" s="100"/>
    </row>
    <row r="106" spans="1:8" x14ac:dyDescent="0.2">
      <c r="A106" s="15" t="s">
        <v>9</v>
      </c>
      <c r="B106" s="15" t="s">
        <v>9</v>
      </c>
      <c r="C106" s="11" t="s">
        <v>9</v>
      </c>
      <c r="D106" s="15" t="s">
        <v>9</v>
      </c>
      <c r="E106" s="15" t="s">
        <v>9</v>
      </c>
      <c r="F106" s="12" t="s">
        <v>9</v>
      </c>
      <c r="G106" s="12" t="s">
        <v>9</v>
      </c>
      <c r="H106" s="100"/>
    </row>
    <row r="107" spans="1:8" x14ac:dyDescent="0.2">
      <c r="A107" s="15" t="s">
        <v>9</v>
      </c>
      <c r="B107" s="15" t="s">
        <v>9</v>
      </c>
      <c r="C107" s="3" t="s">
        <v>117</v>
      </c>
      <c r="D107" s="15" t="s">
        <v>9</v>
      </c>
      <c r="E107" s="15" t="s">
        <v>9</v>
      </c>
      <c r="F107" s="9">
        <v>346.30466030000002</v>
      </c>
      <c r="G107" s="10">
        <v>3.1565567000000003E-2</v>
      </c>
      <c r="H107" s="100"/>
    </row>
    <row r="108" spans="1:8" x14ac:dyDescent="0.2">
      <c r="A108" s="15" t="s">
        <v>9</v>
      </c>
      <c r="B108" s="15" t="s">
        <v>9</v>
      </c>
      <c r="C108" s="12" t="s">
        <v>9</v>
      </c>
      <c r="D108" s="15" t="s">
        <v>9</v>
      </c>
      <c r="E108" s="15" t="s">
        <v>9</v>
      </c>
      <c r="F108" s="15" t="s">
        <v>9</v>
      </c>
      <c r="G108" s="15" t="s">
        <v>9</v>
      </c>
      <c r="H108" s="100"/>
    </row>
    <row r="109" spans="1:8" x14ac:dyDescent="0.2">
      <c r="A109" s="15" t="s">
        <v>9</v>
      </c>
      <c r="B109" s="15" t="s">
        <v>9</v>
      </c>
      <c r="C109" s="3" t="s">
        <v>118</v>
      </c>
      <c r="D109" s="15" t="s">
        <v>9</v>
      </c>
      <c r="E109" s="15" t="s">
        <v>9</v>
      </c>
      <c r="F109" s="15" t="s">
        <v>9</v>
      </c>
      <c r="G109" s="15" t="s">
        <v>9</v>
      </c>
      <c r="H109" s="100"/>
    </row>
    <row r="110" spans="1:8" x14ac:dyDescent="0.2">
      <c r="A110" s="15" t="s">
        <v>9</v>
      </c>
      <c r="B110" s="15" t="s">
        <v>9</v>
      </c>
      <c r="C110" s="3" t="s">
        <v>119</v>
      </c>
      <c r="D110" s="15" t="s">
        <v>9</v>
      </c>
      <c r="E110" s="15" t="s">
        <v>9</v>
      </c>
      <c r="F110" s="15" t="s">
        <v>9</v>
      </c>
      <c r="G110" s="15" t="s">
        <v>9</v>
      </c>
      <c r="H110" s="100"/>
    </row>
    <row r="111" spans="1:8" x14ac:dyDescent="0.2">
      <c r="A111" s="15" t="s">
        <v>9</v>
      </c>
      <c r="B111" s="15" t="s">
        <v>9</v>
      </c>
      <c r="C111" s="3" t="s">
        <v>94</v>
      </c>
      <c r="D111" s="15" t="s">
        <v>9</v>
      </c>
      <c r="E111" s="15" t="s">
        <v>9</v>
      </c>
      <c r="F111" s="13">
        <v>0</v>
      </c>
      <c r="G111" s="14">
        <v>0</v>
      </c>
      <c r="H111" s="100"/>
    </row>
    <row r="112" spans="1:8" x14ac:dyDescent="0.2">
      <c r="A112" s="15" t="s">
        <v>9</v>
      </c>
      <c r="B112" s="15" t="s">
        <v>9</v>
      </c>
      <c r="C112" s="11" t="s">
        <v>9</v>
      </c>
      <c r="D112" s="15" t="s">
        <v>9</v>
      </c>
      <c r="E112" s="15" t="s">
        <v>9</v>
      </c>
      <c r="F112" s="12" t="s">
        <v>9</v>
      </c>
      <c r="G112" s="12" t="s">
        <v>9</v>
      </c>
      <c r="H112" s="100"/>
    </row>
    <row r="113" spans="1:8" x14ac:dyDescent="0.2">
      <c r="A113" s="15" t="s">
        <v>9</v>
      </c>
      <c r="B113" s="15" t="s">
        <v>9</v>
      </c>
      <c r="C113" s="3" t="s">
        <v>120</v>
      </c>
      <c r="D113" s="15" t="s">
        <v>9</v>
      </c>
      <c r="E113" s="15" t="s">
        <v>9</v>
      </c>
      <c r="F113" s="15" t="s">
        <v>9</v>
      </c>
      <c r="G113" s="15" t="s">
        <v>9</v>
      </c>
      <c r="H113" s="100"/>
    </row>
    <row r="114" spans="1:8" x14ac:dyDescent="0.2">
      <c r="A114" s="15" t="s">
        <v>9</v>
      </c>
      <c r="B114" s="15" t="s">
        <v>9</v>
      </c>
      <c r="C114" s="3" t="s">
        <v>121</v>
      </c>
      <c r="D114" s="15" t="s">
        <v>9</v>
      </c>
      <c r="E114" s="15" t="s">
        <v>9</v>
      </c>
      <c r="F114" s="15" t="s">
        <v>9</v>
      </c>
      <c r="G114" s="15" t="s">
        <v>9</v>
      </c>
      <c r="H114" s="100"/>
    </row>
    <row r="115" spans="1:8" x14ac:dyDescent="0.2">
      <c r="A115" s="15" t="s">
        <v>9</v>
      </c>
      <c r="B115" s="15" t="s">
        <v>9</v>
      </c>
      <c r="C115" s="3" t="s">
        <v>94</v>
      </c>
      <c r="D115" s="15" t="s">
        <v>9</v>
      </c>
      <c r="E115" s="15" t="s">
        <v>9</v>
      </c>
      <c r="F115" s="13">
        <v>0</v>
      </c>
      <c r="G115" s="14">
        <v>0</v>
      </c>
      <c r="H115" s="100"/>
    </row>
    <row r="116" spans="1:8" x14ac:dyDescent="0.2">
      <c r="A116" s="15" t="s">
        <v>9</v>
      </c>
      <c r="B116" s="15" t="s">
        <v>9</v>
      </c>
      <c r="C116" s="11" t="s">
        <v>9</v>
      </c>
      <c r="D116" s="15" t="s">
        <v>9</v>
      </c>
      <c r="E116" s="15" t="s">
        <v>9</v>
      </c>
      <c r="F116" s="12" t="s">
        <v>9</v>
      </c>
      <c r="G116" s="12" t="s">
        <v>9</v>
      </c>
      <c r="H116" s="100"/>
    </row>
    <row r="117" spans="1:8" x14ac:dyDescent="0.2">
      <c r="A117" s="15" t="s">
        <v>9</v>
      </c>
      <c r="B117" s="15" t="s">
        <v>9</v>
      </c>
      <c r="C117" s="11" t="s">
        <v>9</v>
      </c>
      <c r="D117" s="15" t="s">
        <v>9</v>
      </c>
      <c r="E117" s="15" t="s">
        <v>9</v>
      </c>
      <c r="F117" s="12" t="s">
        <v>9</v>
      </c>
      <c r="G117" s="12" t="s">
        <v>9</v>
      </c>
      <c r="H117" s="100"/>
    </row>
    <row r="118" spans="1:8" ht="25.5" x14ac:dyDescent="0.2">
      <c r="A118" s="15" t="s">
        <v>9</v>
      </c>
      <c r="B118" s="15" t="s">
        <v>9</v>
      </c>
      <c r="C118" s="3" t="s">
        <v>122</v>
      </c>
      <c r="D118" s="15" t="s">
        <v>9</v>
      </c>
      <c r="E118" s="15" t="s">
        <v>9</v>
      </c>
      <c r="F118" s="12" t="s">
        <v>9</v>
      </c>
      <c r="G118" s="12" t="s">
        <v>9</v>
      </c>
      <c r="H118" s="100"/>
    </row>
    <row r="119" spans="1:8" x14ac:dyDescent="0.2">
      <c r="A119" s="15" t="s">
        <v>9</v>
      </c>
      <c r="B119" s="15" t="s">
        <v>9</v>
      </c>
      <c r="C119" s="3" t="s">
        <v>94</v>
      </c>
      <c r="D119" s="15" t="s">
        <v>9</v>
      </c>
      <c r="E119" s="15" t="s">
        <v>9</v>
      </c>
      <c r="F119" s="13">
        <v>0</v>
      </c>
      <c r="G119" s="14">
        <v>0</v>
      </c>
      <c r="H119" s="100"/>
    </row>
    <row r="120" spans="1:8" x14ac:dyDescent="0.2">
      <c r="A120" s="15" t="s">
        <v>9</v>
      </c>
      <c r="B120" s="15" t="s">
        <v>9</v>
      </c>
      <c r="C120" s="11" t="s">
        <v>9</v>
      </c>
      <c r="D120" s="15" t="s">
        <v>9</v>
      </c>
      <c r="E120" s="15" t="s">
        <v>9</v>
      </c>
      <c r="F120" s="12" t="s">
        <v>9</v>
      </c>
      <c r="G120" s="12" t="s">
        <v>9</v>
      </c>
      <c r="H120" s="100"/>
    </row>
    <row r="121" spans="1:8" x14ac:dyDescent="0.2">
      <c r="A121" s="15" t="s">
        <v>9</v>
      </c>
      <c r="B121" s="5" t="s">
        <v>9</v>
      </c>
      <c r="C121" s="5" t="s">
        <v>9</v>
      </c>
      <c r="D121" s="3" t="s">
        <v>9</v>
      </c>
      <c r="E121" s="15" t="s">
        <v>9</v>
      </c>
      <c r="F121" s="5" t="s">
        <v>9</v>
      </c>
      <c r="G121" s="15" t="s">
        <v>9</v>
      </c>
      <c r="H121" s="100"/>
    </row>
    <row r="122" spans="1:8" x14ac:dyDescent="0.2">
      <c r="A122" s="15" t="s">
        <v>9</v>
      </c>
      <c r="B122" s="5" t="s">
        <v>9</v>
      </c>
      <c r="C122" s="5" t="s">
        <v>124</v>
      </c>
      <c r="D122" s="5" t="s">
        <v>9</v>
      </c>
      <c r="E122" s="15" t="s">
        <v>9</v>
      </c>
      <c r="F122" s="7">
        <v>198.20559618999999</v>
      </c>
      <c r="G122" s="8">
        <v>1.8066380999999999E-2</v>
      </c>
      <c r="H122" s="100"/>
    </row>
    <row r="123" spans="1:8" x14ac:dyDescent="0.2">
      <c r="A123" s="11" t="s">
        <v>9</v>
      </c>
      <c r="B123" s="11" t="s">
        <v>9</v>
      </c>
      <c r="C123" s="3" t="s">
        <v>125</v>
      </c>
      <c r="D123" s="16" t="s">
        <v>9</v>
      </c>
      <c r="E123" s="16" t="s">
        <v>9</v>
      </c>
      <c r="F123" s="9">
        <v>10970.962805990001</v>
      </c>
      <c r="G123" s="10">
        <v>1</v>
      </c>
      <c r="H123" s="100"/>
    </row>
    <row r="124" spans="1:8" x14ac:dyDescent="0.2">
      <c r="A124" s="17" t="s">
        <v>9</v>
      </c>
      <c r="B124" s="17" t="s">
        <v>9</v>
      </c>
      <c r="C124" s="17" t="s">
        <v>9</v>
      </c>
      <c r="D124" s="18" t="s">
        <v>9</v>
      </c>
      <c r="E124" s="18" t="s">
        <v>9</v>
      </c>
      <c r="F124" s="18" t="s">
        <v>9</v>
      </c>
      <c r="G124" s="18" t="s">
        <v>9</v>
      </c>
      <c r="H124" s="142"/>
    </row>
    <row r="125" spans="1:8" x14ac:dyDescent="0.2">
      <c r="A125" s="19" t="s">
        <v>9</v>
      </c>
      <c r="B125" s="254" t="s">
        <v>9</v>
      </c>
      <c r="C125" s="254"/>
      <c r="D125" s="254"/>
      <c r="E125" s="254"/>
      <c r="F125" s="254"/>
      <c r="G125" s="20" t="s">
        <v>9</v>
      </c>
      <c r="H125" s="142"/>
    </row>
    <row r="126" spans="1:8" x14ac:dyDescent="0.2">
      <c r="A126" s="19" t="s">
        <v>9</v>
      </c>
      <c r="B126" s="254" t="s">
        <v>9</v>
      </c>
      <c r="C126" s="254"/>
      <c r="D126" s="254"/>
      <c r="E126" s="254"/>
      <c r="F126" s="254"/>
      <c r="G126" s="20" t="s">
        <v>9</v>
      </c>
      <c r="H126" s="142"/>
    </row>
    <row r="127" spans="1:8" x14ac:dyDescent="0.2">
      <c r="A127" s="19" t="s">
        <v>9</v>
      </c>
      <c r="B127" s="19" t="s">
        <v>9</v>
      </c>
      <c r="C127" s="19" t="s">
        <v>9</v>
      </c>
      <c r="D127" s="20" t="s">
        <v>9</v>
      </c>
      <c r="E127" s="20" t="s">
        <v>9</v>
      </c>
      <c r="F127" s="20" t="s">
        <v>9</v>
      </c>
      <c r="G127" s="20" t="s">
        <v>9</v>
      </c>
      <c r="H127" s="142"/>
    </row>
    <row r="128" spans="1:8" x14ac:dyDescent="0.2">
      <c r="A128" s="19" t="s">
        <v>9</v>
      </c>
      <c r="B128" s="247" t="s">
        <v>127</v>
      </c>
      <c r="C128" s="248"/>
      <c r="D128" s="182" t="s">
        <v>9</v>
      </c>
      <c r="E128" s="21" t="s">
        <v>9</v>
      </c>
      <c r="F128" s="20" t="s">
        <v>9</v>
      </c>
      <c r="G128" s="20" t="s">
        <v>9</v>
      </c>
      <c r="H128" s="142"/>
    </row>
    <row r="129" spans="1:8" ht="28.5" customHeight="1" x14ac:dyDescent="0.2">
      <c r="A129" s="19" t="s">
        <v>9</v>
      </c>
      <c r="B129" s="242" t="s">
        <v>128</v>
      </c>
      <c r="C129" s="243"/>
      <c r="D129" s="3" t="s">
        <v>129</v>
      </c>
      <c r="E129" s="21" t="s">
        <v>9</v>
      </c>
      <c r="F129" s="20" t="s">
        <v>9</v>
      </c>
      <c r="G129" s="20" t="s">
        <v>9</v>
      </c>
      <c r="H129" s="142"/>
    </row>
    <row r="130" spans="1:8" x14ac:dyDescent="0.2">
      <c r="A130" s="19" t="s">
        <v>9</v>
      </c>
      <c r="B130" s="240" t="s">
        <v>130</v>
      </c>
      <c r="C130" s="241"/>
      <c r="D130" s="177" t="s">
        <v>129</v>
      </c>
      <c r="E130" s="21" t="s">
        <v>9</v>
      </c>
      <c r="F130" s="20" t="s">
        <v>9</v>
      </c>
      <c r="G130" s="20" t="s">
        <v>9</v>
      </c>
      <c r="H130" s="142"/>
    </row>
    <row r="131" spans="1:8" x14ac:dyDescent="0.2">
      <c r="A131" s="19" t="s">
        <v>9</v>
      </c>
      <c r="B131" s="240" t="s">
        <v>131</v>
      </c>
      <c r="C131" s="241"/>
      <c r="D131" s="182" t="s">
        <v>9</v>
      </c>
      <c r="E131" s="21" t="s">
        <v>9</v>
      </c>
      <c r="F131" s="20" t="s">
        <v>9</v>
      </c>
      <c r="G131" s="20" t="s">
        <v>9</v>
      </c>
      <c r="H131" s="142"/>
    </row>
    <row r="132" spans="1:8" ht="25.5" x14ac:dyDescent="0.2">
      <c r="A132" s="25" t="s">
        <v>9</v>
      </c>
      <c r="B132" s="23" t="s">
        <v>9</v>
      </c>
      <c r="C132" s="23" t="s">
        <v>132</v>
      </c>
      <c r="D132" s="23" t="s">
        <v>133</v>
      </c>
      <c r="E132" s="25" t="s">
        <v>9</v>
      </c>
      <c r="F132" s="25" t="s">
        <v>9</v>
      </c>
      <c r="G132" s="25" t="s">
        <v>9</v>
      </c>
      <c r="H132" s="142"/>
    </row>
    <row r="133" spans="1:8" x14ac:dyDescent="0.2">
      <c r="A133" s="25" t="s">
        <v>9</v>
      </c>
      <c r="B133" s="23" t="s">
        <v>134</v>
      </c>
      <c r="C133" s="23" t="s">
        <v>135</v>
      </c>
      <c r="D133" s="23" t="s">
        <v>136</v>
      </c>
      <c r="E133" s="25" t="s">
        <v>9</v>
      </c>
      <c r="F133" s="25" t="s">
        <v>9</v>
      </c>
      <c r="G133" s="25" t="s">
        <v>9</v>
      </c>
      <c r="H133" s="142"/>
    </row>
    <row r="134" spans="1:8" x14ac:dyDescent="0.2">
      <c r="A134" s="25" t="s">
        <v>9</v>
      </c>
      <c r="B134" s="183" t="s">
        <v>137</v>
      </c>
      <c r="C134" s="184">
        <v>13.666499999999999</v>
      </c>
      <c r="D134" s="184">
        <v>13.5382</v>
      </c>
      <c r="E134" s="25" t="s">
        <v>9</v>
      </c>
      <c r="F134" s="73" t="s">
        <v>9</v>
      </c>
      <c r="G134" s="25" t="s">
        <v>9</v>
      </c>
      <c r="H134" s="142"/>
    </row>
    <row r="135" spans="1:8" x14ac:dyDescent="0.2">
      <c r="A135" s="25" t="s">
        <v>9</v>
      </c>
      <c r="B135" s="183" t="s">
        <v>921</v>
      </c>
      <c r="C135" s="184">
        <v>13.666499999999999</v>
      </c>
      <c r="D135" s="184">
        <v>13.5382</v>
      </c>
      <c r="E135" s="25" t="s">
        <v>9</v>
      </c>
      <c r="F135" s="73" t="s">
        <v>9</v>
      </c>
      <c r="G135" s="25" t="s">
        <v>9</v>
      </c>
      <c r="H135" s="142"/>
    </row>
    <row r="136" spans="1:8" x14ac:dyDescent="0.2">
      <c r="A136" s="25" t="s">
        <v>9</v>
      </c>
      <c r="B136" s="183" t="s">
        <v>138</v>
      </c>
      <c r="C136" s="184">
        <v>13.231999999999999</v>
      </c>
      <c r="D136" s="184">
        <v>13.0992</v>
      </c>
      <c r="E136" s="25" t="s">
        <v>9</v>
      </c>
      <c r="F136" s="73" t="s">
        <v>9</v>
      </c>
      <c r="G136" s="25" t="s">
        <v>9</v>
      </c>
      <c r="H136" s="142"/>
    </row>
    <row r="137" spans="1:8" x14ac:dyDescent="0.2">
      <c r="A137" s="25" t="s">
        <v>9</v>
      </c>
      <c r="B137" s="183" t="s">
        <v>922</v>
      </c>
      <c r="C137" s="184">
        <v>13.231999999999999</v>
      </c>
      <c r="D137" s="184">
        <v>13.0992</v>
      </c>
      <c r="E137" s="25" t="s">
        <v>9</v>
      </c>
      <c r="F137" s="73" t="s">
        <v>9</v>
      </c>
      <c r="G137" s="25" t="s">
        <v>9</v>
      </c>
      <c r="H137" s="142"/>
    </row>
    <row r="138" spans="1:8" x14ac:dyDescent="0.2">
      <c r="A138" s="25" t="s">
        <v>9</v>
      </c>
      <c r="B138" s="22" t="s">
        <v>9</v>
      </c>
      <c r="C138" s="22" t="s">
        <v>9</v>
      </c>
      <c r="D138" s="22" t="s">
        <v>9</v>
      </c>
      <c r="E138" s="25" t="s">
        <v>9</v>
      </c>
      <c r="F138" s="25" t="s">
        <v>9</v>
      </c>
      <c r="G138" s="25" t="s">
        <v>9</v>
      </c>
      <c r="H138" s="142"/>
    </row>
    <row r="139" spans="1:8" x14ac:dyDescent="0.2">
      <c r="A139" s="25" t="s">
        <v>9</v>
      </c>
      <c r="B139" s="240" t="s">
        <v>1012</v>
      </c>
      <c r="C139" s="241"/>
      <c r="D139" s="177" t="s">
        <v>129</v>
      </c>
      <c r="E139" s="25" t="s">
        <v>9</v>
      </c>
      <c r="F139" s="25" t="s">
        <v>9</v>
      </c>
      <c r="G139" s="25" t="s">
        <v>9</v>
      </c>
      <c r="H139" s="142"/>
    </row>
    <row r="140" spans="1:8" x14ac:dyDescent="0.2">
      <c r="A140" s="25" t="s">
        <v>9</v>
      </c>
      <c r="B140" s="98"/>
      <c r="C140" s="98"/>
      <c r="D140" s="26" t="s">
        <v>9</v>
      </c>
      <c r="E140" s="25" t="s">
        <v>9</v>
      </c>
      <c r="F140" s="25" t="s">
        <v>9</v>
      </c>
      <c r="G140" s="25" t="s">
        <v>9</v>
      </c>
      <c r="H140" s="142"/>
    </row>
    <row r="141" spans="1:8" s="238" customFormat="1" ht="12.75" x14ac:dyDescent="0.2">
      <c r="B141" s="246" t="s">
        <v>923</v>
      </c>
      <c r="C141" s="246"/>
      <c r="D141" s="246"/>
      <c r="E141" s="246"/>
      <c r="F141" s="246"/>
    </row>
    <row r="142" spans="1:8" x14ac:dyDescent="0.2">
      <c r="A142" s="25" t="s">
        <v>9</v>
      </c>
      <c r="B142" s="185" t="s">
        <v>9</v>
      </c>
      <c r="C142" s="185" t="s">
        <v>9</v>
      </c>
      <c r="D142" s="22" t="s">
        <v>9</v>
      </c>
      <c r="E142" s="25" t="s">
        <v>9</v>
      </c>
      <c r="F142" s="25" t="s">
        <v>9</v>
      </c>
      <c r="G142" s="25" t="s">
        <v>9</v>
      </c>
      <c r="H142" s="142"/>
    </row>
    <row r="143" spans="1:8" x14ac:dyDescent="0.2">
      <c r="A143" s="25" t="s">
        <v>9</v>
      </c>
      <c r="B143" s="240" t="s">
        <v>139</v>
      </c>
      <c r="C143" s="241"/>
      <c r="D143" s="177" t="s">
        <v>129</v>
      </c>
      <c r="E143" s="25" t="s">
        <v>9</v>
      </c>
      <c r="F143" s="25" t="s">
        <v>9</v>
      </c>
      <c r="G143" s="25" t="s">
        <v>9</v>
      </c>
      <c r="H143" s="142"/>
    </row>
    <row r="144" spans="1:8" x14ac:dyDescent="0.2">
      <c r="A144" s="25" t="s">
        <v>9</v>
      </c>
      <c r="B144" s="240" t="s">
        <v>140</v>
      </c>
      <c r="C144" s="241"/>
      <c r="D144" s="177" t="s">
        <v>129</v>
      </c>
      <c r="E144" s="25" t="s">
        <v>9</v>
      </c>
      <c r="F144" s="25" t="s">
        <v>9</v>
      </c>
      <c r="G144" s="25" t="s">
        <v>9</v>
      </c>
      <c r="H144" s="142"/>
    </row>
    <row r="145" spans="1:8" x14ac:dyDescent="0.2">
      <c r="A145" s="25" t="s">
        <v>9</v>
      </c>
      <c r="B145" s="240" t="s">
        <v>141</v>
      </c>
      <c r="C145" s="241"/>
      <c r="D145" s="186">
        <v>0.29320067441422948</v>
      </c>
      <c r="E145" s="25" t="s">
        <v>9</v>
      </c>
      <c r="F145" s="73" t="s">
        <v>9</v>
      </c>
      <c r="G145" s="25" t="s">
        <v>9</v>
      </c>
      <c r="H145" s="142"/>
    </row>
    <row r="146" spans="1:8" x14ac:dyDescent="0.2">
      <c r="A146" s="25" t="s">
        <v>9</v>
      </c>
      <c r="B146" s="240" t="s">
        <v>142</v>
      </c>
      <c r="C146" s="241"/>
      <c r="D146" s="177" t="s">
        <v>129</v>
      </c>
      <c r="E146" s="25" t="s">
        <v>9</v>
      </c>
      <c r="F146" s="25" t="s">
        <v>9</v>
      </c>
      <c r="G146" s="25" t="s">
        <v>9</v>
      </c>
      <c r="H146" s="142"/>
    </row>
  </sheetData>
  <mergeCells count="15">
    <mergeCell ref="B128:C128"/>
    <mergeCell ref="B125:F125"/>
    <mergeCell ref="B126:F126"/>
    <mergeCell ref="A1:H1"/>
    <mergeCell ref="A2:H2"/>
    <mergeCell ref="A3:H3"/>
    <mergeCell ref="B145:C145"/>
    <mergeCell ref="B146:C146"/>
    <mergeCell ref="B129:C129"/>
    <mergeCell ref="B130:C130"/>
    <mergeCell ref="B131:C131"/>
    <mergeCell ref="B139:C139"/>
    <mergeCell ref="B143:C143"/>
    <mergeCell ref="B144:C144"/>
    <mergeCell ref="B141:F141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outlinePr summaryBelow="0" summaryRight="0"/>
  </sheetPr>
  <dimension ref="A1:H146"/>
  <sheetViews>
    <sheetView showGridLines="0" workbookViewId="0">
      <selection activeCell="J1" sqref="J1"/>
    </sheetView>
  </sheetViews>
  <sheetFormatPr defaultRowHeight="15" x14ac:dyDescent="0.2"/>
  <cols>
    <col min="1" max="1" width="6.85546875" style="155" customWidth="1"/>
    <col min="2" max="2" width="20.5703125" style="155" customWidth="1"/>
    <col min="3" max="3" width="34.28515625" style="155" customWidth="1"/>
    <col min="4" max="4" width="17.85546875" style="155" customWidth="1"/>
    <col min="5" max="6" width="19.140625" style="155" customWidth="1"/>
    <col min="7" max="7" width="16.42578125" style="155" customWidth="1"/>
    <col min="8" max="16384" width="9.140625" style="155"/>
  </cols>
  <sheetData>
    <row r="1" spans="1:8" x14ac:dyDescent="0.2">
      <c r="A1" s="250" t="s">
        <v>0</v>
      </c>
      <c r="B1" s="250"/>
      <c r="C1" s="250"/>
      <c r="D1" s="250"/>
      <c r="E1" s="250"/>
      <c r="F1" s="250"/>
      <c r="G1" s="250"/>
      <c r="H1" s="250"/>
    </row>
    <row r="2" spans="1:8" x14ac:dyDescent="0.2">
      <c r="A2" s="251" t="s">
        <v>522</v>
      </c>
      <c r="B2" s="252"/>
      <c r="C2" s="252"/>
      <c r="D2" s="252"/>
      <c r="E2" s="252"/>
      <c r="F2" s="252"/>
      <c r="G2" s="252"/>
      <c r="H2" s="253"/>
    </row>
    <row r="3" spans="1:8" x14ac:dyDescent="0.2">
      <c r="A3" s="250" t="s">
        <v>1015</v>
      </c>
      <c r="B3" s="250"/>
      <c r="C3" s="250"/>
      <c r="D3" s="250"/>
      <c r="E3" s="250"/>
      <c r="F3" s="250"/>
      <c r="G3" s="250"/>
      <c r="H3" s="250"/>
    </row>
    <row r="4" spans="1:8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60" t="s">
        <v>6</v>
      </c>
      <c r="F4" s="160" t="s">
        <v>7</v>
      </c>
      <c r="G4" s="160" t="s">
        <v>8</v>
      </c>
      <c r="H4" s="161" t="s">
        <v>909</v>
      </c>
    </row>
    <row r="5" spans="1:8" x14ac:dyDescent="0.2">
      <c r="A5" s="15" t="s">
        <v>9</v>
      </c>
      <c r="B5" s="15" t="s">
        <v>9</v>
      </c>
      <c r="C5" s="3" t="s">
        <v>10</v>
      </c>
      <c r="D5" s="15" t="s">
        <v>9</v>
      </c>
      <c r="E5" s="15" t="s">
        <v>9</v>
      </c>
      <c r="F5" s="15" t="s">
        <v>9</v>
      </c>
      <c r="G5" s="15" t="s">
        <v>9</v>
      </c>
      <c r="H5" s="100"/>
    </row>
    <row r="6" spans="1:8" ht="25.5" x14ac:dyDescent="0.2">
      <c r="A6" s="15" t="s">
        <v>9</v>
      </c>
      <c r="B6" s="15" t="s">
        <v>9</v>
      </c>
      <c r="C6" s="3" t="s">
        <v>11</v>
      </c>
      <c r="D6" s="15" t="s">
        <v>9</v>
      </c>
      <c r="E6" s="15" t="s">
        <v>9</v>
      </c>
      <c r="F6" s="15" t="s">
        <v>9</v>
      </c>
      <c r="G6" s="15" t="s">
        <v>9</v>
      </c>
      <c r="H6" s="100"/>
    </row>
    <row r="7" spans="1:8" x14ac:dyDescent="0.2">
      <c r="A7" s="4">
        <v>1</v>
      </c>
      <c r="B7" s="5" t="s">
        <v>293</v>
      </c>
      <c r="C7" s="5" t="s">
        <v>294</v>
      </c>
      <c r="D7" s="5" t="s">
        <v>172</v>
      </c>
      <c r="E7" s="6">
        <v>5976</v>
      </c>
      <c r="F7" s="7">
        <v>191.08260000000001</v>
      </c>
      <c r="G7" s="8">
        <v>3.9678716000000003E-2</v>
      </c>
      <c r="H7" s="100"/>
    </row>
    <row r="8" spans="1:8" x14ac:dyDescent="0.2">
      <c r="A8" s="4">
        <v>2</v>
      </c>
      <c r="B8" s="5" t="s">
        <v>289</v>
      </c>
      <c r="C8" s="5" t="s">
        <v>290</v>
      </c>
      <c r="D8" s="5" t="s">
        <v>1009</v>
      </c>
      <c r="E8" s="6">
        <v>20342</v>
      </c>
      <c r="F8" s="7">
        <v>182.243978</v>
      </c>
      <c r="G8" s="8">
        <v>3.7843357000000001E-2</v>
      </c>
      <c r="H8" s="100"/>
    </row>
    <row r="9" spans="1:8" ht="25.5" x14ac:dyDescent="0.2">
      <c r="A9" s="4">
        <v>3</v>
      </c>
      <c r="B9" s="5" t="s">
        <v>18</v>
      </c>
      <c r="C9" s="5" t="s">
        <v>19</v>
      </c>
      <c r="D9" s="5" t="s">
        <v>1001</v>
      </c>
      <c r="E9" s="6">
        <v>18355</v>
      </c>
      <c r="F9" s="7">
        <v>180.88852499999999</v>
      </c>
      <c r="G9" s="8">
        <v>3.7561893999999998E-2</v>
      </c>
      <c r="H9" s="100"/>
    </row>
    <row r="10" spans="1:8" x14ac:dyDescent="0.2">
      <c r="A10" s="4">
        <v>4</v>
      </c>
      <c r="B10" s="5" t="s">
        <v>305</v>
      </c>
      <c r="C10" s="5" t="s">
        <v>306</v>
      </c>
      <c r="D10" s="5" t="s">
        <v>1005</v>
      </c>
      <c r="E10" s="6">
        <v>5892</v>
      </c>
      <c r="F10" s="7">
        <v>170.378964</v>
      </c>
      <c r="G10" s="8">
        <v>3.5379560999999997E-2</v>
      </c>
      <c r="H10" s="100"/>
    </row>
    <row r="11" spans="1:8" ht="25.5" x14ac:dyDescent="0.2">
      <c r="A11" s="4">
        <v>5</v>
      </c>
      <c r="B11" s="5" t="s">
        <v>34</v>
      </c>
      <c r="C11" s="5" t="s">
        <v>35</v>
      </c>
      <c r="D11" s="5" t="s">
        <v>1001</v>
      </c>
      <c r="E11" s="6">
        <v>5930</v>
      </c>
      <c r="F11" s="7">
        <v>166.41952000000001</v>
      </c>
      <c r="G11" s="8">
        <v>3.4557374000000002E-2</v>
      </c>
      <c r="H11" s="100"/>
    </row>
    <row r="12" spans="1:8" ht="25.5" x14ac:dyDescent="0.2">
      <c r="A12" s="4">
        <v>6</v>
      </c>
      <c r="B12" s="5" t="s">
        <v>324</v>
      </c>
      <c r="C12" s="5" t="s">
        <v>325</v>
      </c>
      <c r="D12" s="5" t="s">
        <v>58</v>
      </c>
      <c r="E12" s="6">
        <v>40249</v>
      </c>
      <c r="F12" s="7">
        <v>154.91840099999999</v>
      </c>
      <c r="G12" s="8">
        <v>3.2169141999999998E-2</v>
      </c>
      <c r="H12" s="100"/>
    </row>
    <row r="13" spans="1:8" ht="25.5" x14ac:dyDescent="0.2">
      <c r="A13" s="4">
        <v>7</v>
      </c>
      <c r="B13" s="5" t="s">
        <v>287</v>
      </c>
      <c r="C13" s="5" t="s">
        <v>288</v>
      </c>
      <c r="D13" s="5" t="s">
        <v>156</v>
      </c>
      <c r="E13" s="6">
        <v>25748</v>
      </c>
      <c r="F13" s="7">
        <v>147.21419</v>
      </c>
      <c r="G13" s="8">
        <v>3.0569346000000001E-2</v>
      </c>
      <c r="H13" s="100"/>
    </row>
    <row r="14" spans="1:8" ht="25.5" x14ac:dyDescent="0.2">
      <c r="A14" s="4">
        <v>8</v>
      </c>
      <c r="B14" s="5" t="s">
        <v>346</v>
      </c>
      <c r="C14" s="5" t="s">
        <v>939</v>
      </c>
      <c r="D14" s="5" t="s">
        <v>73</v>
      </c>
      <c r="E14" s="6">
        <v>21676</v>
      </c>
      <c r="F14" s="7">
        <v>145.12082000000001</v>
      </c>
      <c r="G14" s="8">
        <v>3.0134653000000001E-2</v>
      </c>
      <c r="H14" s="100"/>
    </row>
    <row r="15" spans="1:8" x14ac:dyDescent="0.2">
      <c r="A15" s="4">
        <v>9</v>
      </c>
      <c r="B15" s="5" t="s">
        <v>295</v>
      </c>
      <c r="C15" s="5" t="s">
        <v>296</v>
      </c>
      <c r="D15" s="5" t="s">
        <v>151</v>
      </c>
      <c r="E15" s="6">
        <v>6010</v>
      </c>
      <c r="F15" s="7">
        <v>126.5706</v>
      </c>
      <c r="G15" s="8">
        <v>2.6282659999999999E-2</v>
      </c>
      <c r="H15" s="100"/>
    </row>
    <row r="16" spans="1:8" x14ac:dyDescent="0.2">
      <c r="A16" s="4">
        <v>10</v>
      </c>
      <c r="B16" s="5" t="s">
        <v>309</v>
      </c>
      <c r="C16" s="5" t="s">
        <v>310</v>
      </c>
      <c r="D16" s="5" t="s">
        <v>58</v>
      </c>
      <c r="E16" s="6">
        <v>5264</v>
      </c>
      <c r="F16" s="7">
        <v>116.937128</v>
      </c>
      <c r="G16" s="8">
        <v>2.4282247999999999E-2</v>
      </c>
      <c r="H16" s="100"/>
    </row>
    <row r="17" spans="1:8" x14ac:dyDescent="0.2">
      <c r="A17" s="4">
        <v>11</v>
      </c>
      <c r="B17" s="5" t="s">
        <v>330</v>
      </c>
      <c r="C17" s="5" t="s">
        <v>331</v>
      </c>
      <c r="D17" s="5" t="s">
        <v>272</v>
      </c>
      <c r="E17" s="6">
        <v>14946</v>
      </c>
      <c r="F17" s="7">
        <v>116.085582</v>
      </c>
      <c r="G17" s="8">
        <v>2.4105423000000001E-2</v>
      </c>
      <c r="H17" s="100"/>
    </row>
    <row r="18" spans="1:8" x14ac:dyDescent="0.2">
      <c r="A18" s="4">
        <v>12</v>
      </c>
      <c r="B18" s="5" t="s">
        <v>382</v>
      </c>
      <c r="C18" s="5" t="s">
        <v>383</v>
      </c>
      <c r="D18" s="5" t="s">
        <v>1009</v>
      </c>
      <c r="E18" s="6">
        <v>1012</v>
      </c>
      <c r="F18" s="7">
        <v>111.74149800000001</v>
      </c>
      <c r="G18" s="8">
        <v>2.3203364000000001E-2</v>
      </c>
      <c r="H18" s="100"/>
    </row>
    <row r="19" spans="1:8" ht="25.5" x14ac:dyDescent="0.2">
      <c r="A19" s="4">
        <v>13</v>
      </c>
      <c r="B19" s="5" t="s">
        <v>326</v>
      </c>
      <c r="C19" s="5" t="s">
        <v>327</v>
      </c>
      <c r="D19" s="5" t="s">
        <v>73</v>
      </c>
      <c r="E19" s="6">
        <v>10977</v>
      </c>
      <c r="F19" s="7">
        <v>104.34187350000001</v>
      </c>
      <c r="G19" s="8">
        <v>2.1666815999999998E-2</v>
      </c>
      <c r="H19" s="100"/>
    </row>
    <row r="20" spans="1:8" x14ac:dyDescent="0.2">
      <c r="A20" s="4">
        <v>14</v>
      </c>
      <c r="B20" s="5" t="s">
        <v>322</v>
      </c>
      <c r="C20" s="5" t="s">
        <v>323</v>
      </c>
      <c r="D20" s="5" t="s">
        <v>78</v>
      </c>
      <c r="E20" s="6">
        <v>20353</v>
      </c>
      <c r="F20" s="7">
        <v>103.58659350000001</v>
      </c>
      <c r="G20" s="8">
        <v>2.1509981000000001E-2</v>
      </c>
      <c r="H20" s="100"/>
    </row>
    <row r="21" spans="1:8" x14ac:dyDescent="0.2">
      <c r="A21" s="4">
        <v>15</v>
      </c>
      <c r="B21" s="5" t="s">
        <v>334</v>
      </c>
      <c r="C21" s="5" t="s">
        <v>335</v>
      </c>
      <c r="D21" s="5" t="s">
        <v>156</v>
      </c>
      <c r="E21" s="6">
        <v>25377</v>
      </c>
      <c r="F21" s="7">
        <v>102.954489</v>
      </c>
      <c r="G21" s="8">
        <v>2.1378722999999999E-2</v>
      </c>
      <c r="H21" s="100"/>
    </row>
    <row r="22" spans="1:8" x14ac:dyDescent="0.2">
      <c r="A22" s="4">
        <v>16</v>
      </c>
      <c r="B22" s="5" t="s">
        <v>297</v>
      </c>
      <c r="C22" s="5" t="s">
        <v>928</v>
      </c>
      <c r="D22" s="5" t="s">
        <v>22</v>
      </c>
      <c r="E22" s="6">
        <v>127221</v>
      </c>
      <c r="F22" s="7">
        <v>101.904021</v>
      </c>
      <c r="G22" s="8">
        <v>2.1160590999999999E-2</v>
      </c>
      <c r="H22" s="100"/>
    </row>
    <row r="23" spans="1:8" x14ac:dyDescent="0.2">
      <c r="A23" s="4">
        <v>17</v>
      </c>
      <c r="B23" s="5" t="s">
        <v>89</v>
      </c>
      <c r="C23" s="5" t="s">
        <v>90</v>
      </c>
      <c r="D23" s="5" t="s">
        <v>91</v>
      </c>
      <c r="E23" s="6">
        <v>88560</v>
      </c>
      <c r="F23" s="7">
        <v>99.807119999999998</v>
      </c>
      <c r="G23" s="8">
        <v>2.0725165E-2</v>
      </c>
      <c r="H23" s="100"/>
    </row>
    <row r="24" spans="1:8" x14ac:dyDescent="0.2">
      <c r="A24" s="4">
        <v>18</v>
      </c>
      <c r="B24" s="5" t="s">
        <v>352</v>
      </c>
      <c r="C24" s="5" t="s">
        <v>353</v>
      </c>
      <c r="D24" s="5" t="s">
        <v>28</v>
      </c>
      <c r="E24" s="6">
        <v>15867</v>
      </c>
      <c r="F24" s="7">
        <v>96.852168000000006</v>
      </c>
      <c r="G24" s="8">
        <v>2.0111562999999999E-2</v>
      </c>
      <c r="H24" s="100"/>
    </row>
    <row r="25" spans="1:8" ht="25.5" x14ac:dyDescent="0.2">
      <c r="A25" s="4">
        <v>19</v>
      </c>
      <c r="B25" s="5" t="s">
        <v>314</v>
      </c>
      <c r="C25" s="5" t="s">
        <v>315</v>
      </c>
      <c r="D25" s="5" t="s">
        <v>73</v>
      </c>
      <c r="E25" s="6">
        <v>19000</v>
      </c>
      <c r="F25" s="7">
        <v>93.413499999999999</v>
      </c>
      <c r="G25" s="8">
        <v>1.9397516E-2</v>
      </c>
      <c r="H25" s="100"/>
    </row>
    <row r="26" spans="1:8" x14ac:dyDescent="0.2">
      <c r="A26" s="4">
        <v>20</v>
      </c>
      <c r="B26" s="5" t="s">
        <v>350</v>
      </c>
      <c r="C26" s="5" t="s">
        <v>351</v>
      </c>
      <c r="D26" s="5" t="s">
        <v>1006</v>
      </c>
      <c r="E26" s="6">
        <v>20406</v>
      </c>
      <c r="F26" s="7">
        <v>92.633037000000002</v>
      </c>
      <c r="G26" s="8">
        <v>1.9235451000000001E-2</v>
      </c>
      <c r="H26" s="100"/>
    </row>
    <row r="27" spans="1:8" ht="25.5" x14ac:dyDescent="0.2">
      <c r="A27" s="4">
        <v>21</v>
      </c>
      <c r="B27" s="5" t="s">
        <v>506</v>
      </c>
      <c r="C27" s="5" t="s">
        <v>507</v>
      </c>
      <c r="D27" s="5" t="s">
        <v>25</v>
      </c>
      <c r="E27" s="6">
        <v>4917</v>
      </c>
      <c r="F27" s="7">
        <v>92.510896500000001</v>
      </c>
      <c r="G27" s="8">
        <v>1.9210088E-2</v>
      </c>
      <c r="H27" s="100"/>
    </row>
    <row r="28" spans="1:8" x14ac:dyDescent="0.2">
      <c r="A28" s="4">
        <v>22</v>
      </c>
      <c r="B28" s="5" t="s">
        <v>362</v>
      </c>
      <c r="C28" s="5" t="s">
        <v>363</v>
      </c>
      <c r="D28" s="5" t="s">
        <v>364</v>
      </c>
      <c r="E28" s="6">
        <v>12358</v>
      </c>
      <c r="F28" s="7">
        <v>91.684002000000007</v>
      </c>
      <c r="G28" s="8">
        <v>1.9038382E-2</v>
      </c>
      <c r="H28" s="100"/>
    </row>
    <row r="29" spans="1:8" x14ac:dyDescent="0.2">
      <c r="A29" s="4">
        <v>23</v>
      </c>
      <c r="B29" s="5" t="s">
        <v>318</v>
      </c>
      <c r="C29" s="5" t="s">
        <v>319</v>
      </c>
      <c r="D29" s="5" t="s">
        <v>22</v>
      </c>
      <c r="E29" s="6">
        <v>52762</v>
      </c>
      <c r="F29" s="7">
        <v>87.980635000000007</v>
      </c>
      <c r="G29" s="8">
        <v>1.826937E-2</v>
      </c>
      <c r="H29" s="100"/>
    </row>
    <row r="30" spans="1:8" x14ac:dyDescent="0.2">
      <c r="A30" s="4">
        <v>24</v>
      </c>
      <c r="B30" s="5" t="s">
        <v>504</v>
      </c>
      <c r="C30" s="5" t="s">
        <v>505</v>
      </c>
      <c r="D30" s="5" t="s">
        <v>151</v>
      </c>
      <c r="E30" s="6">
        <v>2202</v>
      </c>
      <c r="F30" s="7">
        <v>85.663304999999994</v>
      </c>
      <c r="G30" s="8">
        <v>1.7788170999999998E-2</v>
      </c>
      <c r="H30" s="100"/>
    </row>
    <row r="31" spans="1:8" x14ac:dyDescent="0.2">
      <c r="A31" s="4">
        <v>25</v>
      </c>
      <c r="B31" s="5" t="s">
        <v>358</v>
      </c>
      <c r="C31" s="5" t="s">
        <v>359</v>
      </c>
      <c r="D31" s="5" t="s">
        <v>156</v>
      </c>
      <c r="E31" s="6">
        <v>7329</v>
      </c>
      <c r="F31" s="7">
        <v>82.623481499999997</v>
      </c>
      <c r="G31" s="8">
        <v>1.7156945E-2</v>
      </c>
      <c r="H31" s="100"/>
    </row>
    <row r="32" spans="1:8" ht="25.5" x14ac:dyDescent="0.2">
      <c r="A32" s="4">
        <v>26</v>
      </c>
      <c r="B32" s="5" t="s">
        <v>508</v>
      </c>
      <c r="C32" s="5" t="s">
        <v>509</v>
      </c>
      <c r="D32" s="5" t="s">
        <v>73</v>
      </c>
      <c r="E32" s="6">
        <v>323</v>
      </c>
      <c r="F32" s="7">
        <v>82.487578499999998</v>
      </c>
      <c r="G32" s="8">
        <v>1.7128725000000001E-2</v>
      </c>
      <c r="H32" s="100"/>
    </row>
    <row r="33" spans="1:8" x14ac:dyDescent="0.2">
      <c r="A33" s="4">
        <v>27</v>
      </c>
      <c r="B33" s="5" t="s">
        <v>328</v>
      </c>
      <c r="C33" s="5" t="s">
        <v>953</v>
      </c>
      <c r="D33" s="5" t="s">
        <v>28</v>
      </c>
      <c r="E33" s="6">
        <v>1572</v>
      </c>
      <c r="F33" s="7">
        <v>82.269047999999998</v>
      </c>
      <c r="G33" s="8">
        <v>1.7083345999999999E-2</v>
      </c>
      <c r="H33" s="100"/>
    </row>
    <row r="34" spans="1:8" x14ac:dyDescent="0.2">
      <c r="A34" s="4">
        <v>28</v>
      </c>
      <c r="B34" s="5" t="s">
        <v>200</v>
      </c>
      <c r="C34" s="5" t="s">
        <v>201</v>
      </c>
      <c r="D34" s="5" t="s">
        <v>1003</v>
      </c>
      <c r="E34" s="6">
        <v>13058</v>
      </c>
      <c r="F34" s="7">
        <v>82.043413999999999</v>
      </c>
      <c r="G34" s="8">
        <v>1.7036493E-2</v>
      </c>
      <c r="H34" s="100"/>
    </row>
    <row r="35" spans="1:8" x14ac:dyDescent="0.2">
      <c r="A35" s="4">
        <v>29</v>
      </c>
      <c r="B35" s="5" t="s">
        <v>378</v>
      </c>
      <c r="C35" s="5" t="s">
        <v>379</v>
      </c>
      <c r="D35" s="5" t="s">
        <v>151</v>
      </c>
      <c r="E35" s="6">
        <v>4132</v>
      </c>
      <c r="F35" s="7">
        <v>72.921536000000003</v>
      </c>
      <c r="G35" s="8">
        <v>1.5142315E-2</v>
      </c>
      <c r="H35" s="100"/>
    </row>
    <row r="36" spans="1:8" x14ac:dyDescent="0.2">
      <c r="A36" s="4">
        <v>30</v>
      </c>
      <c r="B36" s="5" t="s">
        <v>510</v>
      </c>
      <c r="C36" s="5" t="s">
        <v>511</v>
      </c>
      <c r="D36" s="5" t="s">
        <v>58</v>
      </c>
      <c r="E36" s="6">
        <v>32121</v>
      </c>
      <c r="F36" s="7">
        <v>71.661951000000002</v>
      </c>
      <c r="G36" s="8">
        <v>1.488076E-2</v>
      </c>
      <c r="H36" s="100"/>
    </row>
    <row r="37" spans="1:8" x14ac:dyDescent="0.2">
      <c r="A37" s="4">
        <v>31</v>
      </c>
      <c r="B37" s="5" t="s">
        <v>367</v>
      </c>
      <c r="C37" s="5" t="s">
        <v>368</v>
      </c>
      <c r="D37" s="5" t="s">
        <v>22</v>
      </c>
      <c r="E37" s="6">
        <v>107323</v>
      </c>
      <c r="F37" s="7">
        <v>71.638102500000002</v>
      </c>
      <c r="G37" s="8">
        <v>1.4875807E-2</v>
      </c>
      <c r="H37" s="100"/>
    </row>
    <row r="38" spans="1:8" x14ac:dyDescent="0.2">
      <c r="A38" s="4">
        <v>32</v>
      </c>
      <c r="B38" s="5" t="s">
        <v>83</v>
      </c>
      <c r="C38" s="5" t="s">
        <v>84</v>
      </c>
      <c r="D38" s="5" t="s">
        <v>28</v>
      </c>
      <c r="E38" s="6">
        <v>7865</v>
      </c>
      <c r="F38" s="7">
        <v>65.87724</v>
      </c>
      <c r="G38" s="8">
        <v>1.3679551999999999E-2</v>
      </c>
      <c r="H38" s="100"/>
    </row>
    <row r="39" spans="1:8" x14ac:dyDescent="0.2">
      <c r="A39" s="4">
        <v>33</v>
      </c>
      <c r="B39" s="5" t="s">
        <v>512</v>
      </c>
      <c r="C39" s="5" t="s">
        <v>513</v>
      </c>
      <c r="D39" s="5" t="s">
        <v>156</v>
      </c>
      <c r="E39" s="6">
        <v>74663</v>
      </c>
      <c r="F39" s="7">
        <v>64.994141499999998</v>
      </c>
      <c r="G39" s="8">
        <v>1.3496174E-2</v>
      </c>
      <c r="H39" s="100"/>
    </row>
    <row r="40" spans="1:8" x14ac:dyDescent="0.2">
      <c r="A40" s="4">
        <v>34</v>
      </c>
      <c r="B40" s="5" t="s">
        <v>514</v>
      </c>
      <c r="C40" s="5" t="s">
        <v>515</v>
      </c>
      <c r="D40" s="5" t="s">
        <v>188</v>
      </c>
      <c r="E40" s="6">
        <v>5386</v>
      </c>
      <c r="F40" s="7">
        <v>63.118533999999997</v>
      </c>
      <c r="G40" s="8">
        <v>1.3106700000000001E-2</v>
      </c>
      <c r="H40" s="100"/>
    </row>
    <row r="41" spans="1:8" x14ac:dyDescent="0.2">
      <c r="A41" s="4">
        <v>35</v>
      </c>
      <c r="B41" s="5" t="s">
        <v>311</v>
      </c>
      <c r="C41" s="5" t="s">
        <v>312</v>
      </c>
      <c r="D41" s="5" t="s">
        <v>313</v>
      </c>
      <c r="E41" s="6">
        <v>2462</v>
      </c>
      <c r="F41" s="7">
        <v>61.836823000000003</v>
      </c>
      <c r="G41" s="8">
        <v>1.2840549999999999E-2</v>
      </c>
      <c r="H41" s="100"/>
    </row>
    <row r="42" spans="1:8" x14ac:dyDescent="0.2">
      <c r="A42" s="4">
        <v>36</v>
      </c>
      <c r="B42" s="5" t="s">
        <v>438</v>
      </c>
      <c r="C42" s="5" t="s">
        <v>390</v>
      </c>
      <c r="D42" s="5" t="s">
        <v>272</v>
      </c>
      <c r="E42" s="6">
        <v>35123</v>
      </c>
      <c r="F42" s="7">
        <v>61.465249999999997</v>
      </c>
      <c r="G42" s="8">
        <v>1.2763392E-2</v>
      </c>
      <c r="H42" s="100"/>
    </row>
    <row r="43" spans="1:8" ht="25.5" x14ac:dyDescent="0.2">
      <c r="A43" s="4">
        <v>37</v>
      </c>
      <c r="B43" s="5" t="s">
        <v>419</v>
      </c>
      <c r="C43" s="5" t="s">
        <v>420</v>
      </c>
      <c r="D43" s="5" t="s">
        <v>1009</v>
      </c>
      <c r="E43" s="6">
        <v>4227</v>
      </c>
      <c r="F43" s="7">
        <v>59.769779999999997</v>
      </c>
      <c r="G43" s="8">
        <v>1.2411324E-2</v>
      </c>
      <c r="H43" s="100"/>
    </row>
    <row r="44" spans="1:8" x14ac:dyDescent="0.2">
      <c r="A44" s="4">
        <v>38</v>
      </c>
      <c r="B44" s="5" t="s">
        <v>291</v>
      </c>
      <c r="C44" s="5" t="s">
        <v>292</v>
      </c>
      <c r="D44" s="5" t="s">
        <v>163</v>
      </c>
      <c r="E44" s="6">
        <v>1901</v>
      </c>
      <c r="F44" s="7">
        <v>59.458527500000002</v>
      </c>
      <c r="G44" s="8">
        <v>1.2346691999999999E-2</v>
      </c>
      <c r="H44" s="100"/>
    </row>
    <row r="45" spans="1:8" x14ac:dyDescent="0.2">
      <c r="A45" s="4">
        <v>39</v>
      </c>
      <c r="B45" s="5" t="s">
        <v>229</v>
      </c>
      <c r="C45" s="5" t="s">
        <v>230</v>
      </c>
      <c r="D45" s="5" t="s">
        <v>193</v>
      </c>
      <c r="E45" s="6">
        <v>4009</v>
      </c>
      <c r="F45" s="7">
        <v>55.939581500000003</v>
      </c>
      <c r="G45" s="8">
        <v>1.1615975000000001E-2</v>
      </c>
      <c r="H45" s="100"/>
    </row>
    <row r="46" spans="1:8" x14ac:dyDescent="0.2">
      <c r="A46" s="4">
        <v>40</v>
      </c>
      <c r="B46" s="5" t="s">
        <v>299</v>
      </c>
      <c r="C46" s="5" t="s">
        <v>300</v>
      </c>
      <c r="D46" s="5" t="s">
        <v>193</v>
      </c>
      <c r="E46" s="6">
        <v>6233</v>
      </c>
      <c r="F46" s="7">
        <v>55.869495499999999</v>
      </c>
      <c r="G46" s="8">
        <v>1.1601422E-2</v>
      </c>
      <c r="H46" s="100"/>
    </row>
    <row r="47" spans="1:8" ht="25.5" x14ac:dyDescent="0.2">
      <c r="A47" s="4">
        <v>41</v>
      </c>
      <c r="B47" s="5" t="s">
        <v>348</v>
      </c>
      <c r="C47" s="5" t="s">
        <v>349</v>
      </c>
      <c r="D47" s="5" t="s">
        <v>156</v>
      </c>
      <c r="E47" s="6">
        <v>33294</v>
      </c>
      <c r="F47" s="7">
        <v>53.886339</v>
      </c>
      <c r="G47" s="8">
        <v>1.1189615E-2</v>
      </c>
      <c r="H47" s="100"/>
    </row>
    <row r="48" spans="1:8" x14ac:dyDescent="0.2">
      <c r="A48" s="4">
        <v>42</v>
      </c>
      <c r="B48" s="5" t="s">
        <v>307</v>
      </c>
      <c r="C48" s="5" t="s">
        <v>308</v>
      </c>
      <c r="D48" s="5" t="s">
        <v>193</v>
      </c>
      <c r="E48" s="6">
        <v>2447</v>
      </c>
      <c r="F48" s="7">
        <v>51.516691000000002</v>
      </c>
      <c r="G48" s="8">
        <v>1.0697553E-2</v>
      </c>
      <c r="H48" s="100"/>
    </row>
    <row r="49" spans="1:8" x14ac:dyDescent="0.2">
      <c r="A49" s="4">
        <v>43</v>
      </c>
      <c r="B49" s="5" t="s">
        <v>48</v>
      </c>
      <c r="C49" s="5" t="s">
        <v>49</v>
      </c>
      <c r="D49" s="5" t="s">
        <v>28</v>
      </c>
      <c r="E49" s="6">
        <v>3654</v>
      </c>
      <c r="F49" s="7">
        <v>51.307640999999997</v>
      </c>
      <c r="G49" s="8">
        <v>1.0654143E-2</v>
      </c>
      <c r="H49" s="100"/>
    </row>
    <row r="50" spans="1:8" x14ac:dyDescent="0.2">
      <c r="A50" s="4">
        <v>44</v>
      </c>
      <c r="B50" s="5" t="s">
        <v>475</v>
      </c>
      <c r="C50" s="5" t="s">
        <v>476</v>
      </c>
      <c r="D50" s="5" t="s">
        <v>17</v>
      </c>
      <c r="E50" s="6">
        <v>39424</v>
      </c>
      <c r="F50" s="7">
        <v>49.575679999999998</v>
      </c>
      <c r="G50" s="8">
        <v>1.0294497E-2</v>
      </c>
      <c r="H50" s="100"/>
    </row>
    <row r="51" spans="1:8" x14ac:dyDescent="0.2">
      <c r="A51" s="4">
        <v>45</v>
      </c>
      <c r="B51" s="5" t="s">
        <v>369</v>
      </c>
      <c r="C51" s="5" t="s">
        <v>954</v>
      </c>
      <c r="D51" s="5" t="s">
        <v>163</v>
      </c>
      <c r="E51" s="6">
        <v>6003</v>
      </c>
      <c r="F51" s="7">
        <v>48.6693225</v>
      </c>
      <c r="G51" s="8">
        <v>1.010629E-2</v>
      </c>
      <c r="H51" s="100"/>
    </row>
    <row r="52" spans="1:8" x14ac:dyDescent="0.2">
      <c r="A52" s="4">
        <v>46</v>
      </c>
      <c r="B52" s="5" t="s">
        <v>516</v>
      </c>
      <c r="C52" s="5" t="s">
        <v>517</v>
      </c>
      <c r="D52" s="5" t="s">
        <v>156</v>
      </c>
      <c r="E52" s="6">
        <v>60500</v>
      </c>
      <c r="F52" s="7">
        <v>48.611750000000001</v>
      </c>
      <c r="G52" s="8">
        <v>1.0094334999999999E-2</v>
      </c>
      <c r="H52" s="100"/>
    </row>
    <row r="53" spans="1:8" x14ac:dyDescent="0.2">
      <c r="A53" s="4">
        <v>47</v>
      </c>
      <c r="B53" s="5" t="s">
        <v>12</v>
      </c>
      <c r="C53" s="5" t="s">
        <v>13</v>
      </c>
      <c r="D53" s="5" t="s">
        <v>14</v>
      </c>
      <c r="E53" s="6">
        <v>3595</v>
      </c>
      <c r="F53" s="7">
        <v>48.1891775</v>
      </c>
      <c r="G53" s="8">
        <v>1.0006587000000001E-2</v>
      </c>
      <c r="H53" s="100"/>
    </row>
    <row r="54" spans="1:8" x14ac:dyDescent="0.2">
      <c r="A54" s="4">
        <v>48</v>
      </c>
      <c r="B54" s="5" t="s">
        <v>344</v>
      </c>
      <c r="C54" s="5" t="s">
        <v>345</v>
      </c>
      <c r="D54" s="5" t="s">
        <v>1002</v>
      </c>
      <c r="E54" s="6">
        <v>34044</v>
      </c>
      <c r="F54" s="7">
        <v>44.852969999999999</v>
      </c>
      <c r="G54" s="8">
        <v>9.3138160000000008E-3</v>
      </c>
      <c r="H54" s="100"/>
    </row>
    <row r="55" spans="1:8" x14ac:dyDescent="0.2">
      <c r="A55" s="4">
        <v>49</v>
      </c>
      <c r="B55" s="5" t="s">
        <v>518</v>
      </c>
      <c r="C55" s="5" t="s">
        <v>519</v>
      </c>
      <c r="D55" s="5" t="s">
        <v>163</v>
      </c>
      <c r="E55" s="6">
        <v>2274</v>
      </c>
      <c r="F55" s="7">
        <v>40.248663000000001</v>
      </c>
      <c r="G55" s="8">
        <v>8.3577219999999997E-3</v>
      </c>
      <c r="H55" s="100"/>
    </row>
    <row r="56" spans="1:8" x14ac:dyDescent="0.2">
      <c r="A56" s="4">
        <v>50</v>
      </c>
      <c r="B56" s="5" t="s">
        <v>520</v>
      </c>
      <c r="C56" s="5" t="s">
        <v>521</v>
      </c>
      <c r="D56" s="5" t="s">
        <v>1005</v>
      </c>
      <c r="E56" s="6">
        <v>38766</v>
      </c>
      <c r="F56" s="7">
        <v>33.610121999999997</v>
      </c>
      <c r="G56" s="8">
        <v>6.9792150000000004E-3</v>
      </c>
      <c r="H56" s="100"/>
    </row>
    <row r="57" spans="1:8" customFormat="1" ht="25.5" x14ac:dyDescent="0.2">
      <c r="A57" s="239">
        <v>51</v>
      </c>
      <c r="B57" s="76" t="s">
        <v>389</v>
      </c>
      <c r="C57" s="76" t="s">
        <v>1017</v>
      </c>
      <c r="D57" s="76" t="s">
        <v>272</v>
      </c>
      <c r="E57" s="77">
        <v>4515</v>
      </c>
      <c r="F57" s="78">
        <v>6.5580375000000002</v>
      </c>
      <c r="G57" s="79">
        <v>1.361791E-3</v>
      </c>
      <c r="H57" s="78"/>
    </row>
    <row r="58" spans="1:8" x14ac:dyDescent="0.2">
      <c r="A58" s="15" t="s">
        <v>9</v>
      </c>
      <c r="B58" s="15" t="s">
        <v>9</v>
      </c>
      <c r="C58" s="3" t="s">
        <v>94</v>
      </c>
      <c r="D58" s="15" t="s">
        <v>9</v>
      </c>
      <c r="E58" s="15" t="s">
        <v>9</v>
      </c>
      <c r="F58" s="9">
        <v>4533.9343245</v>
      </c>
      <c r="G58" s="10">
        <v>0.94148129099999978</v>
      </c>
      <c r="H58" s="100"/>
    </row>
    <row r="59" spans="1:8" x14ac:dyDescent="0.2">
      <c r="A59" s="15" t="s">
        <v>9</v>
      </c>
      <c r="B59" s="15" t="s">
        <v>9</v>
      </c>
      <c r="C59" s="11" t="s">
        <v>9</v>
      </c>
      <c r="D59" s="15" t="s">
        <v>9</v>
      </c>
      <c r="E59" s="15" t="s">
        <v>9</v>
      </c>
      <c r="F59" s="12" t="s">
        <v>9</v>
      </c>
      <c r="G59" s="12" t="s">
        <v>9</v>
      </c>
      <c r="H59" s="100"/>
    </row>
    <row r="60" spans="1:8" x14ac:dyDescent="0.2">
      <c r="A60" s="15" t="s">
        <v>9</v>
      </c>
      <c r="B60" s="15" t="s">
        <v>9</v>
      </c>
      <c r="C60" s="3" t="s">
        <v>95</v>
      </c>
      <c r="D60" s="15" t="s">
        <v>9</v>
      </c>
      <c r="E60" s="15" t="s">
        <v>9</v>
      </c>
      <c r="F60" s="15" t="s">
        <v>9</v>
      </c>
      <c r="G60" s="15" t="s">
        <v>9</v>
      </c>
      <c r="H60" s="100"/>
    </row>
    <row r="61" spans="1:8" x14ac:dyDescent="0.2">
      <c r="A61" s="15" t="s">
        <v>9</v>
      </c>
      <c r="B61" s="15" t="s">
        <v>9</v>
      </c>
      <c r="C61" s="3" t="s">
        <v>94</v>
      </c>
      <c r="D61" s="15" t="s">
        <v>9</v>
      </c>
      <c r="E61" s="15" t="s">
        <v>9</v>
      </c>
      <c r="F61" s="13">
        <v>0</v>
      </c>
      <c r="G61" s="14">
        <v>0</v>
      </c>
      <c r="H61" s="100"/>
    </row>
    <row r="62" spans="1:8" x14ac:dyDescent="0.2">
      <c r="A62" s="15" t="s">
        <v>9</v>
      </c>
      <c r="B62" s="15" t="s">
        <v>9</v>
      </c>
      <c r="C62" s="11" t="s">
        <v>9</v>
      </c>
      <c r="D62" s="15" t="s">
        <v>9</v>
      </c>
      <c r="E62" s="15" t="s">
        <v>9</v>
      </c>
      <c r="F62" s="12" t="s">
        <v>9</v>
      </c>
      <c r="G62" s="12" t="s">
        <v>9</v>
      </c>
      <c r="H62" s="100"/>
    </row>
    <row r="63" spans="1:8" x14ac:dyDescent="0.2">
      <c r="A63" s="15" t="s">
        <v>9</v>
      </c>
      <c r="B63" s="15" t="s">
        <v>9</v>
      </c>
      <c r="C63" s="3" t="s">
        <v>96</v>
      </c>
      <c r="D63" s="15" t="s">
        <v>9</v>
      </c>
      <c r="E63" s="15" t="s">
        <v>9</v>
      </c>
      <c r="F63" s="15" t="s">
        <v>9</v>
      </c>
      <c r="G63" s="15" t="s">
        <v>9</v>
      </c>
      <c r="H63" s="100"/>
    </row>
    <row r="64" spans="1:8" x14ac:dyDescent="0.2">
      <c r="A64" s="15" t="s">
        <v>9</v>
      </c>
      <c r="B64" s="15" t="s">
        <v>9</v>
      </c>
      <c r="C64" s="3" t="s">
        <v>94</v>
      </c>
      <c r="D64" s="15" t="s">
        <v>9</v>
      </c>
      <c r="E64" s="15" t="s">
        <v>9</v>
      </c>
      <c r="F64" s="13">
        <v>0</v>
      </c>
      <c r="G64" s="14">
        <v>0</v>
      </c>
      <c r="H64" s="100"/>
    </row>
    <row r="65" spans="1:8" x14ac:dyDescent="0.2">
      <c r="A65" s="15" t="s">
        <v>9</v>
      </c>
      <c r="B65" s="15" t="s">
        <v>9</v>
      </c>
      <c r="C65" s="11" t="s">
        <v>9</v>
      </c>
      <c r="D65" s="15" t="s">
        <v>9</v>
      </c>
      <c r="E65" s="15" t="s">
        <v>9</v>
      </c>
      <c r="F65" s="12" t="s">
        <v>9</v>
      </c>
      <c r="G65" s="12" t="s">
        <v>9</v>
      </c>
      <c r="H65" s="100"/>
    </row>
    <row r="66" spans="1:8" x14ac:dyDescent="0.2">
      <c r="A66" s="15" t="s">
        <v>9</v>
      </c>
      <c r="B66" s="15" t="s">
        <v>9</v>
      </c>
      <c r="C66" s="3" t="s">
        <v>100</v>
      </c>
      <c r="D66" s="15" t="s">
        <v>9</v>
      </c>
      <c r="E66" s="15" t="s">
        <v>9</v>
      </c>
      <c r="F66" s="15" t="s">
        <v>9</v>
      </c>
      <c r="G66" s="15" t="s">
        <v>9</v>
      </c>
      <c r="H66" s="100"/>
    </row>
    <row r="67" spans="1:8" x14ac:dyDescent="0.2">
      <c r="A67" s="15" t="s">
        <v>9</v>
      </c>
      <c r="B67" s="15" t="s">
        <v>9</v>
      </c>
      <c r="C67" s="3" t="s">
        <v>94</v>
      </c>
      <c r="D67" s="15" t="s">
        <v>9</v>
      </c>
      <c r="E67" s="15" t="s">
        <v>9</v>
      </c>
      <c r="F67" s="9">
        <v>0</v>
      </c>
      <c r="G67" s="10">
        <v>0</v>
      </c>
      <c r="H67" s="100"/>
    </row>
    <row r="68" spans="1:8" x14ac:dyDescent="0.2">
      <c r="A68" s="15" t="s">
        <v>9</v>
      </c>
      <c r="B68" s="15" t="s">
        <v>9</v>
      </c>
      <c r="C68" s="11" t="s">
        <v>9</v>
      </c>
      <c r="D68" s="15" t="s">
        <v>9</v>
      </c>
      <c r="E68" s="15" t="s">
        <v>9</v>
      </c>
      <c r="F68" s="12" t="s">
        <v>9</v>
      </c>
      <c r="G68" s="12" t="s">
        <v>9</v>
      </c>
      <c r="H68" s="100"/>
    </row>
    <row r="69" spans="1:8" x14ac:dyDescent="0.2">
      <c r="A69" s="15" t="s">
        <v>9</v>
      </c>
      <c r="B69" s="15" t="s">
        <v>9</v>
      </c>
      <c r="C69" s="3" t="s">
        <v>101</v>
      </c>
      <c r="D69" s="15" t="s">
        <v>9</v>
      </c>
      <c r="E69" s="15" t="s">
        <v>9</v>
      </c>
      <c r="F69" s="12" t="s">
        <v>9</v>
      </c>
      <c r="G69" s="12" t="s">
        <v>9</v>
      </c>
      <c r="H69" s="100"/>
    </row>
    <row r="70" spans="1:8" x14ac:dyDescent="0.2">
      <c r="A70" s="15" t="s">
        <v>9</v>
      </c>
      <c r="B70" s="15" t="s">
        <v>9</v>
      </c>
      <c r="C70" s="3" t="s">
        <v>94</v>
      </c>
      <c r="D70" s="15" t="s">
        <v>9</v>
      </c>
      <c r="E70" s="15" t="s">
        <v>9</v>
      </c>
      <c r="F70" s="13">
        <v>0</v>
      </c>
      <c r="G70" s="14">
        <v>0</v>
      </c>
      <c r="H70" s="100"/>
    </row>
    <row r="71" spans="1:8" x14ac:dyDescent="0.2">
      <c r="A71" s="15" t="s">
        <v>9</v>
      </c>
      <c r="B71" s="15" t="s">
        <v>9</v>
      </c>
      <c r="C71" s="11" t="s">
        <v>9</v>
      </c>
      <c r="D71" s="15" t="s">
        <v>9</v>
      </c>
      <c r="E71" s="15" t="s">
        <v>9</v>
      </c>
      <c r="F71" s="12" t="s">
        <v>9</v>
      </c>
      <c r="G71" s="12" t="s">
        <v>9</v>
      </c>
      <c r="H71" s="100"/>
    </row>
    <row r="72" spans="1:8" x14ac:dyDescent="0.2">
      <c r="A72" s="15" t="s">
        <v>9</v>
      </c>
      <c r="B72" s="15" t="s">
        <v>9</v>
      </c>
      <c r="C72" s="3" t="s">
        <v>102</v>
      </c>
      <c r="D72" s="15" t="s">
        <v>9</v>
      </c>
      <c r="E72" s="15" t="s">
        <v>9</v>
      </c>
      <c r="F72" s="12" t="s">
        <v>9</v>
      </c>
      <c r="G72" s="12" t="s">
        <v>9</v>
      </c>
      <c r="H72" s="100"/>
    </row>
    <row r="73" spans="1:8" x14ac:dyDescent="0.2">
      <c r="A73" s="15" t="s">
        <v>9</v>
      </c>
      <c r="B73" s="15" t="s">
        <v>9</v>
      </c>
      <c r="C73" s="3" t="s">
        <v>94</v>
      </c>
      <c r="D73" s="15" t="s">
        <v>9</v>
      </c>
      <c r="E73" s="15" t="s">
        <v>9</v>
      </c>
      <c r="F73" s="13">
        <v>0</v>
      </c>
      <c r="G73" s="14">
        <v>0</v>
      </c>
      <c r="H73" s="100"/>
    </row>
    <row r="74" spans="1:8" x14ac:dyDescent="0.2">
      <c r="A74" s="15" t="s">
        <v>9</v>
      </c>
      <c r="B74" s="15" t="s">
        <v>9</v>
      </c>
      <c r="C74" s="11" t="s">
        <v>9</v>
      </c>
      <c r="D74" s="15" t="s">
        <v>9</v>
      </c>
      <c r="E74" s="15" t="s">
        <v>9</v>
      </c>
      <c r="F74" s="12" t="s">
        <v>9</v>
      </c>
      <c r="G74" s="12" t="s">
        <v>9</v>
      </c>
      <c r="H74" s="100"/>
    </row>
    <row r="75" spans="1:8" x14ac:dyDescent="0.2">
      <c r="A75" s="15" t="s">
        <v>9</v>
      </c>
      <c r="B75" s="15" t="s">
        <v>9</v>
      </c>
      <c r="C75" s="3" t="s">
        <v>104</v>
      </c>
      <c r="D75" s="15" t="s">
        <v>9</v>
      </c>
      <c r="E75" s="15" t="s">
        <v>9</v>
      </c>
      <c r="F75" s="9">
        <v>4533.9343245</v>
      </c>
      <c r="G75" s="10">
        <v>0.941481291</v>
      </c>
      <c r="H75" s="100"/>
    </row>
    <row r="76" spans="1:8" x14ac:dyDescent="0.2">
      <c r="A76" s="15" t="s">
        <v>9</v>
      </c>
      <c r="B76" s="15" t="s">
        <v>9</v>
      </c>
      <c r="C76" s="11" t="s">
        <v>9</v>
      </c>
      <c r="D76" s="15" t="s">
        <v>9</v>
      </c>
      <c r="E76" s="15" t="s">
        <v>9</v>
      </c>
      <c r="F76" s="12" t="s">
        <v>9</v>
      </c>
      <c r="G76" s="12" t="s">
        <v>9</v>
      </c>
      <c r="H76" s="100"/>
    </row>
    <row r="77" spans="1:8" x14ac:dyDescent="0.2">
      <c r="A77" s="15" t="s">
        <v>9</v>
      </c>
      <c r="B77" s="15" t="s">
        <v>9</v>
      </c>
      <c r="C77" s="3" t="s">
        <v>105</v>
      </c>
      <c r="D77" s="15" t="s">
        <v>9</v>
      </c>
      <c r="E77" s="15" t="s">
        <v>9</v>
      </c>
      <c r="F77" s="12" t="s">
        <v>9</v>
      </c>
      <c r="G77" s="12" t="s">
        <v>9</v>
      </c>
      <c r="H77" s="100"/>
    </row>
    <row r="78" spans="1:8" ht="25.5" x14ac:dyDescent="0.2">
      <c r="A78" s="15" t="s">
        <v>9</v>
      </c>
      <c r="B78" s="15" t="s">
        <v>9</v>
      </c>
      <c r="C78" s="3" t="s">
        <v>11</v>
      </c>
      <c r="D78" s="15" t="s">
        <v>9</v>
      </c>
      <c r="E78" s="15" t="s">
        <v>9</v>
      </c>
      <c r="F78" s="12" t="s">
        <v>9</v>
      </c>
      <c r="G78" s="12" t="s">
        <v>9</v>
      </c>
      <c r="H78" s="100"/>
    </row>
    <row r="79" spans="1:8" x14ac:dyDescent="0.2">
      <c r="A79" s="15" t="s">
        <v>9</v>
      </c>
      <c r="B79" s="15" t="s">
        <v>9</v>
      </c>
      <c r="C79" s="3" t="s">
        <v>94</v>
      </c>
      <c r="D79" s="15" t="s">
        <v>9</v>
      </c>
      <c r="E79" s="15" t="s">
        <v>9</v>
      </c>
      <c r="F79" s="13">
        <v>0</v>
      </c>
      <c r="G79" s="14">
        <v>0</v>
      </c>
      <c r="H79" s="100"/>
    </row>
    <row r="80" spans="1:8" x14ac:dyDescent="0.2">
      <c r="A80" s="15" t="s">
        <v>9</v>
      </c>
      <c r="B80" s="15" t="s">
        <v>9</v>
      </c>
      <c r="C80" s="11" t="s">
        <v>9</v>
      </c>
      <c r="D80" s="15" t="s">
        <v>9</v>
      </c>
      <c r="E80" s="15" t="s">
        <v>9</v>
      </c>
      <c r="F80" s="12" t="s">
        <v>9</v>
      </c>
      <c r="G80" s="12" t="s">
        <v>9</v>
      </c>
      <c r="H80" s="100"/>
    </row>
    <row r="81" spans="1:8" x14ac:dyDescent="0.2">
      <c r="A81" s="15" t="s">
        <v>9</v>
      </c>
      <c r="B81" s="15" t="s">
        <v>9</v>
      </c>
      <c r="C81" s="3" t="s">
        <v>106</v>
      </c>
      <c r="D81" s="15" t="s">
        <v>9</v>
      </c>
      <c r="E81" s="15" t="s">
        <v>9</v>
      </c>
      <c r="F81" s="15" t="s">
        <v>9</v>
      </c>
      <c r="G81" s="15" t="s">
        <v>9</v>
      </c>
      <c r="H81" s="100"/>
    </row>
    <row r="82" spans="1:8" x14ac:dyDescent="0.2">
      <c r="A82" s="15" t="s">
        <v>9</v>
      </c>
      <c r="B82" s="15" t="s">
        <v>9</v>
      </c>
      <c r="C82" s="3" t="s">
        <v>94</v>
      </c>
      <c r="D82" s="15" t="s">
        <v>9</v>
      </c>
      <c r="E82" s="15" t="s">
        <v>9</v>
      </c>
      <c r="F82" s="13">
        <v>0</v>
      </c>
      <c r="G82" s="14">
        <v>0</v>
      </c>
      <c r="H82" s="100"/>
    </row>
    <row r="83" spans="1:8" x14ac:dyDescent="0.2">
      <c r="A83" s="15" t="s">
        <v>9</v>
      </c>
      <c r="B83" s="15" t="s">
        <v>9</v>
      </c>
      <c r="C83" s="11" t="s">
        <v>9</v>
      </c>
      <c r="D83" s="15" t="s">
        <v>9</v>
      </c>
      <c r="E83" s="15" t="s">
        <v>9</v>
      </c>
      <c r="F83" s="12" t="s">
        <v>9</v>
      </c>
      <c r="G83" s="12" t="s">
        <v>9</v>
      </c>
      <c r="H83" s="100"/>
    </row>
    <row r="84" spans="1:8" x14ac:dyDescent="0.2">
      <c r="A84" s="15" t="s">
        <v>9</v>
      </c>
      <c r="B84" s="15" t="s">
        <v>9</v>
      </c>
      <c r="C84" s="3" t="s">
        <v>107</v>
      </c>
      <c r="D84" s="15" t="s">
        <v>9</v>
      </c>
      <c r="E84" s="15" t="s">
        <v>9</v>
      </c>
      <c r="F84" s="15" t="s">
        <v>9</v>
      </c>
      <c r="G84" s="15" t="s">
        <v>9</v>
      </c>
      <c r="H84" s="100"/>
    </row>
    <row r="85" spans="1:8" x14ac:dyDescent="0.2">
      <c r="A85" s="15" t="s">
        <v>9</v>
      </c>
      <c r="B85" s="15" t="s">
        <v>9</v>
      </c>
      <c r="C85" s="3" t="s">
        <v>94</v>
      </c>
      <c r="D85" s="15" t="s">
        <v>9</v>
      </c>
      <c r="E85" s="15" t="s">
        <v>9</v>
      </c>
      <c r="F85" s="13">
        <v>0</v>
      </c>
      <c r="G85" s="14">
        <v>0</v>
      </c>
      <c r="H85" s="100"/>
    </row>
    <row r="86" spans="1:8" x14ac:dyDescent="0.2">
      <c r="A86" s="15" t="s">
        <v>9</v>
      </c>
      <c r="B86" s="15" t="s">
        <v>9</v>
      </c>
      <c r="C86" s="11" t="s">
        <v>9</v>
      </c>
      <c r="D86" s="15" t="s">
        <v>9</v>
      </c>
      <c r="E86" s="15" t="s">
        <v>9</v>
      </c>
      <c r="F86" s="12" t="s">
        <v>9</v>
      </c>
      <c r="G86" s="12" t="s">
        <v>9</v>
      </c>
      <c r="H86" s="100"/>
    </row>
    <row r="87" spans="1:8" x14ac:dyDescent="0.2">
      <c r="A87" s="15" t="s">
        <v>9</v>
      </c>
      <c r="B87" s="15" t="s">
        <v>9</v>
      </c>
      <c r="C87" s="3" t="s">
        <v>108</v>
      </c>
      <c r="D87" s="15" t="s">
        <v>9</v>
      </c>
      <c r="E87" s="15" t="s">
        <v>9</v>
      </c>
      <c r="F87" s="12" t="s">
        <v>9</v>
      </c>
      <c r="G87" s="12" t="s">
        <v>9</v>
      </c>
      <c r="H87" s="100"/>
    </row>
    <row r="88" spans="1:8" x14ac:dyDescent="0.2">
      <c r="A88" s="15" t="s">
        <v>9</v>
      </c>
      <c r="B88" s="15" t="s">
        <v>9</v>
      </c>
      <c r="C88" s="3" t="s">
        <v>94</v>
      </c>
      <c r="D88" s="15" t="s">
        <v>9</v>
      </c>
      <c r="E88" s="15" t="s">
        <v>9</v>
      </c>
      <c r="F88" s="13">
        <v>0</v>
      </c>
      <c r="G88" s="14">
        <v>0</v>
      </c>
      <c r="H88" s="100"/>
    </row>
    <row r="89" spans="1:8" x14ac:dyDescent="0.2">
      <c r="A89" s="15" t="s">
        <v>9</v>
      </c>
      <c r="B89" s="15" t="s">
        <v>9</v>
      </c>
      <c r="C89" s="11" t="s">
        <v>9</v>
      </c>
      <c r="D89" s="15" t="s">
        <v>9</v>
      </c>
      <c r="E89" s="15" t="s">
        <v>9</v>
      </c>
      <c r="F89" s="12" t="s">
        <v>9</v>
      </c>
      <c r="G89" s="12" t="s">
        <v>9</v>
      </c>
      <c r="H89" s="100"/>
    </row>
    <row r="90" spans="1:8" x14ac:dyDescent="0.2">
      <c r="A90" s="15" t="s">
        <v>9</v>
      </c>
      <c r="B90" s="15" t="s">
        <v>9</v>
      </c>
      <c r="C90" s="3" t="s">
        <v>109</v>
      </c>
      <c r="D90" s="15" t="s">
        <v>9</v>
      </c>
      <c r="E90" s="15" t="s">
        <v>9</v>
      </c>
      <c r="F90" s="9">
        <v>0</v>
      </c>
      <c r="G90" s="10">
        <v>0</v>
      </c>
      <c r="H90" s="100"/>
    </row>
    <row r="91" spans="1:8" x14ac:dyDescent="0.2">
      <c r="A91" s="15" t="s">
        <v>9</v>
      </c>
      <c r="B91" s="15" t="s">
        <v>9</v>
      </c>
      <c r="C91" s="11" t="s">
        <v>9</v>
      </c>
      <c r="D91" s="15" t="s">
        <v>9</v>
      </c>
      <c r="E91" s="15" t="s">
        <v>9</v>
      </c>
      <c r="F91" s="12" t="s">
        <v>9</v>
      </c>
      <c r="G91" s="12" t="s">
        <v>9</v>
      </c>
      <c r="H91" s="100"/>
    </row>
    <row r="92" spans="1:8" x14ac:dyDescent="0.2">
      <c r="A92" s="15" t="s">
        <v>9</v>
      </c>
      <c r="B92" s="15" t="s">
        <v>9</v>
      </c>
      <c r="C92" s="3" t="s">
        <v>110</v>
      </c>
      <c r="D92" s="15" t="s">
        <v>9</v>
      </c>
      <c r="E92" s="15" t="s">
        <v>9</v>
      </c>
      <c r="F92" s="12" t="s">
        <v>9</v>
      </c>
      <c r="G92" s="12" t="s">
        <v>9</v>
      </c>
      <c r="H92" s="100"/>
    </row>
    <row r="93" spans="1:8" x14ac:dyDescent="0.2">
      <c r="A93" s="15" t="s">
        <v>9</v>
      </c>
      <c r="B93" s="15" t="s">
        <v>9</v>
      </c>
      <c r="C93" s="3" t="s">
        <v>111</v>
      </c>
      <c r="D93" s="15" t="s">
        <v>9</v>
      </c>
      <c r="E93" s="15" t="s">
        <v>9</v>
      </c>
      <c r="F93" s="12" t="s">
        <v>9</v>
      </c>
      <c r="G93" s="12" t="s">
        <v>9</v>
      </c>
      <c r="H93" s="100"/>
    </row>
    <row r="94" spans="1:8" x14ac:dyDescent="0.2">
      <c r="A94" s="15" t="s">
        <v>9</v>
      </c>
      <c r="B94" s="15" t="s">
        <v>9</v>
      </c>
      <c r="C94" s="3" t="s">
        <v>94</v>
      </c>
      <c r="D94" s="15" t="s">
        <v>9</v>
      </c>
      <c r="E94" s="15" t="s">
        <v>9</v>
      </c>
      <c r="F94" s="13">
        <v>0</v>
      </c>
      <c r="G94" s="14">
        <v>0</v>
      </c>
      <c r="H94" s="100"/>
    </row>
    <row r="95" spans="1:8" x14ac:dyDescent="0.2">
      <c r="A95" s="15" t="s">
        <v>9</v>
      </c>
      <c r="B95" s="15" t="s">
        <v>9</v>
      </c>
      <c r="C95" s="11" t="s">
        <v>9</v>
      </c>
      <c r="D95" s="15" t="s">
        <v>9</v>
      </c>
      <c r="E95" s="15" t="s">
        <v>9</v>
      </c>
      <c r="F95" s="12" t="s">
        <v>9</v>
      </c>
      <c r="G95" s="12" t="s">
        <v>9</v>
      </c>
      <c r="H95" s="100"/>
    </row>
    <row r="96" spans="1:8" x14ac:dyDescent="0.2">
      <c r="A96" s="15" t="s">
        <v>9</v>
      </c>
      <c r="B96" s="15" t="s">
        <v>9</v>
      </c>
      <c r="C96" s="3" t="s">
        <v>112</v>
      </c>
      <c r="D96" s="15" t="s">
        <v>9</v>
      </c>
      <c r="E96" s="15" t="s">
        <v>9</v>
      </c>
      <c r="F96" s="12" t="s">
        <v>9</v>
      </c>
      <c r="G96" s="12" t="s">
        <v>9</v>
      </c>
      <c r="H96" s="100"/>
    </row>
    <row r="97" spans="1:8" x14ac:dyDescent="0.2">
      <c r="A97" s="15" t="s">
        <v>9</v>
      </c>
      <c r="B97" s="15" t="s">
        <v>9</v>
      </c>
      <c r="C97" s="3" t="s">
        <v>94</v>
      </c>
      <c r="D97" s="15" t="s">
        <v>9</v>
      </c>
      <c r="E97" s="15" t="s">
        <v>9</v>
      </c>
      <c r="F97" s="13">
        <v>0</v>
      </c>
      <c r="G97" s="14">
        <v>0</v>
      </c>
      <c r="H97" s="100"/>
    </row>
    <row r="98" spans="1:8" x14ac:dyDescent="0.2">
      <c r="A98" s="15" t="s">
        <v>9</v>
      </c>
      <c r="B98" s="15" t="s">
        <v>9</v>
      </c>
      <c r="C98" s="11" t="s">
        <v>9</v>
      </c>
      <c r="D98" s="15" t="s">
        <v>9</v>
      </c>
      <c r="E98" s="15" t="s">
        <v>9</v>
      </c>
      <c r="F98" s="12" t="s">
        <v>9</v>
      </c>
      <c r="G98" s="12" t="s">
        <v>9</v>
      </c>
      <c r="H98" s="100"/>
    </row>
    <row r="99" spans="1:8" x14ac:dyDescent="0.2">
      <c r="A99" s="15" t="s">
        <v>9</v>
      </c>
      <c r="B99" s="15" t="s">
        <v>9</v>
      </c>
      <c r="C99" s="3" t="s">
        <v>113</v>
      </c>
      <c r="D99" s="15" t="s">
        <v>9</v>
      </c>
      <c r="E99" s="15" t="s">
        <v>9</v>
      </c>
      <c r="F99" s="12" t="s">
        <v>9</v>
      </c>
      <c r="G99" s="12" t="s">
        <v>9</v>
      </c>
      <c r="H99" s="100"/>
    </row>
    <row r="100" spans="1:8" x14ac:dyDescent="0.2">
      <c r="A100" s="15" t="s">
        <v>9</v>
      </c>
      <c r="B100" s="15" t="s">
        <v>9</v>
      </c>
      <c r="C100" s="3" t="s">
        <v>94</v>
      </c>
      <c r="D100" s="15" t="s">
        <v>9</v>
      </c>
      <c r="E100" s="15" t="s">
        <v>9</v>
      </c>
      <c r="F100" s="13">
        <v>0</v>
      </c>
      <c r="G100" s="14">
        <v>0</v>
      </c>
      <c r="H100" s="100"/>
    </row>
    <row r="101" spans="1:8" x14ac:dyDescent="0.2">
      <c r="A101" s="15" t="s">
        <v>9</v>
      </c>
      <c r="B101" s="15" t="s">
        <v>9</v>
      </c>
      <c r="C101" s="11" t="s">
        <v>9</v>
      </c>
      <c r="D101" s="15" t="s">
        <v>9</v>
      </c>
      <c r="E101" s="15" t="s">
        <v>9</v>
      </c>
      <c r="F101" s="12" t="s">
        <v>9</v>
      </c>
      <c r="G101" s="12" t="s">
        <v>9</v>
      </c>
      <c r="H101" s="100"/>
    </row>
    <row r="102" spans="1:8" x14ac:dyDescent="0.2">
      <c r="A102" s="15" t="s">
        <v>9</v>
      </c>
      <c r="B102" s="15" t="s">
        <v>9</v>
      </c>
      <c r="C102" s="3" t="s">
        <v>114</v>
      </c>
      <c r="D102" s="15" t="s">
        <v>9</v>
      </c>
      <c r="E102" s="15" t="s">
        <v>9</v>
      </c>
      <c r="F102" s="12" t="s">
        <v>9</v>
      </c>
      <c r="G102" s="12" t="s">
        <v>9</v>
      </c>
      <c r="H102" s="100"/>
    </row>
    <row r="103" spans="1:8" x14ac:dyDescent="0.2">
      <c r="A103" s="4">
        <v>1</v>
      </c>
      <c r="B103" s="5"/>
      <c r="C103" s="5" t="s">
        <v>115</v>
      </c>
      <c r="D103" s="5"/>
      <c r="E103" s="15" t="s">
        <v>9</v>
      </c>
      <c r="F103" s="7">
        <v>169.80141889999999</v>
      </c>
      <c r="G103" s="8">
        <v>3.5259632999999999E-2</v>
      </c>
      <c r="H103" s="99">
        <v>3.2516689338443991</v>
      </c>
    </row>
    <row r="104" spans="1:8" x14ac:dyDescent="0.2">
      <c r="A104" s="4">
        <v>2</v>
      </c>
      <c r="B104" s="5"/>
      <c r="C104" s="5" t="s">
        <v>116</v>
      </c>
      <c r="D104" s="5"/>
      <c r="E104" s="15" t="s">
        <v>9</v>
      </c>
      <c r="F104" s="7">
        <v>23.264359500000001</v>
      </c>
      <c r="G104" s="8">
        <v>4.830895E-3</v>
      </c>
      <c r="H104" s="100">
        <v>3.350000000000001</v>
      </c>
    </row>
    <row r="105" spans="1:8" x14ac:dyDescent="0.2">
      <c r="A105" s="15" t="s">
        <v>9</v>
      </c>
      <c r="B105" s="15" t="s">
        <v>9</v>
      </c>
      <c r="C105" s="3" t="s">
        <v>94</v>
      </c>
      <c r="D105" s="15" t="s">
        <v>9</v>
      </c>
      <c r="E105" s="15" t="s">
        <v>9</v>
      </c>
      <c r="F105" s="9">
        <v>193.0657784</v>
      </c>
      <c r="G105" s="10">
        <v>4.0090528E-2</v>
      </c>
      <c r="H105" s="100"/>
    </row>
    <row r="106" spans="1:8" x14ac:dyDescent="0.2">
      <c r="A106" s="15" t="s">
        <v>9</v>
      </c>
      <c r="B106" s="15" t="s">
        <v>9</v>
      </c>
      <c r="C106" s="11" t="s">
        <v>9</v>
      </c>
      <c r="D106" s="15" t="s">
        <v>9</v>
      </c>
      <c r="E106" s="15" t="s">
        <v>9</v>
      </c>
      <c r="F106" s="12" t="s">
        <v>9</v>
      </c>
      <c r="G106" s="12" t="s">
        <v>9</v>
      </c>
      <c r="H106" s="100"/>
    </row>
    <row r="107" spans="1:8" x14ac:dyDescent="0.2">
      <c r="A107" s="15" t="s">
        <v>9</v>
      </c>
      <c r="B107" s="15" t="s">
        <v>9</v>
      </c>
      <c r="C107" s="3" t="s">
        <v>117</v>
      </c>
      <c r="D107" s="15" t="s">
        <v>9</v>
      </c>
      <c r="E107" s="15" t="s">
        <v>9</v>
      </c>
      <c r="F107" s="9">
        <v>193.0657784</v>
      </c>
      <c r="G107" s="10">
        <v>4.0090528E-2</v>
      </c>
      <c r="H107" s="100"/>
    </row>
    <row r="108" spans="1:8" x14ac:dyDescent="0.2">
      <c r="A108" s="15" t="s">
        <v>9</v>
      </c>
      <c r="B108" s="15" t="s">
        <v>9</v>
      </c>
      <c r="C108" s="12" t="s">
        <v>9</v>
      </c>
      <c r="D108" s="15" t="s">
        <v>9</v>
      </c>
      <c r="E108" s="15" t="s">
        <v>9</v>
      </c>
      <c r="F108" s="15" t="s">
        <v>9</v>
      </c>
      <c r="G108" s="15" t="s">
        <v>9</v>
      </c>
      <c r="H108" s="100"/>
    </row>
    <row r="109" spans="1:8" x14ac:dyDescent="0.2">
      <c r="A109" s="15" t="s">
        <v>9</v>
      </c>
      <c r="B109" s="15" t="s">
        <v>9</v>
      </c>
      <c r="C109" s="3" t="s">
        <v>118</v>
      </c>
      <c r="D109" s="15" t="s">
        <v>9</v>
      </c>
      <c r="E109" s="15" t="s">
        <v>9</v>
      </c>
      <c r="F109" s="15" t="s">
        <v>9</v>
      </c>
      <c r="G109" s="15" t="s">
        <v>9</v>
      </c>
      <c r="H109" s="100"/>
    </row>
    <row r="110" spans="1:8" x14ac:dyDescent="0.2">
      <c r="A110" s="15" t="s">
        <v>9</v>
      </c>
      <c r="B110" s="15" t="s">
        <v>9</v>
      </c>
      <c r="C110" s="3" t="s">
        <v>119</v>
      </c>
      <c r="D110" s="15" t="s">
        <v>9</v>
      </c>
      <c r="E110" s="15" t="s">
        <v>9</v>
      </c>
      <c r="F110" s="15" t="s">
        <v>9</v>
      </c>
      <c r="G110" s="15" t="s">
        <v>9</v>
      </c>
      <c r="H110" s="100"/>
    </row>
    <row r="111" spans="1:8" x14ac:dyDescent="0.2">
      <c r="A111" s="15" t="s">
        <v>9</v>
      </c>
      <c r="B111" s="15" t="s">
        <v>9</v>
      </c>
      <c r="C111" s="3" t="s">
        <v>94</v>
      </c>
      <c r="D111" s="15" t="s">
        <v>9</v>
      </c>
      <c r="E111" s="15" t="s">
        <v>9</v>
      </c>
      <c r="F111" s="13">
        <v>0</v>
      </c>
      <c r="G111" s="14">
        <v>0</v>
      </c>
      <c r="H111" s="100"/>
    </row>
    <row r="112" spans="1:8" x14ac:dyDescent="0.2">
      <c r="A112" s="15" t="s">
        <v>9</v>
      </c>
      <c r="B112" s="15" t="s">
        <v>9</v>
      </c>
      <c r="C112" s="11" t="s">
        <v>9</v>
      </c>
      <c r="D112" s="15" t="s">
        <v>9</v>
      </c>
      <c r="E112" s="15" t="s">
        <v>9</v>
      </c>
      <c r="F112" s="12" t="s">
        <v>9</v>
      </c>
      <c r="G112" s="12" t="s">
        <v>9</v>
      </c>
      <c r="H112" s="100"/>
    </row>
    <row r="113" spans="1:8" x14ac:dyDescent="0.2">
      <c r="A113" s="15" t="s">
        <v>9</v>
      </c>
      <c r="B113" s="15" t="s">
        <v>9</v>
      </c>
      <c r="C113" s="3" t="s">
        <v>120</v>
      </c>
      <c r="D113" s="15" t="s">
        <v>9</v>
      </c>
      <c r="E113" s="15" t="s">
        <v>9</v>
      </c>
      <c r="F113" s="15" t="s">
        <v>9</v>
      </c>
      <c r="G113" s="15" t="s">
        <v>9</v>
      </c>
      <c r="H113" s="100"/>
    </row>
    <row r="114" spans="1:8" x14ac:dyDescent="0.2">
      <c r="A114" s="15" t="s">
        <v>9</v>
      </c>
      <c r="B114" s="15" t="s">
        <v>9</v>
      </c>
      <c r="C114" s="3" t="s">
        <v>121</v>
      </c>
      <c r="D114" s="15" t="s">
        <v>9</v>
      </c>
      <c r="E114" s="15" t="s">
        <v>9</v>
      </c>
      <c r="F114" s="15" t="s">
        <v>9</v>
      </c>
      <c r="G114" s="15" t="s">
        <v>9</v>
      </c>
      <c r="H114" s="100"/>
    </row>
    <row r="115" spans="1:8" x14ac:dyDescent="0.2">
      <c r="A115" s="15" t="s">
        <v>9</v>
      </c>
      <c r="B115" s="15" t="s">
        <v>9</v>
      </c>
      <c r="C115" s="3" t="s">
        <v>94</v>
      </c>
      <c r="D115" s="15" t="s">
        <v>9</v>
      </c>
      <c r="E115" s="15" t="s">
        <v>9</v>
      </c>
      <c r="F115" s="13">
        <v>0</v>
      </c>
      <c r="G115" s="14">
        <v>0</v>
      </c>
      <c r="H115" s="100"/>
    </row>
    <row r="116" spans="1:8" x14ac:dyDescent="0.2">
      <c r="A116" s="15" t="s">
        <v>9</v>
      </c>
      <c r="B116" s="15" t="s">
        <v>9</v>
      </c>
      <c r="C116" s="11" t="s">
        <v>9</v>
      </c>
      <c r="D116" s="15" t="s">
        <v>9</v>
      </c>
      <c r="E116" s="15" t="s">
        <v>9</v>
      </c>
      <c r="F116" s="12" t="s">
        <v>9</v>
      </c>
      <c r="G116" s="12" t="s">
        <v>9</v>
      </c>
      <c r="H116" s="100"/>
    </row>
    <row r="117" spans="1:8" x14ac:dyDescent="0.2">
      <c r="A117" s="15" t="s">
        <v>9</v>
      </c>
      <c r="B117" s="15" t="s">
        <v>9</v>
      </c>
      <c r="C117" s="11" t="s">
        <v>9</v>
      </c>
      <c r="D117" s="15" t="s">
        <v>9</v>
      </c>
      <c r="E117" s="15" t="s">
        <v>9</v>
      </c>
      <c r="F117" s="12" t="s">
        <v>9</v>
      </c>
      <c r="G117" s="12" t="s">
        <v>9</v>
      </c>
      <c r="H117" s="100"/>
    </row>
    <row r="118" spans="1:8" ht="25.5" x14ac:dyDescent="0.2">
      <c r="A118" s="15" t="s">
        <v>9</v>
      </c>
      <c r="B118" s="15" t="s">
        <v>9</v>
      </c>
      <c r="C118" s="3" t="s">
        <v>122</v>
      </c>
      <c r="D118" s="15" t="s">
        <v>9</v>
      </c>
      <c r="E118" s="15" t="s">
        <v>9</v>
      </c>
      <c r="F118" s="12" t="s">
        <v>9</v>
      </c>
      <c r="G118" s="12" t="s">
        <v>9</v>
      </c>
      <c r="H118" s="100"/>
    </row>
    <row r="119" spans="1:8" x14ac:dyDescent="0.2">
      <c r="A119" s="15" t="s">
        <v>9</v>
      </c>
      <c r="B119" s="15" t="s">
        <v>9</v>
      </c>
      <c r="C119" s="3" t="s">
        <v>94</v>
      </c>
      <c r="D119" s="15" t="s">
        <v>9</v>
      </c>
      <c r="E119" s="15" t="s">
        <v>9</v>
      </c>
      <c r="F119" s="13">
        <v>0</v>
      </c>
      <c r="G119" s="14">
        <v>0</v>
      </c>
      <c r="H119" s="100"/>
    </row>
    <row r="120" spans="1:8" x14ac:dyDescent="0.2">
      <c r="A120" s="15" t="s">
        <v>9</v>
      </c>
      <c r="B120" s="15" t="s">
        <v>9</v>
      </c>
      <c r="C120" s="11" t="s">
        <v>9</v>
      </c>
      <c r="D120" s="15" t="s">
        <v>9</v>
      </c>
      <c r="E120" s="15" t="s">
        <v>9</v>
      </c>
      <c r="F120" s="12" t="s">
        <v>9</v>
      </c>
      <c r="G120" s="12" t="s">
        <v>9</v>
      </c>
      <c r="H120" s="100"/>
    </row>
    <row r="121" spans="1:8" x14ac:dyDescent="0.2">
      <c r="A121" s="15" t="s">
        <v>9</v>
      </c>
      <c r="B121" s="5" t="s">
        <v>9</v>
      </c>
      <c r="C121" s="5" t="s">
        <v>9</v>
      </c>
      <c r="D121" s="3" t="s">
        <v>9</v>
      </c>
      <c r="E121" s="15" t="s">
        <v>9</v>
      </c>
      <c r="F121" s="5" t="s">
        <v>9</v>
      </c>
      <c r="G121" s="15" t="s">
        <v>9</v>
      </c>
      <c r="H121" s="100"/>
    </row>
    <row r="122" spans="1:8" x14ac:dyDescent="0.2">
      <c r="A122" s="15" t="s">
        <v>9</v>
      </c>
      <c r="B122" s="5" t="s">
        <v>9</v>
      </c>
      <c r="C122" s="5" t="s">
        <v>124</v>
      </c>
      <c r="D122" s="5" t="s">
        <v>9</v>
      </c>
      <c r="E122" s="15" t="s">
        <v>9</v>
      </c>
      <c r="F122" s="7">
        <v>88.745419209999994</v>
      </c>
      <c r="G122" s="8">
        <v>1.8428178999999999E-2</v>
      </c>
      <c r="H122" s="100"/>
    </row>
    <row r="123" spans="1:8" x14ac:dyDescent="0.2">
      <c r="A123" s="11" t="s">
        <v>9</v>
      </c>
      <c r="B123" s="11" t="s">
        <v>9</v>
      </c>
      <c r="C123" s="3" t="s">
        <v>125</v>
      </c>
      <c r="D123" s="16" t="s">
        <v>9</v>
      </c>
      <c r="E123" s="16" t="s">
        <v>9</v>
      </c>
      <c r="F123" s="9">
        <v>4815.7455221099999</v>
      </c>
      <c r="G123" s="10">
        <v>0.99999999799999995</v>
      </c>
      <c r="H123" s="100"/>
    </row>
    <row r="124" spans="1:8" x14ac:dyDescent="0.2">
      <c r="A124" s="17" t="s">
        <v>9</v>
      </c>
      <c r="B124" s="17" t="s">
        <v>9</v>
      </c>
      <c r="C124" s="17" t="s">
        <v>9</v>
      </c>
      <c r="D124" s="18" t="s">
        <v>9</v>
      </c>
      <c r="E124" s="18" t="s">
        <v>9</v>
      </c>
      <c r="F124" s="18" t="s">
        <v>9</v>
      </c>
      <c r="G124" s="18" t="s">
        <v>9</v>
      </c>
      <c r="H124" s="142"/>
    </row>
    <row r="125" spans="1:8" x14ac:dyDescent="0.2">
      <c r="A125" s="19" t="s">
        <v>9</v>
      </c>
      <c r="B125" s="254" t="s">
        <v>9</v>
      </c>
      <c r="C125" s="254"/>
      <c r="D125" s="254"/>
      <c r="E125" s="254"/>
      <c r="F125" s="254"/>
      <c r="G125" s="20" t="s">
        <v>9</v>
      </c>
      <c r="H125" s="142"/>
    </row>
    <row r="126" spans="1:8" x14ac:dyDescent="0.2">
      <c r="A126" s="19" t="s">
        <v>9</v>
      </c>
      <c r="B126" s="254" t="s">
        <v>9</v>
      </c>
      <c r="C126" s="254"/>
      <c r="D126" s="254"/>
      <c r="E126" s="254"/>
      <c r="F126" s="254"/>
      <c r="G126" s="20" t="s">
        <v>9</v>
      </c>
      <c r="H126" s="142"/>
    </row>
    <row r="127" spans="1:8" x14ac:dyDescent="0.2">
      <c r="A127" s="19" t="s">
        <v>9</v>
      </c>
      <c r="B127" s="19" t="s">
        <v>9</v>
      </c>
      <c r="C127" s="19" t="s">
        <v>9</v>
      </c>
      <c r="D127" s="20" t="s">
        <v>9</v>
      </c>
      <c r="E127" s="20" t="s">
        <v>9</v>
      </c>
      <c r="F127" s="20" t="s">
        <v>9</v>
      </c>
      <c r="G127" s="20" t="s">
        <v>9</v>
      </c>
      <c r="H127" s="142"/>
    </row>
    <row r="128" spans="1:8" x14ac:dyDescent="0.2">
      <c r="A128" s="19" t="s">
        <v>9</v>
      </c>
      <c r="B128" s="247" t="s">
        <v>127</v>
      </c>
      <c r="C128" s="248"/>
      <c r="D128" s="182" t="s">
        <v>9</v>
      </c>
      <c r="E128" s="21" t="s">
        <v>9</v>
      </c>
      <c r="F128" s="20" t="s">
        <v>9</v>
      </c>
      <c r="G128" s="20" t="s">
        <v>9</v>
      </c>
      <c r="H128" s="142"/>
    </row>
    <row r="129" spans="1:8" ht="28.5" customHeight="1" x14ac:dyDescent="0.2">
      <c r="A129" s="19" t="s">
        <v>9</v>
      </c>
      <c r="B129" s="242" t="s">
        <v>128</v>
      </c>
      <c r="C129" s="243"/>
      <c r="D129" s="3" t="s">
        <v>129</v>
      </c>
      <c r="E129" s="21" t="s">
        <v>9</v>
      </c>
      <c r="F129" s="20" t="s">
        <v>9</v>
      </c>
      <c r="G129" s="20" t="s">
        <v>9</v>
      </c>
      <c r="H129" s="142"/>
    </row>
    <row r="130" spans="1:8" x14ac:dyDescent="0.2">
      <c r="A130" s="19" t="s">
        <v>9</v>
      </c>
      <c r="B130" s="240" t="s">
        <v>130</v>
      </c>
      <c r="C130" s="241"/>
      <c r="D130" s="177" t="s">
        <v>129</v>
      </c>
      <c r="E130" s="21" t="s">
        <v>9</v>
      </c>
      <c r="F130" s="20" t="s">
        <v>9</v>
      </c>
      <c r="G130" s="20" t="s">
        <v>9</v>
      </c>
      <c r="H130" s="142"/>
    </row>
    <row r="131" spans="1:8" x14ac:dyDescent="0.2">
      <c r="A131" s="19" t="s">
        <v>9</v>
      </c>
      <c r="B131" s="240" t="s">
        <v>131</v>
      </c>
      <c r="C131" s="241"/>
      <c r="D131" s="182" t="s">
        <v>9</v>
      </c>
      <c r="E131" s="21" t="s">
        <v>9</v>
      </c>
      <c r="F131" s="20" t="s">
        <v>9</v>
      </c>
      <c r="G131" s="20" t="s">
        <v>9</v>
      </c>
      <c r="H131" s="142"/>
    </row>
    <row r="132" spans="1:8" ht="25.5" x14ac:dyDescent="0.2">
      <c r="A132" s="25" t="s">
        <v>9</v>
      </c>
      <c r="B132" s="23" t="s">
        <v>9</v>
      </c>
      <c r="C132" s="23" t="s">
        <v>132</v>
      </c>
      <c r="D132" s="23" t="s">
        <v>133</v>
      </c>
      <c r="E132" s="25" t="s">
        <v>9</v>
      </c>
      <c r="F132" s="25" t="s">
        <v>9</v>
      </c>
      <c r="G132" s="25" t="s">
        <v>9</v>
      </c>
      <c r="H132" s="142"/>
    </row>
    <row r="133" spans="1:8" x14ac:dyDescent="0.2">
      <c r="A133" s="25" t="s">
        <v>9</v>
      </c>
      <c r="B133" s="23" t="s">
        <v>134</v>
      </c>
      <c r="C133" s="23" t="s">
        <v>135</v>
      </c>
      <c r="D133" s="23" t="s">
        <v>136</v>
      </c>
      <c r="E133" s="25" t="s">
        <v>9</v>
      </c>
      <c r="F133" s="25" t="s">
        <v>9</v>
      </c>
      <c r="G133" s="25" t="s">
        <v>9</v>
      </c>
      <c r="H133" s="142"/>
    </row>
    <row r="134" spans="1:8" x14ac:dyDescent="0.2">
      <c r="A134" s="25" t="s">
        <v>9</v>
      </c>
      <c r="B134" s="183" t="s">
        <v>137</v>
      </c>
      <c r="C134" s="184">
        <v>13.2874</v>
      </c>
      <c r="D134" s="184">
        <v>13.1624</v>
      </c>
      <c r="E134" s="25" t="s">
        <v>9</v>
      </c>
      <c r="F134" s="73" t="s">
        <v>9</v>
      </c>
      <c r="G134" s="25" t="s">
        <v>9</v>
      </c>
      <c r="H134" s="142"/>
    </row>
    <row r="135" spans="1:8" x14ac:dyDescent="0.2">
      <c r="A135" s="25" t="s">
        <v>9</v>
      </c>
      <c r="B135" s="183" t="s">
        <v>921</v>
      </c>
      <c r="C135" s="184">
        <v>13.2874</v>
      </c>
      <c r="D135" s="184">
        <v>13.1624</v>
      </c>
      <c r="E135" s="25" t="s">
        <v>9</v>
      </c>
      <c r="F135" s="73" t="s">
        <v>9</v>
      </c>
      <c r="G135" s="25" t="s">
        <v>9</v>
      </c>
      <c r="H135" s="142"/>
    </row>
    <row r="136" spans="1:8" x14ac:dyDescent="0.2">
      <c r="A136" s="25" t="s">
        <v>9</v>
      </c>
      <c r="B136" s="183" t="s">
        <v>138</v>
      </c>
      <c r="C136" s="184">
        <v>12.9358</v>
      </c>
      <c r="D136" s="184">
        <v>12.8085</v>
      </c>
      <c r="E136" s="25" t="s">
        <v>9</v>
      </c>
      <c r="F136" s="73" t="s">
        <v>9</v>
      </c>
      <c r="G136" s="25" t="s">
        <v>9</v>
      </c>
      <c r="H136" s="142"/>
    </row>
    <row r="137" spans="1:8" x14ac:dyDescent="0.2">
      <c r="A137" s="25" t="s">
        <v>9</v>
      </c>
      <c r="B137" s="183" t="s">
        <v>922</v>
      </c>
      <c r="C137" s="184">
        <v>12.9358</v>
      </c>
      <c r="D137" s="184">
        <v>12.8085</v>
      </c>
      <c r="E137" s="25" t="s">
        <v>9</v>
      </c>
      <c r="F137" s="73" t="s">
        <v>9</v>
      </c>
      <c r="G137" s="25" t="s">
        <v>9</v>
      </c>
      <c r="H137" s="142"/>
    </row>
    <row r="138" spans="1:8" x14ac:dyDescent="0.2">
      <c r="A138" s="25" t="s">
        <v>9</v>
      </c>
      <c r="B138" s="22" t="s">
        <v>9</v>
      </c>
      <c r="C138" s="22" t="s">
        <v>9</v>
      </c>
      <c r="D138" s="22" t="s">
        <v>9</v>
      </c>
      <c r="E138" s="25" t="s">
        <v>9</v>
      </c>
      <c r="F138" s="25" t="s">
        <v>9</v>
      </c>
      <c r="G138" s="25" t="s">
        <v>9</v>
      </c>
      <c r="H138" s="142"/>
    </row>
    <row r="139" spans="1:8" x14ac:dyDescent="0.2">
      <c r="A139" s="25" t="s">
        <v>9</v>
      </c>
      <c r="B139" s="240" t="s">
        <v>1012</v>
      </c>
      <c r="C139" s="241"/>
      <c r="D139" s="177" t="s">
        <v>129</v>
      </c>
      <c r="E139" s="25" t="s">
        <v>9</v>
      </c>
      <c r="F139" s="25" t="s">
        <v>9</v>
      </c>
      <c r="G139" s="25" t="s">
        <v>9</v>
      </c>
      <c r="H139" s="142"/>
    </row>
    <row r="140" spans="1:8" x14ac:dyDescent="0.2">
      <c r="A140" s="25" t="s">
        <v>9</v>
      </c>
      <c r="B140" s="98"/>
      <c r="C140" s="98"/>
      <c r="D140" s="26" t="s">
        <v>9</v>
      </c>
      <c r="E140" s="25" t="s">
        <v>9</v>
      </c>
      <c r="F140" s="25" t="s">
        <v>9</v>
      </c>
      <c r="G140" s="25" t="s">
        <v>9</v>
      </c>
      <c r="H140" s="142"/>
    </row>
    <row r="141" spans="1:8" s="238" customFormat="1" ht="12.75" x14ac:dyDescent="0.2">
      <c r="B141" s="246" t="s">
        <v>923</v>
      </c>
      <c r="C141" s="246"/>
      <c r="D141" s="246"/>
      <c r="E141" s="246"/>
      <c r="F141" s="246"/>
    </row>
    <row r="142" spans="1:8" x14ac:dyDescent="0.2">
      <c r="A142" s="25" t="s">
        <v>9</v>
      </c>
      <c r="B142" s="185" t="s">
        <v>9</v>
      </c>
      <c r="C142" s="185" t="s">
        <v>9</v>
      </c>
      <c r="D142" s="22" t="s">
        <v>9</v>
      </c>
      <c r="E142" s="25" t="s">
        <v>9</v>
      </c>
      <c r="F142" s="25" t="s">
        <v>9</v>
      </c>
      <c r="G142" s="25" t="s">
        <v>9</v>
      </c>
      <c r="H142" s="142"/>
    </row>
    <row r="143" spans="1:8" x14ac:dyDescent="0.2">
      <c r="A143" s="25" t="s">
        <v>9</v>
      </c>
      <c r="B143" s="240" t="s">
        <v>139</v>
      </c>
      <c r="C143" s="241"/>
      <c r="D143" s="177" t="s">
        <v>129</v>
      </c>
      <c r="E143" s="25" t="s">
        <v>9</v>
      </c>
      <c r="F143" s="25" t="s">
        <v>9</v>
      </c>
      <c r="G143" s="25" t="s">
        <v>9</v>
      </c>
      <c r="H143" s="142"/>
    </row>
    <row r="144" spans="1:8" x14ac:dyDescent="0.2">
      <c r="A144" s="25" t="s">
        <v>9</v>
      </c>
      <c r="B144" s="240" t="s">
        <v>140</v>
      </c>
      <c r="C144" s="241"/>
      <c r="D144" s="177" t="s">
        <v>129</v>
      </c>
      <c r="E144" s="25" t="s">
        <v>9</v>
      </c>
      <c r="F144" s="25" t="s">
        <v>9</v>
      </c>
      <c r="G144" s="25" t="s">
        <v>9</v>
      </c>
      <c r="H144" s="142"/>
    </row>
    <row r="145" spans="1:8" x14ac:dyDescent="0.2">
      <c r="A145" s="25" t="s">
        <v>9</v>
      </c>
      <c r="B145" s="240" t="s">
        <v>141</v>
      </c>
      <c r="C145" s="241"/>
      <c r="D145" s="186">
        <v>0.28715051357869437</v>
      </c>
      <c r="E145" s="25" t="s">
        <v>9</v>
      </c>
      <c r="F145" s="73" t="s">
        <v>9</v>
      </c>
      <c r="G145" s="25" t="s">
        <v>9</v>
      </c>
      <c r="H145" s="142"/>
    </row>
    <row r="146" spans="1:8" x14ac:dyDescent="0.2">
      <c r="A146" s="25" t="s">
        <v>9</v>
      </c>
      <c r="B146" s="240" t="s">
        <v>142</v>
      </c>
      <c r="C146" s="241"/>
      <c r="D146" s="177" t="s">
        <v>129</v>
      </c>
      <c r="E146" s="25" t="s">
        <v>9</v>
      </c>
      <c r="F146" s="25" t="s">
        <v>9</v>
      </c>
      <c r="G146" s="25" t="s">
        <v>9</v>
      </c>
      <c r="H146" s="142"/>
    </row>
  </sheetData>
  <mergeCells count="15">
    <mergeCell ref="B128:C128"/>
    <mergeCell ref="B125:F125"/>
    <mergeCell ref="B126:F126"/>
    <mergeCell ref="A1:H1"/>
    <mergeCell ref="A2:H2"/>
    <mergeCell ref="A3:H3"/>
    <mergeCell ref="B145:C145"/>
    <mergeCell ref="B146:C146"/>
    <mergeCell ref="B129:C129"/>
    <mergeCell ref="B130:C130"/>
    <mergeCell ref="B131:C131"/>
    <mergeCell ref="B139:C139"/>
    <mergeCell ref="B143:C143"/>
    <mergeCell ref="B144:C144"/>
    <mergeCell ref="B141:F141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>
    <outlinePr summaryBelow="0" summaryRight="0"/>
  </sheetPr>
  <dimension ref="A1:H158"/>
  <sheetViews>
    <sheetView showGridLines="0" workbookViewId="0">
      <selection activeCell="J1" sqref="J1"/>
    </sheetView>
  </sheetViews>
  <sheetFormatPr defaultRowHeight="15" x14ac:dyDescent="0.2"/>
  <cols>
    <col min="1" max="1" width="6.85546875" style="155" customWidth="1"/>
    <col min="2" max="2" width="20.5703125" style="155" customWidth="1"/>
    <col min="3" max="3" width="34.28515625" style="155" customWidth="1"/>
    <col min="4" max="4" width="17.85546875" style="155" customWidth="1"/>
    <col min="5" max="6" width="19.140625" style="155" customWidth="1"/>
    <col min="7" max="7" width="16.42578125" style="155" customWidth="1"/>
    <col min="8" max="16384" width="9.140625" style="155"/>
  </cols>
  <sheetData>
    <row r="1" spans="1:8" x14ac:dyDescent="0.2">
      <c r="A1" s="250" t="s">
        <v>0</v>
      </c>
      <c r="B1" s="250"/>
      <c r="C1" s="250"/>
      <c r="D1" s="250"/>
      <c r="E1" s="250"/>
      <c r="F1" s="250"/>
      <c r="G1" s="250"/>
      <c r="H1" s="250"/>
    </row>
    <row r="2" spans="1:8" x14ac:dyDescent="0.2">
      <c r="A2" s="251" t="s">
        <v>523</v>
      </c>
      <c r="B2" s="252"/>
      <c r="C2" s="252"/>
      <c r="D2" s="252"/>
      <c r="E2" s="252"/>
      <c r="F2" s="252"/>
      <c r="G2" s="252"/>
      <c r="H2" s="253"/>
    </row>
    <row r="3" spans="1:8" x14ac:dyDescent="0.2">
      <c r="A3" s="250" t="s">
        <v>1015</v>
      </c>
      <c r="B3" s="250"/>
      <c r="C3" s="250"/>
      <c r="D3" s="250"/>
      <c r="E3" s="250"/>
      <c r="F3" s="250"/>
      <c r="G3" s="250"/>
      <c r="H3" s="250"/>
    </row>
    <row r="4" spans="1:8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60" t="s">
        <v>6</v>
      </c>
      <c r="F4" s="160" t="s">
        <v>7</v>
      </c>
      <c r="G4" s="160" t="s">
        <v>8</v>
      </c>
      <c r="H4" s="161" t="s">
        <v>909</v>
      </c>
    </row>
    <row r="5" spans="1:8" x14ac:dyDescent="0.2">
      <c r="A5" s="15" t="s">
        <v>9</v>
      </c>
      <c r="B5" s="15" t="s">
        <v>9</v>
      </c>
      <c r="C5" s="3" t="s">
        <v>10</v>
      </c>
      <c r="D5" s="15" t="s">
        <v>9</v>
      </c>
      <c r="E5" s="15" t="s">
        <v>9</v>
      </c>
      <c r="F5" s="15" t="s">
        <v>9</v>
      </c>
      <c r="G5" s="15" t="s">
        <v>9</v>
      </c>
      <c r="H5" s="100"/>
    </row>
    <row r="6" spans="1:8" ht="25.5" x14ac:dyDescent="0.2">
      <c r="A6" s="15" t="s">
        <v>9</v>
      </c>
      <c r="B6" s="15" t="s">
        <v>9</v>
      </c>
      <c r="C6" s="3" t="s">
        <v>11</v>
      </c>
      <c r="D6" s="15" t="s">
        <v>9</v>
      </c>
      <c r="E6" s="15" t="s">
        <v>9</v>
      </c>
      <c r="F6" s="15" t="s">
        <v>9</v>
      </c>
      <c r="G6" s="15" t="s">
        <v>9</v>
      </c>
      <c r="H6" s="100"/>
    </row>
    <row r="7" spans="1:8" x14ac:dyDescent="0.2">
      <c r="A7" s="4">
        <v>1</v>
      </c>
      <c r="B7" s="5" t="s">
        <v>144</v>
      </c>
      <c r="C7" s="5" t="s">
        <v>145</v>
      </c>
      <c r="D7" s="5" t="s">
        <v>146</v>
      </c>
      <c r="E7" s="6">
        <v>131698</v>
      </c>
      <c r="F7" s="7">
        <v>4514.8708360000001</v>
      </c>
      <c r="G7" s="8">
        <v>3.4447551E-2</v>
      </c>
      <c r="H7" s="100"/>
    </row>
    <row r="8" spans="1:8" x14ac:dyDescent="0.2">
      <c r="A8" s="4">
        <v>2</v>
      </c>
      <c r="B8" s="5" t="s">
        <v>342</v>
      </c>
      <c r="C8" s="5" t="s">
        <v>343</v>
      </c>
      <c r="D8" s="5" t="s">
        <v>58</v>
      </c>
      <c r="E8" s="6">
        <v>104850</v>
      </c>
      <c r="F8" s="7">
        <v>4405.5873000000001</v>
      </c>
      <c r="G8" s="8">
        <v>3.3613740000000003E-2</v>
      </c>
      <c r="H8" s="100"/>
    </row>
    <row r="9" spans="1:8" x14ac:dyDescent="0.2">
      <c r="A9" s="4">
        <v>3</v>
      </c>
      <c r="B9" s="5" t="s">
        <v>210</v>
      </c>
      <c r="C9" s="5" t="s">
        <v>211</v>
      </c>
      <c r="D9" s="5" t="s">
        <v>193</v>
      </c>
      <c r="E9" s="6">
        <v>957267</v>
      </c>
      <c r="F9" s="7">
        <v>4334.0263425000003</v>
      </c>
      <c r="G9" s="8">
        <v>3.3067744000000003E-2</v>
      </c>
      <c r="H9" s="100"/>
    </row>
    <row r="10" spans="1:8" x14ac:dyDescent="0.2">
      <c r="A10" s="4">
        <v>4</v>
      </c>
      <c r="B10" s="5" t="s">
        <v>189</v>
      </c>
      <c r="C10" s="5" t="s">
        <v>190</v>
      </c>
      <c r="D10" s="5" t="s">
        <v>151</v>
      </c>
      <c r="E10" s="6">
        <v>209101</v>
      </c>
      <c r="F10" s="7">
        <v>4262.1056829999998</v>
      </c>
      <c r="G10" s="8">
        <v>3.2519003999999997E-2</v>
      </c>
      <c r="H10" s="100"/>
    </row>
    <row r="11" spans="1:8" x14ac:dyDescent="0.2">
      <c r="A11" s="4">
        <v>5</v>
      </c>
      <c r="B11" s="5" t="s">
        <v>524</v>
      </c>
      <c r="C11" s="5" t="s">
        <v>525</v>
      </c>
      <c r="D11" s="5" t="s">
        <v>193</v>
      </c>
      <c r="E11" s="6">
        <v>638653</v>
      </c>
      <c r="F11" s="7">
        <v>4064.3876919999998</v>
      </c>
      <c r="G11" s="8">
        <v>3.1010455999999999E-2</v>
      </c>
      <c r="H11" s="100"/>
    </row>
    <row r="12" spans="1:8" x14ac:dyDescent="0.2">
      <c r="A12" s="4">
        <v>6</v>
      </c>
      <c r="B12" s="5" t="s">
        <v>50</v>
      </c>
      <c r="C12" s="5" t="s">
        <v>51</v>
      </c>
      <c r="D12" s="5" t="s">
        <v>28</v>
      </c>
      <c r="E12" s="6">
        <v>455714</v>
      </c>
      <c r="F12" s="7">
        <v>4030.562473</v>
      </c>
      <c r="G12" s="8">
        <v>3.0752376000000001E-2</v>
      </c>
      <c r="H12" s="100"/>
    </row>
    <row r="13" spans="1:8" x14ac:dyDescent="0.2">
      <c r="A13" s="4">
        <v>7</v>
      </c>
      <c r="B13" s="5" t="s">
        <v>168</v>
      </c>
      <c r="C13" s="5" t="s">
        <v>169</v>
      </c>
      <c r="D13" s="5" t="s">
        <v>151</v>
      </c>
      <c r="E13" s="6">
        <v>1831441</v>
      </c>
      <c r="F13" s="7">
        <v>3612.5173725</v>
      </c>
      <c r="G13" s="8">
        <v>2.7562777E-2</v>
      </c>
      <c r="H13" s="100"/>
    </row>
    <row r="14" spans="1:8" x14ac:dyDescent="0.2">
      <c r="A14" s="4">
        <v>8</v>
      </c>
      <c r="B14" s="5" t="s">
        <v>258</v>
      </c>
      <c r="C14" s="5" t="s">
        <v>259</v>
      </c>
      <c r="D14" s="5" t="s">
        <v>1006</v>
      </c>
      <c r="E14" s="6">
        <v>242810</v>
      </c>
      <c r="F14" s="7">
        <v>3584.4826250000001</v>
      </c>
      <c r="G14" s="8">
        <v>2.7348877000000001E-2</v>
      </c>
      <c r="H14" s="100"/>
    </row>
    <row r="15" spans="1:8" x14ac:dyDescent="0.2">
      <c r="A15" s="4">
        <v>9</v>
      </c>
      <c r="B15" s="5" t="s">
        <v>196</v>
      </c>
      <c r="C15" s="5" t="s">
        <v>197</v>
      </c>
      <c r="D15" s="5" t="s">
        <v>151</v>
      </c>
      <c r="E15" s="6">
        <v>459304</v>
      </c>
      <c r="F15" s="7">
        <v>3385.3001319999998</v>
      </c>
      <c r="G15" s="8">
        <v>2.5829154999999999E-2</v>
      </c>
      <c r="H15" s="100"/>
    </row>
    <row r="16" spans="1:8" ht="25.5" x14ac:dyDescent="0.2">
      <c r="A16" s="4">
        <v>10</v>
      </c>
      <c r="B16" s="5" t="s">
        <v>194</v>
      </c>
      <c r="C16" s="5" t="s">
        <v>195</v>
      </c>
      <c r="D16" s="5" t="s">
        <v>73</v>
      </c>
      <c r="E16" s="6">
        <v>881622</v>
      </c>
      <c r="F16" s="7">
        <v>3237.7567949999998</v>
      </c>
      <c r="G16" s="8">
        <v>2.4703428999999999E-2</v>
      </c>
      <c r="H16" s="100"/>
    </row>
    <row r="17" spans="1:8" x14ac:dyDescent="0.2">
      <c r="A17" s="4">
        <v>11</v>
      </c>
      <c r="B17" s="5" t="s">
        <v>161</v>
      </c>
      <c r="C17" s="5" t="s">
        <v>162</v>
      </c>
      <c r="D17" s="5" t="s">
        <v>163</v>
      </c>
      <c r="E17" s="6">
        <v>261830</v>
      </c>
      <c r="F17" s="7">
        <v>3232.8150099999998</v>
      </c>
      <c r="G17" s="8">
        <v>2.4665724E-2</v>
      </c>
      <c r="H17" s="100"/>
    </row>
    <row r="18" spans="1:8" x14ac:dyDescent="0.2">
      <c r="A18" s="4">
        <v>12</v>
      </c>
      <c r="B18" s="5" t="s">
        <v>218</v>
      </c>
      <c r="C18" s="5" t="s">
        <v>219</v>
      </c>
      <c r="D18" s="5" t="s">
        <v>156</v>
      </c>
      <c r="E18" s="6">
        <v>551756</v>
      </c>
      <c r="F18" s="7">
        <v>3208.185262</v>
      </c>
      <c r="G18" s="8">
        <v>2.4477803999999999E-2</v>
      </c>
      <c r="H18" s="100"/>
    </row>
    <row r="19" spans="1:8" x14ac:dyDescent="0.2">
      <c r="A19" s="4">
        <v>13</v>
      </c>
      <c r="B19" s="5" t="s">
        <v>318</v>
      </c>
      <c r="C19" s="5" t="s">
        <v>319</v>
      </c>
      <c r="D19" s="5" t="s">
        <v>22</v>
      </c>
      <c r="E19" s="6">
        <v>1901138</v>
      </c>
      <c r="F19" s="7">
        <v>3170.1476149999999</v>
      </c>
      <c r="G19" s="8">
        <v>2.4187585000000001E-2</v>
      </c>
      <c r="H19" s="100"/>
    </row>
    <row r="20" spans="1:8" x14ac:dyDescent="0.2">
      <c r="A20" s="4">
        <v>14</v>
      </c>
      <c r="B20" s="5" t="s">
        <v>159</v>
      </c>
      <c r="C20" s="5" t="s">
        <v>160</v>
      </c>
      <c r="D20" s="5" t="s">
        <v>58</v>
      </c>
      <c r="E20" s="6">
        <v>836461</v>
      </c>
      <c r="F20" s="7">
        <v>2927.6134999999999</v>
      </c>
      <c r="G20" s="8">
        <v>2.2337098999999999E-2</v>
      </c>
      <c r="H20" s="100"/>
    </row>
    <row r="21" spans="1:8" x14ac:dyDescent="0.2">
      <c r="A21" s="4">
        <v>15</v>
      </c>
      <c r="B21" s="5" t="s">
        <v>235</v>
      </c>
      <c r="C21" s="5" t="s">
        <v>236</v>
      </c>
      <c r="D21" s="5" t="s">
        <v>1005</v>
      </c>
      <c r="E21" s="6">
        <v>668744</v>
      </c>
      <c r="F21" s="7">
        <v>2923.4143960000001</v>
      </c>
      <c r="G21" s="8">
        <v>2.2305060000000002E-2</v>
      </c>
      <c r="H21" s="100"/>
    </row>
    <row r="22" spans="1:8" ht="25.5" x14ac:dyDescent="0.2">
      <c r="A22" s="4">
        <v>16</v>
      </c>
      <c r="B22" s="5" t="s">
        <v>152</v>
      </c>
      <c r="C22" s="5" t="s">
        <v>153</v>
      </c>
      <c r="D22" s="5" t="s">
        <v>1001</v>
      </c>
      <c r="E22" s="6">
        <v>1789751</v>
      </c>
      <c r="F22" s="7">
        <v>2920.8736319999998</v>
      </c>
      <c r="G22" s="8">
        <v>2.2285675000000001E-2</v>
      </c>
      <c r="H22" s="100"/>
    </row>
    <row r="23" spans="1:8" ht="25.5" x14ac:dyDescent="0.2">
      <c r="A23" s="4">
        <v>17</v>
      </c>
      <c r="B23" s="5" t="s">
        <v>182</v>
      </c>
      <c r="C23" s="5" t="s">
        <v>944</v>
      </c>
      <c r="D23" s="5" t="s">
        <v>58</v>
      </c>
      <c r="E23" s="6">
        <v>124367</v>
      </c>
      <c r="F23" s="7">
        <v>2904.4047344999999</v>
      </c>
      <c r="G23" s="8">
        <v>2.2160019999999999E-2</v>
      </c>
      <c r="H23" s="100"/>
    </row>
    <row r="24" spans="1:8" x14ac:dyDescent="0.2">
      <c r="A24" s="4">
        <v>18</v>
      </c>
      <c r="B24" s="5" t="s">
        <v>229</v>
      </c>
      <c r="C24" s="5" t="s">
        <v>230</v>
      </c>
      <c r="D24" s="5" t="s">
        <v>193</v>
      </c>
      <c r="E24" s="6">
        <v>200691</v>
      </c>
      <c r="F24" s="7">
        <v>2800.3418685000001</v>
      </c>
      <c r="G24" s="8">
        <v>2.1366041999999998E-2</v>
      </c>
      <c r="H24" s="100"/>
    </row>
    <row r="25" spans="1:8" x14ac:dyDescent="0.2">
      <c r="A25" s="4">
        <v>19</v>
      </c>
      <c r="B25" s="5" t="s">
        <v>526</v>
      </c>
      <c r="C25" s="5" t="s">
        <v>527</v>
      </c>
      <c r="D25" s="5" t="s">
        <v>58</v>
      </c>
      <c r="E25" s="6">
        <v>416271</v>
      </c>
      <c r="F25" s="7">
        <v>2734.484199</v>
      </c>
      <c r="G25" s="8">
        <v>2.0863560999999999E-2</v>
      </c>
      <c r="H25" s="100"/>
    </row>
    <row r="26" spans="1:8" ht="25.5" x14ac:dyDescent="0.2">
      <c r="A26" s="4">
        <v>20</v>
      </c>
      <c r="B26" s="5" t="s">
        <v>23</v>
      </c>
      <c r="C26" s="5" t="s">
        <v>24</v>
      </c>
      <c r="D26" s="5" t="s">
        <v>25</v>
      </c>
      <c r="E26" s="6">
        <v>1089425</v>
      </c>
      <c r="F26" s="7">
        <v>2556.3357624999999</v>
      </c>
      <c r="G26" s="8">
        <v>1.9504324999999999E-2</v>
      </c>
      <c r="H26" s="100"/>
    </row>
    <row r="27" spans="1:8" x14ac:dyDescent="0.2">
      <c r="A27" s="4">
        <v>21</v>
      </c>
      <c r="B27" s="5" t="s">
        <v>528</v>
      </c>
      <c r="C27" s="5" t="s">
        <v>529</v>
      </c>
      <c r="D27" s="5" t="s">
        <v>22</v>
      </c>
      <c r="E27" s="6">
        <v>975142</v>
      </c>
      <c r="F27" s="7">
        <v>2518.3042150000001</v>
      </c>
      <c r="G27" s="8">
        <v>1.9214152000000002E-2</v>
      </c>
      <c r="H27" s="100"/>
    </row>
    <row r="28" spans="1:8" x14ac:dyDescent="0.2">
      <c r="A28" s="4">
        <v>22</v>
      </c>
      <c r="B28" s="5" t="s">
        <v>48</v>
      </c>
      <c r="C28" s="5" t="s">
        <v>49</v>
      </c>
      <c r="D28" s="5" t="s">
        <v>28</v>
      </c>
      <c r="E28" s="6">
        <v>169710</v>
      </c>
      <c r="F28" s="7">
        <v>2382.9829650000001</v>
      </c>
      <c r="G28" s="8">
        <v>1.8181678E-2</v>
      </c>
      <c r="H28" s="100"/>
    </row>
    <row r="29" spans="1:8" x14ac:dyDescent="0.2">
      <c r="A29" s="4">
        <v>23</v>
      </c>
      <c r="B29" s="5" t="s">
        <v>226</v>
      </c>
      <c r="C29" s="5" t="s">
        <v>227</v>
      </c>
      <c r="D29" s="5" t="s">
        <v>228</v>
      </c>
      <c r="E29" s="6">
        <v>1520427</v>
      </c>
      <c r="F29" s="7">
        <v>2380.2284685</v>
      </c>
      <c r="G29" s="8">
        <v>1.8160662000000001E-2</v>
      </c>
      <c r="H29" s="100"/>
    </row>
    <row r="30" spans="1:8" x14ac:dyDescent="0.2">
      <c r="A30" s="4">
        <v>24</v>
      </c>
      <c r="B30" s="5" t="s">
        <v>173</v>
      </c>
      <c r="C30" s="5" t="s">
        <v>949</v>
      </c>
      <c r="D30" s="5" t="s">
        <v>28</v>
      </c>
      <c r="E30" s="6">
        <v>475879</v>
      </c>
      <c r="F30" s="7">
        <v>2125.2756140000001</v>
      </c>
      <c r="G30" s="8">
        <v>1.6215423E-2</v>
      </c>
      <c r="H30" s="100"/>
    </row>
    <row r="31" spans="1:8" ht="25.5" x14ac:dyDescent="0.2">
      <c r="A31" s="4">
        <v>25</v>
      </c>
      <c r="B31" s="5" t="s">
        <v>34</v>
      </c>
      <c r="C31" s="5" t="s">
        <v>35</v>
      </c>
      <c r="D31" s="5" t="s">
        <v>1001</v>
      </c>
      <c r="E31" s="6">
        <v>72630</v>
      </c>
      <c r="F31" s="7">
        <v>2038.2883200000001</v>
      </c>
      <c r="G31" s="8">
        <v>1.5551727E-2</v>
      </c>
      <c r="H31" s="100"/>
    </row>
    <row r="32" spans="1:8" x14ac:dyDescent="0.2">
      <c r="A32" s="4">
        <v>26</v>
      </c>
      <c r="B32" s="5" t="s">
        <v>241</v>
      </c>
      <c r="C32" s="5" t="s">
        <v>242</v>
      </c>
      <c r="D32" s="5" t="s">
        <v>163</v>
      </c>
      <c r="E32" s="6">
        <v>335576</v>
      </c>
      <c r="F32" s="7">
        <v>1998.690656</v>
      </c>
      <c r="G32" s="8">
        <v>1.5249604999999999E-2</v>
      </c>
      <c r="H32" s="100"/>
    </row>
    <row r="33" spans="1:8" x14ac:dyDescent="0.2">
      <c r="A33" s="4">
        <v>27</v>
      </c>
      <c r="B33" s="5" t="s">
        <v>449</v>
      </c>
      <c r="C33" s="5" t="s">
        <v>450</v>
      </c>
      <c r="D33" s="5" t="s">
        <v>28</v>
      </c>
      <c r="E33" s="6">
        <v>352575</v>
      </c>
      <c r="F33" s="7">
        <v>1931.5821375</v>
      </c>
      <c r="G33" s="8">
        <v>1.4737581E-2</v>
      </c>
      <c r="H33" s="100"/>
    </row>
    <row r="34" spans="1:8" x14ac:dyDescent="0.2">
      <c r="A34" s="4">
        <v>28</v>
      </c>
      <c r="B34" s="5" t="s">
        <v>36</v>
      </c>
      <c r="C34" s="5" t="s">
        <v>37</v>
      </c>
      <c r="D34" s="5" t="s">
        <v>38</v>
      </c>
      <c r="E34" s="6">
        <v>765372</v>
      </c>
      <c r="F34" s="7">
        <v>1916.4914879999999</v>
      </c>
      <c r="G34" s="8">
        <v>1.4622441999999999E-2</v>
      </c>
      <c r="H34" s="100"/>
    </row>
    <row r="35" spans="1:8" x14ac:dyDescent="0.2">
      <c r="A35" s="4">
        <v>29</v>
      </c>
      <c r="B35" s="5" t="s">
        <v>59</v>
      </c>
      <c r="C35" s="5" t="s">
        <v>60</v>
      </c>
      <c r="D35" s="5" t="s">
        <v>38</v>
      </c>
      <c r="E35" s="6">
        <v>939904</v>
      </c>
      <c r="F35" s="7">
        <v>1782.527936</v>
      </c>
      <c r="G35" s="8">
        <v>1.3600327000000001E-2</v>
      </c>
      <c r="H35" s="100"/>
    </row>
    <row r="36" spans="1:8" x14ac:dyDescent="0.2">
      <c r="A36" s="4">
        <v>30</v>
      </c>
      <c r="B36" s="5" t="s">
        <v>200</v>
      </c>
      <c r="C36" s="5" t="s">
        <v>201</v>
      </c>
      <c r="D36" s="5" t="s">
        <v>1003</v>
      </c>
      <c r="E36" s="6">
        <v>275421</v>
      </c>
      <c r="F36" s="7">
        <v>1730.470143</v>
      </c>
      <c r="G36" s="8">
        <v>1.3203137E-2</v>
      </c>
      <c r="H36" s="100"/>
    </row>
    <row r="37" spans="1:8" x14ac:dyDescent="0.2">
      <c r="A37" s="4">
        <v>31</v>
      </c>
      <c r="B37" s="5" t="s">
        <v>191</v>
      </c>
      <c r="C37" s="5" t="s">
        <v>192</v>
      </c>
      <c r="D37" s="5" t="s">
        <v>193</v>
      </c>
      <c r="E37" s="6">
        <v>509726</v>
      </c>
      <c r="F37" s="7">
        <v>1674.44991</v>
      </c>
      <c r="G37" s="8">
        <v>1.2775714000000001E-2</v>
      </c>
      <c r="H37" s="100"/>
    </row>
    <row r="38" spans="1:8" x14ac:dyDescent="0.2">
      <c r="A38" s="4">
        <v>32</v>
      </c>
      <c r="B38" s="5" t="s">
        <v>530</v>
      </c>
      <c r="C38" s="5" t="s">
        <v>531</v>
      </c>
      <c r="D38" s="5" t="s">
        <v>364</v>
      </c>
      <c r="E38" s="6">
        <v>755212</v>
      </c>
      <c r="F38" s="7">
        <v>1641.4532819999999</v>
      </c>
      <c r="G38" s="8">
        <v>1.2523955999999999E-2</v>
      </c>
      <c r="H38" s="100"/>
    </row>
    <row r="39" spans="1:8" x14ac:dyDescent="0.2">
      <c r="A39" s="4">
        <v>33</v>
      </c>
      <c r="B39" s="5" t="s">
        <v>532</v>
      </c>
      <c r="C39" s="5" t="s">
        <v>533</v>
      </c>
      <c r="D39" s="5" t="s">
        <v>193</v>
      </c>
      <c r="E39" s="6">
        <v>25578</v>
      </c>
      <c r="F39" s="7">
        <v>1630.175463</v>
      </c>
      <c r="G39" s="8">
        <v>1.2437909E-2</v>
      </c>
      <c r="H39" s="100"/>
    </row>
    <row r="40" spans="1:8" ht="25.5" x14ac:dyDescent="0.2">
      <c r="A40" s="4">
        <v>34</v>
      </c>
      <c r="B40" s="5" t="s">
        <v>534</v>
      </c>
      <c r="C40" s="5" t="s">
        <v>535</v>
      </c>
      <c r="D40" s="5" t="s">
        <v>73</v>
      </c>
      <c r="E40" s="6">
        <v>581987</v>
      </c>
      <c r="F40" s="7">
        <v>1625.1986975</v>
      </c>
      <c r="G40" s="8">
        <v>1.2399937E-2</v>
      </c>
      <c r="H40" s="100"/>
    </row>
    <row r="41" spans="1:8" x14ac:dyDescent="0.2">
      <c r="A41" s="4">
        <v>35</v>
      </c>
      <c r="B41" s="5" t="s">
        <v>436</v>
      </c>
      <c r="C41" s="5" t="s">
        <v>437</v>
      </c>
      <c r="D41" s="5" t="s">
        <v>156</v>
      </c>
      <c r="E41" s="6">
        <v>285962</v>
      </c>
      <c r="F41" s="7">
        <v>1624.979065</v>
      </c>
      <c r="G41" s="8">
        <v>1.2398261000000001E-2</v>
      </c>
      <c r="H41" s="100"/>
    </row>
    <row r="42" spans="1:8" x14ac:dyDescent="0.2">
      <c r="A42" s="4">
        <v>36</v>
      </c>
      <c r="B42" s="5" t="s">
        <v>164</v>
      </c>
      <c r="C42" s="5" t="s">
        <v>947</v>
      </c>
      <c r="D42" s="5" t="s">
        <v>151</v>
      </c>
      <c r="E42" s="6">
        <v>215778</v>
      </c>
      <c r="F42" s="7">
        <v>1563.2037210000001</v>
      </c>
      <c r="G42" s="8">
        <v>1.1926928E-2</v>
      </c>
      <c r="H42" s="100"/>
    </row>
    <row r="43" spans="1:8" x14ac:dyDescent="0.2">
      <c r="A43" s="4">
        <v>37</v>
      </c>
      <c r="B43" s="5" t="s">
        <v>536</v>
      </c>
      <c r="C43" s="5" t="s">
        <v>537</v>
      </c>
      <c r="D43" s="5" t="s">
        <v>146</v>
      </c>
      <c r="E43" s="6">
        <v>178984</v>
      </c>
      <c r="F43" s="7">
        <v>1547.3166799999999</v>
      </c>
      <c r="G43" s="8">
        <v>1.1805713000000001E-2</v>
      </c>
      <c r="H43" s="100"/>
    </row>
    <row r="44" spans="1:8" x14ac:dyDescent="0.2">
      <c r="A44" s="4">
        <v>38</v>
      </c>
      <c r="B44" s="5" t="s">
        <v>538</v>
      </c>
      <c r="C44" s="5" t="s">
        <v>539</v>
      </c>
      <c r="D44" s="5" t="s">
        <v>58</v>
      </c>
      <c r="E44" s="6">
        <v>167736</v>
      </c>
      <c r="F44" s="7">
        <v>1531.345812</v>
      </c>
      <c r="G44" s="8">
        <v>1.1683859E-2</v>
      </c>
      <c r="H44" s="100"/>
    </row>
    <row r="45" spans="1:8" x14ac:dyDescent="0.2">
      <c r="A45" s="4">
        <v>39</v>
      </c>
      <c r="B45" s="5" t="s">
        <v>540</v>
      </c>
      <c r="C45" s="5" t="s">
        <v>541</v>
      </c>
      <c r="D45" s="5" t="s">
        <v>53</v>
      </c>
      <c r="E45" s="6">
        <v>373694</v>
      </c>
      <c r="F45" s="7">
        <v>1500.0077160000001</v>
      </c>
      <c r="G45" s="8">
        <v>1.1444754999999999E-2</v>
      </c>
      <c r="H45" s="100"/>
    </row>
    <row r="46" spans="1:8" x14ac:dyDescent="0.2">
      <c r="A46" s="4">
        <v>40</v>
      </c>
      <c r="B46" s="5" t="s">
        <v>262</v>
      </c>
      <c r="C46" s="5" t="s">
        <v>263</v>
      </c>
      <c r="D46" s="5" t="s">
        <v>146</v>
      </c>
      <c r="E46" s="6">
        <v>83365</v>
      </c>
      <c r="F46" s="7">
        <v>1289.9483275</v>
      </c>
      <c r="G46" s="8">
        <v>9.8420450000000007E-3</v>
      </c>
      <c r="H46" s="100"/>
    </row>
    <row r="47" spans="1:8" x14ac:dyDescent="0.2">
      <c r="A47" s="4">
        <v>41</v>
      </c>
      <c r="B47" s="5" t="s">
        <v>542</v>
      </c>
      <c r="C47" s="5" t="s">
        <v>543</v>
      </c>
      <c r="D47" s="5" t="s">
        <v>193</v>
      </c>
      <c r="E47" s="6">
        <v>235227</v>
      </c>
      <c r="F47" s="7">
        <v>1272.6956835000001</v>
      </c>
      <c r="G47" s="8">
        <v>9.7104110000000004E-3</v>
      </c>
      <c r="H47" s="100"/>
    </row>
    <row r="48" spans="1:8" x14ac:dyDescent="0.2">
      <c r="A48" s="4">
        <v>42</v>
      </c>
      <c r="B48" s="5" t="s">
        <v>64</v>
      </c>
      <c r="C48" s="5" t="s">
        <v>65</v>
      </c>
      <c r="D48" s="5" t="s">
        <v>1002</v>
      </c>
      <c r="E48" s="6">
        <v>1098143</v>
      </c>
      <c r="F48" s="7">
        <v>1268.9042365</v>
      </c>
      <c r="G48" s="8">
        <v>9.6814829999999994E-3</v>
      </c>
      <c r="H48" s="100"/>
    </row>
    <row r="49" spans="1:8" x14ac:dyDescent="0.2">
      <c r="A49" s="4">
        <v>43</v>
      </c>
      <c r="B49" s="5" t="s">
        <v>446</v>
      </c>
      <c r="C49" s="5" t="s">
        <v>447</v>
      </c>
      <c r="D49" s="5" t="s">
        <v>156</v>
      </c>
      <c r="E49" s="6">
        <v>411804</v>
      </c>
      <c r="F49" s="7">
        <v>1251.6782579999999</v>
      </c>
      <c r="G49" s="8">
        <v>9.5500519999999998E-3</v>
      </c>
      <c r="H49" s="100"/>
    </row>
    <row r="50" spans="1:8" x14ac:dyDescent="0.2">
      <c r="A50" s="4">
        <v>44</v>
      </c>
      <c r="B50" s="5" t="s">
        <v>544</v>
      </c>
      <c r="C50" s="5" t="s">
        <v>545</v>
      </c>
      <c r="D50" s="5" t="s">
        <v>151</v>
      </c>
      <c r="E50" s="6">
        <v>241237</v>
      </c>
      <c r="F50" s="7">
        <v>1171.205635</v>
      </c>
      <c r="G50" s="8">
        <v>8.9360619999999998E-3</v>
      </c>
      <c r="H50" s="100"/>
    </row>
    <row r="51" spans="1:8" x14ac:dyDescent="0.2">
      <c r="A51" s="4">
        <v>45</v>
      </c>
      <c r="B51" s="5" t="s">
        <v>268</v>
      </c>
      <c r="C51" s="5" t="s">
        <v>269</v>
      </c>
      <c r="D51" s="5" t="s">
        <v>1005</v>
      </c>
      <c r="E51" s="6">
        <v>3249123</v>
      </c>
      <c r="F51" s="7">
        <v>1150.1895420000001</v>
      </c>
      <c r="G51" s="8">
        <v>8.7757129999999992E-3</v>
      </c>
      <c r="H51" s="100"/>
    </row>
    <row r="52" spans="1:8" x14ac:dyDescent="0.2">
      <c r="A52" s="4">
        <v>46</v>
      </c>
      <c r="B52" s="5" t="s">
        <v>546</v>
      </c>
      <c r="C52" s="5" t="s">
        <v>547</v>
      </c>
      <c r="D52" s="5" t="s">
        <v>146</v>
      </c>
      <c r="E52" s="6">
        <v>180198</v>
      </c>
      <c r="F52" s="7">
        <v>1124.886015</v>
      </c>
      <c r="G52" s="8">
        <v>8.5826530000000009E-3</v>
      </c>
      <c r="H52" s="100"/>
    </row>
    <row r="53" spans="1:8" ht="25.5" x14ac:dyDescent="0.2">
      <c r="A53" s="4">
        <v>47</v>
      </c>
      <c r="B53" s="5" t="s">
        <v>324</v>
      </c>
      <c r="C53" s="5" t="s">
        <v>325</v>
      </c>
      <c r="D53" s="5" t="s">
        <v>58</v>
      </c>
      <c r="E53" s="6">
        <v>291141</v>
      </c>
      <c r="F53" s="7">
        <v>1120.601709</v>
      </c>
      <c r="G53" s="8">
        <v>8.5499640000000002E-3</v>
      </c>
      <c r="H53" s="100"/>
    </row>
    <row r="54" spans="1:8" ht="25.5" x14ac:dyDescent="0.2">
      <c r="A54" s="4">
        <v>48</v>
      </c>
      <c r="B54" s="5" t="s">
        <v>548</v>
      </c>
      <c r="C54" s="5" t="s">
        <v>549</v>
      </c>
      <c r="D54" s="5" t="s">
        <v>1010</v>
      </c>
      <c r="E54" s="6">
        <v>89001</v>
      </c>
      <c r="F54" s="7">
        <v>1108.5074549999999</v>
      </c>
      <c r="G54" s="8">
        <v>8.4576879999999997E-3</v>
      </c>
      <c r="H54" s="100"/>
    </row>
    <row r="55" spans="1:8" x14ac:dyDescent="0.2">
      <c r="A55" s="4">
        <v>49</v>
      </c>
      <c r="B55" s="5" t="s">
        <v>249</v>
      </c>
      <c r="C55" s="5" t="s">
        <v>952</v>
      </c>
      <c r="D55" s="5" t="s">
        <v>251</v>
      </c>
      <c r="E55" s="6">
        <v>520000</v>
      </c>
      <c r="F55" s="7">
        <v>1101.6199999999999</v>
      </c>
      <c r="G55" s="8">
        <v>8.4051379999999995E-3</v>
      </c>
      <c r="H55" s="100"/>
    </row>
    <row r="56" spans="1:8" ht="25.5" x14ac:dyDescent="0.2">
      <c r="A56" s="4">
        <v>50</v>
      </c>
      <c r="B56" s="5" t="s">
        <v>233</v>
      </c>
      <c r="C56" s="5" t="s">
        <v>234</v>
      </c>
      <c r="D56" s="5" t="s">
        <v>1001</v>
      </c>
      <c r="E56" s="6">
        <v>341956</v>
      </c>
      <c r="F56" s="7">
        <v>966.02570000000003</v>
      </c>
      <c r="G56" s="8">
        <v>7.3705810000000002E-3</v>
      </c>
      <c r="H56" s="100"/>
    </row>
    <row r="57" spans="1:8" x14ac:dyDescent="0.2">
      <c r="A57" s="4">
        <v>51</v>
      </c>
      <c r="B57" s="5" t="s">
        <v>224</v>
      </c>
      <c r="C57" s="5" t="s">
        <v>225</v>
      </c>
      <c r="D57" s="5" t="s">
        <v>58</v>
      </c>
      <c r="E57" s="6">
        <v>141000</v>
      </c>
      <c r="F57" s="7">
        <v>873.70650000000001</v>
      </c>
      <c r="G57" s="8">
        <v>6.6662040000000002E-3</v>
      </c>
      <c r="H57" s="100"/>
    </row>
    <row r="58" spans="1:8" x14ac:dyDescent="0.2">
      <c r="A58" s="4">
        <v>52</v>
      </c>
      <c r="B58" s="5" t="s">
        <v>550</v>
      </c>
      <c r="C58" s="5" t="s">
        <v>959</v>
      </c>
      <c r="D58" s="5" t="s">
        <v>272</v>
      </c>
      <c r="E58" s="6">
        <v>90000</v>
      </c>
      <c r="F58" s="7">
        <v>789.84</v>
      </c>
      <c r="G58" s="8">
        <v>6.0263189999999996E-3</v>
      </c>
      <c r="H58" s="100"/>
    </row>
    <row r="59" spans="1:8" x14ac:dyDescent="0.2">
      <c r="A59" s="4">
        <v>53</v>
      </c>
      <c r="B59" s="5" t="s">
        <v>551</v>
      </c>
      <c r="C59" s="5" t="s">
        <v>552</v>
      </c>
      <c r="D59" s="5" t="s">
        <v>28</v>
      </c>
      <c r="E59" s="6">
        <v>225000</v>
      </c>
      <c r="F59" s="7">
        <v>711.67499999999995</v>
      </c>
      <c r="G59" s="8">
        <v>5.4299359999999998E-3</v>
      </c>
      <c r="H59" s="100"/>
    </row>
    <row r="60" spans="1:8" x14ac:dyDescent="0.2">
      <c r="A60" s="4">
        <v>54</v>
      </c>
      <c r="B60" s="5" t="s">
        <v>553</v>
      </c>
      <c r="C60" s="5" t="s">
        <v>554</v>
      </c>
      <c r="D60" s="5" t="s">
        <v>1006</v>
      </c>
      <c r="E60" s="6">
        <v>28000</v>
      </c>
      <c r="F60" s="7">
        <v>650.51</v>
      </c>
      <c r="G60" s="8">
        <v>4.9632599999999997E-3</v>
      </c>
      <c r="H60" s="100"/>
    </row>
    <row r="61" spans="1:8" x14ac:dyDescent="0.2">
      <c r="A61" s="4">
        <v>55</v>
      </c>
      <c r="B61" s="5" t="s">
        <v>555</v>
      </c>
      <c r="C61" s="5" t="s">
        <v>556</v>
      </c>
      <c r="D61" s="5" t="s">
        <v>47</v>
      </c>
      <c r="E61" s="6">
        <v>48851</v>
      </c>
      <c r="F61" s="7">
        <v>636.16214749999995</v>
      </c>
      <c r="G61" s="8">
        <v>4.8537880000000004E-3</v>
      </c>
      <c r="H61" s="100"/>
    </row>
    <row r="62" spans="1:8" x14ac:dyDescent="0.2">
      <c r="A62" s="4">
        <v>56</v>
      </c>
      <c r="B62" s="5" t="s">
        <v>557</v>
      </c>
      <c r="C62" s="5" t="s">
        <v>558</v>
      </c>
      <c r="D62" s="5" t="s">
        <v>22</v>
      </c>
      <c r="E62" s="6">
        <v>533649</v>
      </c>
      <c r="F62" s="7">
        <v>587.01390000000004</v>
      </c>
      <c r="G62" s="8">
        <v>4.4787969999999996E-3</v>
      </c>
      <c r="H62" s="100"/>
    </row>
    <row r="63" spans="1:8" x14ac:dyDescent="0.2">
      <c r="A63" s="4">
        <v>57</v>
      </c>
      <c r="B63" s="5" t="s">
        <v>260</v>
      </c>
      <c r="C63" s="5" t="s">
        <v>261</v>
      </c>
      <c r="D63" s="5" t="s">
        <v>58</v>
      </c>
      <c r="E63" s="6">
        <v>367557</v>
      </c>
      <c r="F63" s="7">
        <v>572.47002750000001</v>
      </c>
      <c r="G63" s="8">
        <v>4.3678299999999996E-3</v>
      </c>
      <c r="H63" s="100"/>
    </row>
    <row r="64" spans="1:8" x14ac:dyDescent="0.2">
      <c r="A64" s="4">
        <v>58</v>
      </c>
      <c r="B64" s="5" t="s">
        <v>559</v>
      </c>
      <c r="C64" s="5" t="s">
        <v>560</v>
      </c>
      <c r="D64" s="5" t="s">
        <v>1004</v>
      </c>
      <c r="E64" s="6">
        <v>27261</v>
      </c>
      <c r="F64" s="7">
        <v>473.45541750000001</v>
      </c>
      <c r="G64" s="8">
        <v>3.6123689999999998E-3</v>
      </c>
      <c r="H64" s="100"/>
    </row>
    <row r="65" spans="1:8" x14ac:dyDescent="0.2">
      <c r="A65" s="4">
        <v>59</v>
      </c>
      <c r="B65" s="5" t="s">
        <v>247</v>
      </c>
      <c r="C65" s="5" t="s">
        <v>248</v>
      </c>
      <c r="D65" s="5" t="s">
        <v>1005</v>
      </c>
      <c r="E65" s="6">
        <v>180000</v>
      </c>
      <c r="F65" s="7">
        <v>337.32</v>
      </c>
      <c r="G65" s="8">
        <v>2.5736829999999998E-3</v>
      </c>
      <c r="H65" s="100"/>
    </row>
    <row r="66" spans="1:8" x14ac:dyDescent="0.2">
      <c r="A66" s="4">
        <v>60</v>
      </c>
      <c r="B66" s="5" t="s">
        <v>56</v>
      </c>
      <c r="C66" s="5" t="s">
        <v>57</v>
      </c>
      <c r="D66" s="5" t="s">
        <v>58</v>
      </c>
      <c r="E66" s="6">
        <v>5</v>
      </c>
      <c r="F66" s="7">
        <v>0.15496499999999999</v>
      </c>
      <c r="G66" s="15" t="s">
        <v>99</v>
      </c>
      <c r="H66" s="100"/>
    </row>
    <row r="67" spans="1:8" x14ac:dyDescent="0.2">
      <c r="A67" s="15" t="s">
        <v>9</v>
      </c>
      <c r="B67" s="15" t="s">
        <v>9</v>
      </c>
      <c r="C67" s="3" t="s">
        <v>94</v>
      </c>
      <c r="D67" s="15" t="s">
        <v>9</v>
      </c>
      <c r="E67" s="15" t="s">
        <v>9</v>
      </c>
      <c r="F67" s="9">
        <v>122411.756039</v>
      </c>
      <c r="G67" s="10">
        <v>0.93397692799999998</v>
      </c>
      <c r="H67" s="100"/>
    </row>
    <row r="68" spans="1:8" x14ac:dyDescent="0.2">
      <c r="A68" s="15" t="s">
        <v>9</v>
      </c>
      <c r="B68" s="15" t="s">
        <v>9</v>
      </c>
      <c r="C68" s="11" t="s">
        <v>9</v>
      </c>
      <c r="D68" s="15" t="s">
        <v>9</v>
      </c>
      <c r="E68" s="15" t="s">
        <v>9</v>
      </c>
      <c r="F68" s="12" t="s">
        <v>9</v>
      </c>
      <c r="G68" s="12" t="s">
        <v>9</v>
      </c>
      <c r="H68" s="100"/>
    </row>
    <row r="69" spans="1:8" x14ac:dyDescent="0.2">
      <c r="A69" s="15" t="s">
        <v>9</v>
      </c>
      <c r="B69" s="15" t="s">
        <v>9</v>
      </c>
      <c r="C69" s="3" t="s">
        <v>95</v>
      </c>
      <c r="D69" s="15" t="s">
        <v>9</v>
      </c>
      <c r="E69" s="15" t="s">
        <v>9</v>
      </c>
      <c r="F69" s="15" t="s">
        <v>9</v>
      </c>
      <c r="G69" s="15" t="s">
        <v>9</v>
      </c>
      <c r="H69" s="100"/>
    </row>
    <row r="70" spans="1:8" x14ac:dyDescent="0.2">
      <c r="A70" s="15" t="s">
        <v>9</v>
      </c>
      <c r="B70" s="15" t="s">
        <v>9</v>
      </c>
      <c r="C70" s="3" t="s">
        <v>94</v>
      </c>
      <c r="D70" s="15" t="s">
        <v>9</v>
      </c>
      <c r="E70" s="15" t="s">
        <v>9</v>
      </c>
      <c r="F70" s="13">
        <v>0</v>
      </c>
      <c r="G70" s="14">
        <v>0</v>
      </c>
      <c r="H70" s="100"/>
    </row>
    <row r="71" spans="1:8" x14ac:dyDescent="0.2">
      <c r="A71" s="15" t="s">
        <v>9</v>
      </c>
      <c r="B71" s="15" t="s">
        <v>9</v>
      </c>
      <c r="C71" s="11" t="s">
        <v>9</v>
      </c>
      <c r="D71" s="15" t="s">
        <v>9</v>
      </c>
      <c r="E71" s="15" t="s">
        <v>9</v>
      </c>
      <c r="F71" s="12" t="s">
        <v>9</v>
      </c>
      <c r="G71" s="12" t="s">
        <v>9</v>
      </c>
      <c r="H71" s="100"/>
    </row>
    <row r="72" spans="1:8" x14ac:dyDescent="0.2">
      <c r="A72" s="15" t="s">
        <v>9</v>
      </c>
      <c r="B72" s="15" t="s">
        <v>9</v>
      </c>
      <c r="C72" s="3" t="s">
        <v>96</v>
      </c>
      <c r="D72" s="15" t="s">
        <v>9</v>
      </c>
      <c r="E72" s="15" t="s">
        <v>9</v>
      </c>
      <c r="F72" s="15" t="s">
        <v>9</v>
      </c>
      <c r="G72" s="15" t="s">
        <v>9</v>
      </c>
      <c r="H72" s="100"/>
    </row>
    <row r="73" spans="1:8" x14ac:dyDescent="0.2">
      <c r="A73" s="4">
        <v>1</v>
      </c>
      <c r="B73" s="5" t="s">
        <v>97</v>
      </c>
      <c r="C73" s="5" t="s">
        <v>997</v>
      </c>
      <c r="D73" s="5" t="s">
        <v>98</v>
      </c>
      <c r="E73" s="6">
        <v>375961</v>
      </c>
      <c r="F73" s="7">
        <v>7.5190000000000003E-6</v>
      </c>
      <c r="G73" s="15" t="s">
        <v>99</v>
      </c>
      <c r="H73" s="100"/>
    </row>
    <row r="74" spans="1:8" x14ac:dyDescent="0.2">
      <c r="A74" s="15" t="s">
        <v>9</v>
      </c>
      <c r="B74" s="15" t="s">
        <v>9</v>
      </c>
      <c r="C74" s="3" t="s">
        <v>94</v>
      </c>
      <c r="D74" s="15" t="s">
        <v>9</v>
      </c>
      <c r="E74" s="15" t="s">
        <v>9</v>
      </c>
      <c r="F74" s="9">
        <v>7.5190000000000003E-6</v>
      </c>
      <c r="G74" s="10">
        <v>0</v>
      </c>
      <c r="H74" s="100"/>
    </row>
    <row r="75" spans="1:8" x14ac:dyDescent="0.2">
      <c r="A75" s="15" t="s">
        <v>9</v>
      </c>
      <c r="B75" s="15" t="s">
        <v>9</v>
      </c>
      <c r="C75" s="11" t="s">
        <v>9</v>
      </c>
      <c r="D75" s="15" t="s">
        <v>9</v>
      </c>
      <c r="E75" s="15" t="s">
        <v>9</v>
      </c>
      <c r="F75" s="12" t="s">
        <v>9</v>
      </c>
      <c r="G75" s="12" t="s">
        <v>9</v>
      </c>
      <c r="H75" s="100"/>
    </row>
    <row r="76" spans="1:8" x14ac:dyDescent="0.2">
      <c r="A76" s="15" t="s">
        <v>9</v>
      </c>
      <c r="B76" s="15" t="s">
        <v>9</v>
      </c>
      <c r="C76" s="3" t="s">
        <v>100</v>
      </c>
      <c r="D76" s="15" t="s">
        <v>9</v>
      </c>
      <c r="E76" s="15" t="s">
        <v>9</v>
      </c>
      <c r="F76" s="15" t="s">
        <v>9</v>
      </c>
      <c r="G76" s="15" t="s">
        <v>9</v>
      </c>
      <c r="H76" s="100"/>
    </row>
    <row r="77" spans="1:8" x14ac:dyDescent="0.2">
      <c r="A77" s="15" t="s">
        <v>9</v>
      </c>
      <c r="B77" s="15" t="s">
        <v>9</v>
      </c>
      <c r="C77" s="3" t="s">
        <v>94</v>
      </c>
      <c r="D77" s="15" t="s">
        <v>9</v>
      </c>
      <c r="E77" s="15" t="s">
        <v>9</v>
      </c>
      <c r="F77" s="13">
        <v>0</v>
      </c>
      <c r="G77" s="14">
        <v>0</v>
      </c>
      <c r="H77" s="100"/>
    </row>
    <row r="78" spans="1:8" x14ac:dyDescent="0.2">
      <c r="A78" s="15" t="s">
        <v>9</v>
      </c>
      <c r="B78" s="15" t="s">
        <v>9</v>
      </c>
      <c r="C78" s="11" t="s">
        <v>9</v>
      </c>
      <c r="D78" s="15" t="s">
        <v>9</v>
      </c>
      <c r="E78" s="15" t="s">
        <v>9</v>
      </c>
      <c r="F78" s="12" t="s">
        <v>9</v>
      </c>
      <c r="G78" s="12" t="s">
        <v>9</v>
      </c>
      <c r="H78" s="100"/>
    </row>
    <row r="79" spans="1:8" x14ac:dyDescent="0.2">
      <c r="A79" s="15" t="s">
        <v>9</v>
      </c>
      <c r="B79" s="15" t="s">
        <v>9</v>
      </c>
      <c r="C79" s="3" t="s">
        <v>101</v>
      </c>
      <c r="D79" s="15" t="s">
        <v>9</v>
      </c>
      <c r="E79" s="15" t="s">
        <v>9</v>
      </c>
      <c r="F79" s="12" t="s">
        <v>9</v>
      </c>
      <c r="G79" s="12" t="s">
        <v>9</v>
      </c>
      <c r="H79" s="100"/>
    </row>
    <row r="80" spans="1:8" x14ac:dyDescent="0.2">
      <c r="A80" s="15" t="s">
        <v>9</v>
      </c>
      <c r="B80" s="15" t="s">
        <v>9</v>
      </c>
      <c r="C80" s="3" t="s">
        <v>94</v>
      </c>
      <c r="D80" s="15" t="s">
        <v>9</v>
      </c>
      <c r="E80" s="15" t="s">
        <v>9</v>
      </c>
      <c r="F80" s="13">
        <v>0</v>
      </c>
      <c r="G80" s="14">
        <v>0</v>
      </c>
      <c r="H80" s="100"/>
    </row>
    <row r="81" spans="1:8" x14ac:dyDescent="0.2">
      <c r="A81" s="15" t="s">
        <v>9</v>
      </c>
      <c r="B81" s="15" t="s">
        <v>9</v>
      </c>
      <c r="C81" s="11" t="s">
        <v>9</v>
      </c>
      <c r="D81" s="15" t="s">
        <v>9</v>
      </c>
      <c r="E81" s="15" t="s">
        <v>9</v>
      </c>
      <c r="F81" s="12" t="s">
        <v>9</v>
      </c>
      <c r="G81" s="12" t="s">
        <v>9</v>
      </c>
      <c r="H81" s="100"/>
    </row>
    <row r="82" spans="1:8" x14ac:dyDescent="0.2">
      <c r="A82" s="15" t="s">
        <v>9</v>
      </c>
      <c r="B82" s="15" t="s">
        <v>9</v>
      </c>
      <c r="C82" s="3" t="s">
        <v>102</v>
      </c>
      <c r="D82" s="15" t="s">
        <v>9</v>
      </c>
      <c r="E82" s="15" t="s">
        <v>9</v>
      </c>
      <c r="F82" s="12" t="s">
        <v>9</v>
      </c>
      <c r="G82" s="12" t="s">
        <v>9</v>
      </c>
      <c r="H82" s="100"/>
    </row>
    <row r="83" spans="1:8" x14ac:dyDescent="0.2">
      <c r="A83" s="15" t="s">
        <v>9</v>
      </c>
      <c r="B83" s="15" t="s">
        <v>9</v>
      </c>
      <c r="C83" s="3" t="s">
        <v>94</v>
      </c>
      <c r="D83" s="15" t="s">
        <v>9</v>
      </c>
      <c r="E83" s="15" t="s">
        <v>9</v>
      </c>
      <c r="F83" s="13">
        <v>0</v>
      </c>
      <c r="G83" s="14">
        <v>0</v>
      </c>
      <c r="H83" s="100"/>
    </row>
    <row r="84" spans="1:8" x14ac:dyDescent="0.2">
      <c r="A84" s="15" t="s">
        <v>9</v>
      </c>
      <c r="B84" s="15" t="s">
        <v>9</v>
      </c>
      <c r="C84" s="11" t="s">
        <v>9</v>
      </c>
      <c r="D84" s="15" t="s">
        <v>9</v>
      </c>
      <c r="E84" s="15" t="s">
        <v>9</v>
      </c>
      <c r="F84" s="12" t="s">
        <v>9</v>
      </c>
      <c r="G84" s="12" t="s">
        <v>9</v>
      </c>
      <c r="H84" s="100"/>
    </row>
    <row r="85" spans="1:8" x14ac:dyDescent="0.2">
      <c r="A85" s="15" t="s">
        <v>9</v>
      </c>
      <c r="B85" s="15" t="s">
        <v>9</v>
      </c>
      <c r="C85" s="3" t="s">
        <v>104</v>
      </c>
      <c r="D85" s="15" t="s">
        <v>9</v>
      </c>
      <c r="E85" s="15" t="s">
        <v>9</v>
      </c>
      <c r="F85" s="9">
        <v>122411.756046519</v>
      </c>
      <c r="G85" s="10">
        <v>0.93397692799999998</v>
      </c>
      <c r="H85" s="100"/>
    </row>
    <row r="86" spans="1:8" x14ac:dyDescent="0.2">
      <c r="A86" s="15" t="s">
        <v>9</v>
      </c>
      <c r="B86" s="15" t="s">
        <v>9</v>
      </c>
      <c r="C86" s="11" t="s">
        <v>9</v>
      </c>
      <c r="D86" s="15" t="s">
        <v>9</v>
      </c>
      <c r="E86" s="15" t="s">
        <v>9</v>
      </c>
      <c r="F86" s="12" t="s">
        <v>9</v>
      </c>
      <c r="G86" s="12" t="s">
        <v>9</v>
      </c>
      <c r="H86" s="100"/>
    </row>
    <row r="87" spans="1:8" x14ac:dyDescent="0.2">
      <c r="A87" s="15" t="s">
        <v>9</v>
      </c>
      <c r="B87" s="15" t="s">
        <v>9</v>
      </c>
      <c r="C87" s="3" t="s">
        <v>105</v>
      </c>
      <c r="D87" s="15" t="s">
        <v>9</v>
      </c>
      <c r="E87" s="15" t="s">
        <v>9</v>
      </c>
      <c r="F87" s="12" t="s">
        <v>9</v>
      </c>
      <c r="G87" s="12" t="s">
        <v>9</v>
      </c>
      <c r="H87" s="100"/>
    </row>
    <row r="88" spans="1:8" ht="25.5" x14ac:dyDescent="0.2">
      <c r="A88" s="15" t="s">
        <v>9</v>
      </c>
      <c r="B88" s="15" t="s">
        <v>9</v>
      </c>
      <c r="C88" s="3" t="s">
        <v>11</v>
      </c>
      <c r="D88" s="15" t="s">
        <v>9</v>
      </c>
      <c r="E88" s="15" t="s">
        <v>9</v>
      </c>
      <c r="F88" s="12" t="s">
        <v>9</v>
      </c>
      <c r="G88" s="12" t="s">
        <v>9</v>
      </c>
      <c r="H88" s="100"/>
    </row>
    <row r="89" spans="1:8" x14ac:dyDescent="0.2">
      <c r="A89" s="15" t="s">
        <v>9</v>
      </c>
      <c r="B89" s="15" t="s">
        <v>9</v>
      </c>
      <c r="C89" s="3" t="s">
        <v>94</v>
      </c>
      <c r="D89" s="15" t="s">
        <v>9</v>
      </c>
      <c r="E89" s="15" t="s">
        <v>9</v>
      </c>
      <c r="F89" s="13">
        <v>0</v>
      </c>
      <c r="G89" s="14">
        <v>0</v>
      </c>
      <c r="H89" s="100"/>
    </row>
    <row r="90" spans="1:8" x14ac:dyDescent="0.2">
      <c r="A90" s="15" t="s">
        <v>9</v>
      </c>
      <c r="B90" s="15" t="s">
        <v>9</v>
      </c>
      <c r="C90" s="11" t="s">
        <v>9</v>
      </c>
      <c r="D90" s="15" t="s">
        <v>9</v>
      </c>
      <c r="E90" s="15" t="s">
        <v>9</v>
      </c>
      <c r="F90" s="12" t="s">
        <v>9</v>
      </c>
      <c r="G90" s="12" t="s">
        <v>9</v>
      </c>
      <c r="H90" s="100"/>
    </row>
    <row r="91" spans="1:8" x14ac:dyDescent="0.2">
      <c r="A91" s="15" t="s">
        <v>9</v>
      </c>
      <c r="B91" s="15" t="s">
        <v>9</v>
      </c>
      <c r="C91" s="3" t="s">
        <v>106</v>
      </c>
      <c r="D91" s="15" t="s">
        <v>9</v>
      </c>
      <c r="E91" s="15" t="s">
        <v>9</v>
      </c>
      <c r="F91" s="15" t="s">
        <v>9</v>
      </c>
      <c r="G91" s="15" t="s">
        <v>9</v>
      </c>
      <c r="H91" s="100"/>
    </row>
    <row r="92" spans="1:8" x14ac:dyDescent="0.2">
      <c r="A92" s="15" t="s">
        <v>9</v>
      </c>
      <c r="B92" s="15" t="s">
        <v>9</v>
      </c>
      <c r="C92" s="3" t="s">
        <v>94</v>
      </c>
      <c r="D92" s="15" t="s">
        <v>9</v>
      </c>
      <c r="E92" s="15" t="s">
        <v>9</v>
      </c>
      <c r="F92" s="13">
        <v>0</v>
      </c>
      <c r="G92" s="14">
        <v>0</v>
      </c>
      <c r="H92" s="100"/>
    </row>
    <row r="93" spans="1:8" x14ac:dyDescent="0.2">
      <c r="A93" s="15" t="s">
        <v>9</v>
      </c>
      <c r="B93" s="15" t="s">
        <v>9</v>
      </c>
      <c r="C93" s="11" t="s">
        <v>9</v>
      </c>
      <c r="D93" s="15" t="s">
        <v>9</v>
      </c>
      <c r="E93" s="15" t="s">
        <v>9</v>
      </c>
      <c r="F93" s="12" t="s">
        <v>9</v>
      </c>
      <c r="G93" s="12" t="s">
        <v>9</v>
      </c>
      <c r="H93" s="100"/>
    </row>
    <row r="94" spans="1:8" x14ac:dyDescent="0.2">
      <c r="A94" s="15" t="s">
        <v>9</v>
      </c>
      <c r="B94" s="15" t="s">
        <v>9</v>
      </c>
      <c r="C94" s="3" t="s">
        <v>107</v>
      </c>
      <c r="D94" s="15" t="s">
        <v>9</v>
      </c>
      <c r="E94" s="15" t="s">
        <v>9</v>
      </c>
      <c r="F94" s="15" t="s">
        <v>9</v>
      </c>
      <c r="G94" s="15" t="s">
        <v>9</v>
      </c>
      <c r="H94" s="100"/>
    </row>
    <row r="95" spans="1:8" x14ac:dyDescent="0.2">
      <c r="A95" s="15" t="s">
        <v>9</v>
      </c>
      <c r="B95" s="15" t="s">
        <v>9</v>
      </c>
      <c r="C95" s="3" t="s">
        <v>94</v>
      </c>
      <c r="D95" s="15" t="s">
        <v>9</v>
      </c>
      <c r="E95" s="15" t="s">
        <v>9</v>
      </c>
      <c r="F95" s="13">
        <v>0</v>
      </c>
      <c r="G95" s="14">
        <v>0</v>
      </c>
      <c r="H95" s="100"/>
    </row>
    <row r="96" spans="1:8" x14ac:dyDescent="0.2">
      <c r="A96" s="15" t="s">
        <v>9</v>
      </c>
      <c r="B96" s="15" t="s">
        <v>9</v>
      </c>
      <c r="C96" s="11" t="s">
        <v>9</v>
      </c>
      <c r="D96" s="15" t="s">
        <v>9</v>
      </c>
      <c r="E96" s="15" t="s">
        <v>9</v>
      </c>
      <c r="F96" s="12" t="s">
        <v>9</v>
      </c>
      <c r="G96" s="12" t="s">
        <v>9</v>
      </c>
      <c r="H96" s="100"/>
    </row>
    <row r="97" spans="1:8" x14ac:dyDescent="0.2">
      <c r="A97" s="15" t="s">
        <v>9</v>
      </c>
      <c r="B97" s="15" t="s">
        <v>9</v>
      </c>
      <c r="C97" s="3" t="s">
        <v>108</v>
      </c>
      <c r="D97" s="15" t="s">
        <v>9</v>
      </c>
      <c r="E97" s="15" t="s">
        <v>9</v>
      </c>
      <c r="F97" s="12" t="s">
        <v>9</v>
      </c>
      <c r="G97" s="12" t="s">
        <v>9</v>
      </c>
      <c r="H97" s="100"/>
    </row>
    <row r="98" spans="1:8" x14ac:dyDescent="0.2">
      <c r="A98" s="15" t="s">
        <v>9</v>
      </c>
      <c r="B98" s="15" t="s">
        <v>9</v>
      </c>
      <c r="C98" s="3" t="s">
        <v>94</v>
      </c>
      <c r="D98" s="15" t="s">
        <v>9</v>
      </c>
      <c r="E98" s="15" t="s">
        <v>9</v>
      </c>
      <c r="F98" s="13">
        <v>0</v>
      </c>
      <c r="G98" s="14">
        <v>0</v>
      </c>
      <c r="H98" s="100"/>
    </row>
    <row r="99" spans="1:8" x14ac:dyDescent="0.2">
      <c r="A99" s="15" t="s">
        <v>9</v>
      </c>
      <c r="B99" s="15" t="s">
        <v>9</v>
      </c>
      <c r="C99" s="11" t="s">
        <v>9</v>
      </c>
      <c r="D99" s="15" t="s">
        <v>9</v>
      </c>
      <c r="E99" s="15" t="s">
        <v>9</v>
      </c>
      <c r="F99" s="12" t="s">
        <v>9</v>
      </c>
      <c r="G99" s="12" t="s">
        <v>9</v>
      </c>
      <c r="H99" s="100"/>
    </row>
    <row r="100" spans="1:8" x14ac:dyDescent="0.2">
      <c r="A100" s="15" t="s">
        <v>9</v>
      </c>
      <c r="B100" s="15" t="s">
        <v>9</v>
      </c>
      <c r="C100" s="3" t="s">
        <v>109</v>
      </c>
      <c r="D100" s="15" t="s">
        <v>9</v>
      </c>
      <c r="E100" s="15" t="s">
        <v>9</v>
      </c>
      <c r="F100" s="9">
        <v>0</v>
      </c>
      <c r="G100" s="10">
        <v>0</v>
      </c>
      <c r="H100" s="100"/>
    </row>
    <row r="101" spans="1:8" x14ac:dyDescent="0.2">
      <c r="A101" s="15" t="s">
        <v>9</v>
      </c>
      <c r="B101" s="15" t="s">
        <v>9</v>
      </c>
      <c r="C101" s="11" t="s">
        <v>9</v>
      </c>
      <c r="D101" s="15" t="s">
        <v>9</v>
      </c>
      <c r="E101" s="15" t="s">
        <v>9</v>
      </c>
      <c r="F101" s="12" t="s">
        <v>9</v>
      </c>
      <c r="G101" s="12" t="s">
        <v>9</v>
      </c>
      <c r="H101" s="100"/>
    </row>
    <row r="102" spans="1:8" x14ac:dyDescent="0.2">
      <c r="A102" s="15" t="s">
        <v>9</v>
      </c>
      <c r="B102" s="15" t="s">
        <v>9</v>
      </c>
      <c r="C102" s="3" t="s">
        <v>110</v>
      </c>
      <c r="D102" s="15" t="s">
        <v>9</v>
      </c>
      <c r="E102" s="15" t="s">
        <v>9</v>
      </c>
      <c r="F102" s="12" t="s">
        <v>9</v>
      </c>
      <c r="G102" s="12" t="s">
        <v>9</v>
      </c>
      <c r="H102" s="100"/>
    </row>
    <row r="103" spans="1:8" x14ac:dyDescent="0.2">
      <c r="A103" s="15" t="s">
        <v>9</v>
      </c>
      <c r="B103" s="15" t="s">
        <v>9</v>
      </c>
      <c r="C103" s="3" t="s">
        <v>111</v>
      </c>
      <c r="D103" s="15" t="s">
        <v>9</v>
      </c>
      <c r="E103" s="15" t="s">
        <v>9</v>
      </c>
      <c r="F103" s="12" t="s">
        <v>9</v>
      </c>
      <c r="G103" s="12" t="s">
        <v>9</v>
      </c>
      <c r="H103" s="100"/>
    </row>
    <row r="104" spans="1:8" x14ac:dyDescent="0.2">
      <c r="A104" s="15" t="s">
        <v>9</v>
      </c>
      <c r="B104" s="15" t="s">
        <v>9</v>
      </c>
      <c r="C104" s="3" t="s">
        <v>94</v>
      </c>
      <c r="D104" s="15" t="s">
        <v>9</v>
      </c>
      <c r="E104" s="15" t="s">
        <v>9</v>
      </c>
      <c r="F104" s="13">
        <v>0</v>
      </c>
      <c r="G104" s="14">
        <v>0</v>
      </c>
      <c r="H104" s="100"/>
    </row>
    <row r="105" spans="1:8" x14ac:dyDescent="0.2">
      <c r="A105" s="15" t="s">
        <v>9</v>
      </c>
      <c r="B105" s="15" t="s">
        <v>9</v>
      </c>
      <c r="C105" s="11" t="s">
        <v>9</v>
      </c>
      <c r="D105" s="15" t="s">
        <v>9</v>
      </c>
      <c r="E105" s="15" t="s">
        <v>9</v>
      </c>
      <c r="F105" s="12" t="s">
        <v>9</v>
      </c>
      <c r="G105" s="12" t="s">
        <v>9</v>
      </c>
      <c r="H105" s="100"/>
    </row>
    <row r="106" spans="1:8" x14ac:dyDescent="0.2">
      <c r="A106" s="15" t="s">
        <v>9</v>
      </c>
      <c r="B106" s="15" t="s">
        <v>9</v>
      </c>
      <c r="C106" s="3" t="s">
        <v>112</v>
      </c>
      <c r="D106" s="15" t="s">
        <v>9</v>
      </c>
      <c r="E106" s="15" t="s">
        <v>9</v>
      </c>
      <c r="F106" s="12" t="s">
        <v>9</v>
      </c>
      <c r="G106" s="12" t="s">
        <v>9</v>
      </c>
      <c r="H106" s="100"/>
    </row>
    <row r="107" spans="1:8" x14ac:dyDescent="0.2">
      <c r="A107" s="15" t="s">
        <v>9</v>
      </c>
      <c r="B107" s="15" t="s">
        <v>9</v>
      </c>
      <c r="C107" s="3" t="s">
        <v>94</v>
      </c>
      <c r="D107" s="15" t="s">
        <v>9</v>
      </c>
      <c r="E107" s="15" t="s">
        <v>9</v>
      </c>
      <c r="F107" s="13">
        <v>0</v>
      </c>
      <c r="G107" s="14">
        <v>0</v>
      </c>
      <c r="H107" s="100"/>
    </row>
    <row r="108" spans="1:8" x14ac:dyDescent="0.2">
      <c r="A108" s="15" t="s">
        <v>9</v>
      </c>
      <c r="B108" s="15" t="s">
        <v>9</v>
      </c>
      <c r="C108" s="11" t="s">
        <v>9</v>
      </c>
      <c r="D108" s="15" t="s">
        <v>9</v>
      </c>
      <c r="E108" s="15" t="s">
        <v>9</v>
      </c>
      <c r="F108" s="12" t="s">
        <v>9</v>
      </c>
      <c r="G108" s="12" t="s">
        <v>9</v>
      </c>
      <c r="H108" s="100"/>
    </row>
    <row r="109" spans="1:8" x14ac:dyDescent="0.2">
      <c r="A109" s="15" t="s">
        <v>9</v>
      </c>
      <c r="B109" s="15" t="s">
        <v>9</v>
      </c>
      <c r="C109" s="3" t="s">
        <v>113</v>
      </c>
      <c r="D109" s="15" t="s">
        <v>9</v>
      </c>
      <c r="E109" s="15" t="s">
        <v>9</v>
      </c>
      <c r="F109" s="12" t="s">
        <v>9</v>
      </c>
      <c r="G109" s="12" t="s">
        <v>9</v>
      </c>
      <c r="H109" s="100"/>
    </row>
    <row r="110" spans="1:8" x14ac:dyDescent="0.2">
      <c r="A110" s="15" t="s">
        <v>9</v>
      </c>
      <c r="B110" s="15" t="s">
        <v>9</v>
      </c>
      <c r="C110" s="3" t="s">
        <v>94</v>
      </c>
      <c r="D110" s="15" t="s">
        <v>9</v>
      </c>
      <c r="E110" s="15" t="s">
        <v>9</v>
      </c>
      <c r="F110" s="13">
        <v>0</v>
      </c>
      <c r="G110" s="14">
        <v>0</v>
      </c>
      <c r="H110" s="100"/>
    </row>
    <row r="111" spans="1:8" x14ac:dyDescent="0.2">
      <c r="A111" s="15" t="s">
        <v>9</v>
      </c>
      <c r="B111" s="15" t="s">
        <v>9</v>
      </c>
      <c r="C111" s="11" t="s">
        <v>9</v>
      </c>
      <c r="D111" s="15" t="s">
        <v>9</v>
      </c>
      <c r="E111" s="15" t="s">
        <v>9</v>
      </c>
      <c r="F111" s="12" t="s">
        <v>9</v>
      </c>
      <c r="G111" s="12" t="s">
        <v>9</v>
      </c>
      <c r="H111" s="100"/>
    </row>
    <row r="112" spans="1:8" x14ac:dyDescent="0.2">
      <c r="A112" s="15" t="s">
        <v>9</v>
      </c>
      <c r="B112" s="15" t="s">
        <v>9</v>
      </c>
      <c r="C112" s="3" t="s">
        <v>114</v>
      </c>
      <c r="D112" s="15" t="s">
        <v>9</v>
      </c>
      <c r="E112" s="15" t="s">
        <v>9</v>
      </c>
      <c r="F112" s="12" t="s">
        <v>9</v>
      </c>
      <c r="G112" s="12" t="s">
        <v>9</v>
      </c>
      <c r="H112" s="100"/>
    </row>
    <row r="113" spans="1:8" x14ac:dyDescent="0.2">
      <c r="A113" s="4">
        <v>1</v>
      </c>
      <c r="B113" s="5"/>
      <c r="C113" s="5" t="s">
        <v>115</v>
      </c>
      <c r="D113" s="5"/>
      <c r="E113" s="15" t="s">
        <v>9</v>
      </c>
      <c r="F113" s="7">
        <v>7220.9296308000003</v>
      </c>
      <c r="G113" s="8">
        <v>5.5094232E-2</v>
      </c>
      <c r="H113" s="99">
        <v>3.2516689338443991</v>
      </c>
    </row>
    <row r="114" spans="1:8" x14ac:dyDescent="0.2">
      <c r="A114" s="4">
        <v>2</v>
      </c>
      <c r="B114" s="5"/>
      <c r="C114" s="5" t="s">
        <v>116</v>
      </c>
      <c r="D114" s="5"/>
      <c r="E114" s="15" t="s">
        <v>9</v>
      </c>
      <c r="F114" s="7">
        <v>989.33328670000003</v>
      </c>
      <c r="G114" s="8">
        <v>7.5484130000000003E-3</v>
      </c>
      <c r="H114" s="100">
        <v>3.350000000000001</v>
      </c>
    </row>
    <row r="115" spans="1:8" x14ac:dyDescent="0.2">
      <c r="A115" s="15" t="s">
        <v>9</v>
      </c>
      <c r="B115" s="15" t="s">
        <v>9</v>
      </c>
      <c r="C115" s="3" t="s">
        <v>94</v>
      </c>
      <c r="D115" s="15" t="s">
        <v>9</v>
      </c>
      <c r="E115" s="15" t="s">
        <v>9</v>
      </c>
      <c r="F115" s="9">
        <v>8210.2629175000002</v>
      </c>
      <c r="G115" s="10">
        <v>6.2642644999999997E-2</v>
      </c>
      <c r="H115" s="100"/>
    </row>
    <row r="116" spans="1:8" x14ac:dyDescent="0.2">
      <c r="A116" s="15" t="s">
        <v>9</v>
      </c>
      <c r="B116" s="15" t="s">
        <v>9</v>
      </c>
      <c r="C116" s="11" t="s">
        <v>9</v>
      </c>
      <c r="D116" s="15" t="s">
        <v>9</v>
      </c>
      <c r="E116" s="15" t="s">
        <v>9</v>
      </c>
      <c r="F116" s="12" t="s">
        <v>9</v>
      </c>
      <c r="G116" s="12" t="s">
        <v>9</v>
      </c>
      <c r="H116" s="100"/>
    </row>
    <row r="117" spans="1:8" x14ac:dyDescent="0.2">
      <c r="A117" s="15" t="s">
        <v>9</v>
      </c>
      <c r="B117" s="15" t="s">
        <v>9</v>
      </c>
      <c r="C117" s="3" t="s">
        <v>117</v>
      </c>
      <c r="D117" s="15" t="s">
        <v>9</v>
      </c>
      <c r="E117" s="15" t="s">
        <v>9</v>
      </c>
      <c r="F117" s="9">
        <v>8210.2629175000002</v>
      </c>
      <c r="G117" s="10">
        <v>6.2642644999999997E-2</v>
      </c>
      <c r="H117" s="100"/>
    </row>
    <row r="118" spans="1:8" x14ac:dyDescent="0.2">
      <c r="A118" s="15" t="s">
        <v>9</v>
      </c>
      <c r="B118" s="15" t="s">
        <v>9</v>
      </c>
      <c r="C118" s="12" t="s">
        <v>9</v>
      </c>
      <c r="D118" s="15" t="s">
        <v>9</v>
      </c>
      <c r="E118" s="15" t="s">
        <v>9</v>
      </c>
      <c r="F118" s="15" t="s">
        <v>9</v>
      </c>
      <c r="G118" s="15" t="s">
        <v>9</v>
      </c>
      <c r="H118" s="100"/>
    </row>
    <row r="119" spans="1:8" x14ac:dyDescent="0.2">
      <c r="A119" s="15" t="s">
        <v>9</v>
      </c>
      <c r="B119" s="15" t="s">
        <v>9</v>
      </c>
      <c r="C119" s="3" t="s">
        <v>118</v>
      </c>
      <c r="D119" s="15" t="s">
        <v>9</v>
      </c>
      <c r="E119" s="15" t="s">
        <v>9</v>
      </c>
      <c r="F119" s="15" t="s">
        <v>9</v>
      </c>
      <c r="G119" s="15" t="s">
        <v>9</v>
      </c>
      <c r="H119" s="100"/>
    </row>
    <row r="120" spans="1:8" x14ac:dyDescent="0.2">
      <c r="A120" s="15" t="s">
        <v>9</v>
      </c>
      <c r="B120" s="15" t="s">
        <v>9</v>
      </c>
      <c r="C120" s="3" t="s">
        <v>119</v>
      </c>
      <c r="D120" s="15" t="s">
        <v>9</v>
      </c>
      <c r="E120" s="15" t="s">
        <v>9</v>
      </c>
      <c r="F120" s="15" t="s">
        <v>9</v>
      </c>
      <c r="G120" s="15" t="s">
        <v>9</v>
      </c>
      <c r="H120" s="100"/>
    </row>
    <row r="121" spans="1:8" x14ac:dyDescent="0.2">
      <c r="A121" s="15" t="s">
        <v>9</v>
      </c>
      <c r="B121" s="15" t="s">
        <v>9</v>
      </c>
      <c r="C121" s="3" t="s">
        <v>94</v>
      </c>
      <c r="D121" s="15" t="s">
        <v>9</v>
      </c>
      <c r="E121" s="15" t="s">
        <v>9</v>
      </c>
      <c r="F121" s="13">
        <v>0</v>
      </c>
      <c r="G121" s="14">
        <v>0</v>
      </c>
      <c r="H121" s="100"/>
    </row>
    <row r="122" spans="1:8" x14ac:dyDescent="0.2">
      <c r="A122" s="15" t="s">
        <v>9</v>
      </c>
      <c r="B122" s="15" t="s">
        <v>9</v>
      </c>
      <c r="C122" s="11" t="s">
        <v>9</v>
      </c>
      <c r="D122" s="15" t="s">
        <v>9</v>
      </c>
      <c r="E122" s="15" t="s">
        <v>9</v>
      </c>
      <c r="F122" s="12" t="s">
        <v>9</v>
      </c>
      <c r="G122" s="12" t="s">
        <v>9</v>
      </c>
      <c r="H122" s="100"/>
    </row>
    <row r="123" spans="1:8" x14ac:dyDescent="0.2">
      <c r="A123" s="15" t="s">
        <v>9</v>
      </c>
      <c r="B123" s="15" t="s">
        <v>9</v>
      </c>
      <c r="C123" s="3" t="s">
        <v>120</v>
      </c>
      <c r="D123" s="15" t="s">
        <v>9</v>
      </c>
      <c r="E123" s="15" t="s">
        <v>9</v>
      </c>
      <c r="F123" s="15" t="s">
        <v>9</v>
      </c>
      <c r="G123" s="15" t="s">
        <v>9</v>
      </c>
      <c r="H123" s="100"/>
    </row>
    <row r="124" spans="1:8" x14ac:dyDescent="0.2">
      <c r="A124" s="15" t="s">
        <v>9</v>
      </c>
      <c r="B124" s="15" t="s">
        <v>9</v>
      </c>
      <c r="C124" s="3" t="s">
        <v>121</v>
      </c>
      <c r="D124" s="15" t="s">
        <v>9</v>
      </c>
      <c r="E124" s="15" t="s">
        <v>9</v>
      </c>
      <c r="F124" s="15" t="s">
        <v>9</v>
      </c>
      <c r="G124" s="15" t="s">
        <v>9</v>
      </c>
      <c r="H124" s="100"/>
    </row>
    <row r="125" spans="1:8" x14ac:dyDescent="0.2">
      <c r="A125" s="15" t="s">
        <v>9</v>
      </c>
      <c r="B125" s="15" t="s">
        <v>9</v>
      </c>
      <c r="C125" s="3" t="s">
        <v>94</v>
      </c>
      <c r="D125" s="15" t="s">
        <v>9</v>
      </c>
      <c r="E125" s="15" t="s">
        <v>9</v>
      </c>
      <c r="F125" s="13">
        <v>0</v>
      </c>
      <c r="G125" s="14">
        <v>0</v>
      </c>
      <c r="H125" s="100"/>
    </row>
    <row r="126" spans="1:8" x14ac:dyDescent="0.2">
      <c r="A126" s="15" t="s">
        <v>9</v>
      </c>
      <c r="B126" s="15" t="s">
        <v>9</v>
      </c>
      <c r="C126" s="11" t="s">
        <v>9</v>
      </c>
      <c r="D126" s="15" t="s">
        <v>9</v>
      </c>
      <c r="E126" s="15" t="s">
        <v>9</v>
      </c>
      <c r="F126" s="12" t="s">
        <v>9</v>
      </c>
      <c r="G126" s="12" t="s">
        <v>9</v>
      </c>
      <c r="H126" s="100"/>
    </row>
    <row r="127" spans="1:8" x14ac:dyDescent="0.2">
      <c r="A127" s="15" t="s">
        <v>9</v>
      </c>
      <c r="B127" s="15" t="s">
        <v>9</v>
      </c>
      <c r="C127" s="11" t="s">
        <v>9</v>
      </c>
      <c r="D127" s="15" t="s">
        <v>9</v>
      </c>
      <c r="E127" s="15" t="s">
        <v>9</v>
      </c>
      <c r="F127" s="12" t="s">
        <v>9</v>
      </c>
      <c r="G127" s="12" t="s">
        <v>9</v>
      </c>
      <c r="H127" s="100"/>
    </row>
    <row r="128" spans="1:8" ht="25.5" x14ac:dyDescent="0.2">
      <c r="A128" s="15" t="s">
        <v>9</v>
      </c>
      <c r="B128" s="15" t="s">
        <v>9</v>
      </c>
      <c r="C128" s="3" t="s">
        <v>122</v>
      </c>
      <c r="D128" s="15" t="s">
        <v>9</v>
      </c>
      <c r="E128" s="15" t="s">
        <v>9</v>
      </c>
      <c r="F128" s="12" t="s">
        <v>9</v>
      </c>
      <c r="G128" s="12" t="s">
        <v>9</v>
      </c>
      <c r="H128" s="100"/>
    </row>
    <row r="129" spans="1:8" x14ac:dyDescent="0.2">
      <c r="A129" s="15" t="s">
        <v>9</v>
      </c>
      <c r="B129" s="15" t="s">
        <v>9</v>
      </c>
      <c r="C129" s="3" t="s">
        <v>94</v>
      </c>
      <c r="D129" s="15" t="s">
        <v>9</v>
      </c>
      <c r="E129" s="15" t="s">
        <v>9</v>
      </c>
      <c r="F129" s="13">
        <v>0</v>
      </c>
      <c r="G129" s="14">
        <v>0</v>
      </c>
      <c r="H129" s="100"/>
    </row>
    <row r="130" spans="1:8" x14ac:dyDescent="0.2">
      <c r="A130" s="15" t="s">
        <v>9</v>
      </c>
      <c r="B130" s="15" t="s">
        <v>9</v>
      </c>
      <c r="C130" s="11" t="s">
        <v>9</v>
      </c>
      <c r="D130" s="15" t="s">
        <v>9</v>
      </c>
      <c r="E130" s="15" t="s">
        <v>9</v>
      </c>
      <c r="F130" s="12" t="s">
        <v>9</v>
      </c>
      <c r="G130" s="12" t="s">
        <v>9</v>
      </c>
      <c r="H130" s="100"/>
    </row>
    <row r="131" spans="1:8" x14ac:dyDescent="0.2">
      <c r="A131" s="15" t="s">
        <v>9</v>
      </c>
      <c r="B131" s="5" t="s">
        <v>9</v>
      </c>
      <c r="C131" s="5" t="s">
        <v>9</v>
      </c>
      <c r="D131" s="3" t="s">
        <v>9</v>
      </c>
      <c r="E131" s="15" t="s">
        <v>9</v>
      </c>
      <c r="F131" s="5" t="s">
        <v>9</v>
      </c>
      <c r="G131" s="15" t="s">
        <v>9</v>
      </c>
      <c r="H131" s="100"/>
    </row>
    <row r="132" spans="1:8" x14ac:dyDescent="0.2">
      <c r="A132" s="15" t="s">
        <v>9</v>
      </c>
      <c r="B132" s="5" t="s">
        <v>9</v>
      </c>
      <c r="C132" s="5" t="s">
        <v>124</v>
      </c>
      <c r="D132" s="5" t="s">
        <v>9</v>
      </c>
      <c r="E132" s="15" t="s">
        <v>9</v>
      </c>
      <c r="F132" s="7">
        <v>443.05569582999999</v>
      </c>
      <c r="G132" s="8">
        <v>3.3804249999999998E-3</v>
      </c>
      <c r="H132" s="100"/>
    </row>
    <row r="133" spans="1:8" x14ac:dyDescent="0.2">
      <c r="A133" s="11" t="s">
        <v>9</v>
      </c>
      <c r="B133" s="11" t="s">
        <v>9</v>
      </c>
      <c r="C133" s="3" t="s">
        <v>125</v>
      </c>
      <c r="D133" s="16" t="s">
        <v>9</v>
      </c>
      <c r="E133" s="16" t="s">
        <v>9</v>
      </c>
      <c r="F133" s="9">
        <v>131065.07467134899</v>
      </c>
      <c r="G133" s="10">
        <v>1</v>
      </c>
      <c r="H133" s="100"/>
    </row>
    <row r="134" spans="1:8" x14ac:dyDescent="0.2">
      <c r="A134" s="17" t="s">
        <v>9</v>
      </c>
      <c r="B134" s="17" t="s">
        <v>9</v>
      </c>
      <c r="C134" s="17" t="s">
        <v>9</v>
      </c>
      <c r="D134" s="18" t="s">
        <v>9</v>
      </c>
      <c r="E134" s="18" t="s">
        <v>9</v>
      </c>
      <c r="F134" s="18" t="s">
        <v>9</v>
      </c>
      <c r="G134" s="18" t="s">
        <v>9</v>
      </c>
      <c r="H134" s="142"/>
    </row>
    <row r="135" spans="1:8" x14ac:dyDescent="0.2">
      <c r="A135" s="19" t="s">
        <v>9</v>
      </c>
      <c r="B135" s="254" t="s">
        <v>9</v>
      </c>
      <c r="C135" s="254"/>
      <c r="D135" s="254"/>
      <c r="E135" s="254"/>
      <c r="F135" s="254"/>
      <c r="G135" s="20" t="s">
        <v>9</v>
      </c>
      <c r="H135" s="142"/>
    </row>
    <row r="136" spans="1:8" x14ac:dyDescent="0.2">
      <c r="A136" s="19" t="s">
        <v>9</v>
      </c>
      <c r="B136" s="254" t="s">
        <v>126</v>
      </c>
      <c r="C136" s="254"/>
      <c r="D136" s="254"/>
      <c r="E136" s="254"/>
      <c r="F136" s="254"/>
      <c r="G136" s="20" t="s">
        <v>9</v>
      </c>
      <c r="H136" s="142"/>
    </row>
    <row r="137" spans="1:8" x14ac:dyDescent="0.2">
      <c r="A137" s="19" t="s">
        <v>9</v>
      </c>
      <c r="B137" s="19" t="s">
        <v>9</v>
      </c>
      <c r="C137" s="19" t="s">
        <v>9</v>
      </c>
      <c r="D137" s="20" t="s">
        <v>9</v>
      </c>
      <c r="E137" s="20" t="s">
        <v>9</v>
      </c>
      <c r="F137" s="20" t="s">
        <v>9</v>
      </c>
      <c r="G137" s="20" t="s">
        <v>9</v>
      </c>
      <c r="H137" s="142"/>
    </row>
    <row r="138" spans="1:8" x14ac:dyDescent="0.2">
      <c r="A138" s="19" t="s">
        <v>9</v>
      </c>
      <c r="B138" s="247" t="s">
        <v>127</v>
      </c>
      <c r="C138" s="248"/>
      <c r="D138" s="182" t="s">
        <v>9</v>
      </c>
      <c r="E138" s="21" t="s">
        <v>9</v>
      </c>
      <c r="F138" s="20" t="s">
        <v>9</v>
      </c>
      <c r="G138" s="20" t="s">
        <v>9</v>
      </c>
      <c r="H138" s="142"/>
    </row>
    <row r="139" spans="1:8" ht="28.5" customHeight="1" x14ac:dyDescent="0.2">
      <c r="A139" s="19" t="s">
        <v>9</v>
      </c>
      <c r="B139" s="242" t="s">
        <v>128</v>
      </c>
      <c r="C139" s="243"/>
      <c r="D139" s="3" t="s">
        <v>129</v>
      </c>
      <c r="E139" s="21" t="s">
        <v>9</v>
      </c>
      <c r="F139" s="20" t="s">
        <v>9</v>
      </c>
      <c r="G139" s="20" t="s">
        <v>9</v>
      </c>
      <c r="H139" s="142"/>
    </row>
    <row r="140" spans="1:8" x14ac:dyDescent="0.2">
      <c r="A140" s="86" t="s">
        <v>9</v>
      </c>
      <c r="B140" s="240" t="s">
        <v>995</v>
      </c>
      <c r="C140" s="241"/>
      <c r="D140" s="188" t="s">
        <v>996</v>
      </c>
      <c r="E140" s="21" t="s">
        <v>9</v>
      </c>
      <c r="F140" s="87" t="s">
        <v>9</v>
      </c>
      <c r="G140" s="87" t="s">
        <v>9</v>
      </c>
      <c r="H140" s="142"/>
    </row>
    <row r="141" spans="1:8" x14ac:dyDescent="0.2">
      <c r="A141" s="19" t="s">
        <v>9</v>
      </c>
      <c r="B141" s="240" t="s">
        <v>131</v>
      </c>
      <c r="C141" s="241"/>
      <c r="D141" s="182" t="s">
        <v>9</v>
      </c>
      <c r="E141" s="21" t="s">
        <v>9</v>
      </c>
      <c r="F141" s="20" t="s">
        <v>9</v>
      </c>
      <c r="G141" s="20" t="s">
        <v>9</v>
      </c>
      <c r="H141" s="142"/>
    </row>
    <row r="142" spans="1:8" ht="25.5" x14ac:dyDescent="0.2">
      <c r="A142" s="25" t="s">
        <v>9</v>
      </c>
      <c r="B142" s="23" t="s">
        <v>9</v>
      </c>
      <c r="C142" s="23" t="s">
        <v>132</v>
      </c>
      <c r="D142" s="23" t="s">
        <v>133</v>
      </c>
      <c r="E142" s="25" t="s">
        <v>9</v>
      </c>
      <c r="F142" s="25" t="s">
        <v>9</v>
      </c>
      <c r="G142" s="25" t="s">
        <v>9</v>
      </c>
      <c r="H142" s="142"/>
    </row>
    <row r="143" spans="1:8" x14ac:dyDescent="0.2">
      <c r="A143" s="25" t="s">
        <v>9</v>
      </c>
      <c r="B143" s="23" t="s">
        <v>134</v>
      </c>
      <c r="C143" s="23" t="s">
        <v>135</v>
      </c>
      <c r="D143" s="23" t="s">
        <v>136</v>
      </c>
      <c r="E143" s="25" t="s">
        <v>9</v>
      </c>
      <c r="F143" s="25" t="s">
        <v>9</v>
      </c>
      <c r="G143" s="25" t="s">
        <v>9</v>
      </c>
      <c r="H143" s="142"/>
    </row>
    <row r="144" spans="1:8" x14ac:dyDescent="0.2">
      <c r="A144" s="25" t="s">
        <v>9</v>
      </c>
      <c r="B144" s="183" t="s">
        <v>137</v>
      </c>
      <c r="C144" s="184">
        <v>112.1686</v>
      </c>
      <c r="D144" s="184">
        <v>118.68559999999999</v>
      </c>
      <c r="E144" s="25" t="s">
        <v>9</v>
      </c>
      <c r="F144" s="73" t="s">
        <v>9</v>
      </c>
      <c r="G144" s="25" t="s">
        <v>9</v>
      </c>
      <c r="H144" s="142"/>
    </row>
    <row r="145" spans="1:8" x14ac:dyDescent="0.2">
      <c r="A145" s="25" t="s">
        <v>9</v>
      </c>
      <c r="B145" s="183" t="s">
        <v>921</v>
      </c>
      <c r="C145" s="184">
        <v>22.636600000000001</v>
      </c>
      <c r="D145" s="184">
        <v>23.951799999999999</v>
      </c>
      <c r="E145" s="25" t="s">
        <v>9</v>
      </c>
      <c r="F145" s="73" t="s">
        <v>9</v>
      </c>
      <c r="G145" s="25" t="s">
        <v>9</v>
      </c>
      <c r="H145" s="142"/>
    </row>
    <row r="146" spans="1:8" ht="25.5" x14ac:dyDescent="0.2">
      <c r="A146" s="25" t="s">
        <v>9</v>
      </c>
      <c r="B146" s="183" t="s">
        <v>391</v>
      </c>
      <c r="C146" s="184">
        <v>114.4969</v>
      </c>
      <c r="D146" s="184">
        <v>121.1476</v>
      </c>
      <c r="E146" s="25" t="s">
        <v>9</v>
      </c>
      <c r="F146" s="73" t="s">
        <v>9</v>
      </c>
      <c r="G146" s="25" t="s">
        <v>9</v>
      </c>
      <c r="H146" s="142"/>
    </row>
    <row r="147" spans="1:8" ht="25.5" x14ac:dyDescent="0.2">
      <c r="A147" s="25" t="s">
        <v>9</v>
      </c>
      <c r="B147" s="183" t="s">
        <v>999</v>
      </c>
      <c r="C147" s="184">
        <v>23.411300000000001</v>
      </c>
      <c r="D147" s="184">
        <v>24.771100000000001</v>
      </c>
      <c r="E147" s="25" t="s">
        <v>9</v>
      </c>
      <c r="F147" s="73" t="s">
        <v>9</v>
      </c>
      <c r="G147" s="25" t="s">
        <v>9</v>
      </c>
      <c r="H147" s="142"/>
    </row>
    <row r="148" spans="1:8" x14ac:dyDescent="0.2">
      <c r="A148" s="25" t="s">
        <v>9</v>
      </c>
      <c r="B148" s="183" t="s">
        <v>138</v>
      </c>
      <c r="C148" s="184">
        <v>106.2851</v>
      </c>
      <c r="D148" s="184">
        <v>112.3663</v>
      </c>
      <c r="E148" s="25" t="s">
        <v>9</v>
      </c>
      <c r="F148" s="73" t="s">
        <v>9</v>
      </c>
      <c r="G148" s="25" t="s">
        <v>9</v>
      </c>
      <c r="H148" s="142"/>
    </row>
    <row r="149" spans="1:8" x14ac:dyDescent="0.2">
      <c r="A149" s="25" t="s">
        <v>9</v>
      </c>
      <c r="B149" s="183" t="s">
        <v>922</v>
      </c>
      <c r="C149" s="184">
        <v>21.114100000000001</v>
      </c>
      <c r="D149" s="184">
        <v>22.322199999999999</v>
      </c>
      <c r="E149" s="25" t="s">
        <v>9</v>
      </c>
      <c r="F149" s="73" t="s">
        <v>9</v>
      </c>
      <c r="G149" s="25" t="s">
        <v>9</v>
      </c>
      <c r="H149" s="142"/>
    </row>
    <row r="150" spans="1:8" x14ac:dyDescent="0.2">
      <c r="A150" s="25" t="s">
        <v>9</v>
      </c>
      <c r="B150" s="22" t="s">
        <v>9</v>
      </c>
      <c r="C150" s="22" t="s">
        <v>9</v>
      </c>
      <c r="D150" s="22" t="s">
        <v>9</v>
      </c>
      <c r="E150" s="25" t="s">
        <v>9</v>
      </c>
      <c r="F150" s="25" t="s">
        <v>9</v>
      </c>
      <c r="G150" s="25" t="s">
        <v>9</v>
      </c>
      <c r="H150" s="142"/>
    </row>
    <row r="151" spans="1:8" x14ac:dyDescent="0.2">
      <c r="A151" s="25" t="s">
        <v>9</v>
      </c>
      <c r="B151" s="240" t="s">
        <v>1012</v>
      </c>
      <c r="C151" s="241"/>
      <c r="D151" s="177" t="s">
        <v>129</v>
      </c>
      <c r="E151" s="25" t="s">
        <v>9</v>
      </c>
      <c r="F151" s="25" t="s">
        <v>9</v>
      </c>
      <c r="G151" s="25" t="s">
        <v>9</v>
      </c>
      <c r="H151" s="142"/>
    </row>
    <row r="152" spans="1:8" x14ac:dyDescent="0.2">
      <c r="A152" s="25" t="s">
        <v>9</v>
      </c>
      <c r="B152" s="98"/>
      <c r="C152" s="98"/>
      <c r="D152" s="26" t="s">
        <v>9</v>
      </c>
      <c r="E152" s="25" t="s">
        <v>9</v>
      </c>
      <c r="F152" s="25" t="s">
        <v>9</v>
      </c>
      <c r="G152" s="25" t="s">
        <v>9</v>
      </c>
      <c r="H152" s="142"/>
    </row>
    <row r="153" spans="1:8" s="238" customFormat="1" ht="12.75" x14ac:dyDescent="0.2">
      <c r="B153" s="246" t="s">
        <v>923</v>
      </c>
      <c r="C153" s="246"/>
      <c r="D153" s="246"/>
      <c r="E153" s="246"/>
      <c r="F153" s="246"/>
    </row>
    <row r="154" spans="1:8" x14ac:dyDescent="0.2">
      <c r="A154" s="25" t="s">
        <v>9</v>
      </c>
      <c r="B154" s="185" t="s">
        <v>9</v>
      </c>
      <c r="C154" s="185" t="s">
        <v>9</v>
      </c>
      <c r="D154" s="22" t="s">
        <v>9</v>
      </c>
      <c r="E154" s="25" t="s">
        <v>9</v>
      </c>
      <c r="F154" s="25" t="s">
        <v>9</v>
      </c>
      <c r="G154" s="25" t="s">
        <v>9</v>
      </c>
      <c r="H154" s="142"/>
    </row>
    <row r="155" spans="1:8" x14ac:dyDescent="0.2">
      <c r="A155" s="25" t="s">
        <v>9</v>
      </c>
      <c r="B155" s="240" t="s">
        <v>139</v>
      </c>
      <c r="C155" s="241"/>
      <c r="D155" s="177" t="s">
        <v>129</v>
      </c>
      <c r="E155" s="25" t="s">
        <v>9</v>
      </c>
      <c r="F155" s="25" t="s">
        <v>9</v>
      </c>
      <c r="G155" s="25" t="s">
        <v>9</v>
      </c>
      <c r="H155" s="142"/>
    </row>
    <row r="156" spans="1:8" x14ac:dyDescent="0.2">
      <c r="A156" s="25" t="s">
        <v>9</v>
      </c>
      <c r="B156" s="240" t="s">
        <v>140</v>
      </c>
      <c r="C156" s="241"/>
      <c r="D156" s="177" t="s">
        <v>129</v>
      </c>
      <c r="E156" s="25" t="s">
        <v>9</v>
      </c>
      <c r="F156" s="25" t="s">
        <v>9</v>
      </c>
      <c r="G156" s="25" t="s">
        <v>9</v>
      </c>
      <c r="H156" s="142"/>
    </row>
    <row r="157" spans="1:8" x14ac:dyDescent="0.2">
      <c r="A157" s="25" t="s">
        <v>9</v>
      </c>
      <c r="B157" s="240" t="s">
        <v>141</v>
      </c>
      <c r="C157" s="241"/>
      <c r="D157" s="186">
        <v>0.63336716060463838</v>
      </c>
      <c r="E157" s="25" t="s">
        <v>9</v>
      </c>
      <c r="F157" s="73" t="s">
        <v>9</v>
      </c>
      <c r="G157" s="25" t="s">
        <v>9</v>
      </c>
      <c r="H157" s="142"/>
    </row>
    <row r="158" spans="1:8" x14ac:dyDescent="0.2">
      <c r="A158" s="25" t="s">
        <v>9</v>
      </c>
      <c r="B158" s="240" t="s">
        <v>142</v>
      </c>
      <c r="C158" s="241"/>
      <c r="D158" s="177" t="s">
        <v>129</v>
      </c>
      <c r="E158" s="25" t="s">
        <v>9</v>
      </c>
      <c r="F158" s="25" t="s">
        <v>9</v>
      </c>
      <c r="G158" s="25" t="s">
        <v>9</v>
      </c>
      <c r="H158" s="142"/>
    </row>
  </sheetData>
  <mergeCells count="15">
    <mergeCell ref="B138:C138"/>
    <mergeCell ref="B135:F135"/>
    <mergeCell ref="B136:F136"/>
    <mergeCell ref="A1:H1"/>
    <mergeCell ref="A2:H2"/>
    <mergeCell ref="A3:H3"/>
    <mergeCell ref="B157:C157"/>
    <mergeCell ref="B158:C158"/>
    <mergeCell ref="B139:C139"/>
    <mergeCell ref="B140:C140"/>
    <mergeCell ref="B141:C141"/>
    <mergeCell ref="B151:C151"/>
    <mergeCell ref="B155:C155"/>
    <mergeCell ref="B156:C156"/>
    <mergeCell ref="B153:F15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>
    <outlinePr summaryBelow="0" summaryRight="0"/>
  </sheetPr>
  <dimension ref="A1:H135"/>
  <sheetViews>
    <sheetView showGridLines="0" workbookViewId="0">
      <selection activeCell="J1" sqref="J1"/>
    </sheetView>
  </sheetViews>
  <sheetFormatPr defaultRowHeight="15" x14ac:dyDescent="0.2"/>
  <cols>
    <col min="1" max="1" width="6.85546875" style="155" customWidth="1"/>
    <col min="2" max="2" width="20.5703125" style="155" customWidth="1"/>
    <col min="3" max="3" width="34.28515625" style="155" customWidth="1"/>
    <col min="4" max="4" width="17.85546875" style="155" customWidth="1"/>
    <col min="5" max="6" width="19.140625" style="155" customWidth="1"/>
    <col min="7" max="7" width="16.42578125" style="155" customWidth="1"/>
    <col min="8" max="16384" width="9.140625" style="155"/>
  </cols>
  <sheetData>
    <row r="1" spans="1:8" x14ac:dyDescent="0.2">
      <c r="A1" s="250" t="s">
        <v>0</v>
      </c>
      <c r="B1" s="250"/>
      <c r="C1" s="250"/>
      <c r="D1" s="250"/>
      <c r="E1" s="250"/>
      <c r="F1" s="250"/>
      <c r="G1" s="250"/>
      <c r="H1" s="250"/>
    </row>
    <row r="2" spans="1:8" x14ac:dyDescent="0.2">
      <c r="A2" s="251" t="s">
        <v>561</v>
      </c>
      <c r="B2" s="252"/>
      <c r="C2" s="252"/>
      <c r="D2" s="252"/>
      <c r="E2" s="252"/>
      <c r="F2" s="252"/>
      <c r="G2" s="252"/>
      <c r="H2" s="253"/>
    </row>
    <row r="3" spans="1:8" x14ac:dyDescent="0.2">
      <c r="A3" s="250" t="s">
        <v>1015</v>
      </c>
      <c r="B3" s="250"/>
      <c r="C3" s="250"/>
      <c r="D3" s="250"/>
      <c r="E3" s="250"/>
      <c r="F3" s="250"/>
      <c r="G3" s="250"/>
      <c r="H3" s="250"/>
    </row>
    <row r="4" spans="1:8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60" t="s">
        <v>6</v>
      </c>
      <c r="F4" s="160" t="s">
        <v>7</v>
      </c>
      <c r="G4" s="160" t="s">
        <v>8</v>
      </c>
      <c r="H4" s="161" t="s">
        <v>909</v>
      </c>
    </row>
    <row r="5" spans="1:8" x14ac:dyDescent="0.2">
      <c r="A5" s="15" t="s">
        <v>9</v>
      </c>
      <c r="B5" s="15" t="s">
        <v>9</v>
      </c>
      <c r="C5" s="3" t="s">
        <v>10</v>
      </c>
      <c r="D5" s="15" t="s">
        <v>9</v>
      </c>
      <c r="E5" s="15" t="s">
        <v>9</v>
      </c>
      <c r="F5" s="15" t="s">
        <v>9</v>
      </c>
      <c r="G5" s="15" t="s">
        <v>9</v>
      </c>
      <c r="H5" s="100"/>
    </row>
    <row r="6" spans="1:8" ht="25.5" x14ac:dyDescent="0.2">
      <c r="A6" s="15" t="s">
        <v>9</v>
      </c>
      <c r="B6" s="15" t="s">
        <v>9</v>
      </c>
      <c r="C6" s="3" t="s">
        <v>11</v>
      </c>
      <c r="D6" s="15" t="s">
        <v>9</v>
      </c>
      <c r="E6" s="15" t="s">
        <v>9</v>
      </c>
      <c r="F6" s="15" t="s">
        <v>9</v>
      </c>
      <c r="G6" s="15" t="s">
        <v>9</v>
      </c>
      <c r="H6" s="100"/>
    </row>
    <row r="7" spans="1:8" ht="25.5" x14ac:dyDescent="0.2">
      <c r="A7" s="4">
        <v>1</v>
      </c>
      <c r="B7" s="5" t="s">
        <v>346</v>
      </c>
      <c r="C7" s="5" t="s">
        <v>939</v>
      </c>
      <c r="D7" s="5" t="s">
        <v>73</v>
      </c>
      <c r="E7" s="6">
        <v>1375000</v>
      </c>
      <c r="F7" s="7">
        <v>9205.625</v>
      </c>
      <c r="G7" s="8">
        <v>7.2519328999999993E-2</v>
      </c>
      <c r="H7" s="100"/>
    </row>
    <row r="8" spans="1:8" ht="25.5" x14ac:dyDescent="0.2">
      <c r="A8" s="4">
        <v>2</v>
      </c>
      <c r="B8" s="5" t="s">
        <v>415</v>
      </c>
      <c r="C8" s="5" t="s">
        <v>938</v>
      </c>
      <c r="D8" s="5" t="s">
        <v>73</v>
      </c>
      <c r="E8" s="6">
        <v>355000</v>
      </c>
      <c r="F8" s="7">
        <v>8355.8125</v>
      </c>
      <c r="G8" s="8">
        <v>6.5824745000000004E-2</v>
      </c>
      <c r="H8" s="100"/>
    </row>
    <row r="9" spans="1:8" ht="25.5" x14ac:dyDescent="0.2">
      <c r="A9" s="4">
        <v>3</v>
      </c>
      <c r="B9" s="5" t="s">
        <v>326</v>
      </c>
      <c r="C9" s="5" t="s">
        <v>327</v>
      </c>
      <c r="D9" s="5" t="s">
        <v>73</v>
      </c>
      <c r="E9" s="6">
        <v>750000</v>
      </c>
      <c r="F9" s="7">
        <v>7129.125</v>
      </c>
      <c r="G9" s="8">
        <v>5.6161244999999999E-2</v>
      </c>
      <c r="H9" s="100"/>
    </row>
    <row r="10" spans="1:8" ht="25.5" x14ac:dyDescent="0.2">
      <c r="A10" s="4">
        <v>4</v>
      </c>
      <c r="B10" s="5" t="s">
        <v>562</v>
      </c>
      <c r="C10" s="5" t="s">
        <v>563</v>
      </c>
      <c r="D10" s="5" t="s">
        <v>73</v>
      </c>
      <c r="E10" s="6">
        <v>266000</v>
      </c>
      <c r="F10" s="7">
        <v>6746.8239999999996</v>
      </c>
      <c r="G10" s="8">
        <v>5.3149584999999999E-2</v>
      </c>
      <c r="H10" s="100"/>
    </row>
    <row r="11" spans="1:8" x14ac:dyDescent="0.2">
      <c r="A11" s="4">
        <v>5</v>
      </c>
      <c r="B11" s="5" t="s">
        <v>54</v>
      </c>
      <c r="C11" s="5" t="s">
        <v>55</v>
      </c>
      <c r="D11" s="5" t="s">
        <v>22</v>
      </c>
      <c r="E11" s="6">
        <v>470000</v>
      </c>
      <c r="F11" s="7">
        <v>6637.81</v>
      </c>
      <c r="G11" s="8">
        <v>5.2290802999999997E-2</v>
      </c>
      <c r="H11" s="100"/>
    </row>
    <row r="12" spans="1:8" x14ac:dyDescent="0.2">
      <c r="A12" s="4">
        <v>6</v>
      </c>
      <c r="B12" s="5" t="s">
        <v>401</v>
      </c>
      <c r="C12" s="5" t="s">
        <v>402</v>
      </c>
      <c r="D12" s="5" t="s">
        <v>91</v>
      </c>
      <c r="E12" s="6">
        <v>870000</v>
      </c>
      <c r="F12" s="7">
        <v>6547.1850000000004</v>
      </c>
      <c r="G12" s="8">
        <v>5.1576885000000003E-2</v>
      </c>
      <c r="H12" s="100"/>
    </row>
    <row r="13" spans="1:8" x14ac:dyDescent="0.2">
      <c r="A13" s="4">
        <v>7</v>
      </c>
      <c r="B13" s="5" t="s">
        <v>20</v>
      </c>
      <c r="C13" s="5" t="s">
        <v>21</v>
      </c>
      <c r="D13" s="5" t="s">
        <v>22</v>
      </c>
      <c r="E13" s="6">
        <v>1050000</v>
      </c>
      <c r="F13" s="7">
        <v>6305.25</v>
      </c>
      <c r="G13" s="8">
        <v>4.9670988999999999E-2</v>
      </c>
      <c r="H13" s="100"/>
    </row>
    <row r="14" spans="1:8" ht="25.5" x14ac:dyDescent="0.2">
      <c r="A14" s="4">
        <v>8</v>
      </c>
      <c r="B14" s="5" t="s">
        <v>18</v>
      </c>
      <c r="C14" s="5" t="s">
        <v>19</v>
      </c>
      <c r="D14" s="5" t="s">
        <v>1001</v>
      </c>
      <c r="E14" s="6">
        <v>620000</v>
      </c>
      <c r="F14" s="7">
        <v>6110.1</v>
      </c>
      <c r="G14" s="8">
        <v>4.8133651999999999E-2</v>
      </c>
      <c r="H14" s="100"/>
    </row>
    <row r="15" spans="1:8" ht="25.5" x14ac:dyDescent="0.2">
      <c r="A15" s="4">
        <v>9</v>
      </c>
      <c r="B15" s="5" t="s">
        <v>324</v>
      </c>
      <c r="C15" s="5" t="s">
        <v>325</v>
      </c>
      <c r="D15" s="5" t="s">
        <v>58</v>
      </c>
      <c r="E15" s="6">
        <v>1500000</v>
      </c>
      <c r="F15" s="7">
        <v>5773.5</v>
      </c>
      <c r="G15" s="8">
        <v>4.5482012000000002E-2</v>
      </c>
      <c r="H15" s="100"/>
    </row>
    <row r="16" spans="1:8" x14ac:dyDescent="0.2">
      <c r="A16" s="4">
        <v>10</v>
      </c>
      <c r="B16" s="5" t="s">
        <v>301</v>
      </c>
      <c r="C16" s="5" t="s">
        <v>302</v>
      </c>
      <c r="D16" s="5" t="s">
        <v>58</v>
      </c>
      <c r="E16" s="6">
        <v>525000</v>
      </c>
      <c r="F16" s="7">
        <v>5025.0375000000004</v>
      </c>
      <c r="G16" s="8">
        <v>3.9585834E-2</v>
      </c>
      <c r="H16" s="100"/>
    </row>
    <row r="17" spans="1:8" x14ac:dyDescent="0.2">
      <c r="A17" s="4">
        <v>11</v>
      </c>
      <c r="B17" s="5" t="s">
        <v>403</v>
      </c>
      <c r="C17" s="5" t="s">
        <v>404</v>
      </c>
      <c r="D17" s="5" t="s">
        <v>1009</v>
      </c>
      <c r="E17" s="6">
        <v>400000</v>
      </c>
      <c r="F17" s="7">
        <v>3714.8</v>
      </c>
      <c r="G17" s="8">
        <v>2.9264150999999999E-2</v>
      </c>
      <c r="H17" s="100"/>
    </row>
    <row r="18" spans="1:8" x14ac:dyDescent="0.2">
      <c r="A18" s="4">
        <v>12</v>
      </c>
      <c r="B18" s="5" t="s">
        <v>564</v>
      </c>
      <c r="C18" s="5" t="s">
        <v>565</v>
      </c>
      <c r="D18" s="5" t="s">
        <v>58</v>
      </c>
      <c r="E18" s="6">
        <v>48000</v>
      </c>
      <c r="F18" s="7">
        <v>3552.6</v>
      </c>
      <c r="G18" s="8">
        <v>2.7986384999999999E-2</v>
      </c>
      <c r="H18" s="100"/>
    </row>
    <row r="19" spans="1:8" ht="25.5" x14ac:dyDescent="0.2">
      <c r="A19" s="4">
        <v>13</v>
      </c>
      <c r="B19" s="5" t="s">
        <v>421</v>
      </c>
      <c r="C19" s="5" t="s">
        <v>422</v>
      </c>
      <c r="D19" s="5" t="s">
        <v>73</v>
      </c>
      <c r="E19" s="6">
        <v>1700000</v>
      </c>
      <c r="F19" s="7">
        <v>3444.2</v>
      </c>
      <c r="G19" s="8">
        <v>2.7132440000000001E-2</v>
      </c>
      <c r="H19" s="100"/>
    </row>
    <row r="20" spans="1:8" x14ac:dyDescent="0.2">
      <c r="A20" s="4">
        <v>14</v>
      </c>
      <c r="B20" s="5" t="s">
        <v>362</v>
      </c>
      <c r="C20" s="5" t="s">
        <v>363</v>
      </c>
      <c r="D20" s="5" t="s">
        <v>364</v>
      </c>
      <c r="E20" s="6">
        <v>440000</v>
      </c>
      <c r="F20" s="7">
        <v>3264.36</v>
      </c>
      <c r="G20" s="8">
        <v>2.5715710999999999E-2</v>
      </c>
      <c r="H20" s="100"/>
    </row>
    <row r="21" spans="1:8" ht="25.5" x14ac:dyDescent="0.2">
      <c r="A21" s="4">
        <v>15</v>
      </c>
      <c r="B21" s="5" t="s">
        <v>479</v>
      </c>
      <c r="C21" s="5" t="s">
        <v>958</v>
      </c>
      <c r="D21" s="5" t="s">
        <v>73</v>
      </c>
      <c r="E21" s="6">
        <v>24000</v>
      </c>
      <c r="F21" s="7">
        <v>3251.64</v>
      </c>
      <c r="G21" s="8">
        <v>2.5615506999999999E-2</v>
      </c>
      <c r="H21" s="100"/>
    </row>
    <row r="22" spans="1:8" x14ac:dyDescent="0.2">
      <c r="A22" s="4">
        <v>16</v>
      </c>
      <c r="B22" s="5" t="s">
        <v>340</v>
      </c>
      <c r="C22" s="5" t="s">
        <v>341</v>
      </c>
      <c r="D22" s="5" t="s">
        <v>228</v>
      </c>
      <c r="E22" s="6">
        <v>9750</v>
      </c>
      <c r="F22" s="7">
        <v>2891.9085</v>
      </c>
      <c r="G22" s="8">
        <v>2.2781643000000001E-2</v>
      </c>
      <c r="H22" s="100"/>
    </row>
    <row r="23" spans="1:8" x14ac:dyDescent="0.2">
      <c r="A23" s="4">
        <v>17</v>
      </c>
      <c r="B23" s="5" t="s">
        <v>309</v>
      </c>
      <c r="C23" s="5" t="s">
        <v>310</v>
      </c>
      <c r="D23" s="5" t="s">
        <v>58</v>
      </c>
      <c r="E23" s="6">
        <v>123000</v>
      </c>
      <c r="F23" s="7">
        <v>2732.3834999999999</v>
      </c>
      <c r="G23" s="8">
        <v>2.1524950000000001E-2</v>
      </c>
      <c r="H23" s="100"/>
    </row>
    <row r="24" spans="1:8" ht="25.5" x14ac:dyDescent="0.2">
      <c r="A24" s="4">
        <v>18</v>
      </c>
      <c r="B24" s="5" t="s">
        <v>152</v>
      </c>
      <c r="C24" s="5" t="s">
        <v>153</v>
      </c>
      <c r="D24" s="5" t="s">
        <v>1001</v>
      </c>
      <c r="E24" s="6">
        <v>1600000</v>
      </c>
      <c r="F24" s="7">
        <v>2611.1999999999998</v>
      </c>
      <c r="G24" s="8">
        <v>2.05703E-2</v>
      </c>
      <c r="H24" s="100"/>
    </row>
    <row r="25" spans="1:8" x14ac:dyDescent="0.2">
      <c r="A25" s="4">
        <v>19</v>
      </c>
      <c r="B25" s="5" t="s">
        <v>487</v>
      </c>
      <c r="C25" s="5" t="s">
        <v>488</v>
      </c>
      <c r="D25" s="5" t="s">
        <v>91</v>
      </c>
      <c r="E25" s="6">
        <v>40000</v>
      </c>
      <c r="F25" s="7">
        <v>2582.2600000000002</v>
      </c>
      <c r="G25" s="8">
        <v>2.0342319000000001E-2</v>
      </c>
      <c r="H25" s="100"/>
    </row>
    <row r="26" spans="1:8" ht="25.5" x14ac:dyDescent="0.2">
      <c r="A26" s="4">
        <v>20</v>
      </c>
      <c r="B26" s="5" t="s">
        <v>194</v>
      </c>
      <c r="C26" s="5" t="s">
        <v>195</v>
      </c>
      <c r="D26" s="5" t="s">
        <v>73</v>
      </c>
      <c r="E26" s="6">
        <v>670000</v>
      </c>
      <c r="F26" s="7">
        <v>2460.5749999999998</v>
      </c>
      <c r="G26" s="8">
        <v>1.9383719000000001E-2</v>
      </c>
      <c r="H26" s="100"/>
    </row>
    <row r="27" spans="1:8" x14ac:dyDescent="0.2">
      <c r="A27" s="4">
        <v>21</v>
      </c>
      <c r="B27" s="5" t="s">
        <v>566</v>
      </c>
      <c r="C27" s="5" t="s">
        <v>567</v>
      </c>
      <c r="D27" s="5" t="s">
        <v>156</v>
      </c>
      <c r="E27" s="6">
        <v>45000</v>
      </c>
      <c r="F27" s="7">
        <v>2453.355</v>
      </c>
      <c r="G27" s="8">
        <v>1.9326842E-2</v>
      </c>
      <c r="H27" s="100"/>
    </row>
    <row r="28" spans="1:8" x14ac:dyDescent="0.2">
      <c r="A28" s="4">
        <v>22</v>
      </c>
      <c r="B28" s="5" t="s">
        <v>438</v>
      </c>
      <c r="C28" s="5" t="s">
        <v>390</v>
      </c>
      <c r="D28" s="5" t="s">
        <v>272</v>
      </c>
      <c r="E28" s="6">
        <v>1400000</v>
      </c>
      <c r="F28" s="7">
        <v>2450</v>
      </c>
      <c r="G28" s="8">
        <v>1.9300411999999999E-2</v>
      </c>
      <c r="H28" s="100"/>
    </row>
    <row r="29" spans="1:8" ht="25.5" x14ac:dyDescent="0.2">
      <c r="A29" s="4">
        <v>23</v>
      </c>
      <c r="B29" s="5" t="s">
        <v>568</v>
      </c>
      <c r="C29" s="5" t="s">
        <v>569</v>
      </c>
      <c r="D29" s="5" t="s">
        <v>73</v>
      </c>
      <c r="E29" s="6">
        <v>13500</v>
      </c>
      <c r="F29" s="7">
        <v>2201.7487500000002</v>
      </c>
      <c r="G29" s="8">
        <v>1.7344757999999998E-2</v>
      </c>
      <c r="H29" s="100"/>
    </row>
    <row r="30" spans="1:8" x14ac:dyDescent="0.2">
      <c r="A30" s="4">
        <v>24</v>
      </c>
      <c r="B30" s="5" t="s">
        <v>570</v>
      </c>
      <c r="C30" s="5" t="s">
        <v>571</v>
      </c>
      <c r="D30" s="5" t="s">
        <v>58</v>
      </c>
      <c r="E30" s="6">
        <v>200000</v>
      </c>
      <c r="F30" s="7">
        <v>2156.1</v>
      </c>
      <c r="G30" s="8">
        <v>1.6985150000000001E-2</v>
      </c>
      <c r="H30" s="100"/>
    </row>
    <row r="31" spans="1:8" ht="25.5" x14ac:dyDescent="0.2">
      <c r="A31" s="4">
        <v>25</v>
      </c>
      <c r="B31" s="5" t="s">
        <v>480</v>
      </c>
      <c r="C31" s="5" t="s">
        <v>481</v>
      </c>
      <c r="D31" s="5" t="s">
        <v>73</v>
      </c>
      <c r="E31" s="6">
        <v>365000</v>
      </c>
      <c r="F31" s="7">
        <v>1896.3575000000001</v>
      </c>
      <c r="G31" s="8">
        <v>1.4938972E-2</v>
      </c>
      <c r="H31" s="100"/>
    </row>
    <row r="32" spans="1:8" x14ac:dyDescent="0.2">
      <c r="A32" s="4">
        <v>26</v>
      </c>
      <c r="B32" s="5" t="s">
        <v>235</v>
      </c>
      <c r="C32" s="5" t="s">
        <v>236</v>
      </c>
      <c r="D32" s="5" t="s">
        <v>1005</v>
      </c>
      <c r="E32" s="6">
        <v>415000</v>
      </c>
      <c r="F32" s="7">
        <v>1814.1724999999999</v>
      </c>
      <c r="G32" s="8">
        <v>1.4291542000000001E-2</v>
      </c>
      <c r="H32" s="100"/>
    </row>
    <row r="33" spans="1:8" ht="25.5" x14ac:dyDescent="0.2">
      <c r="A33" s="4">
        <v>27</v>
      </c>
      <c r="B33" s="5" t="s">
        <v>348</v>
      </c>
      <c r="C33" s="5" t="s">
        <v>349</v>
      </c>
      <c r="D33" s="5" t="s">
        <v>156</v>
      </c>
      <c r="E33" s="6">
        <v>1100000</v>
      </c>
      <c r="F33" s="7">
        <v>1780.35</v>
      </c>
      <c r="G33" s="8">
        <v>1.4025097E-2</v>
      </c>
      <c r="H33" s="100"/>
    </row>
    <row r="34" spans="1:8" x14ac:dyDescent="0.2">
      <c r="A34" s="4">
        <v>28</v>
      </c>
      <c r="B34" s="5" t="s">
        <v>510</v>
      </c>
      <c r="C34" s="5" t="s">
        <v>511</v>
      </c>
      <c r="D34" s="5" t="s">
        <v>58</v>
      </c>
      <c r="E34" s="6">
        <v>775000</v>
      </c>
      <c r="F34" s="7">
        <v>1729.0250000000001</v>
      </c>
      <c r="G34" s="8">
        <v>1.3620772999999999E-2</v>
      </c>
      <c r="H34" s="100"/>
    </row>
    <row r="35" spans="1:8" x14ac:dyDescent="0.2">
      <c r="A35" s="4">
        <v>29</v>
      </c>
      <c r="B35" s="5" t="s">
        <v>572</v>
      </c>
      <c r="C35" s="5" t="s">
        <v>573</v>
      </c>
      <c r="D35" s="5" t="s">
        <v>58</v>
      </c>
      <c r="E35" s="6">
        <v>112000</v>
      </c>
      <c r="F35" s="7">
        <v>1670.6479999999999</v>
      </c>
      <c r="G35" s="8">
        <v>1.3160896E-2</v>
      </c>
      <c r="H35" s="100"/>
    </row>
    <row r="36" spans="1:8" x14ac:dyDescent="0.2">
      <c r="A36" s="4">
        <v>30</v>
      </c>
      <c r="B36" s="5" t="s">
        <v>212</v>
      </c>
      <c r="C36" s="5" t="s">
        <v>213</v>
      </c>
      <c r="D36" s="5" t="s">
        <v>38</v>
      </c>
      <c r="E36" s="6">
        <v>230000</v>
      </c>
      <c r="F36" s="7">
        <v>1648.87</v>
      </c>
      <c r="G36" s="8">
        <v>1.2989334999999999E-2</v>
      </c>
      <c r="H36" s="100"/>
    </row>
    <row r="37" spans="1:8" ht="25.5" x14ac:dyDescent="0.2">
      <c r="A37" s="4">
        <v>31</v>
      </c>
      <c r="B37" s="5" t="s">
        <v>419</v>
      </c>
      <c r="C37" s="5" t="s">
        <v>420</v>
      </c>
      <c r="D37" s="5" t="s">
        <v>1009</v>
      </c>
      <c r="E37" s="6">
        <v>110000</v>
      </c>
      <c r="F37" s="7">
        <v>1555.4</v>
      </c>
      <c r="G37" s="8">
        <v>1.2253004E-2</v>
      </c>
      <c r="H37" s="100"/>
    </row>
    <row r="38" spans="1:8" x14ac:dyDescent="0.2">
      <c r="A38" s="4">
        <v>32</v>
      </c>
      <c r="B38" s="5" t="s">
        <v>453</v>
      </c>
      <c r="C38" s="5" t="s">
        <v>454</v>
      </c>
      <c r="D38" s="5" t="s">
        <v>156</v>
      </c>
      <c r="E38" s="6">
        <v>245000</v>
      </c>
      <c r="F38" s="7">
        <v>1458.73</v>
      </c>
      <c r="G38" s="8">
        <v>1.1491464999999999E-2</v>
      </c>
      <c r="H38" s="100"/>
    </row>
    <row r="39" spans="1:8" x14ac:dyDescent="0.2">
      <c r="A39" s="4">
        <v>33</v>
      </c>
      <c r="B39" s="5" t="s">
        <v>268</v>
      </c>
      <c r="C39" s="5" t="s">
        <v>269</v>
      </c>
      <c r="D39" s="5" t="s">
        <v>1005</v>
      </c>
      <c r="E39" s="6">
        <v>3700000</v>
      </c>
      <c r="F39" s="7">
        <v>1309.8</v>
      </c>
      <c r="G39" s="8">
        <v>1.0318236999999999E-2</v>
      </c>
      <c r="H39" s="100"/>
    </row>
    <row r="40" spans="1:8" x14ac:dyDescent="0.2">
      <c r="A40" s="4">
        <v>34</v>
      </c>
      <c r="B40" s="5" t="s">
        <v>371</v>
      </c>
      <c r="C40" s="5" t="s">
        <v>372</v>
      </c>
      <c r="D40" s="5" t="s">
        <v>58</v>
      </c>
      <c r="E40" s="6">
        <v>2101000</v>
      </c>
      <c r="F40" s="7">
        <v>1258.499</v>
      </c>
      <c r="G40" s="8">
        <v>9.9141019999999993E-3</v>
      </c>
      <c r="H40" s="100"/>
    </row>
    <row r="41" spans="1:8" x14ac:dyDescent="0.2">
      <c r="A41" s="4">
        <v>35</v>
      </c>
      <c r="B41" s="5" t="s">
        <v>574</v>
      </c>
      <c r="C41" s="5" t="s">
        <v>575</v>
      </c>
      <c r="D41" s="5" t="s">
        <v>58</v>
      </c>
      <c r="E41" s="6">
        <v>90000</v>
      </c>
      <c r="F41" s="7">
        <v>1232.595</v>
      </c>
      <c r="G41" s="8">
        <v>9.7100369999999995E-3</v>
      </c>
      <c r="H41" s="100"/>
    </row>
    <row r="42" spans="1:8" x14ac:dyDescent="0.2">
      <c r="A42" s="4">
        <v>36</v>
      </c>
      <c r="B42" s="5" t="s">
        <v>226</v>
      </c>
      <c r="C42" s="5" t="s">
        <v>227</v>
      </c>
      <c r="D42" s="5" t="s">
        <v>228</v>
      </c>
      <c r="E42" s="6">
        <v>700000</v>
      </c>
      <c r="F42" s="7">
        <v>1095.8499999999999</v>
      </c>
      <c r="G42" s="8">
        <v>8.632799E-3</v>
      </c>
      <c r="H42" s="100"/>
    </row>
    <row r="43" spans="1:8" x14ac:dyDescent="0.2">
      <c r="A43" s="4">
        <v>37</v>
      </c>
      <c r="B43" s="5" t="s">
        <v>144</v>
      </c>
      <c r="C43" s="5" t="s">
        <v>145</v>
      </c>
      <c r="D43" s="5" t="s">
        <v>146</v>
      </c>
      <c r="E43" s="6">
        <v>15000</v>
      </c>
      <c r="F43" s="7">
        <v>514.23</v>
      </c>
      <c r="G43" s="8">
        <v>4.0509600000000002E-3</v>
      </c>
      <c r="H43" s="100"/>
    </row>
    <row r="44" spans="1:8" x14ac:dyDescent="0.2">
      <c r="A44" s="15" t="s">
        <v>9</v>
      </c>
      <c r="B44" s="15" t="s">
        <v>9</v>
      </c>
      <c r="C44" s="3" t="s">
        <v>94</v>
      </c>
      <c r="D44" s="15" t="s">
        <v>9</v>
      </c>
      <c r="E44" s="15" t="s">
        <v>9</v>
      </c>
      <c r="F44" s="9">
        <v>126567.92675</v>
      </c>
      <c r="G44" s="10">
        <v>0.99706658500000001</v>
      </c>
      <c r="H44" s="100"/>
    </row>
    <row r="45" spans="1:8" x14ac:dyDescent="0.2">
      <c r="A45" s="15" t="s">
        <v>9</v>
      </c>
      <c r="B45" s="15" t="s">
        <v>9</v>
      </c>
      <c r="C45" s="11" t="s">
        <v>9</v>
      </c>
      <c r="D45" s="15" t="s">
        <v>9</v>
      </c>
      <c r="E45" s="15" t="s">
        <v>9</v>
      </c>
      <c r="F45" s="12" t="s">
        <v>9</v>
      </c>
      <c r="G45" s="12" t="s">
        <v>9</v>
      </c>
      <c r="H45" s="100"/>
    </row>
    <row r="46" spans="1:8" x14ac:dyDescent="0.2">
      <c r="A46" s="15" t="s">
        <v>9</v>
      </c>
      <c r="B46" s="15" t="s">
        <v>9</v>
      </c>
      <c r="C46" s="3" t="s">
        <v>95</v>
      </c>
      <c r="D46" s="15" t="s">
        <v>9</v>
      </c>
      <c r="E46" s="15" t="s">
        <v>9</v>
      </c>
      <c r="F46" s="15" t="s">
        <v>9</v>
      </c>
      <c r="G46" s="15" t="s">
        <v>9</v>
      </c>
      <c r="H46" s="100"/>
    </row>
    <row r="47" spans="1:8" x14ac:dyDescent="0.2">
      <c r="A47" s="15" t="s">
        <v>9</v>
      </c>
      <c r="B47" s="15" t="s">
        <v>9</v>
      </c>
      <c r="C47" s="3" t="s">
        <v>94</v>
      </c>
      <c r="D47" s="15" t="s">
        <v>9</v>
      </c>
      <c r="E47" s="15" t="s">
        <v>9</v>
      </c>
      <c r="F47" s="13">
        <v>0</v>
      </c>
      <c r="G47" s="14">
        <v>0</v>
      </c>
      <c r="H47" s="100"/>
    </row>
    <row r="48" spans="1:8" x14ac:dyDescent="0.2">
      <c r="A48" s="15" t="s">
        <v>9</v>
      </c>
      <c r="B48" s="15" t="s">
        <v>9</v>
      </c>
      <c r="C48" s="11" t="s">
        <v>9</v>
      </c>
      <c r="D48" s="15" t="s">
        <v>9</v>
      </c>
      <c r="E48" s="15" t="s">
        <v>9</v>
      </c>
      <c r="F48" s="12" t="s">
        <v>9</v>
      </c>
      <c r="G48" s="12" t="s">
        <v>9</v>
      </c>
      <c r="H48" s="100"/>
    </row>
    <row r="49" spans="1:8" x14ac:dyDescent="0.2">
      <c r="A49" s="15" t="s">
        <v>9</v>
      </c>
      <c r="B49" s="15" t="s">
        <v>9</v>
      </c>
      <c r="C49" s="3" t="s">
        <v>96</v>
      </c>
      <c r="D49" s="15" t="s">
        <v>9</v>
      </c>
      <c r="E49" s="15" t="s">
        <v>9</v>
      </c>
      <c r="F49" s="15" t="s">
        <v>9</v>
      </c>
      <c r="G49" s="15" t="s">
        <v>9</v>
      </c>
      <c r="H49" s="100"/>
    </row>
    <row r="50" spans="1:8" x14ac:dyDescent="0.2">
      <c r="A50" s="15" t="s">
        <v>9</v>
      </c>
      <c r="B50" s="15" t="s">
        <v>9</v>
      </c>
      <c r="C50" s="3" t="s">
        <v>94</v>
      </c>
      <c r="D50" s="15" t="s">
        <v>9</v>
      </c>
      <c r="E50" s="15" t="s">
        <v>9</v>
      </c>
      <c r="F50" s="13">
        <v>0</v>
      </c>
      <c r="G50" s="14">
        <v>0</v>
      </c>
      <c r="H50" s="100"/>
    </row>
    <row r="51" spans="1:8" x14ac:dyDescent="0.2">
      <c r="A51" s="15" t="s">
        <v>9</v>
      </c>
      <c r="B51" s="15" t="s">
        <v>9</v>
      </c>
      <c r="C51" s="11" t="s">
        <v>9</v>
      </c>
      <c r="D51" s="15" t="s">
        <v>9</v>
      </c>
      <c r="E51" s="15" t="s">
        <v>9</v>
      </c>
      <c r="F51" s="12" t="s">
        <v>9</v>
      </c>
      <c r="G51" s="12" t="s">
        <v>9</v>
      </c>
      <c r="H51" s="100"/>
    </row>
    <row r="52" spans="1:8" x14ac:dyDescent="0.2">
      <c r="A52" s="15" t="s">
        <v>9</v>
      </c>
      <c r="B52" s="15" t="s">
        <v>9</v>
      </c>
      <c r="C52" s="3" t="s">
        <v>100</v>
      </c>
      <c r="D52" s="15" t="s">
        <v>9</v>
      </c>
      <c r="E52" s="15" t="s">
        <v>9</v>
      </c>
      <c r="F52" s="15" t="s">
        <v>9</v>
      </c>
      <c r="G52" s="15" t="s">
        <v>9</v>
      </c>
      <c r="H52" s="100"/>
    </row>
    <row r="53" spans="1:8" x14ac:dyDescent="0.2">
      <c r="A53" s="15" t="s">
        <v>9</v>
      </c>
      <c r="B53" s="15" t="s">
        <v>9</v>
      </c>
      <c r="C53" s="3" t="s">
        <v>94</v>
      </c>
      <c r="D53" s="15" t="s">
        <v>9</v>
      </c>
      <c r="E53" s="15" t="s">
        <v>9</v>
      </c>
      <c r="F53" s="13">
        <v>0</v>
      </c>
      <c r="G53" s="14">
        <v>0</v>
      </c>
      <c r="H53" s="100"/>
    </row>
    <row r="54" spans="1:8" x14ac:dyDescent="0.2">
      <c r="A54" s="15" t="s">
        <v>9</v>
      </c>
      <c r="B54" s="15" t="s">
        <v>9</v>
      </c>
      <c r="C54" s="11" t="s">
        <v>9</v>
      </c>
      <c r="D54" s="15" t="s">
        <v>9</v>
      </c>
      <c r="E54" s="15" t="s">
        <v>9</v>
      </c>
      <c r="F54" s="12" t="s">
        <v>9</v>
      </c>
      <c r="G54" s="12" t="s">
        <v>9</v>
      </c>
      <c r="H54" s="100"/>
    </row>
    <row r="55" spans="1:8" x14ac:dyDescent="0.2">
      <c r="A55" s="15" t="s">
        <v>9</v>
      </c>
      <c r="B55" s="15" t="s">
        <v>9</v>
      </c>
      <c r="C55" s="3" t="s">
        <v>101</v>
      </c>
      <c r="D55" s="15" t="s">
        <v>9</v>
      </c>
      <c r="E55" s="15" t="s">
        <v>9</v>
      </c>
      <c r="F55" s="12" t="s">
        <v>9</v>
      </c>
      <c r="G55" s="12" t="s">
        <v>9</v>
      </c>
      <c r="H55" s="100"/>
    </row>
    <row r="56" spans="1:8" x14ac:dyDescent="0.2">
      <c r="A56" s="15" t="s">
        <v>9</v>
      </c>
      <c r="B56" s="15" t="s">
        <v>9</v>
      </c>
      <c r="C56" s="3" t="s">
        <v>94</v>
      </c>
      <c r="D56" s="15" t="s">
        <v>9</v>
      </c>
      <c r="E56" s="15" t="s">
        <v>9</v>
      </c>
      <c r="F56" s="13">
        <v>0</v>
      </c>
      <c r="G56" s="14">
        <v>0</v>
      </c>
      <c r="H56" s="100"/>
    </row>
    <row r="57" spans="1:8" x14ac:dyDescent="0.2">
      <c r="A57" s="15" t="s">
        <v>9</v>
      </c>
      <c r="B57" s="15" t="s">
        <v>9</v>
      </c>
      <c r="C57" s="11" t="s">
        <v>9</v>
      </c>
      <c r="D57" s="15" t="s">
        <v>9</v>
      </c>
      <c r="E57" s="15" t="s">
        <v>9</v>
      </c>
      <c r="F57" s="12" t="s">
        <v>9</v>
      </c>
      <c r="G57" s="12" t="s">
        <v>9</v>
      </c>
      <c r="H57" s="100"/>
    </row>
    <row r="58" spans="1:8" x14ac:dyDescent="0.2">
      <c r="A58" s="15" t="s">
        <v>9</v>
      </c>
      <c r="B58" s="15" t="s">
        <v>9</v>
      </c>
      <c r="C58" s="3" t="s">
        <v>102</v>
      </c>
      <c r="D58" s="15" t="s">
        <v>9</v>
      </c>
      <c r="E58" s="15" t="s">
        <v>9</v>
      </c>
      <c r="F58" s="12" t="s">
        <v>9</v>
      </c>
      <c r="G58" s="12" t="s">
        <v>9</v>
      </c>
      <c r="H58" s="100"/>
    </row>
    <row r="59" spans="1:8" x14ac:dyDescent="0.2">
      <c r="A59" s="15" t="s">
        <v>9</v>
      </c>
      <c r="B59" s="15" t="s">
        <v>9</v>
      </c>
      <c r="C59" s="3" t="s">
        <v>94</v>
      </c>
      <c r="D59" s="15" t="s">
        <v>9</v>
      </c>
      <c r="E59" s="15" t="s">
        <v>9</v>
      </c>
      <c r="F59" s="13">
        <v>0</v>
      </c>
      <c r="G59" s="14">
        <v>0</v>
      </c>
      <c r="H59" s="100"/>
    </row>
    <row r="60" spans="1:8" x14ac:dyDescent="0.2">
      <c r="A60" s="15" t="s">
        <v>9</v>
      </c>
      <c r="B60" s="15" t="s">
        <v>9</v>
      </c>
      <c r="C60" s="11" t="s">
        <v>9</v>
      </c>
      <c r="D60" s="15" t="s">
        <v>9</v>
      </c>
      <c r="E60" s="15" t="s">
        <v>9</v>
      </c>
      <c r="F60" s="12" t="s">
        <v>9</v>
      </c>
      <c r="G60" s="12" t="s">
        <v>9</v>
      </c>
      <c r="H60" s="100"/>
    </row>
    <row r="61" spans="1:8" x14ac:dyDescent="0.2">
      <c r="A61" s="15" t="s">
        <v>9</v>
      </c>
      <c r="B61" s="15" t="s">
        <v>9</v>
      </c>
      <c r="C61" s="3" t="s">
        <v>104</v>
      </c>
      <c r="D61" s="15" t="s">
        <v>9</v>
      </c>
      <c r="E61" s="15" t="s">
        <v>9</v>
      </c>
      <c r="F61" s="9">
        <v>126567.92675</v>
      </c>
      <c r="G61" s="10">
        <v>0.99706658500000001</v>
      </c>
      <c r="H61" s="100"/>
    </row>
    <row r="62" spans="1:8" x14ac:dyDescent="0.2">
      <c r="A62" s="15" t="s">
        <v>9</v>
      </c>
      <c r="B62" s="15" t="s">
        <v>9</v>
      </c>
      <c r="C62" s="11" t="s">
        <v>9</v>
      </c>
      <c r="D62" s="15" t="s">
        <v>9</v>
      </c>
      <c r="E62" s="15" t="s">
        <v>9</v>
      </c>
      <c r="F62" s="12" t="s">
        <v>9</v>
      </c>
      <c r="G62" s="12" t="s">
        <v>9</v>
      </c>
      <c r="H62" s="100"/>
    </row>
    <row r="63" spans="1:8" x14ac:dyDescent="0.2">
      <c r="A63" s="15" t="s">
        <v>9</v>
      </c>
      <c r="B63" s="15" t="s">
        <v>9</v>
      </c>
      <c r="C63" s="3" t="s">
        <v>105</v>
      </c>
      <c r="D63" s="15" t="s">
        <v>9</v>
      </c>
      <c r="E63" s="15" t="s">
        <v>9</v>
      </c>
      <c r="F63" s="12" t="s">
        <v>9</v>
      </c>
      <c r="G63" s="12" t="s">
        <v>9</v>
      </c>
      <c r="H63" s="100"/>
    </row>
    <row r="64" spans="1:8" ht="25.5" x14ac:dyDescent="0.2">
      <c r="A64" s="15" t="s">
        <v>9</v>
      </c>
      <c r="B64" s="15" t="s">
        <v>9</v>
      </c>
      <c r="C64" s="3" t="s">
        <v>11</v>
      </c>
      <c r="D64" s="15" t="s">
        <v>9</v>
      </c>
      <c r="E64" s="15" t="s">
        <v>9</v>
      </c>
      <c r="F64" s="12" t="s">
        <v>9</v>
      </c>
      <c r="G64" s="12" t="s">
        <v>9</v>
      </c>
      <c r="H64" s="100"/>
    </row>
    <row r="65" spans="1:8" x14ac:dyDescent="0.2">
      <c r="A65" s="15" t="s">
        <v>9</v>
      </c>
      <c r="B65" s="15" t="s">
        <v>9</v>
      </c>
      <c r="C65" s="3" t="s">
        <v>94</v>
      </c>
      <c r="D65" s="15" t="s">
        <v>9</v>
      </c>
      <c r="E65" s="15" t="s">
        <v>9</v>
      </c>
      <c r="F65" s="13">
        <v>0</v>
      </c>
      <c r="G65" s="14">
        <v>0</v>
      </c>
      <c r="H65" s="100"/>
    </row>
    <row r="66" spans="1:8" x14ac:dyDescent="0.2">
      <c r="A66" s="15" t="s">
        <v>9</v>
      </c>
      <c r="B66" s="15" t="s">
        <v>9</v>
      </c>
      <c r="C66" s="11" t="s">
        <v>9</v>
      </c>
      <c r="D66" s="15" t="s">
        <v>9</v>
      </c>
      <c r="E66" s="15" t="s">
        <v>9</v>
      </c>
      <c r="F66" s="12" t="s">
        <v>9</v>
      </c>
      <c r="G66" s="12" t="s">
        <v>9</v>
      </c>
      <c r="H66" s="100"/>
    </row>
    <row r="67" spans="1:8" x14ac:dyDescent="0.2">
      <c r="A67" s="15" t="s">
        <v>9</v>
      </c>
      <c r="B67" s="15" t="s">
        <v>9</v>
      </c>
      <c r="C67" s="3" t="s">
        <v>106</v>
      </c>
      <c r="D67" s="15" t="s">
        <v>9</v>
      </c>
      <c r="E67" s="15" t="s">
        <v>9</v>
      </c>
      <c r="F67" s="15" t="s">
        <v>9</v>
      </c>
      <c r="G67" s="15" t="s">
        <v>9</v>
      </c>
      <c r="H67" s="100"/>
    </row>
    <row r="68" spans="1:8" x14ac:dyDescent="0.2">
      <c r="A68" s="15" t="s">
        <v>9</v>
      </c>
      <c r="B68" s="15" t="s">
        <v>9</v>
      </c>
      <c r="C68" s="3" t="s">
        <v>94</v>
      </c>
      <c r="D68" s="15" t="s">
        <v>9</v>
      </c>
      <c r="E68" s="15" t="s">
        <v>9</v>
      </c>
      <c r="F68" s="13">
        <v>0</v>
      </c>
      <c r="G68" s="14">
        <v>0</v>
      </c>
      <c r="H68" s="100"/>
    </row>
    <row r="69" spans="1:8" x14ac:dyDescent="0.2">
      <c r="A69" s="15" t="s">
        <v>9</v>
      </c>
      <c r="B69" s="15" t="s">
        <v>9</v>
      </c>
      <c r="C69" s="11" t="s">
        <v>9</v>
      </c>
      <c r="D69" s="15" t="s">
        <v>9</v>
      </c>
      <c r="E69" s="15" t="s">
        <v>9</v>
      </c>
      <c r="F69" s="12" t="s">
        <v>9</v>
      </c>
      <c r="G69" s="12" t="s">
        <v>9</v>
      </c>
      <c r="H69" s="100"/>
    </row>
    <row r="70" spans="1:8" x14ac:dyDescent="0.2">
      <c r="A70" s="15" t="s">
        <v>9</v>
      </c>
      <c r="B70" s="15" t="s">
        <v>9</v>
      </c>
      <c r="C70" s="3" t="s">
        <v>107</v>
      </c>
      <c r="D70" s="15" t="s">
        <v>9</v>
      </c>
      <c r="E70" s="15" t="s">
        <v>9</v>
      </c>
      <c r="F70" s="15" t="s">
        <v>9</v>
      </c>
      <c r="G70" s="15" t="s">
        <v>9</v>
      </c>
      <c r="H70" s="100"/>
    </row>
    <row r="71" spans="1:8" x14ac:dyDescent="0.2">
      <c r="A71" s="15" t="s">
        <v>9</v>
      </c>
      <c r="B71" s="15" t="s">
        <v>9</v>
      </c>
      <c r="C71" s="3" t="s">
        <v>94</v>
      </c>
      <c r="D71" s="15" t="s">
        <v>9</v>
      </c>
      <c r="E71" s="15" t="s">
        <v>9</v>
      </c>
      <c r="F71" s="13">
        <v>0</v>
      </c>
      <c r="G71" s="14">
        <v>0</v>
      </c>
      <c r="H71" s="100"/>
    </row>
    <row r="72" spans="1:8" x14ac:dyDescent="0.2">
      <c r="A72" s="15" t="s">
        <v>9</v>
      </c>
      <c r="B72" s="15" t="s">
        <v>9</v>
      </c>
      <c r="C72" s="11" t="s">
        <v>9</v>
      </c>
      <c r="D72" s="15" t="s">
        <v>9</v>
      </c>
      <c r="E72" s="15" t="s">
        <v>9</v>
      </c>
      <c r="F72" s="12" t="s">
        <v>9</v>
      </c>
      <c r="G72" s="12" t="s">
        <v>9</v>
      </c>
      <c r="H72" s="100"/>
    </row>
    <row r="73" spans="1:8" x14ac:dyDescent="0.2">
      <c r="A73" s="15" t="s">
        <v>9</v>
      </c>
      <c r="B73" s="15" t="s">
        <v>9</v>
      </c>
      <c r="C73" s="3" t="s">
        <v>108</v>
      </c>
      <c r="D73" s="15" t="s">
        <v>9</v>
      </c>
      <c r="E73" s="15" t="s">
        <v>9</v>
      </c>
      <c r="F73" s="12" t="s">
        <v>9</v>
      </c>
      <c r="G73" s="12" t="s">
        <v>9</v>
      </c>
      <c r="H73" s="100"/>
    </row>
    <row r="74" spans="1:8" x14ac:dyDescent="0.2">
      <c r="A74" s="15" t="s">
        <v>9</v>
      </c>
      <c r="B74" s="15" t="s">
        <v>9</v>
      </c>
      <c r="C74" s="3" t="s">
        <v>94</v>
      </c>
      <c r="D74" s="15" t="s">
        <v>9</v>
      </c>
      <c r="E74" s="15" t="s">
        <v>9</v>
      </c>
      <c r="F74" s="13">
        <v>0</v>
      </c>
      <c r="G74" s="14">
        <v>0</v>
      </c>
      <c r="H74" s="100"/>
    </row>
    <row r="75" spans="1:8" x14ac:dyDescent="0.2">
      <c r="A75" s="15" t="s">
        <v>9</v>
      </c>
      <c r="B75" s="15" t="s">
        <v>9</v>
      </c>
      <c r="C75" s="11" t="s">
        <v>9</v>
      </c>
      <c r="D75" s="15" t="s">
        <v>9</v>
      </c>
      <c r="E75" s="15" t="s">
        <v>9</v>
      </c>
      <c r="F75" s="12" t="s">
        <v>9</v>
      </c>
      <c r="G75" s="12" t="s">
        <v>9</v>
      </c>
      <c r="H75" s="100"/>
    </row>
    <row r="76" spans="1:8" x14ac:dyDescent="0.2">
      <c r="A76" s="15" t="s">
        <v>9</v>
      </c>
      <c r="B76" s="15" t="s">
        <v>9</v>
      </c>
      <c r="C76" s="3" t="s">
        <v>109</v>
      </c>
      <c r="D76" s="15" t="s">
        <v>9</v>
      </c>
      <c r="E76" s="15" t="s">
        <v>9</v>
      </c>
      <c r="F76" s="9">
        <v>0</v>
      </c>
      <c r="G76" s="10">
        <v>0</v>
      </c>
      <c r="H76" s="100"/>
    </row>
    <row r="77" spans="1:8" x14ac:dyDescent="0.2">
      <c r="A77" s="15" t="s">
        <v>9</v>
      </c>
      <c r="B77" s="15" t="s">
        <v>9</v>
      </c>
      <c r="C77" s="11" t="s">
        <v>9</v>
      </c>
      <c r="D77" s="15" t="s">
        <v>9</v>
      </c>
      <c r="E77" s="15" t="s">
        <v>9</v>
      </c>
      <c r="F77" s="12" t="s">
        <v>9</v>
      </c>
      <c r="G77" s="12" t="s">
        <v>9</v>
      </c>
      <c r="H77" s="100"/>
    </row>
    <row r="78" spans="1:8" x14ac:dyDescent="0.2">
      <c r="A78" s="15" t="s">
        <v>9</v>
      </c>
      <c r="B78" s="15" t="s">
        <v>9</v>
      </c>
      <c r="C78" s="3" t="s">
        <v>110</v>
      </c>
      <c r="D78" s="15" t="s">
        <v>9</v>
      </c>
      <c r="E78" s="15" t="s">
        <v>9</v>
      </c>
      <c r="F78" s="12" t="s">
        <v>9</v>
      </c>
      <c r="G78" s="12" t="s">
        <v>9</v>
      </c>
      <c r="H78" s="100"/>
    </row>
    <row r="79" spans="1:8" x14ac:dyDescent="0.2">
      <c r="A79" s="15" t="s">
        <v>9</v>
      </c>
      <c r="B79" s="15" t="s">
        <v>9</v>
      </c>
      <c r="C79" s="3" t="s">
        <v>111</v>
      </c>
      <c r="D79" s="15" t="s">
        <v>9</v>
      </c>
      <c r="E79" s="15" t="s">
        <v>9</v>
      </c>
      <c r="F79" s="12" t="s">
        <v>9</v>
      </c>
      <c r="G79" s="12" t="s">
        <v>9</v>
      </c>
      <c r="H79" s="100"/>
    </row>
    <row r="80" spans="1:8" x14ac:dyDescent="0.2">
      <c r="A80" s="15" t="s">
        <v>9</v>
      </c>
      <c r="B80" s="15" t="s">
        <v>9</v>
      </c>
      <c r="C80" s="3" t="s">
        <v>94</v>
      </c>
      <c r="D80" s="15" t="s">
        <v>9</v>
      </c>
      <c r="E80" s="15" t="s">
        <v>9</v>
      </c>
      <c r="F80" s="13">
        <v>0</v>
      </c>
      <c r="G80" s="14">
        <v>0</v>
      </c>
      <c r="H80" s="100"/>
    </row>
    <row r="81" spans="1:8" x14ac:dyDescent="0.2">
      <c r="A81" s="15" t="s">
        <v>9</v>
      </c>
      <c r="B81" s="15" t="s">
        <v>9</v>
      </c>
      <c r="C81" s="11" t="s">
        <v>9</v>
      </c>
      <c r="D81" s="15" t="s">
        <v>9</v>
      </c>
      <c r="E81" s="15" t="s">
        <v>9</v>
      </c>
      <c r="F81" s="12" t="s">
        <v>9</v>
      </c>
      <c r="G81" s="12" t="s">
        <v>9</v>
      </c>
      <c r="H81" s="100"/>
    </row>
    <row r="82" spans="1:8" x14ac:dyDescent="0.2">
      <c r="A82" s="15" t="s">
        <v>9</v>
      </c>
      <c r="B82" s="15" t="s">
        <v>9</v>
      </c>
      <c r="C82" s="3" t="s">
        <v>112</v>
      </c>
      <c r="D82" s="15" t="s">
        <v>9</v>
      </c>
      <c r="E82" s="15" t="s">
        <v>9</v>
      </c>
      <c r="F82" s="12" t="s">
        <v>9</v>
      </c>
      <c r="G82" s="12" t="s">
        <v>9</v>
      </c>
      <c r="H82" s="100"/>
    </row>
    <row r="83" spans="1:8" x14ac:dyDescent="0.2">
      <c r="A83" s="15" t="s">
        <v>9</v>
      </c>
      <c r="B83" s="15" t="s">
        <v>9</v>
      </c>
      <c r="C83" s="3" t="s">
        <v>94</v>
      </c>
      <c r="D83" s="15" t="s">
        <v>9</v>
      </c>
      <c r="E83" s="15" t="s">
        <v>9</v>
      </c>
      <c r="F83" s="13">
        <v>0</v>
      </c>
      <c r="G83" s="14">
        <v>0</v>
      </c>
      <c r="H83" s="100"/>
    </row>
    <row r="84" spans="1:8" x14ac:dyDescent="0.2">
      <c r="A84" s="15" t="s">
        <v>9</v>
      </c>
      <c r="B84" s="15" t="s">
        <v>9</v>
      </c>
      <c r="C84" s="11" t="s">
        <v>9</v>
      </c>
      <c r="D84" s="15" t="s">
        <v>9</v>
      </c>
      <c r="E84" s="15" t="s">
        <v>9</v>
      </c>
      <c r="F84" s="12" t="s">
        <v>9</v>
      </c>
      <c r="G84" s="12" t="s">
        <v>9</v>
      </c>
      <c r="H84" s="100"/>
    </row>
    <row r="85" spans="1:8" x14ac:dyDescent="0.2">
      <c r="A85" s="15" t="s">
        <v>9</v>
      </c>
      <c r="B85" s="15" t="s">
        <v>9</v>
      </c>
      <c r="C85" s="3" t="s">
        <v>113</v>
      </c>
      <c r="D85" s="15" t="s">
        <v>9</v>
      </c>
      <c r="E85" s="15" t="s">
        <v>9</v>
      </c>
      <c r="F85" s="12" t="s">
        <v>9</v>
      </c>
      <c r="G85" s="12" t="s">
        <v>9</v>
      </c>
      <c r="H85" s="100"/>
    </row>
    <row r="86" spans="1:8" x14ac:dyDescent="0.2">
      <c r="A86" s="15" t="s">
        <v>9</v>
      </c>
      <c r="B86" s="15" t="s">
        <v>9</v>
      </c>
      <c r="C86" s="3" t="s">
        <v>94</v>
      </c>
      <c r="D86" s="15" t="s">
        <v>9</v>
      </c>
      <c r="E86" s="15" t="s">
        <v>9</v>
      </c>
      <c r="F86" s="13">
        <v>0</v>
      </c>
      <c r="G86" s="14">
        <v>0</v>
      </c>
      <c r="H86" s="100"/>
    </row>
    <row r="87" spans="1:8" x14ac:dyDescent="0.2">
      <c r="A87" s="15" t="s">
        <v>9</v>
      </c>
      <c r="B87" s="15" t="s">
        <v>9</v>
      </c>
      <c r="C87" s="11" t="s">
        <v>9</v>
      </c>
      <c r="D87" s="15" t="s">
        <v>9</v>
      </c>
      <c r="E87" s="15" t="s">
        <v>9</v>
      </c>
      <c r="F87" s="12" t="s">
        <v>9</v>
      </c>
      <c r="G87" s="12" t="s">
        <v>9</v>
      </c>
      <c r="H87" s="100"/>
    </row>
    <row r="88" spans="1:8" x14ac:dyDescent="0.2">
      <c r="A88" s="15" t="s">
        <v>9</v>
      </c>
      <c r="B88" s="15" t="s">
        <v>9</v>
      </c>
      <c r="C88" s="3" t="s">
        <v>114</v>
      </c>
      <c r="D88" s="15" t="s">
        <v>9</v>
      </c>
      <c r="E88" s="15" t="s">
        <v>9</v>
      </c>
      <c r="F88" s="12" t="s">
        <v>9</v>
      </c>
      <c r="G88" s="12" t="s">
        <v>9</v>
      </c>
      <c r="H88" s="100"/>
    </row>
    <row r="89" spans="1:8" x14ac:dyDescent="0.2">
      <c r="A89" s="4">
        <v>1</v>
      </c>
      <c r="B89" s="5"/>
      <c r="C89" s="5" t="s">
        <v>115</v>
      </c>
      <c r="D89" s="5"/>
      <c r="E89" s="15" t="s">
        <v>9</v>
      </c>
      <c r="F89" s="7">
        <v>253.988719</v>
      </c>
      <c r="G89" s="8">
        <v>2.000852E-3</v>
      </c>
      <c r="H89" s="99">
        <v>3.2516689338443991</v>
      </c>
    </row>
    <row r="90" spans="1:8" x14ac:dyDescent="0.2">
      <c r="A90" s="4">
        <v>2</v>
      </c>
      <c r="B90" s="5"/>
      <c r="C90" s="5" t="s">
        <v>116</v>
      </c>
      <c r="D90" s="5"/>
      <c r="E90" s="15" t="s">
        <v>9</v>
      </c>
      <c r="F90" s="7">
        <v>34.798770900000001</v>
      </c>
      <c r="G90" s="8">
        <v>2.74135E-4</v>
      </c>
      <c r="H90" s="100">
        <v>3.350000000000001</v>
      </c>
    </row>
    <row r="91" spans="1:8" x14ac:dyDescent="0.2">
      <c r="A91" s="15" t="s">
        <v>9</v>
      </c>
      <c r="B91" s="15" t="s">
        <v>9</v>
      </c>
      <c r="C91" s="3" t="s">
        <v>94</v>
      </c>
      <c r="D91" s="15" t="s">
        <v>9</v>
      </c>
      <c r="E91" s="15" t="s">
        <v>9</v>
      </c>
      <c r="F91" s="9">
        <v>288.78748990000003</v>
      </c>
      <c r="G91" s="10">
        <v>2.274987E-3</v>
      </c>
      <c r="H91" s="100"/>
    </row>
    <row r="92" spans="1:8" x14ac:dyDescent="0.2">
      <c r="A92" s="15" t="s">
        <v>9</v>
      </c>
      <c r="B92" s="15" t="s">
        <v>9</v>
      </c>
      <c r="C92" s="11" t="s">
        <v>9</v>
      </c>
      <c r="D92" s="15" t="s">
        <v>9</v>
      </c>
      <c r="E92" s="15" t="s">
        <v>9</v>
      </c>
      <c r="F92" s="12" t="s">
        <v>9</v>
      </c>
      <c r="G92" s="12" t="s">
        <v>9</v>
      </c>
      <c r="H92" s="100"/>
    </row>
    <row r="93" spans="1:8" x14ac:dyDescent="0.2">
      <c r="A93" s="15" t="s">
        <v>9</v>
      </c>
      <c r="B93" s="15" t="s">
        <v>9</v>
      </c>
      <c r="C93" s="3" t="s">
        <v>117</v>
      </c>
      <c r="D93" s="15" t="s">
        <v>9</v>
      </c>
      <c r="E93" s="15" t="s">
        <v>9</v>
      </c>
      <c r="F93" s="9">
        <v>288.78748990000003</v>
      </c>
      <c r="G93" s="10">
        <v>2.274987E-3</v>
      </c>
      <c r="H93" s="100"/>
    </row>
    <row r="94" spans="1:8" x14ac:dyDescent="0.2">
      <c r="A94" s="15" t="s">
        <v>9</v>
      </c>
      <c r="B94" s="15" t="s">
        <v>9</v>
      </c>
      <c r="C94" s="12" t="s">
        <v>9</v>
      </c>
      <c r="D94" s="15" t="s">
        <v>9</v>
      </c>
      <c r="E94" s="15" t="s">
        <v>9</v>
      </c>
      <c r="F94" s="15" t="s">
        <v>9</v>
      </c>
      <c r="G94" s="15" t="s">
        <v>9</v>
      </c>
      <c r="H94" s="100"/>
    </row>
    <row r="95" spans="1:8" x14ac:dyDescent="0.2">
      <c r="A95" s="15" t="s">
        <v>9</v>
      </c>
      <c r="B95" s="15" t="s">
        <v>9</v>
      </c>
      <c r="C95" s="3" t="s">
        <v>118</v>
      </c>
      <c r="D95" s="15" t="s">
        <v>9</v>
      </c>
      <c r="E95" s="15" t="s">
        <v>9</v>
      </c>
      <c r="F95" s="15" t="s">
        <v>9</v>
      </c>
      <c r="G95" s="15" t="s">
        <v>9</v>
      </c>
      <c r="H95" s="100"/>
    </row>
    <row r="96" spans="1:8" x14ac:dyDescent="0.2">
      <c r="A96" s="15" t="s">
        <v>9</v>
      </c>
      <c r="B96" s="15" t="s">
        <v>9</v>
      </c>
      <c r="C96" s="3" t="s">
        <v>119</v>
      </c>
      <c r="D96" s="15" t="s">
        <v>9</v>
      </c>
      <c r="E96" s="15" t="s">
        <v>9</v>
      </c>
      <c r="F96" s="15" t="s">
        <v>9</v>
      </c>
      <c r="G96" s="15" t="s">
        <v>9</v>
      </c>
      <c r="H96" s="100"/>
    </row>
    <row r="97" spans="1:8" x14ac:dyDescent="0.2">
      <c r="A97" s="15" t="s">
        <v>9</v>
      </c>
      <c r="B97" s="15" t="s">
        <v>9</v>
      </c>
      <c r="C97" s="3" t="s">
        <v>94</v>
      </c>
      <c r="D97" s="15" t="s">
        <v>9</v>
      </c>
      <c r="E97" s="15" t="s">
        <v>9</v>
      </c>
      <c r="F97" s="13">
        <v>0</v>
      </c>
      <c r="G97" s="14">
        <v>0</v>
      </c>
      <c r="H97" s="100"/>
    </row>
    <row r="98" spans="1:8" x14ac:dyDescent="0.2">
      <c r="A98" s="15" t="s">
        <v>9</v>
      </c>
      <c r="B98" s="15" t="s">
        <v>9</v>
      </c>
      <c r="C98" s="11" t="s">
        <v>9</v>
      </c>
      <c r="D98" s="15" t="s">
        <v>9</v>
      </c>
      <c r="E98" s="15" t="s">
        <v>9</v>
      </c>
      <c r="F98" s="12" t="s">
        <v>9</v>
      </c>
      <c r="G98" s="12" t="s">
        <v>9</v>
      </c>
      <c r="H98" s="100"/>
    </row>
    <row r="99" spans="1:8" x14ac:dyDescent="0.2">
      <c r="A99" s="15" t="s">
        <v>9</v>
      </c>
      <c r="B99" s="15" t="s">
        <v>9</v>
      </c>
      <c r="C99" s="3" t="s">
        <v>120</v>
      </c>
      <c r="D99" s="15" t="s">
        <v>9</v>
      </c>
      <c r="E99" s="15" t="s">
        <v>9</v>
      </c>
      <c r="F99" s="15" t="s">
        <v>9</v>
      </c>
      <c r="G99" s="15" t="s">
        <v>9</v>
      </c>
      <c r="H99" s="100"/>
    </row>
    <row r="100" spans="1:8" x14ac:dyDescent="0.2">
      <c r="A100" s="15" t="s">
        <v>9</v>
      </c>
      <c r="B100" s="15" t="s">
        <v>9</v>
      </c>
      <c r="C100" s="3" t="s">
        <v>121</v>
      </c>
      <c r="D100" s="15" t="s">
        <v>9</v>
      </c>
      <c r="E100" s="15" t="s">
        <v>9</v>
      </c>
      <c r="F100" s="15" t="s">
        <v>9</v>
      </c>
      <c r="G100" s="15" t="s">
        <v>9</v>
      </c>
      <c r="H100" s="100"/>
    </row>
    <row r="101" spans="1:8" x14ac:dyDescent="0.2">
      <c r="A101" s="15" t="s">
        <v>9</v>
      </c>
      <c r="B101" s="15" t="s">
        <v>9</v>
      </c>
      <c r="C101" s="3" t="s">
        <v>94</v>
      </c>
      <c r="D101" s="15" t="s">
        <v>9</v>
      </c>
      <c r="E101" s="15" t="s">
        <v>9</v>
      </c>
      <c r="F101" s="13">
        <v>0</v>
      </c>
      <c r="G101" s="14">
        <v>0</v>
      </c>
      <c r="H101" s="100"/>
    </row>
    <row r="102" spans="1:8" x14ac:dyDescent="0.2">
      <c r="A102" s="15" t="s">
        <v>9</v>
      </c>
      <c r="B102" s="15" t="s">
        <v>9</v>
      </c>
      <c r="C102" s="11" t="s">
        <v>9</v>
      </c>
      <c r="D102" s="15" t="s">
        <v>9</v>
      </c>
      <c r="E102" s="15" t="s">
        <v>9</v>
      </c>
      <c r="F102" s="12" t="s">
        <v>9</v>
      </c>
      <c r="G102" s="12" t="s">
        <v>9</v>
      </c>
      <c r="H102" s="100"/>
    </row>
    <row r="103" spans="1:8" x14ac:dyDescent="0.2">
      <c r="A103" s="15" t="s">
        <v>9</v>
      </c>
      <c r="B103" s="15" t="s">
        <v>9</v>
      </c>
      <c r="C103" s="11" t="s">
        <v>9</v>
      </c>
      <c r="D103" s="15" t="s">
        <v>9</v>
      </c>
      <c r="E103" s="15" t="s">
        <v>9</v>
      </c>
      <c r="F103" s="12" t="s">
        <v>9</v>
      </c>
      <c r="G103" s="12" t="s">
        <v>9</v>
      </c>
      <c r="H103" s="100"/>
    </row>
    <row r="104" spans="1:8" ht="25.5" x14ac:dyDescent="0.2">
      <c r="A104" s="15" t="s">
        <v>9</v>
      </c>
      <c r="B104" s="15" t="s">
        <v>9</v>
      </c>
      <c r="C104" s="3" t="s">
        <v>122</v>
      </c>
      <c r="D104" s="15" t="s">
        <v>9</v>
      </c>
      <c r="E104" s="15" t="s">
        <v>9</v>
      </c>
      <c r="F104" s="12" t="s">
        <v>9</v>
      </c>
      <c r="G104" s="12" t="s">
        <v>9</v>
      </c>
      <c r="H104" s="100"/>
    </row>
    <row r="105" spans="1:8" x14ac:dyDescent="0.2">
      <c r="A105" s="15" t="s">
        <v>9</v>
      </c>
      <c r="B105" s="15" t="s">
        <v>9</v>
      </c>
      <c r="C105" s="3" t="s">
        <v>94</v>
      </c>
      <c r="D105" s="15" t="s">
        <v>9</v>
      </c>
      <c r="E105" s="15" t="s">
        <v>9</v>
      </c>
      <c r="F105" s="13">
        <v>0</v>
      </c>
      <c r="G105" s="14">
        <v>0</v>
      </c>
      <c r="H105" s="100"/>
    </row>
    <row r="106" spans="1:8" x14ac:dyDescent="0.2">
      <c r="A106" s="15" t="s">
        <v>9</v>
      </c>
      <c r="B106" s="15" t="s">
        <v>9</v>
      </c>
      <c r="C106" s="11" t="s">
        <v>9</v>
      </c>
      <c r="D106" s="15" t="s">
        <v>9</v>
      </c>
      <c r="E106" s="15" t="s">
        <v>9</v>
      </c>
      <c r="F106" s="12" t="s">
        <v>9</v>
      </c>
      <c r="G106" s="12" t="s">
        <v>9</v>
      </c>
      <c r="H106" s="100"/>
    </row>
    <row r="107" spans="1:8" x14ac:dyDescent="0.2">
      <c r="A107" s="15" t="s">
        <v>9</v>
      </c>
      <c r="B107" s="5" t="s">
        <v>9</v>
      </c>
      <c r="C107" s="5" t="s">
        <v>9</v>
      </c>
      <c r="D107" s="3" t="s">
        <v>9</v>
      </c>
      <c r="E107" s="15" t="s">
        <v>9</v>
      </c>
      <c r="F107" s="5" t="s">
        <v>9</v>
      </c>
      <c r="G107" s="15" t="s">
        <v>9</v>
      </c>
      <c r="H107" s="100"/>
    </row>
    <row r="108" spans="1:8" x14ac:dyDescent="0.2">
      <c r="A108" s="15" t="s">
        <v>9</v>
      </c>
      <c r="B108" s="5" t="s">
        <v>9</v>
      </c>
      <c r="C108" s="5" t="s">
        <v>124</v>
      </c>
      <c r="D108" s="5" t="s">
        <v>9</v>
      </c>
      <c r="E108" s="15" t="s">
        <v>9</v>
      </c>
      <c r="F108" s="7">
        <v>83.580879749999994</v>
      </c>
      <c r="G108" s="8">
        <v>6.5842699999999995E-4</v>
      </c>
      <c r="H108" s="100"/>
    </row>
    <row r="109" spans="1:8" x14ac:dyDescent="0.2">
      <c r="A109" s="11" t="s">
        <v>9</v>
      </c>
      <c r="B109" s="11" t="s">
        <v>9</v>
      </c>
      <c r="C109" s="3" t="s">
        <v>125</v>
      </c>
      <c r="D109" s="16" t="s">
        <v>9</v>
      </c>
      <c r="E109" s="16" t="s">
        <v>9</v>
      </c>
      <c r="F109" s="9">
        <v>126940.29511965001</v>
      </c>
      <c r="G109" s="10">
        <v>1</v>
      </c>
      <c r="H109" s="100"/>
    </row>
    <row r="110" spans="1:8" x14ac:dyDescent="0.2">
      <c r="A110" s="17" t="s">
        <v>9</v>
      </c>
      <c r="B110" s="17" t="s">
        <v>9</v>
      </c>
      <c r="C110" s="17" t="s">
        <v>9</v>
      </c>
      <c r="D110" s="18" t="s">
        <v>9</v>
      </c>
      <c r="E110" s="18" t="s">
        <v>9</v>
      </c>
      <c r="F110" s="18" t="s">
        <v>9</v>
      </c>
      <c r="G110" s="18" t="s">
        <v>9</v>
      </c>
      <c r="H110" s="142"/>
    </row>
    <row r="111" spans="1:8" x14ac:dyDescent="0.2">
      <c r="A111" s="19" t="s">
        <v>9</v>
      </c>
      <c r="B111" s="254" t="s">
        <v>9</v>
      </c>
      <c r="C111" s="254"/>
      <c r="D111" s="254"/>
      <c r="E111" s="254"/>
      <c r="F111" s="254"/>
      <c r="G111" s="20" t="s">
        <v>9</v>
      </c>
      <c r="H111" s="142"/>
    </row>
    <row r="112" spans="1:8" x14ac:dyDescent="0.2">
      <c r="A112" s="19" t="s">
        <v>9</v>
      </c>
      <c r="B112" s="254" t="s">
        <v>9</v>
      </c>
      <c r="C112" s="254"/>
      <c r="D112" s="254"/>
      <c r="E112" s="254"/>
      <c r="F112" s="254"/>
      <c r="G112" s="20" t="s">
        <v>9</v>
      </c>
      <c r="H112" s="142"/>
    </row>
    <row r="113" spans="1:8" x14ac:dyDescent="0.2">
      <c r="A113" s="19" t="s">
        <v>9</v>
      </c>
      <c r="B113" s="19" t="s">
        <v>9</v>
      </c>
      <c r="C113" s="19" t="s">
        <v>9</v>
      </c>
      <c r="D113" s="20" t="s">
        <v>9</v>
      </c>
      <c r="E113" s="20" t="s">
        <v>9</v>
      </c>
      <c r="F113" s="20" t="s">
        <v>9</v>
      </c>
      <c r="G113" s="20" t="s">
        <v>9</v>
      </c>
      <c r="H113" s="142"/>
    </row>
    <row r="114" spans="1:8" x14ac:dyDescent="0.2">
      <c r="A114" s="19" t="s">
        <v>9</v>
      </c>
      <c r="B114" s="247" t="s">
        <v>127</v>
      </c>
      <c r="C114" s="248"/>
      <c r="D114" s="182" t="s">
        <v>9</v>
      </c>
      <c r="E114" s="21" t="s">
        <v>9</v>
      </c>
      <c r="F114" s="20" t="s">
        <v>9</v>
      </c>
      <c r="G114" s="20" t="s">
        <v>9</v>
      </c>
      <c r="H114" s="142"/>
    </row>
    <row r="115" spans="1:8" ht="28.5" customHeight="1" x14ac:dyDescent="0.2">
      <c r="A115" s="19" t="s">
        <v>9</v>
      </c>
      <c r="B115" s="242" t="s">
        <v>128</v>
      </c>
      <c r="C115" s="243"/>
      <c r="D115" s="3" t="s">
        <v>129</v>
      </c>
      <c r="E115" s="21" t="s">
        <v>9</v>
      </c>
      <c r="F115" s="20" t="s">
        <v>9</v>
      </c>
      <c r="G115" s="20" t="s">
        <v>9</v>
      </c>
      <c r="H115" s="142"/>
    </row>
    <row r="116" spans="1:8" x14ac:dyDescent="0.2">
      <c r="A116" s="19" t="s">
        <v>9</v>
      </c>
      <c r="B116" s="240" t="s">
        <v>130</v>
      </c>
      <c r="C116" s="241"/>
      <c r="D116" s="177" t="s">
        <v>129</v>
      </c>
      <c r="E116" s="21" t="s">
        <v>9</v>
      </c>
      <c r="F116" s="20" t="s">
        <v>9</v>
      </c>
      <c r="G116" s="20" t="s">
        <v>9</v>
      </c>
      <c r="H116" s="142"/>
    </row>
    <row r="117" spans="1:8" x14ac:dyDescent="0.2">
      <c r="A117" s="19" t="s">
        <v>9</v>
      </c>
      <c r="B117" s="240" t="s">
        <v>131</v>
      </c>
      <c r="C117" s="241"/>
      <c r="D117" s="182" t="s">
        <v>9</v>
      </c>
      <c r="E117" s="21" t="s">
        <v>9</v>
      </c>
      <c r="F117" s="20" t="s">
        <v>9</v>
      </c>
      <c r="G117" s="20" t="s">
        <v>9</v>
      </c>
      <c r="H117" s="142"/>
    </row>
    <row r="118" spans="1:8" ht="25.5" x14ac:dyDescent="0.2">
      <c r="A118" s="25" t="s">
        <v>9</v>
      </c>
      <c r="B118" s="23" t="s">
        <v>9</v>
      </c>
      <c r="C118" s="23" t="s">
        <v>132</v>
      </c>
      <c r="D118" s="23" t="s">
        <v>133</v>
      </c>
      <c r="E118" s="25" t="s">
        <v>9</v>
      </c>
      <c r="F118" s="25" t="s">
        <v>9</v>
      </c>
      <c r="G118" s="25" t="s">
        <v>9</v>
      </c>
      <c r="H118" s="142"/>
    </row>
    <row r="119" spans="1:8" x14ac:dyDescent="0.2">
      <c r="A119" s="25" t="s">
        <v>9</v>
      </c>
      <c r="B119" s="23" t="s">
        <v>134</v>
      </c>
      <c r="C119" s="23" t="s">
        <v>135</v>
      </c>
      <c r="D119" s="23" t="s">
        <v>136</v>
      </c>
      <c r="E119" s="25" t="s">
        <v>9</v>
      </c>
      <c r="F119" s="25" t="s">
        <v>9</v>
      </c>
      <c r="G119" s="25" t="s">
        <v>9</v>
      </c>
      <c r="H119" s="142"/>
    </row>
    <row r="120" spans="1:8" x14ac:dyDescent="0.2">
      <c r="A120" s="25" t="s">
        <v>9</v>
      </c>
      <c r="B120" s="183" t="s">
        <v>137</v>
      </c>
      <c r="C120" s="184">
        <v>52.171199999999999</v>
      </c>
      <c r="D120" s="184">
        <v>51.172499999999999</v>
      </c>
      <c r="E120" s="25" t="s">
        <v>9</v>
      </c>
      <c r="F120" s="73" t="s">
        <v>9</v>
      </c>
      <c r="G120" s="25" t="s">
        <v>9</v>
      </c>
      <c r="H120" s="142"/>
    </row>
    <row r="121" spans="1:8" x14ac:dyDescent="0.2">
      <c r="A121" s="25" t="s">
        <v>9</v>
      </c>
      <c r="B121" s="183" t="s">
        <v>921</v>
      </c>
      <c r="C121" s="184">
        <v>21.569700000000001</v>
      </c>
      <c r="D121" s="184">
        <v>19.709599999999998</v>
      </c>
      <c r="E121" s="25" t="s">
        <v>9</v>
      </c>
      <c r="F121" s="73" t="s">
        <v>9</v>
      </c>
      <c r="G121" s="25" t="s">
        <v>9</v>
      </c>
      <c r="H121" s="142"/>
    </row>
    <row r="122" spans="1:8" x14ac:dyDescent="0.2">
      <c r="A122" s="25" t="s">
        <v>9</v>
      </c>
      <c r="B122" s="183" t="s">
        <v>138</v>
      </c>
      <c r="C122" s="184">
        <v>49.438600000000001</v>
      </c>
      <c r="D122" s="184">
        <v>48.460799999999999</v>
      </c>
      <c r="E122" s="25" t="s">
        <v>9</v>
      </c>
      <c r="F122" s="73" t="s">
        <v>9</v>
      </c>
      <c r="G122" s="25" t="s">
        <v>9</v>
      </c>
      <c r="H122" s="142"/>
    </row>
    <row r="123" spans="1:8" x14ac:dyDescent="0.2">
      <c r="A123" s="25" t="s">
        <v>9</v>
      </c>
      <c r="B123" s="183" t="s">
        <v>922</v>
      </c>
      <c r="C123" s="184">
        <v>20.103300000000001</v>
      </c>
      <c r="D123" s="184">
        <v>18.357500000000002</v>
      </c>
      <c r="E123" s="25" t="s">
        <v>9</v>
      </c>
      <c r="F123" s="73" t="s">
        <v>9</v>
      </c>
      <c r="G123" s="25" t="s">
        <v>9</v>
      </c>
      <c r="H123" s="142"/>
    </row>
    <row r="124" spans="1:8" x14ac:dyDescent="0.2">
      <c r="A124" s="25" t="s">
        <v>9</v>
      </c>
      <c r="B124" s="22" t="s">
        <v>9</v>
      </c>
      <c r="C124" s="22" t="s">
        <v>9</v>
      </c>
      <c r="D124" s="22" t="s">
        <v>9</v>
      </c>
      <c r="E124" s="25" t="s">
        <v>9</v>
      </c>
      <c r="F124" s="25" t="s">
        <v>9</v>
      </c>
      <c r="G124" s="25" t="s">
        <v>9</v>
      </c>
      <c r="H124" s="142"/>
    </row>
    <row r="125" spans="1:8" x14ac:dyDescent="0.2">
      <c r="A125" s="25" t="s">
        <v>9</v>
      </c>
      <c r="B125" s="257" t="s">
        <v>1012</v>
      </c>
      <c r="C125" s="258"/>
      <c r="D125" s="190"/>
      <c r="E125" s="25" t="s">
        <v>9</v>
      </c>
      <c r="F125" s="25" t="s">
        <v>9</v>
      </c>
      <c r="G125" s="25" t="s">
        <v>9</v>
      </c>
      <c r="H125" s="142"/>
    </row>
    <row r="126" spans="1:8" x14ac:dyDescent="0.2">
      <c r="A126" s="25" t="s">
        <v>9</v>
      </c>
      <c r="B126" s="191" t="s">
        <v>134</v>
      </c>
      <c r="C126" s="191" t="s">
        <v>867</v>
      </c>
      <c r="D126" s="191" t="s">
        <v>868</v>
      </c>
      <c r="E126" s="25" t="s">
        <v>9</v>
      </c>
      <c r="F126" s="25" t="s">
        <v>9</v>
      </c>
      <c r="G126" s="25" t="s">
        <v>9</v>
      </c>
      <c r="H126" s="142"/>
    </row>
    <row r="127" spans="1:8" x14ac:dyDescent="0.2">
      <c r="A127" s="25" t="s">
        <v>9</v>
      </c>
      <c r="B127" s="192" t="s">
        <v>921</v>
      </c>
      <c r="C127" s="193">
        <v>1.4630000000000001</v>
      </c>
      <c r="D127" s="193">
        <v>1.4630000000000001</v>
      </c>
      <c r="E127" s="25" t="s">
        <v>9</v>
      </c>
      <c r="F127" s="73" t="s">
        <v>9</v>
      </c>
      <c r="G127" s="25" t="s">
        <v>9</v>
      </c>
      <c r="H127" s="142"/>
    </row>
    <row r="128" spans="1:8" x14ac:dyDescent="0.2">
      <c r="A128" s="25" t="s">
        <v>9</v>
      </c>
      <c r="B128" s="192" t="s">
        <v>922</v>
      </c>
      <c r="C128" s="193">
        <v>1.363</v>
      </c>
      <c r="D128" s="193">
        <v>1.363</v>
      </c>
      <c r="E128" s="25" t="s">
        <v>9</v>
      </c>
      <c r="F128" s="73" t="s">
        <v>9</v>
      </c>
      <c r="G128" s="25" t="s">
        <v>9</v>
      </c>
      <c r="H128" s="142"/>
    </row>
    <row r="129" spans="1:8" x14ac:dyDescent="0.2">
      <c r="A129" s="25" t="s">
        <v>9</v>
      </c>
      <c r="B129" s="185" t="s">
        <v>9</v>
      </c>
      <c r="C129" s="185" t="s">
        <v>9</v>
      </c>
      <c r="D129" s="22" t="s">
        <v>9</v>
      </c>
      <c r="E129" s="25" t="s">
        <v>9</v>
      </c>
      <c r="F129" s="25" t="s">
        <v>9</v>
      </c>
      <c r="G129" s="25" t="s">
        <v>9</v>
      </c>
      <c r="H129" s="142"/>
    </row>
    <row r="130" spans="1:8" customFormat="1" ht="18" customHeight="1" x14ac:dyDescent="0.2">
      <c r="A130" s="234"/>
      <c r="B130" s="259" t="s">
        <v>923</v>
      </c>
      <c r="C130" s="259"/>
      <c r="D130" s="259"/>
      <c r="E130" s="259"/>
      <c r="F130" s="259"/>
      <c r="G130" s="234"/>
    </row>
    <row r="131" spans="1:8" x14ac:dyDescent="0.2">
      <c r="A131" s="25" t="s">
        <v>9</v>
      </c>
      <c r="B131" s="231" t="s">
        <v>9</v>
      </c>
      <c r="C131" s="231" t="s">
        <v>9</v>
      </c>
      <c r="D131" s="22" t="s">
        <v>9</v>
      </c>
      <c r="E131" s="25" t="s">
        <v>9</v>
      </c>
      <c r="F131" s="25" t="s">
        <v>9</v>
      </c>
      <c r="G131" s="25" t="s">
        <v>9</v>
      </c>
      <c r="H131" s="142"/>
    </row>
    <row r="132" spans="1:8" x14ac:dyDescent="0.2">
      <c r="A132" s="25" t="s">
        <v>9</v>
      </c>
      <c r="B132" s="240" t="s">
        <v>139</v>
      </c>
      <c r="C132" s="241"/>
      <c r="D132" s="177" t="s">
        <v>129</v>
      </c>
      <c r="E132" s="25" t="s">
        <v>9</v>
      </c>
      <c r="F132" s="25" t="s">
        <v>9</v>
      </c>
      <c r="G132" s="25" t="s">
        <v>9</v>
      </c>
      <c r="H132" s="142"/>
    </row>
    <row r="133" spans="1:8" x14ac:dyDescent="0.2">
      <c r="A133" s="25" t="s">
        <v>9</v>
      </c>
      <c r="B133" s="240" t="s">
        <v>140</v>
      </c>
      <c r="C133" s="241"/>
      <c r="D133" s="177" t="s">
        <v>129</v>
      </c>
      <c r="E133" s="25" t="s">
        <v>9</v>
      </c>
      <c r="F133" s="25" t="s">
        <v>9</v>
      </c>
      <c r="G133" s="25" t="s">
        <v>9</v>
      </c>
      <c r="H133" s="142"/>
    </row>
    <row r="134" spans="1:8" x14ac:dyDescent="0.2">
      <c r="A134" s="25" t="s">
        <v>9</v>
      </c>
      <c r="B134" s="240" t="s">
        <v>141</v>
      </c>
      <c r="C134" s="241"/>
      <c r="D134" s="186">
        <v>0.1589523956302549</v>
      </c>
      <c r="E134" s="25" t="s">
        <v>9</v>
      </c>
      <c r="F134" s="73" t="s">
        <v>9</v>
      </c>
      <c r="G134" s="25" t="s">
        <v>9</v>
      </c>
      <c r="H134" s="142"/>
    </row>
    <row r="135" spans="1:8" x14ac:dyDescent="0.2">
      <c r="A135" s="25" t="s">
        <v>9</v>
      </c>
      <c r="B135" s="240" t="s">
        <v>142</v>
      </c>
      <c r="C135" s="241"/>
      <c r="D135" s="177" t="s">
        <v>129</v>
      </c>
      <c r="E135" s="25" t="s">
        <v>9</v>
      </c>
      <c r="F135" s="25" t="s">
        <v>9</v>
      </c>
      <c r="G135" s="25" t="s">
        <v>9</v>
      </c>
      <c r="H135" s="142"/>
    </row>
  </sheetData>
  <mergeCells count="15">
    <mergeCell ref="B114:C114"/>
    <mergeCell ref="B111:F111"/>
    <mergeCell ref="B112:F112"/>
    <mergeCell ref="A1:H1"/>
    <mergeCell ref="A2:H2"/>
    <mergeCell ref="A3:H3"/>
    <mergeCell ref="B134:C134"/>
    <mergeCell ref="B135:C135"/>
    <mergeCell ref="B115:C115"/>
    <mergeCell ref="B116:C116"/>
    <mergeCell ref="B117:C117"/>
    <mergeCell ref="B125:C125"/>
    <mergeCell ref="B132:C132"/>
    <mergeCell ref="B133:C133"/>
    <mergeCell ref="B130:F130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>
    <outlinePr summaryBelow="0" summaryRight="0"/>
  </sheetPr>
  <dimension ref="A1:H142"/>
  <sheetViews>
    <sheetView showGridLines="0" workbookViewId="0">
      <selection activeCell="J1" sqref="J1"/>
    </sheetView>
  </sheetViews>
  <sheetFormatPr defaultRowHeight="15" x14ac:dyDescent="0.2"/>
  <cols>
    <col min="1" max="1" width="6.85546875" style="155" customWidth="1"/>
    <col min="2" max="2" width="20.5703125" style="155" customWidth="1"/>
    <col min="3" max="3" width="34.28515625" style="155" customWidth="1"/>
    <col min="4" max="4" width="17.85546875" style="155" customWidth="1"/>
    <col min="5" max="6" width="19.140625" style="155" customWidth="1"/>
    <col min="7" max="7" width="16.42578125" style="155" customWidth="1"/>
    <col min="8" max="16384" width="9.140625" style="155"/>
  </cols>
  <sheetData>
    <row r="1" spans="1:8" x14ac:dyDescent="0.2">
      <c r="A1" s="250" t="s">
        <v>0</v>
      </c>
      <c r="B1" s="250"/>
      <c r="C1" s="250"/>
      <c r="D1" s="250"/>
      <c r="E1" s="250"/>
      <c r="F1" s="250"/>
      <c r="G1" s="250"/>
      <c r="H1" s="250"/>
    </row>
    <row r="2" spans="1:8" x14ac:dyDescent="0.2">
      <c r="A2" s="251" t="s">
        <v>576</v>
      </c>
      <c r="B2" s="252"/>
      <c r="C2" s="252"/>
      <c r="D2" s="252"/>
      <c r="E2" s="252"/>
      <c r="F2" s="252"/>
      <c r="G2" s="252"/>
      <c r="H2" s="253"/>
    </row>
    <row r="3" spans="1:8" x14ac:dyDescent="0.2">
      <c r="A3" s="250" t="s">
        <v>1015</v>
      </c>
      <c r="B3" s="250"/>
      <c r="C3" s="250"/>
      <c r="D3" s="250"/>
      <c r="E3" s="250"/>
      <c r="F3" s="250"/>
      <c r="G3" s="250"/>
      <c r="H3" s="250"/>
    </row>
    <row r="4" spans="1:8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60" t="s">
        <v>6</v>
      </c>
      <c r="F4" s="160" t="s">
        <v>7</v>
      </c>
      <c r="G4" s="160" t="s">
        <v>8</v>
      </c>
      <c r="H4" s="161" t="s">
        <v>909</v>
      </c>
    </row>
    <row r="5" spans="1:8" x14ac:dyDescent="0.2">
      <c r="A5" s="15" t="s">
        <v>9</v>
      </c>
      <c r="B5" s="15" t="s">
        <v>9</v>
      </c>
      <c r="C5" s="3" t="s">
        <v>10</v>
      </c>
      <c r="D5" s="15" t="s">
        <v>9</v>
      </c>
      <c r="E5" s="15" t="s">
        <v>9</v>
      </c>
      <c r="F5" s="15" t="s">
        <v>9</v>
      </c>
      <c r="G5" s="15" t="s">
        <v>9</v>
      </c>
      <c r="H5" s="100"/>
    </row>
    <row r="6" spans="1:8" ht="25.5" x14ac:dyDescent="0.2">
      <c r="A6" s="15" t="s">
        <v>9</v>
      </c>
      <c r="B6" s="15" t="s">
        <v>9</v>
      </c>
      <c r="C6" s="3" t="s">
        <v>11</v>
      </c>
      <c r="D6" s="15" t="s">
        <v>9</v>
      </c>
      <c r="E6" s="15" t="s">
        <v>9</v>
      </c>
      <c r="F6" s="15" t="s">
        <v>9</v>
      </c>
      <c r="G6" s="15" t="s">
        <v>9</v>
      </c>
      <c r="H6" s="100"/>
    </row>
    <row r="7" spans="1:8" x14ac:dyDescent="0.2">
      <c r="A7" s="4">
        <v>1</v>
      </c>
      <c r="B7" s="5" t="s">
        <v>20</v>
      </c>
      <c r="C7" s="5" t="s">
        <v>21</v>
      </c>
      <c r="D7" s="5" t="s">
        <v>22</v>
      </c>
      <c r="E7" s="6">
        <v>2018224</v>
      </c>
      <c r="F7" s="7">
        <v>12119.43512</v>
      </c>
      <c r="G7" s="8">
        <v>9.0487214999999996E-2</v>
      </c>
      <c r="H7" s="100"/>
    </row>
    <row r="8" spans="1:8" x14ac:dyDescent="0.2">
      <c r="A8" s="4">
        <v>2</v>
      </c>
      <c r="B8" s="5" t="s">
        <v>54</v>
      </c>
      <c r="C8" s="5" t="s">
        <v>55</v>
      </c>
      <c r="D8" s="5" t="s">
        <v>22</v>
      </c>
      <c r="E8" s="6">
        <v>810399</v>
      </c>
      <c r="F8" s="7">
        <v>11445.265077</v>
      </c>
      <c r="G8" s="8">
        <v>8.5453665999999998E-2</v>
      </c>
      <c r="H8" s="100"/>
    </row>
    <row r="9" spans="1:8" x14ac:dyDescent="0.2">
      <c r="A9" s="4">
        <v>3</v>
      </c>
      <c r="B9" s="5" t="s">
        <v>15</v>
      </c>
      <c r="C9" s="5" t="s">
        <v>16</v>
      </c>
      <c r="D9" s="5" t="s">
        <v>17</v>
      </c>
      <c r="E9" s="6">
        <v>368711</v>
      </c>
      <c r="F9" s="7">
        <v>7353.9408949999997</v>
      </c>
      <c r="G9" s="8">
        <v>5.4906653999999999E-2</v>
      </c>
      <c r="H9" s="100"/>
    </row>
    <row r="10" spans="1:8" x14ac:dyDescent="0.2">
      <c r="A10" s="4">
        <v>4</v>
      </c>
      <c r="B10" s="5" t="s">
        <v>29</v>
      </c>
      <c r="C10" s="5" t="s">
        <v>30</v>
      </c>
      <c r="D10" s="5" t="s">
        <v>31</v>
      </c>
      <c r="E10" s="6">
        <v>1331685</v>
      </c>
      <c r="F10" s="7">
        <v>7147.8192374999999</v>
      </c>
      <c r="G10" s="8">
        <v>5.3367690000000002E-2</v>
      </c>
      <c r="H10" s="100"/>
    </row>
    <row r="11" spans="1:8" ht="25.5" x14ac:dyDescent="0.2">
      <c r="A11" s="4">
        <v>5</v>
      </c>
      <c r="B11" s="5" t="s">
        <v>395</v>
      </c>
      <c r="C11" s="5" t="s">
        <v>396</v>
      </c>
      <c r="D11" s="5" t="s">
        <v>156</v>
      </c>
      <c r="E11" s="6">
        <v>293376</v>
      </c>
      <c r="F11" s="7">
        <v>7099.9925759999996</v>
      </c>
      <c r="G11" s="8">
        <v>5.3010601999999997E-2</v>
      </c>
      <c r="H11" s="100"/>
    </row>
    <row r="12" spans="1:8" x14ac:dyDescent="0.2">
      <c r="A12" s="4">
        <v>6</v>
      </c>
      <c r="B12" s="5" t="s">
        <v>295</v>
      </c>
      <c r="C12" s="5" t="s">
        <v>296</v>
      </c>
      <c r="D12" s="5" t="s">
        <v>151</v>
      </c>
      <c r="E12" s="6">
        <v>277805</v>
      </c>
      <c r="F12" s="7">
        <v>5850.5733</v>
      </c>
      <c r="G12" s="8">
        <v>4.3682076E-2</v>
      </c>
      <c r="H12" s="100"/>
    </row>
    <row r="13" spans="1:8" x14ac:dyDescent="0.2">
      <c r="A13" s="4">
        <v>7</v>
      </c>
      <c r="B13" s="5" t="s">
        <v>149</v>
      </c>
      <c r="C13" s="5" t="s">
        <v>150</v>
      </c>
      <c r="D13" s="5" t="s">
        <v>151</v>
      </c>
      <c r="E13" s="6">
        <v>97080</v>
      </c>
      <c r="F13" s="7">
        <v>5361.6798600000002</v>
      </c>
      <c r="G13" s="8">
        <v>4.0031855999999998E-2</v>
      </c>
      <c r="H13" s="100"/>
    </row>
    <row r="14" spans="1:8" x14ac:dyDescent="0.2">
      <c r="A14" s="4">
        <v>8</v>
      </c>
      <c r="B14" s="5" t="s">
        <v>164</v>
      </c>
      <c r="C14" s="5" t="s">
        <v>947</v>
      </c>
      <c r="D14" s="5" t="s">
        <v>151</v>
      </c>
      <c r="E14" s="6">
        <v>687535</v>
      </c>
      <c r="F14" s="7">
        <v>4980.8473075000002</v>
      </c>
      <c r="G14" s="8">
        <v>3.7188449999999998E-2</v>
      </c>
      <c r="H14" s="100"/>
    </row>
    <row r="15" spans="1:8" x14ac:dyDescent="0.2">
      <c r="A15" s="4">
        <v>9</v>
      </c>
      <c r="B15" s="5" t="s">
        <v>382</v>
      </c>
      <c r="C15" s="5" t="s">
        <v>383</v>
      </c>
      <c r="D15" s="5" t="s">
        <v>1009</v>
      </c>
      <c r="E15" s="6">
        <v>39513</v>
      </c>
      <c r="F15" s="7">
        <v>4362.8871644999999</v>
      </c>
      <c r="G15" s="8">
        <v>3.2574579999999999E-2</v>
      </c>
      <c r="H15" s="100"/>
    </row>
    <row r="16" spans="1:8" x14ac:dyDescent="0.2">
      <c r="A16" s="4">
        <v>10</v>
      </c>
      <c r="B16" s="5" t="s">
        <v>235</v>
      </c>
      <c r="C16" s="5" t="s">
        <v>236</v>
      </c>
      <c r="D16" s="5" t="s">
        <v>1005</v>
      </c>
      <c r="E16" s="6">
        <v>813298</v>
      </c>
      <c r="F16" s="7">
        <v>3555.3322069999999</v>
      </c>
      <c r="G16" s="8">
        <v>2.6545141000000001E-2</v>
      </c>
      <c r="H16" s="100"/>
    </row>
    <row r="17" spans="1:8" x14ac:dyDescent="0.2">
      <c r="A17" s="4">
        <v>11</v>
      </c>
      <c r="B17" s="5" t="s">
        <v>354</v>
      </c>
      <c r="C17" s="5" t="s">
        <v>355</v>
      </c>
      <c r="D17" s="5" t="s">
        <v>63</v>
      </c>
      <c r="E17" s="6">
        <v>595291</v>
      </c>
      <c r="F17" s="7">
        <v>3511.6216089999998</v>
      </c>
      <c r="G17" s="8">
        <v>2.6218785000000001E-2</v>
      </c>
      <c r="H17" s="100"/>
    </row>
    <row r="18" spans="1:8" x14ac:dyDescent="0.2">
      <c r="A18" s="4">
        <v>12</v>
      </c>
      <c r="B18" s="5" t="s">
        <v>200</v>
      </c>
      <c r="C18" s="5" t="s">
        <v>201</v>
      </c>
      <c r="D18" s="5" t="s">
        <v>1003</v>
      </c>
      <c r="E18" s="6">
        <v>536245</v>
      </c>
      <c r="F18" s="7">
        <v>3369.227335</v>
      </c>
      <c r="G18" s="8">
        <v>2.5155627999999999E-2</v>
      </c>
      <c r="H18" s="100"/>
    </row>
    <row r="19" spans="1:8" x14ac:dyDescent="0.2">
      <c r="A19" s="4">
        <v>13</v>
      </c>
      <c r="B19" s="5" t="s">
        <v>322</v>
      </c>
      <c r="C19" s="5" t="s">
        <v>323</v>
      </c>
      <c r="D19" s="5" t="s">
        <v>78</v>
      </c>
      <c r="E19" s="6">
        <v>533520</v>
      </c>
      <c r="F19" s="7">
        <v>2715.3500399999998</v>
      </c>
      <c r="G19" s="8">
        <v>2.0273590000000001E-2</v>
      </c>
      <c r="H19" s="100"/>
    </row>
    <row r="20" spans="1:8" x14ac:dyDescent="0.2">
      <c r="A20" s="4">
        <v>14</v>
      </c>
      <c r="B20" s="5" t="s">
        <v>212</v>
      </c>
      <c r="C20" s="5" t="s">
        <v>213</v>
      </c>
      <c r="D20" s="5" t="s">
        <v>38</v>
      </c>
      <c r="E20" s="6">
        <v>341244</v>
      </c>
      <c r="F20" s="7">
        <v>2446.378236</v>
      </c>
      <c r="G20" s="8">
        <v>1.8265369E-2</v>
      </c>
      <c r="H20" s="100"/>
    </row>
    <row r="21" spans="1:8" ht="25.5" x14ac:dyDescent="0.2">
      <c r="A21" s="4">
        <v>15</v>
      </c>
      <c r="B21" s="5" t="s">
        <v>370</v>
      </c>
      <c r="C21" s="5" t="s">
        <v>955</v>
      </c>
      <c r="D21" s="5" t="s">
        <v>63</v>
      </c>
      <c r="E21" s="6">
        <v>135000</v>
      </c>
      <c r="F21" s="7">
        <v>2418.39</v>
      </c>
      <c r="G21" s="8">
        <v>1.8056401E-2</v>
      </c>
      <c r="H21" s="100"/>
    </row>
    <row r="22" spans="1:8" x14ac:dyDescent="0.2">
      <c r="A22" s="4">
        <v>16</v>
      </c>
      <c r="B22" s="5" t="s">
        <v>484</v>
      </c>
      <c r="C22" s="5" t="s">
        <v>485</v>
      </c>
      <c r="D22" s="5" t="s">
        <v>1005</v>
      </c>
      <c r="E22" s="6">
        <v>1833250</v>
      </c>
      <c r="F22" s="7">
        <v>2380.4751249999999</v>
      </c>
      <c r="G22" s="8">
        <v>1.7773317E-2</v>
      </c>
      <c r="H22" s="100"/>
    </row>
    <row r="23" spans="1:8" x14ac:dyDescent="0.2">
      <c r="A23" s="4">
        <v>17</v>
      </c>
      <c r="B23" s="5" t="s">
        <v>577</v>
      </c>
      <c r="C23" s="5" t="s">
        <v>578</v>
      </c>
      <c r="D23" s="5" t="s">
        <v>272</v>
      </c>
      <c r="E23" s="6">
        <v>29389</v>
      </c>
      <c r="F23" s="7">
        <v>2336.0287484999999</v>
      </c>
      <c r="G23" s="8">
        <v>1.7441468000000002E-2</v>
      </c>
      <c r="H23" s="100"/>
    </row>
    <row r="24" spans="1:8" x14ac:dyDescent="0.2">
      <c r="A24" s="4">
        <v>18</v>
      </c>
      <c r="B24" s="5" t="s">
        <v>168</v>
      </c>
      <c r="C24" s="5" t="s">
        <v>169</v>
      </c>
      <c r="D24" s="5" t="s">
        <v>151</v>
      </c>
      <c r="E24" s="6">
        <v>1161536</v>
      </c>
      <c r="F24" s="7">
        <v>2291.1297599999998</v>
      </c>
      <c r="G24" s="8">
        <v>1.7106238999999999E-2</v>
      </c>
      <c r="H24" s="100"/>
    </row>
    <row r="25" spans="1:8" x14ac:dyDescent="0.2">
      <c r="A25" s="4">
        <v>19</v>
      </c>
      <c r="B25" s="5" t="s">
        <v>216</v>
      </c>
      <c r="C25" s="5" t="s">
        <v>217</v>
      </c>
      <c r="D25" s="5" t="s">
        <v>1005</v>
      </c>
      <c r="E25" s="6">
        <v>977918</v>
      </c>
      <c r="F25" s="7">
        <v>2060.4732260000001</v>
      </c>
      <c r="G25" s="8">
        <v>1.538409E-2</v>
      </c>
      <c r="H25" s="100"/>
    </row>
    <row r="26" spans="1:8" x14ac:dyDescent="0.2">
      <c r="A26" s="4">
        <v>20</v>
      </c>
      <c r="B26" s="5" t="s">
        <v>231</v>
      </c>
      <c r="C26" s="5" t="s">
        <v>935</v>
      </c>
      <c r="D26" s="5" t="s">
        <v>156</v>
      </c>
      <c r="E26" s="6">
        <v>405883</v>
      </c>
      <c r="F26" s="7">
        <v>2020.0796909999999</v>
      </c>
      <c r="G26" s="8">
        <v>1.50825E-2</v>
      </c>
      <c r="H26" s="100"/>
    </row>
    <row r="27" spans="1:8" x14ac:dyDescent="0.2">
      <c r="A27" s="4">
        <v>21</v>
      </c>
      <c r="B27" s="5" t="s">
        <v>579</v>
      </c>
      <c r="C27" s="5" t="s">
        <v>580</v>
      </c>
      <c r="D27" s="5" t="s">
        <v>1009</v>
      </c>
      <c r="E27" s="6">
        <v>287576</v>
      </c>
      <c r="F27" s="7">
        <v>1912.667976</v>
      </c>
      <c r="G27" s="8">
        <v>1.4280533E-2</v>
      </c>
      <c r="H27" s="100"/>
    </row>
    <row r="28" spans="1:8" x14ac:dyDescent="0.2">
      <c r="A28" s="4">
        <v>22</v>
      </c>
      <c r="B28" s="5" t="s">
        <v>581</v>
      </c>
      <c r="C28" s="5" t="s">
        <v>582</v>
      </c>
      <c r="D28" s="5" t="s">
        <v>172</v>
      </c>
      <c r="E28" s="6">
        <v>79522</v>
      </c>
      <c r="F28" s="7">
        <v>1904.5916609999999</v>
      </c>
      <c r="G28" s="8">
        <v>1.4220233000000001E-2</v>
      </c>
      <c r="H28" s="100"/>
    </row>
    <row r="29" spans="1:8" x14ac:dyDescent="0.2">
      <c r="A29" s="4">
        <v>23</v>
      </c>
      <c r="B29" s="5" t="s">
        <v>268</v>
      </c>
      <c r="C29" s="5" t="s">
        <v>269</v>
      </c>
      <c r="D29" s="5" t="s">
        <v>1005</v>
      </c>
      <c r="E29" s="6">
        <v>5219237</v>
      </c>
      <c r="F29" s="7">
        <v>1847.6098979999999</v>
      </c>
      <c r="G29" s="8">
        <v>1.3794791000000001E-2</v>
      </c>
      <c r="H29" s="100"/>
    </row>
    <row r="30" spans="1:8" x14ac:dyDescent="0.2">
      <c r="A30" s="4">
        <v>24</v>
      </c>
      <c r="B30" s="5" t="s">
        <v>330</v>
      </c>
      <c r="C30" s="5" t="s">
        <v>331</v>
      </c>
      <c r="D30" s="5" t="s">
        <v>272</v>
      </c>
      <c r="E30" s="6">
        <v>222388</v>
      </c>
      <c r="F30" s="7">
        <v>1727.2875959999999</v>
      </c>
      <c r="G30" s="8">
        <v>1.289643E-2</v>
      </c>
      <c r="H30" s="100"/>
    </row>
    <row r="31" spans="1:8" x14ac:dyDescent="0.2">
      <c r="A31" s="4">
        <v>25</v>
      </c>
      <c r="B31" s="5" t="s">
        <v>293</v>
      </c>
      <c r="C31" s="5" t="s">
        <v>294</v>
      </c>
      <c r="D31" s="5" t="s">
        <v>172</v>
      </c>
      <c r="E31" s="6">
        <v>51981</v>
      </c>
      <c r="F31" s="7">
        <v>1662.0924749999999</v>
      </c>
      <c r="G31" s="8">
        <v>1.2409664000000001E-2</v>
      </c>
      <c r="H31" s="100"/>
    </row>
    <row r="32" spans="1:8" x14ac:dyDescent="0.2">
      <c r="A32" s="4">
        <v>26</v>
      </c>
      <c r="B32" s="5" t="s">
        <v>340</v>
      </c>
      <c r="C32" s="5" t="s">
        <v>341</v>
      </c>
      <c r="D32" s="5" t="s">
        <v>228</v>
      </c>
      <c r="E32" s="6">
        <v>5592</v>
      </c>
      <c r="F32" s="7">
        <v>1658.620752</v>
      </c>
      <c r="G32" s="8">
        <v>1.2383742999999999E-2</v>
      </c>
      <c r="H32" s="100"/>
    </row>
    <row r="33" spans="1:8" x14ac:dyDescent="0.2">
      <c r="A33" s="4">
        <v>27</v>
      </c>
      <c r="B33" s="5" t="s">
        <v>397</v>
      </c>
      <c r="C33" s="5" t="s">
        <v>398</v>
      </c>
      <c r="D33" s="5" t="s">
        <v>22</v>
      </c>
      <c r="E33" s="6">
        <v>228175</v>
      </c>
      <c r="F33" s="7">
        <v>1631.2230750000001</v>
      </c>
      <c r="G33" s="8">
        <v>1.2179183999999999E-2</v>
      </c>
      <c r="H33" s="100"/>
    </row>
    <row r="34" spans="1:8" x14ac:dyDescent="0.2">
      <c r="A34" s="4">
        <v>28</v>
      </c>
      <c r="B34" s="5" t="s">
        <v>170</v>
      </c>
      <c r="C34" s="5" t="s">
        <v>171</v>
      </c>
      <c r="D34" s="5" t="s">
        <v>172</v>
      </c>
      <c r="E34" s="6">
        <v>157594</v>
      </c>
      <c r="F34" s="7">
        <v>1615.4960940000001</v>
      </c>
      <c r="G34" s="8">
        <v>1.2061762E-2</v>
      </c>
      <c r="H34" s="100"/>
    </row>
    <row r="35" spans="1:8" x14ac:dyDescent="0.2">
      <c r="A35" s="4">
        <v>29</v>
      </c>
      <c r="B35" s="5" t="s">
        <v>61</v>
      </c>
      <c r="C35" s="5" t="s">
        <v>62</v>
      </c>
      <c r="D35" s="5" t="s">
        <v>63</v>
      </c>
      <c r="E35" s="6">
        <v>298141</v>
      </c>
      <c r="F35" s="7">
        <v>1592.371081</v>
      </c>
      <c r="G35" s="8">
        <v>1.1889103999999999E-2</v>
      </c>
      <c r="H35" s="100"/>
    </row>
    <row r="36" spans="1:8" ht="25.5" x14ac:dyDescent="0.2">
      <c r="A36" s="4">
        <v>30</v>
      </c>
      <c r="B36" s="5" t="s">
        <v>419</v>
      </c>
      <c r="C36" s="5" t="s">
        <v>420</v>
      </c>
      <c r="D36" s="5" t="s">
        <v>1009</v>
      </c>
      <c r="E36" s="6">
        <v>106121</v>
      </c>
      <c r="F36" s="7">
        <v>1500.5509400000001</v>
      </c>
      <c r="G36" s="8">
        <v>1.1203548000000001E-2</v>
      </c>
      <c r="H36" s="100"/>
    </row>
    <row r="37" spans="1:8" x14ac:dyDescent="0.2">
      <c r="A37" s="4">
        <v>31</v>
      </c>
      <c r="B37" s="5" t="s">
        <v>237</v>
      </c>
      <c r="C37" s="5" t="s">
        <v>951</v>
      </c>
      <c r="D37" s="5" t="s">
        <v>1006</v>
      </c>
      <c r="E37" s="6">
        <v>387493</v>
      </c>
      <c r="F37" s="7">
        <v>1434.886579</v>
      </c>
      <c r="G37" s="8">
        <v>1.0713278999999999E-2</v>
      </c>
      <c r="H37" s="100"/>
    </row>
    <row r="38" spans="1:8" x14ac:dyDescent="0.2">
      <c r="A38" s="4">
        <v>32</v>
      </c>
      <c r="B38" s="5" t="s">
        <v>373</v>
      </c>
      <c r="C38" s="5" t="s">
        <v>374</v>
      </c>
      <c r="D38" s="5" t="s">
        <v>375</v>
      </c>
      <c r="E38" s="6">
        <v>387226</v>
      </c>
      <c r="F38" s="7">
        <v>1399.628377</v>
      </c>
      <c r="G38" s="8">
        <v>1.0450031E-2</v>
      </c>
      <c r="H38" s="100"/>
    </row>
    <row r="39" spans="1:8" x14ac:dyDescent="0.2">
      <c r="A39" s="4">
        <v>33</v>
      </c>
      <c r="B39" s="5" t="s">
        <v>572</v>
      </c>
      <c r="C39" s="5" t="s">
        <v>573</v>
      </c>
      <c r="D39" s="5" t="s">
        <v>58</v>
      </c>
      <c r="E39" s="6">
        <v>84225</v>
      </c>
      <c r="F39" s="7">
        <v>1256.3422125</v>
      </c>
      <c r="G39" s="8">
        <v>9.3802150000000008E-3</v>
      </c>
      <c r="H39" s="100"/>
    </row>
    <row r="40" spans="1:8" x14ac:dyDescent="0.2">
      <c r="A40" s="4">
        <v>34</v>
      </c>
      <c r="B40" s="5" t="s">
        <v>423</v>
      </c>
      <c r="C40" s="5" t="s">
        <v>424</v>
      </c>
      <c r="D40" s="5" t="s">
        <v>22</v>
      </c>
      <c r="E40" s="6">
        <v>70315</v>
      </c>
      <c r="F40" s="7">
        <v>1229.6687199999999</v>
      </c>
      <c r="G40" s="8">
        <v>9.1810629999999997E-3</v>
      </c>
      <c r="H40" s="100"/>
    </row>
    <row r="41" spans="1:8" x14ac:dyDescent="0.2">
      <c r="A41" s="4">
        <v>35</v>
      </c>
      <c r="B41" s="5" t="s">
        <v>451</v>
      </c>
      <c r="C41" s="5" t="s">
        <v>452</v>
      </c>
      <c r="D41" s="5" t="s">
        <v>63</v>
      </c>
      <c r="E41" s="6">
        <v>450000</v>
      </c>
      <c r="F41" s="7">
        <v>1190.25</v>
      </c>
      <c r="G41" s="8">
        <v>8.886751E-3</v>
      </c>
      <c r="H41" s="100"/>
    </row>
    <row r="42" spans="1:8" x14ac:dyDescent="0.2">
      <c r="A42" s="4">
        <v>36</v>
      </c>
      <c r="B42" s="5" t="s">
        <v>184</v>
      </c>
      <c r="C42" s="5" t="s">
        <v>185</v>
      </c>
      <c r="D42" s="5" t="s">
        <v>172</v>
      </c>
      <c r="E42" s="6">
        <v>652856</v>
      </c>
      <c r="F42" s="7">
        <v>1159.472256</v>
      </c>
      <c r="G42" s="8">
        <v>8.6569560000000004E-3</v>
      </c>
      <c r="H42" s="100"/>
    </row>
    <row r="43" spans="1:8" x14ac:dyDescent="0.2">
      <c r="A43" s="4">
        <v>37</v>
      </c>
      <c r="B43" s="5" t="s">
        <v>258</v>
      </c>
      <c r="C43" s="5" t="s">
        <v>259</v>
      </c>
      <c r="D43" s="5" t="s">
        <v>1006</v>
      </c>
      <c r="E43" s="6">
        <v>78310</v>
      </c>
      <c r="F43" s="7">
        <v>1156.051375</v>
      </c>
      <c r="G43" s="8">
        <v>8.6314149999999999E-3</v>
      </c>
      <c r="H43" s="100"/>
    </row>
    <row r="44" spans="1:8" x14ac:dyDescent="0.2">
      <c r="A44" s="4">
        <v>38</v>
      </c>
      <c r="B44" s="5" t="s">
        <v>204</v>
      </c>
      <c r="C44" s="5" t="s">
        <v>205</v>
      </c>
      <c r="D44" s="5" t="s">
        <v>1004</v>
      </c>
      <c r="E44" s="6">
        <v>404089</v>
      </c>
      <c r="F44" s="7">
        <v>1098.717991</v>
      </c>
      <c r="G44" s="8">
        <v>8.2033469999999997E-3</v>
      </c>
      <c r="H44" s="100"/>
    </row>
    <row r="45" spans="1:8" x14ac:dyDescent="0.2">
      <c r="A45" s="4">
        <v>39</v>
      </c>
      <c r="B45" s="5" t="s">
        <v>583</v>
      </c>
      <c r="C45" s="5" t="s">
        <v>584</v>
      </c>
      <c r="D45" s="5" t="s">
        <v>272</v>
      </c>
      <c r="E45" s="6">
        <v>22186</v>
      </c>
      <c r="F45" s="7">
        <v>1090.375342</v>
      </c>
      <c r="G45" s="8">
        <v>8.1410579999999996E-3</v>
      </c>
      <c r="H45" s="100"/>
    </row>
    <row r="46" spans="1:8" x14ac:dyDescent="0.2">
      <c r="A46" s="4">
        <v>40</v>
      </c>
      <c r="B46" s="5" t="s">
        <v>585</v>
      </c>
      <c r="C46" s="5" t="s">
        <v>937</v>
      </c>
      <c r="D46" s="5" t="s">
        <v>1006</v>
      </c>
      <c r="E46" s="6">
        <v>168338</v>
      </c>
      <c r="F46" s="7">
        <v>1075.932327</v>
      </c>
      <c r="G46" s="8">
        <v>8.0332230000000008E-3</v>
      </c>
      <c r="H46" s="100"/>
    </row>
    <row r="47" spans="1:8" x14ac:dyDescent="0.2">
      <c r="A47" s="4">
        <v>41</v>
      </c>
      <c r="B47" s="5" t="s">
        <v>247</v>
      </c>
      <c r="C47" s="5" t="s">
        <v>248</v>
      </c>
      <c r="D47" s="5" t="s">
        <v>1005</v>
      </c>
      <c r="E47" s="6">
        <v>552714</v>
      </c>
      <c r="F47" s="7">
        <v>1035.786036</v>
      </c>
      <c r="G47" s="8">
        <v>7.7334789999999997E-3</v>
      </c>
      <c r="H47" s="100"/>
    </row>
    <row r="48" spans="1:8" x14ac:dyDescent="0.2">
      <c r="A48" s="4">
        <v>42</v>
      </c>
      <c r="B48" s="5" t="s">
        <v>553</v>
      </c>
      <c r="C48" s="5" t="s">
        <v>554</v>
      </c>
      <c r="D48" s="5" t="s">
        <v>1006</v>
      </c>
      <c r="E48" s="6">
        <v>40656</v>
      </c>
      <c r="F48" s="7">
        <v>944.54052000000001</v>
      </c>
      <c r="G48" s="8">
        <v>7.0522129999999999E-3</v>
      </c>
      <c r="H48" s="100"/>
    </row>
    <row r="49" spans="1:8" x14ac:dyDescent="0.2">
      <c r="A49" s="4">
        <v>43</v>
      </c>
      <c r="B49" s="5" t="s">
        <v>586</v>
      </c>
      <c r="C49" s="5" t="s">
        <v>587</v>
      </c>
      <c r="D49" s="5" t="s">
        <v>272</v>
      </c>
      <c r="E49" s="6">
        <v>22461</v>
      </c>
      <c r="F49" s="7">
        <v>640.78986899999995</v>
      </c>
      <c r="G49" s="8">
        <v>4.784323E-3</v>
      </c>
      <c r="H49" s="100"/>
    </row>
    <row r="50" spans="1:8" x14ac:dyDescent="0.2">
      <c r="A50" s="4">
        <v>44</v>
      </c>
      <c r="B50" s="5" t="s">
        <v>284</v>
      </c>
      <c r="C50" s="5" t="s">
        <v>285</v>
      </c>
      <c r="D50" s="5" t="s">
        <v>1005</v>
      </c>
      <c r="E50" s="6">
        <v>2402077</v>
      </c>
      <c r="F50" s="7">
        <v>602.92132700000002</v>
      </c>
      <c r="G50" s="8">
        <v>4.5015849999999998E-3</v>
      </c>
      <c r="H50" s="100"/>
    </row>
    <row r="51" spans="1:8" x14ac:dyDescent="0.2">
      <c r="A51" s="4">
        <v>45</v>
      </c>
      <c r="B51" s="5" t="s">
        <v>403</v>
      </c>
      <c r="C51" s="5" t="s">
        <v>404</v>
      </c>
      <c r="D51" s="5" t="s">
        <v>1009</v>
      </c>
      <c r="E51" s="6">
        <v>63046</v>
      </c>
      <c r="F51" s="7">
        <v>585.50820199999998</v>
      </c>
      <c r="G51" s="8">
        <v>4.3715739999999996E-3</v>
      </c>
      <c r="H51" s="100"/>
    </row>
    <row r="52" spans="1:8" x14ac:dyDescent="0.2">
      <c r="A52" s="4">
        <v>46</v>
      </c>
      <c r="B52" s="5" t="s">
        <v>559</v>
      </c>
      <c r="C52" s="5" t="s">
        <v>560</v>
      </c>
      <c r="D52" s="5" t="s">
        <v>1004</v>
      </c>
      <c r="E52" s="6">
        <v>32695</v>
      </c>
      <c r="F52" s="7">
        <v>567.83041249999997</v>
      </c>
      <c r="G52" s="8">
        <v>4.239586E-3</v>
      </c>
      <c r="H52" s="100"/>
    </row>
    <row r="53" spans="1:8" x14ac:dyDescent="0.2">
      <c r="A53" s="4">
        <v>47</v>
      </c>
      <c r="B53" s="5" t="s">
        <v>566</v>
      </c>
      <c r="C53" s="5" t="s">
        <v>567</v>
      </c>
      <c r="D53" s="5" t="s">
        <v>156</v>
      </c>
      <c r="E53" s="6">
        <v>6663</v>
      </c>
      <c r="F53" s="7">
        <v>363.26009699999997</v>
      </c>
      <c r="G53" s="8">
        <v>2.7122050000000001E-3</v>
      </c>
      <c r="H53" s="100"/>
    </row>
    <row r="54" spans="1:8" x14ac:dyDescent="0.2">
      <c r="A54" s="15" t="s">
        <v>9</v>
      </c>
      <c r="B54" s="15" t="s">
        <v>9</v>
      </c>
      <c r="C54" s="3" t="s">
        <v>94</v>
      </c>
      <c r="D54" s="15" t="s">
        <v>9</v>
      </c>
      <c r="E54" s="15" t="s">
        <v>9</v>
      </c>
      <c r="F54" s="9">
        <v>128711.399706</v>
      </c>
      <c r="G54" s="10">
        <v>0.96099661199999997</v>
      </c>
      <c r="H54" s="100"/>
    </row>
    <row r="55" spans="1:8" x14ac:dyDescent="0.2">
      <c r="A55" s="15" t="s">
        <v>9</v>
      </c>
      <c r="B55" s="15" t="s">
        <v>9</v>
      </c>
      <c r="C55" s="11" t="s">
        <v>9</v>
      </c>
      <c r="D55" s="15" t="s">
        <v>9</v>
      </c>
      <c r="E55" s="15" t="s">
        <v>9</v>
      </c>
      <c r="F55" s="12" t="s">
        <v>9</v>
      </c>
      <c r="G55" s="12" t="s">
        <v>9</v>
      </c>
      <c r="H55" s="100"/>
    </row>
    <row r="56" spans="1:8" x14ac:dyDescent="0.2">
      <c r="A56" s="15" t="s">
        <v>9</v>
      </c>
      <c r="B56" s="15" t="s">
        <v>9</v>
      </c>
      <c r="C56" s="3" t="s">
        <v>95</v>
      </c>
      <c r="D56" s="15" t="s">
        <v>9</v>
      </c>
      <c r="E56" s="15" t="s">
        <v>9</v>
      </c>
      <c r="F56" s="15" t="s">
        <v>9</v>
      </c>
      <c r="G56" s="15" t="s">
        <v>9</v>
      </c>
      <c r="H56" s="100"/>
    </row>
    <row r="57" spans="1:8" x14ac:dyDescent="0.2">
      <c r="A57" s="15" t="s">
        <v>9</v>
      </c>
      <c r="B57" s="15" t="s">
        <v>9</v>
      </c>
      <c r="C57" s="3" t="s">
        <v>94</v>
      </c>
      <c r="D57" s="15" t="s">
        <v>9</v>
      </c>
      <c r="E57" s="15" t="s">
        <v>9</v>
      </c>
      <c r="F57" s="13">
        <v>0</v>
      </c>
      <c r="G57" s="14">
        <v>0</v>
      </c>
      <c r="H57" s="100"/>
    </row>
    <row r="58" spans="1:8" x14ac:dyDescent="0.2">
      <c r="A58" s="15" t="s">
        <v>9</v>
      </c>
      <c r="B58" s="15" t="s">
        <v>9</v>
      </c>
      <c r="C58" s="11" t="s">
        <v>9</v>
      </c>
      <c r="D58" s="15" t="s">
        <v>9</v>
      </c>
      <c r="E58" s="15" t="s">
        <v>9</v>
      </c>
      <c r="F58" s="12" t="s">
        <v>9</v>
      </c>
      <c r="G58" s="12" t="s">
        <v>9</v>
      </c>
      <c r="H58" s="100"/>
    </row>
    <row r="59" spans="1:8" x14ac:dyDescent="0.2">
      <c r="A59" s="15" t="s">
        <v>9</v>
      </c>
      <c r="B59" s="15" t="s">
        <v>9</v>
      </c>
      <c r="C59" s="3" t="s">
        <v>96</v>
      </c>
      <c r="D59" s="15" t="s">
        <v>9</v>
      </c>
      <c r="E59" s="15" t="s">
        <v>9</v>
      </c>
      <c r="F59" s="15" t="s">
        <v>9</v>
      </c>
      <c r="G59" s="15" t="s">
        <v>9</v>
      </c>
      <c r="H59" s="100"/>
    </row>
    <row r="60" spans="1:8" x14ac:dyDescent="0.2">
      <c r="A60" s="15" t="s">
        <v>9</v>
      </c>
      <c r="B60" s="15" t="s">
        <v>9</v>
      </c>
      <c r="C60" s="3" t="s">
        <v>94</v>
      </c>
      <c r="D60" s="15" t="s">
        <v>9</v>
      </c>
      <c r="E60" s="15" t="s">
        <v>9</v>
      </c>
      <c r="F60" s="13">
        <v>0</v>
      </c>
      <c r="G60" s="14">
        <v>0</v>
      </c>
      <c r="H60" s="100"/>
    </row>
    <row r="61" spans="1:8" x14ac:dyDescent="0.2">
      <c r="A61" s="15" t="s">
        <v>9</v>
      </c>
      <c r="B61" s="15" t="s">
        <v>9</v>
      </c>
      <c r="C61" s="11" t="s">
        <v>9</v>
      </c>
      <c r="D61" s="15" t="s">
        <v>9</v>
      </c>
      <c r="E61" s="15" t="s">
        <v>9</v>
      </c>
      <c r="F61" s="12" t="s">
        <v>9</v>
      </c>
      <c r="G61" s="12" t="s">
        <v>9</v>
      </c>
      <c r="H61" s="100"/>
    </row>
    <row r="62" spans="1:8" x14ac:dyDescent="0.2">
      <c r="A62" s="15" t="s">
        <v>9</v>
      </c>
      <c r="B62" s="15" t="s">
        <v>9</v>
      </c>
      <c r="C62" s="3" t="s">
        <v>100</v>
      </c>
      <c r="D62" s="15" t="s">
        <v>9</v>
      </c>
      <c r="E62" s="15" t="s">
        <v>9</v>
      </c>
      <c r="F62" s="15" t="s">
        <v>9</v>
      </c>
      <c r="G62" s="15" t="s">
        <v>9</v>
      </c>
      <c r="H62" s="100"/>
    </row>
    <row r="63" spans="1:8" x14ac:dyDescent="0.2">
      <c r="A63" s="15" t="s">
        <v>9</v>
      </c>
      <c r="B63" s="15" t="s">
        <v>9</v>
      </c>
      <c r="C63" s="3" t="s">
        <v>94</v>
      </c>
      <c r="D63" s="15" t="s">
        <v>9</v>
      </c>
      <c r="E63" s="15" t="s">
        <v>9</v>
      </c>
      <c r="F63" s="13">
        <v>0</v>
      </c>
      <c r="G63" s="14">
        <v>0</v>
      </c>
      <c r="H63" s="100"/>
    </row>
    <row r="64" spans="1:8" x14ac:dyDescent="0.2">
      <c r="A64" s="15" t="s">
        <v>9</v>
      </c>
      <c r="B64" s="15" t="s">
        <v>9</v>
      </c>
      <c r="C64" s="11" t="s">
        <v>9</v>
      </c>
      <c r="D64" s="15" t="s">
        <v>9</v>
      </c>
      <c r="E64" s="15" t="s">
        <v>9</v>
      </c>
      <c r="F64" s="12" t="s">
        <v>9</v>
      </c>
      <c r="G64" s="12" t="s">
        <v>9</v>
      </c>
      <c r="H64" s="100"/>
    </row>
    <row r="65" spans="1:8" x14ac:dyDescent="0.2">
      <c r="A65" s="15" t="s">
        <v>9</v>
      </c>
      <c r="B65" s="15" t="s">
        <v>9</v>
      </c>
      <c r="C65" s="3" t="s">
        <v>101</v>
      </c>
      <c r="D65" s="15" t="s">
        <v>9</v>
      </c>
      <c r="E65" s="15" t="s">
        <v>9</v>
      </c>
      <c r="F65" s="12" t="s">
        <v>9</v>
      </c>
      <c r="G65" s="12" t="s">
        <v>9</v>
      </c>
      <c r="H65" s="100"/>
    </row>
    <row r="66" spans="1:8" x14ac:dyDescent="0.2">
      <c r="A66" s="15" t="s">
        <v>9</v>
      </c>
      <c r="B66" s="15" t="s">
        <v>9</v>
      </c>
      <c r="C66" s="3" t="s">
        <v>94</v>
      </c>
      <c r="D66" s="15" t="s">
        <v>9</v>
      </c>
      <c r="E66" s="15" t="s">
        <v>9</v>
      </c>
      <c r="F66" s="13">
        <v>0</v>
      </c>
      <c r="G66" s="14">
        <v>0</v>
      </c>
      <c r="H66" s="100"/>
    </row>
    <row r="67" spans="1:8" x14ac:dyDescent="0.2">
      <c r="A67" s="15" t="s">
        <v>9</v>
      </c>
      <c r="B67" s="15" t="s">
        <v>9</v>
      </c>
      <c r="C67" s="11" t="s">
        <v>9</v>
      </c>
      <c r="D67" s="15" t="s">
        <v>9</v>
      </c>
      <c r="E67" s="15" t="s">
        <v>9</v>
      </c>
      <c r="F67" s="12" t="s">
        <v>9</v>
      </c>
      <c r="G67" s="12" t="s">
        <v>9</v>
      </c>
      <c r="H67" s="100"/>
    </row>
    <row r="68" spans="1:8" x14ac:dyDescent="0.2">
      <c r="A68" s="15" t="s">
        <v>9</v>
      </c>
      <c r="B68" s="15" t="s">
        <v>9</v>
      </c>
      <c r="C68" s="3" t="s">
        <v>102</v>
      </c>
      <c r="D68" s="15" t="s">
        <v>9</v>
      </c>
      <c r="E68" s="15" t="s">
        <v>9</v>
      </c>
      <c r="F68" s="12" t="s">
        <v>9</v>
      </c>
      <c r="G68" s="12" t="s">
        <v>9</v>
      </c>
      <c r="H68" s="100"/>
    </row>
    <row r="69" spans="1:8" x14ac:dyDescent="0.2">
      <c r="A69" s="15" t="s">
        <v>9</v>
      </c>
      <c r="B69" s="15" t="s">
        <v>9</v>
      </c>
      <c r="C69" s="3" t="s">
        <v>94</v>
      </c>
      <c r="D69" s="15" t="s">
        <v>9</v>
      </c>
      <c r="E69" s="15" t="s">
        <v>9</v>
      </c>
      <c r="F69" s="13">
        <v>0</v>
      </c>
      <c r="G69" s="14">
        <v>0</v>
      </c>
      <c r="H69" s="100"/>
    </row>
    <row r="70" spans="1:8" x14ac:dyDescent="0.2">
      <c r="A70" s="15" t="s">
        <v>9</v>
      </c>
      <c r="B70" s="15" t="s">
        <v>9</v>
      </c>
      <c r="C70" s="11" t="s">
        <v>9</v>
      </c>
      <c r="D70" s="15" t="s">
        <v>9</v>
      </c>
      <c r="E70" s="15" t="s">
        <v>9</v>
      </c>
      <c r="F70" s="12" t="s">
        <v>9</v>
      </c>
      <c r="G70" s="12" t="s">
        <v>9</v>
      </c>
      <c r="H70" s="100"/>
    </row>
    <row r="71" spans="1:8" x14ac:dyDescent="0.2">
      <c r="A71" s="15" t="s">
        <v>9</v>
      </c>
      <c r="B71" s="15" t="s">
        <v>9</v>
      </c>
      <c r="C71" s="3" t="s">
        <v>104</v>
      </c>
      <c r="D71" s="15" t="s">
        <v>9</v>
      </c>
      <c r="E71" s="15" t="s">
        <v>9</v>
      </c>
      <c r="F71" s="9">
        <v>128711.399706</v>
      </c>
      <c r="G71" s="10">
        <v>0.96099661199999997</v>
      </c>
      <c r="H71" s="100"/>
    </row>
    <row r="72" spans="1:8" x14ac:dyDescent="0.2">
      <c r="A72" s="15" t="s">
        <v>9</v>
      </c>
      <c r="B72" s="15" t="s">
        <v>9</v>
      </c>
      <c r="C72" s="11" t="s">
        <v>9</v>
      </c>
      <c r="D72" s="15" t="s">
        <v>9</v>
      </c>
      <c r="E72" s="15" t="s">
        <v>9</v>
      </c>
      <c r="F72" s="12" t="s">
        <v>9</v>
      </c>
      <c r="G72" s="12" t="s">
        <v>9</v>
      </c>
      <c r="H72" s="100"/>
    </row>
    <row r="73" spans="1:8" x14ac:dyDescent="0.2">
      <c r="A73" s="15" t="s">
        <v>9</v>
      </c>
      <c r="B73" s="15" t="s">
        <v>9</v>
      </c>
      <c r="C73" s="3" t="s">
        <v>105</v>
      </c>
      <c r="D73" s="15" t="s">
        <v>9</v>
      </c>
      <c r="E73" s="15" t="s">
        <v>9</v>
      </c>
      <c r="F73" s="12" t="s">
        <v>9</v>
      </c>
      <c r="G73" s="12" t="s">
        <v>9</v>
      </c>
      <c r="H73" s="100"/>
    </row>
    <row r="74" spans="1:8" ht="25.5" x14ac:dyDescent="0.2">
      <c r="A74" s="15" t="s">
        <v>9</v>
      </c>
      <c r="B74" s="15" t="s">
        <v>9</v>
      </c>
      <c r="C74" s="3" t="s">
        <v>11</v>
      </c>
      <c r="D74" s="15" t="s">
        <v>9</v>
      </c>
      <c r="E74" s="15" t="s">
        <v>9</v>
      </c>
      <c r="F74" s="12" t="s">
        <v>9</v>
      </c>
      <c r="G74" s="12" t="s">
        <v>9</v>
      </c>
      <c r="H74" s="100"/>
    </row>
    <row r="75" spans="1:8" x14ac:dyDescent="0.2">
      <c r="A75" s="15" t="s">
        <v>9</v>
      </c>
      <c r="B75" s="15" t="s">
        <v>9</v>
      </c>
      <c r="C75" s="3" t="s">
        <v>94</v>
      </c>
      <c r="D75" s="15" t="s">
        <v>9</v>
      </c>
      <c r="E75" s="15" t="s">
        <v>9</v>
      </c>
      <c r="F75" s="13">
        <v>0</v>
      </c>
      <c r="G75" s="14">
        <v>0</v>
      </c>
      <c r="H75" s="100"/>
    </row>
    <row r="76" spans="1:8" x14ac:dyDescent="0.2">
      <c r="A76" s="15" t="s">
        <v>9</v>
      </c>
      <c r="B76" s="15" t="s">
        <v>9</v>
      </c>
      <c r="C76" s="11" t="s">
        <v>9</v>
      </c>
      <c r="D76" s="15" t="s">
        <v>9</v>
      </c>
      <c r="E76" s="15" t="s">
        <v>9</v>
      </c>
      <c r="F76" s="12" t="s">
        <v>9</v>
      </c>
      <c r="G76" s="12" t="s">
        <v>9</v>
      </c>
      <c r="H76" s="100"/>
    </row>
    <row r="77" spans="1:8" x14ac:dyDescent="0.2">
      <c r="A77" s="15" t="s">
        <v>9</v>
      </c>
      <c r="B77" s="15" t="s">
        <v>9</v>
      </c>
      <c r="C77" s="3" t="s">
        <v>106</v>
      </c>
      <c r="D77" s="15" t="s">
        <v>9</v>
      </c>
      <c r="E77" s="15" t="s">
        <v>9</v>
      </c>
      <c r="F77" s="15" t="s">
        <v>9</v>
      </c>
      <c r="G77" s="15" t="s">
        <v>9</v>
      </c>
      <c r="H77" s="100"/>
    </row>
    <row r="78" spans="1:8" x14ac:dyDescent="0.2">
      <c r="A78" s="15" t="s">
        <v>9</v>
      </c>
      <c r="B78" s="15" t="s">
        <v>9</v>
      </c>
      <c r="C78" s="3" t="s">
        <v>94</v>
      </c>
      <c r="D78" s="15" t="s">
        <v>9</v>
      </c>
      <c r="E78" s="15" t="s">
        <v>9</v>
      </c>
      <c r="F78" s="13">
        <v>0</v>
      </c>
      <c r="G78" s="14">
        <v>0</v>
      </c>
      <c r="H78" s="100"/>
    </row>
    <row r="79" spans="1:8" x14ac:dyDescent="0.2">
      <c r="A79" s="15" t="s">
        <v>9</v>
      </c>
      <c r="B79" s="15" t="s">
        <v>9</v>
      </c>
      <c r="C79" s="11" t="s">
        <v>9</v>
      </c>
      <c r="D79" s="15" t="s">
        <v>9</v>
      </c>
      <c r="E79" s="15" t="s">
        <v>9</v>
      </c>
      <c r="F79" s="12" t="s">
        <v>9</v>
      </c>
      <c r="G79" s="12" t="s">
        <v>9</v>
      </c>
      <c r="H79" s="100"/>
    </row>
    <row r="80" spans="1:8" x14ac:dyDescent="0.2">
      <c r="A80" s="15" t="s">
        <v>9</v>
      </c>
      <c r="B80" s="15" t="s">
        <v>9</v>
      </c>
      <c r="C80" s="3" t="s">
        <v>107</v>
      </c>
      <c r="D80" s="15" t="s">
        <v>9</v>
      </c>
      <c r="E80" s="15" t="s">
        <v>9</v>
      </c>
      <c r="F80" s="15" t="s">
        <v>9</v>
      </c>
      <c r="G80" s="15" t="s">
        <v>9</v>
      </c>
      <c r="H80" s="100"/>
    </row>
    <row r="81" spans="1:8" x14ac:dyDescent="0.2">
      <c r="A81" s="15" t="s">
        <v>9</v>
      </c>
      <c r="B81" s="15" t="s">
        <v>9</v>
      </c>
      <c r="C81" s="3" t="s">
        <v>94</v>
      </c>
      <c r="D81" s="15" t="s">
        <v>9</v>
      </c>
      <c r="E81" s="15" t="s">
        <v>9</v>
      </c>
      <c r="F81" s="13">
        <v>0</v>
      </c>
      <c r="G81" s="14">
        <v>0</v>
      </c>
      <c r="H81" s="100"/>
    </row>
    <row r="82" spans="1:8" x14ac:dyDescent="0.2">
      <c r="A82" s="15" t="s">
        <v>9</v>
      </c>
      <c r="B82" s="15" t="s">
        <v>9</v>
      </c>
      <c r="C82" s="11" t="s">
        <v>9</v>
      </c>
      <c r="D82" s="15" t="s">
        <v>9</v>
      </c>
      <c r="E82" s="15" t="s">
        <v>9</v>
      </c>
      <c r="F82" s="12" t="s">
        <v>9</v>
      </c>
      <c r="G82" s="12" t="s">
        <v>9</v>
      </c>
      <c r="H82" s="100"/>
    </row>
    <row r="83" spans="1:8" x14ac:dyDescent="0.2">
      <c r="A83" s="15" t="s">
        <v>9</v>
      </c>
      <c r="B83" s="15" t="s">
        <v>9</v>
      </c>
      <c r="C83" s="3" t="s">
        <v>108</v>
      </c>
      <c r="D83" s="15" t="s">
        <v>9</v>
      </c>
      <c r="E83" s="15" t="s">
        <v>9</v>
      </c>
      <c r="F83" s="12" t="s">
        <v>9</v>
      </c>
      <c r="G83" s="12" t="s">
        <v>9</v>
      </c>
      <c r="H83" s="100"/>
    </row>
    <row r="84" spans="1:8" x14ac:dyDescent="0.2">
      <c r="A84" s="15" t="s">
        <v>9</v>
      </c>
      <c r="B84" s="15" t="s">
        <v>9</v>
      </c>
      <c r="C84" s="3" t="s">
        <v>94</v>
      </c>
      <c r="D84" s="15" t="s">
        <v>9</v>
      </c>
      <c r="E84" s="15" t="s">
        <v>9</v>
      </c>
      <c r="F84" s="13">
        <v>0</v>
      </c>
      <c r="G84" s="14">
        <v>0</v>
      </c>
      <c r="H84" s="100"/>
    </row>
    <row r="85" spans="1:8" x14ac:dyDescent="0.2">
      <c r="A85" s="15" t="s">
        <v>9</v>
      </c>
      <c r="B85" s="15" t="s">
        <v>9</v>
      </c>
      <c r="C85" s="11" t="s">
        <v>9</v>
      </c>
      <c r="D85" s="15" t="s">
        <v>9</v>
      </c>
      <c r="E85" s="15" t="s">
        <v>9</v>
      </c>
      <c r="F85" s="12" t="s">
        <v>9</v>
      </c>
      <c r="G85" s="12" t="s">
        <v>9</v>
      </c>
      <c r="H85" s="100"/>
    </row>
    <row r="86" spans="1:8" x14ac:dyDescent="0.2">
      <c r="A86" s="15" t="s">
        <v>9</v>
      </c>
      <c r="B86" s="15" t="s">
        <v>9</v>
      </c>
      <c r="C86" s="3" t="s">
        <v>109</v>
      </c>
      <c r="D86" s="15" t="s">
        <v>9</v>
      </c>
      <c r="E86" s="15" t="s">
        <v>9</v>
      </c>
      <c r="F86" s="9">
        <v>0</v>
      </c>
      <c r="G86" s="10">
        <v>0</v>
      </c>
      <c r="H86" s="100"/>
    </row>
    <row r="87" spans="1:8" x14ac:dyDescent="0.2">
      <c r="A87" s="15" t="s">
        <v>9</v>
      </c>
      <c r="B87" s="15" t="s">
        <v>9</v>
      </c>
      <c r="C87" s="11" t="s">
        <v>9</v>
      </c>
      <c r="D87" s="15" t="s">
        <v>9</v>
      </c>
      <c r="E87" s="15" t="s">
        <v>9</v>
      </c>
      <c r="F87" s="12" t="s">
        <v>9</v>
      </c>
      <c r="G87" s="12" t="s">
        <v>9</v>
      </c>
      <c r="H87" s="100"/>
    </row>
    <row r="88" spans="1:8" x14ac:dyDescent="0.2">
      <c r="A88" s="15" t="s">
        <v>9</v>
      </c>
      <c r="B88" s="15" t="s">
        <v>9</v>
      </c>
      <c r="C88" s="3" t="s">
        <v>110</v>
      </c>
      <c r="D88" s="15" t="s">
        <v>9</v>
      </c>
      <c r="E88" s="15" t="s">
        <v>9</v>
      </c>
      <c r="F88" s="12" t="s">
        <v>9</v>
      </c>
      <c r="G88" s="12" t="s">
        <v>9</v>
      </c>
      <c r="H88" s="100"/>
    </row>
    <row r="89" spans="1:8" x14ac:dyDescent="0.2">
      <c r="A89" s="15" t="s">
        <v>9</v>
      </c>
      <c r="B89" s="15" t="s">
        <v>9</v>
      </c>
      <c r="C89" s="3" t="s">
        <v>111</v>
      </c>
      <c r="D89" s="15" t="s">
        <v>9</v>
      </c>
      <c r="E89" s="15" t="s">
        <v>9</v>
      </c>
      <c r="F89" s="12" t="s">
        <v>9</v>
      </c>
      <c r="G89" s="12" t="s">
        <v>9</v>
      </c>
      <c r="H89" s="100"/>
    </row>
    <row r="90" spans="1:8" x14ac:dyDescent="0.2">
      <c r="A90" s="15" t="s">
        <v>9</v>
      </c>
      <c r="B90" s="15" t="s">
        <v>9</v>
      </c>
      <c r="C90" s="3" t="s">
        <v>94</v>
      </c>
      <c r="D90" s="15" t="s">
        <v>9</v>
      </c>
      <c r="E90" s="15" t="s">
        <v>9</v>
      </c>
      <c r="F90" s="13">
        <v>0</v>
      </c>
      <c r="G90" s="14">
        <v>0</v>
      </c>
      <c r="H90" s="100"/>
    </row>
    <row r="91" spans="1:8" x14ac:dyDescent="0.2">
      <c r="A91" s="15" t="s">
        <v>9</v>
      </c>
      <c r="B91" s="15" t="s">
        <v>9</v>
      </c>
      <c r="C91" s="11" t="s">
        <v>9</v>
      </c>
      <c r="D91" s="15" t="s">
        <v>9</v>
      </c>
      <c r="E91" s="15" t="s">
        <v>9</v>
      </c>
      <c r="F91" s="12" t="s">
        <v>9</v>
      </c>
      <c r="G91" s="12" t="s">
        <v>9</v>
      </c>
      <c r="H91" s="100"/>
    </row>
    <row r="92" spans="1:8" x14ac:dyDescent="0.2">
      <c r="A92" s="15" t="s">
        <v>9</v>
      </c>
      <c r="B92" s="15" t="s">
        <v>9</v>
      </c>
      <c r="C92" s="3" t="s">
        <v>112</v>
      </c>
      <c r="D92" s="15" t="s">
        <v>9</v>
      </c>
      <c r="E92" s="15" t="s">
        <v>9</v>
      </c>
      <c r="F92" s="12" t="s">
        <v>9</v>
      </c>
      <c r="G92" s="12" t="s">
        <v>9</v>
      </c>
      <c r="H92" s="100"/>
    </row>
    <row r="93" spans="1:8" x14ac:dyDescent="0.2">
      <c r="A93" s="15" t="s">
        <v>9</v>
      </c>
      <c r="B93" s="15" t="s">
        <v>9</v>
      </c>
      <c r="C93" s="3" t="s">
        <v>94</v>
      </c>
      <c r="D93" s="15" t="s">
        <v>9</v>
      </c>
      <c r="E93" s="15" t="s">
        <v>9</v>
      </c>
      <c r="F93" s="13">
        <v>0</v>
      </c>
      <c r="G93" s="14">
        <v>0</v>
      </c>
      <c r="H93" s="100"/>
    </row>
    <row r="94" spans="1:8" x14ac:dyDescent="0.2">
      <c r="A94" s="15" t="s">
        <v>9</v>
      </c>
      <c r="B94" s="15" t="s">
        <v>9</v>
      </c>
      <c r="C94" s="11" t="s">
        <v>9</v>
      </c>
      <c r="D94" s="15" t="s">
        <v>9</v>
      </c>
      <c r="E94" s="15" t="s">
        <v>9</v>
      </c>
      <c r="F94" s="12" t="s">
        <v>9</v>
      </c>
      <c r="G94" s="12" t="s">
        <v>9</v>
      </c>
      <c r="H94" s="100"/>
    </row>
    <row r="95" spans="1:8" x14ac:dyDescent="0.2">
      <c r="A95" s="15" t="s">
        <v>9</v>
      </c>
      <c r="B95" s="15" t="s">
        <v>9</v>
      </c>
      <c r="C95" s="3" t="s">
        <v>113</v>
      </c>
      <c r="D95" s="15" t="s">
        <v>9</v>
      </c>
      <c r="E95" s="15" t="s">
        <v>9</v>
      </c>
      <c r="F95" s="12" t="s">
        <v>9</v>
      </c>
      <c r="G95" s="12" t="s">
        <v>9</v>
      </c>
      <c r="H95" s="100"/>
    </row>
    <row r="96" spans="1:8" x14ac:dyDescent="0.2">
      <c r="A96" s="15" t="s">
        <v>9</v>
      </c>
      <c r="B96" s="15" t="s">
        <v>9</v>
      </c>
      <c r="C96" s="3" t="s">
        <v>94</v>
      </c>
      <c r="D96" s="15" t="s">
        <v>9</v>
      </c>
      <c r="E96" s="15" t="s">
        <v>9</v>
      </c>
      <c r="F96" s="13">
        <v>0</v>
      </c>
      <c r="G96" s="14">
        <v>0</v>
      </c>
      <c r="H96" s="100"/>
    </row>
    <row r="97" spans="1:8" x14ac:dyDescent="0.2">
      <c r="A97" s="15" t="s">
        <v>9</v>
      </c>
      <c r="B97" s="15" t="s">
        <v>9</v>
      </c>
      <c r="C97" s="11" t="s">
        <v>9</v>
      </c>
      <c r="D97" s="15" t="s">
        <v>9</v>
      </c>
      <c r="E97" s="15" t="s">
        <v>9</v>
      </c>
      <c r="F97" s="12" t="s">
        <v>9</v>
      </c>
      <c r="G97" s="12" t="s">
        <v>9</v>
      </c>
      <c r="H97" s="100"/>
    </row>
    <row r="98" spans="1:8" x14ac:dyDescent="0.2">
      <c r="A98" s="15" t="s">
        <v>9</v>
      </c>
      <c r="B98" s="15" t="s">
        <v>9</v>
      </c>
      <c r="C98" s="3" t="s">
        <v>114</v>
      </c>
      <c r="D98" s="15" t="s">
        <v>9</v>
      </c>
      <c r="E98" s="15" t="s">
        <v>9</v>
      </c>
      <c r="F98" s="12" t="s">
        <v>9</v>
      </c>
      <c r="G98" s="12" t="s">
        <v>9</v>
      </c>
      <c r="H98" s="100"/>
    </row>
    <row r="99" spans="1:8" x14ac:dyDescent="0.2">
      <c r="A99" s="4">
        <v>1</v>
      </c>
      <c r="B99" s="5"/>
      <c r="C99" s="5" t="s">
        <v>115</v>
      </c>
      <c r="D99" s="5"/>
      <c r="E99" s="15" t="s">
        <v>9</v>
      </c>
      <c r="F99" s="7">
        <v>4208.0368580000004</v>
      </c>
      <c r="G99" s="8">
        <v>3.1418423000000001E-2</v>
      </c>
      <c r="H99" s="99">
        <v>3.2516689338443991</v>
      </c>
    </row>
    <row r="100" spans="1:8" x14ac:dyDescent="0.2">
      <c r="A100" s="4">
        <v>2</v>
      </c>
      <c r="B100" s="5"/>
      <c r="C100" s="5" t="s">
        <v>116</v>
      </c>
      <c r="D100" s="5"/>
      <c r="E100" s="15" t="s">
        <v>9</v>
      </c>
      <c r="F100" s="7">
        <v>576.53946719999999</v>
      </c>
      <c r="G100" s="8">
        <v>4.3046109999999999E-3</v>
      </c>
      <c r="H100" s="100">
        <v>3.350000000000001</v>
      </c>
    </row>
    <row r="101" spans="1:8" x14ac:dyDescent="0.2">
      <c r="A101" s="15" t="s">
        <v>9</v>
      </c>
      <c r="B101" s="15" t="s">
        <v>9</v>
      </c>
      <c r="C101" s="3" t="s">
        <v>94</v>
      </c>
      <c r="D101" s="15" t="s">
        <v>9</v>
      </c>
      <c r="E101" s="15" t="s">
        <v>9</v>
      </c>
      <c r="F101" s="9">
        <v>4784.5763251999997</v>
      </c>
      <c r="G101" s="10">
        <v>3.5723034000000001E-2</v>
      </c>
      <c r="H101" s="100"/>
    </row>
    <row r="102" spans="1:8" x14ac:dyDescent="0.2">
      <c r="A102" s="15" t="s">
        <v>9</v>
      </c>
      <c r="B102" s="15" t="s">
        <v>9</v>
      </c>
      <c r="C102" s="11" t="s">
        <v>9</v>
      </c>
      <c r="D102" s="15" t="s">
        <v>9</v>
      </c>
      <c r="E102" s="15" t="s">
        <v>9</v>
      </c>
      <c r="F102" s="12" t="s">
        <v>9</v>
      </c>
      <c r="G102" s="12" t="s">
        <v>9</v>
      </c>
      <c r="H102" s="100"/>
    </row>
    <row r="103" spans="1:8" x14ac:dyDescent="0.2">
      <c r="A103" s="15" t="s">
        <v>9</v>
      </c>
      <c r="B103" s="15" t="s">
        <v>9</v>
      </c>
      <c r="C103" s="3" t="s">
        <v>117</v>
      </c>
      <c r="D103" s="15" t="s">
        <v>9</v>
      </c>
      <c r="E103" s="15" t="s">
        <v>9</v>
      </c>
      <c r="F103" s="9">
        <v>4784.5763251999997</v>
      </c>
      <c r="G103" s="10">
        <v>3.5723034000000001E-2</v>
      </c>
      <c r="H103" s="100"/>
    </row>
    <row r="104" spans="1:8" x14ac:dyDescent="0.2">
      <c r="A104" s="15" t="s">
        <v>9</v>
      </c>
      <c r="B104" s="15" t="s">
        <v>9</v>
      </c>
      <c r="C104" s="12" t="s">
        <v>9</v>
      </c>
      <c r="D104" s="15" t="s">
        <v>9</v>
      </c>
      <c r="E104" s="15" t="s">
        <v>9</v>
      </c>
      <c r="F104" s="15" t="s">
        <v>9</v>
      </c>
      <c r="G104" s="15" t="s">
        <v>9</v>
      </c>
      <c r="H104" s="100"/>
    </row>
    <row r="105" spans="1:8" x14ac:dyDescent="0.2">
      <c r="A105" s="15" t="s">
        <v>9</v>
      </c>
      <c r="B105" s="15" t="s">
        <v>9</v>
      </c>
      <c r="C105" s="3" t="s">
        <v>118</v>
      </c>
      <c r="D105" s="15" t="s">
        <v>9</v>
      </c>
      <c r="E105" s="15" t="s">
        <v>9</v>
      </c>
      <c r="F105" s="15" t="s">
        <v>9</v>
      </c>
      <c r="G105" s="15" t="s">
        <v>9</v>
      </c>
      <c r="H105" s="100"/>
    </row>
    <row r="106" spans="1:8" x14ac:dyDescent="0.2">
      <c r="A106" s="15" t="s">
        <v>9</v>
      </c>
      <c r="B106" s="15" t="s">
        <v>9</v>
      </c>
      <c r="C106" s="3" t="s">
        <v>119</v>
      </c>
      <c r="D106" s="15" t="s">
        <v>9</v>
      </c>
      <c r="E106" s="15" t="s">
        <v>9</v>
      </c>
      <c r="F106" s="15" t="s">
        <v>9</v>
      </c>
      <c r="G106" s="15" t="s">
        <v>9</v>
      </c>
      <c r="H106" s="100"/>
    </row>
    <row r="107" spans="1:8" x14ac:dyDescent="0.2">
      <c r="A107" s="15" t="s">
        <v>9</v>
      </c>
      <c r="B107" s="15" t="s">
        <v>9</v>
      </c>
      <c r="C107" s="3" t="s">
        <v>94</v>
      </c>
      <c r="D107" s="15" t="s">
        <v>9</v>
      </c>
      <c r="E107" s="15" t="s">
        <v>9</v>
      </c>
      <c r="F107" s="13">
        <v>0</v>
      </c>
      <c r="G107" s="14">
        <v>0</v>
      </c>
      <c r="H107" s="100"/>
    </row>
    <row r="108" spans="1:8" x14ac:dyDescent="0.2">
      <c r="A108" s="15" t="s">
        <v>9</v>
      </c>
      <c r="B108" s="15" t="s">
        <v>9</v>
      </c>
      <c r="C108" s="11" t="s">
        <v>9</v>
      </c>
      <c r="D108" s="15" t="s">
        <v>9</v>
      </c>
      <c r="E108" s="15" t="s">
        <v>9</v>
      </c>
      <c r="F108" s="12" t="s">
        <v>9</v>
      </c>
      <c r="G108" s="12" t="s">
        <v>9</v>
      </c>
      <c r="H108" s="100"/>
    </row>
    <row r="109" spans="1:8" x14ac:dyDescent="0.2">
      <c r="A109" s="15" t="s">
        <v>9</v>
      </c>
      <c r="B109" s="15" t="s">
        <v>9</v>
      </c>
      <c r="C109" s="3" t="s">
        <v>120</v>
      </c>
      <c r="D109" s="15" t="s">
        <v>9</v>
      </c>
      <c r="E109" s="15" t="s">
        <v>9</v>
      </c>
      <c r="F109" s="15" t="s">
        <v>9</v>
      </c>
      <c r="G109" s="15" t="s">
        <v>9</v>
      </c>
      <c r="H109" s="100"/>
    </row>
    <row r="110" spans="1:8" x14ac:dyDescent="0.2">
      <c r="A110" s="15" t="s">
        <v>9</v>
      </c>
      <c r="B110" s="15" t="s">
        <v>9</v>
      </c>
      <c r="C110" s="3" t="s">
        <v>121</v>
      </c>
      <c r="D110" s="15" t="s">
        <v>9</v>
      </c>
      <c r="E110" s="15" t="s">
        <v>9</v>
      </c>
      <c r="F110" s="15" t="s">
        <v>9</v>
      </c>
      <c r="G110" s="15" t="s">
        <v>9</v>
      </c>
      <c r="H110" s="100"/>
    </row>
    <row r="111" spans="1:8" x14ac:dyDescent="0.2">
      <c r="A111" s="15" t="s">
        <v>9</v>
      </c>
      <c r="B111" s="15" t="s">
        <v>9</v>
      </c>
      <c r="C111" s="3" t="s">
        <v>94</v>
      </c>
      <c r="D111" s="15" t="s">
        <v>9</v>
      </c>
      <c r="E111" s="15" t="s">
        <v>9</v>
      </c>
      <c r="F111" s="13">
        <v>0</v>
      </c>
      <c r="G111" s="14">
        <v>0</v>
      </c>
      <c r="H111" s="100"/>
    </row>
    <row r="112" spans="1:8" x14ac:dyDescent="0.2">
      <c r="A112" s="15" t="s">
        <v>9</v>
      </c>
      <c r="B112" s="15" t="s">
        <v>9</v>
      </c>
      <c r="C112" s="11" t="s">
        <v>9</v>
      </c>
      <c r="D112" s="15" t="s">
        <v>9</v>
      </c>
      <c r="E112" s="15" t="s">
        <v>9</v>
      </c>
      <c r="F112" s="12" t="s">
        <v>9</v>
      </c>
      <c r="G112" s="12" t="s">
        <v>9</v>
      </c>
      <c r="H112" s="100"/>
    </row>
    <row r="113" spans="1:8" x14ac:dyDescent="0.2">
      <c r="A113" s="15" t="s">
        <v>9</v>
      </c>
      <c r="B113" s="15" t="s">
        <v>9</v>
      </c>
      <c r="C113" s="11" t="s">
        <v>9</v>
      </c>
      <c r="D113" s="15" t="s">
        <v>9</v>
      </c>
      <c r="E113" s="15" t="s">
        <v>9</v>
      </c>
      <c r="F113" s="12" t="s">
        <v>9</v>
      </c>
      <c r="G113" s="12" t="s">
        <v>9</v>
      </c>
      <c r="H113" s="100"/>
    </row>
    <row r="114" spans="1:8" ht="25.5" x14ac:dyDescent="0.2">
      <c r="A114" s="15" t="s">
        <v>9</v>
      </c>
      <c r="B114" s="15" t="s">
        <v>9</v>
      </c>
      <c r="C114" s="3" t="s">
        <v>122</v>
      </c>
      <c r="D114" s="15" t="s">
        <v>9</v>
      </c>
      <c r="E114" s="15" t="s">
        <v>9</v>
      </c>
      <c r="F114" s="12" t="s">
        <v>9</v>
      </c>
      <c r="G114" s="12" t="s">
        <v>9</v>
      </c>
      <c r="H114" s="100"/>
    </row>
    <row r="115" spans="1:8" x14ac:dyDescent="0.2">
      <c r="A115" s="15" t="s">
        <v>9</v>
      </c>
      <c r="B115" s="15" t="s">
        <v>9</v>
      </c>
      <c r="C115" s="3" t="s">
        <v>94</v>
      </c>
      <c r="D115" s="15" t="s">
        <v>9</v>
      </c>
      <c r="E115" s="15" t="s">
        <v>9</v>
      </c>
      <c r="F115" s="13">
        <v>0</v>
      </c>
      <c r="G115" s="14">
        <v>0</v>
      </c>
      <c r="H115" s="100"/>
    </row>
    <row r="116" spans="1:8" x14ac:dyDescent="0.2">
      <c r="A116" s="15" t="s">
        <v>9</v>
      </c>
      <c r="B116" s="15" t="s">
        <v>9</v>
      </c>
      <c r="C116" s="11" t="s">
        <v>9</v>
      </c>
      <c r="D116" s="15" t="s">
        <v>9</v>
      </c>
      <c r="E116" s="15" t="s">
        <v>9</v>
      </c>
      <c r="F116" s="12" t="s">
        <v>9</v>
      </c>
      <c r="G116" s="12" t="s">
        <v>9</v>
      </c>
      <c r="H116" s="100"/>
    </row>
    <row r="117" spans="1:8" x14ac:dyDescent="0.2">
      <c r="A117" s="15" t="s">
        <v>9</v>
      </c>
      <c r="B117" s="5" t="s">
        <v>9</v>
      </c>
      <c r="C117" s="5" t="s">
        <v>9</v>
      </c>
      <c r="D117" s="3" t="s">
        <v>9</v>
      </c>
      <c r="E117" s="15" t="s">
        <v>9</v>
      </c>
      <c r="F117" s="5" t="s">
        <v>9</v>
      </c>
      <c r="G117" s="15" t="s">
        <v>9</v>
      </c>
      <c r="H117" s="100"/>
    </row>
    <row r="118" spans="1:8" x14ac:dyDescent="0.2">
      <c r="A118" s="15" t="s">
        <v>9</v>
      </c>
      <c r="B118" s="5" t="s">
        <v>9</v>
      </c>
      <c r="C118" s="5" t="s">
        <v>124</v>
      </c>
      <c r="D118" s="5" t="s">
        <v>9</v>
      </c>
      <c r="E118" s="15" t="s">
        <v>9</v>
      </c>
      <c r="F118" s="7">
        <v>439.35527593</v>
      </c>
      <c r="G118" s="8">
        <v>3.2803540000000001E-3</v>
      </c>
      <c r="H118" s="100"/>
    </row>
    <row r="119" spans="1:8" x14ac:dyDescent="0.2">
      <c r="A119" s="11" t="s">
        <v>9</v>
      </c>
      <c r="B119" s="11" t="s">
        <v>9</v>
      </c>
      <c r="C119" s="3" t="s">
        <v>125</v>
      </c>
      <c r="D119" s="16" t="s">
        <v>9</v>
      </c>
      <c r="E119" s="16" t="s">
        <v>9</v>
      </c>
      <c r="F119" s="9">
        <v>133935.33130712999</v>
      </c>
      <c r="G119" s="10">
        <v>1</v>
      </c>
      <c r="H119" s="100"/>
    </row>
    <row r="120" spans="1:8" x14ac:dyDescent="0.2">
      <c r="A120" s="17" t="s">
        <v>9</v>
      </c>
      <c r="B120" s="17" t="s">
        <v>9</v>
      </c>
      <c r="C120" s="17" t="s">
        <v>9</v>
      </c>
      <c r="D120" s="18" t="s">
        <v>9</v>
      </c>
      <c r="E120" s="18" t="s">
        <v>9</v>
      </c>
      <c r="F120" s="18" t="s">
        <v>9</v>
      </c>
      <c r="G120" s="18" t="s">
        <v>9</v>
      </c>
      <c r="H120" s="142"/>
    </row>
    <row r="121" spans="1:8" x14ac:dyDescent="0.2">
      <c r="A121" s="19" t="s">
        <v>9</v>
      </c>
      <c r="B121" s="254" t="s">
        <v>9</v>
      </c>
      <c r="C121" s="254"/>
      <c r="D121" s="254"/>
      <c r="E121" s="254"/>
      <c r="F121" s="254"/>
      <c r="G121" s="20" t="s">
        <v>9</v>
      </c>
      <c r="H121" s="142"/>
    </row>
    <row r="122" spans="1:8" x14ac:dyDescent="0.2">
      <c r="A122" s="19" t="s">
        <v>9</v>
      </c>
      <c r="B122" s="254" t="s">
        <v>9</v>
      </c>
      <c r="C122" s="254"/>
      <c r="D122" s="254"/>
      <c r="E122" s="254"/>
      <c r="F122" s="254"/>
      <c r="G122" s="20" t="s">
        <v>9</v>
      </c>
      <c r="H122" s="142"/>
    </row>
    <row r="123" spans="1:8" x14ac:dyDescent="0.2">
      <c r="A123" s="19" t="s">
        <v>9</v>
      </c>
      <c r="B123" s="19" t="s">
        <v>9</v>
      </c>
      <c r="C123" s="19" t="s">
        <v>9</v>
      </c>
      <c r="D123" s="20" t="s">
        <v>9</v>
      </c>
      <c r="E123" s="20" t="s">
        <v>9</v>
      </c>
      <c r="F123" s="20" t="s">
        <v>9</v>
      </c>
      <c r="G123" s="20" t="s">
        <v>9</v>
      </c>
      <c r="H123" s="142"/>
    </row>
    <row r="124" spans="1:8" x14ac:dyDescent="0.2">
      <c r="A124" s="19" t="s">
        <v>9</v>
      </c>
      <c r="B124" s="247" t="s">
        <v>127</v>
      </c>
      <c r="C124" s="248"/>
      <c r="D124" s="182" t="s">
        <v>9</v>
      </c>
      <c r="E124" s="21" t="s">
        <v>9</v>
      </c>
      <c r="F124" s="20" t="s">
        <v>9</v>
      </c>
      <c r="G124" s="20" t="s">
        <v>9</v>
      </c>
      <c r="H124" s="142"/>
    </row>
    <row r="125" spans="1:8" ht="28.5" customHeight="1" x14ac:dyDescent="0.2">
      <c r="A125" s="19" t="s">
        <v>9</v>
      </c>
      <c r="B125" s="242" t="s">
        <v>128</v>
      </c>
      <c r="C125" s="243"/>
      <c r="D125" s="3" t="s">
        <v>129</v>
      </c>
      <c r="E125" s="21" t="s">
        <v>9</v>
      </c>
      <c r="F125" s="20" t="s">
        <v>9</v>
      </c>
      <c r="G125" s="20" t="s">
        <v>9</v>
      </c>
      <c r="H125" s="142"/>
    </row>
    <row r="126" spans="1:8" x14ac:dyDescent="0.2">
      <c r="A126" s="19" t="s">
        <v>9</v>
      </c>
      <c r="B126" s="240" t="s">
        <v>130</v>
      </c>
      <c r="C126" s="241"/>
      <c r="D126" s="177" t="s">
        <v>129</v>
      </c>
      <c r="E126" s="21" t="s">
        <v>9</v>
      </c>
      <c r="F126" s="20" t="s">
        <v>9</v>
      </c>
      <c r="G126" s="20" t="s">
        <v>9</v>
      </c>
      <c r="H126" s="142"/>
    </row>
    <row r="127" spans="1:8" x14ac:dyDescent="0.2">
      <c r="A127" s="19" t="s">
        <v>9</v>
      </c>
      <c r="B127" s="240" t="s">
        <v>131</v>
      </c>
      <c r="C127" s="241"/>
      <c r="D127" s="182" t="s">
        <v>9</v>
      </c>
      <c r="E127" s="21" t="s">
        <v>9</v>
      </c>
      <c r="F127" s="20" t="s">
        <v>9</v>
      </c>
      <c r="G127" s="20" t="s">
        <v>9</v>
      </c>
      <c r="H127" s="142"/>
    </row>
    <row r="128" spans="1:8" ht="25.5" x14ac:dyDescent="0.2">
      <c r="A128" s="25" t="s">
        <v>9</v>
      </c>
      <c r="B128" s="23" t="s">
        <v>9</v>
      </c>
      <c r="C128" s="23" t="s">
        <v>132</v>
      </c>
      <c r="D128" s="23" t="s">
        <v>133</v>
      </c>
      <c r="E128" s="25" t="s">
        <v>9</v>
      </c>
      <c r="F128" s="25" t="s">
        <v>9</v>
      </c>
      <c r="G128" s="25" t="s">
        <v>9</v>
      </c>
      <c r="H128" s="142"/>
    </row>
    <row r="129" spans="1:8" x14ac:dyDescent="0.2">
      <c r="A129" s="25" t="s">
        <v>9</v>
      </c>
      <c r="B129" s="23" t="s">
        <v>134</v>
      </c>
      <c r="C129" s="23" t="s">
        <v>135</v>
      </c>
      <c r="D129" s="23" t="s">
        <v>136</v>
      </c>
      <c r="E129" s="25" t="s">
        <v>9</v>
      </c>
      <c r="F129" s="25" t="s">
        <v>9</v>
      </c>
      <c r="G129" s="25" t="s">
        <v>9</v>
      </c>
      <c r="H129" s="142"/>
    </row>
    <row r="130" spans="1:8" x14ac:dyDescent="0.2">
      <c r="A130" s="25" t="s">
        <v>9</v>
      </c>
      <c r="B130" s="183" t="s">
        <v>137</v>
      </c>
      <c r="C130" s="184">
        <v>15.880100000000001</v>
      </c>
      <c r="D130" s="184">
        <v>16.128299999999999</v>
      </c>
      <c r="E130" s="25" t="s">
        <v>9</v>
      </c>
      <c r="F130" s="73" t="s">
        <v>9</v>
      </c>
      <c r="G130" s="25" t="s">
        <v>9</v>
      </c>
      <c r="H130" s="142"/>
    </row>
    <row r="131" spans="1:8" x14ac:dyDescent="0.2">
      <c r="A131" s="25" t="s">
        <v>9</v>
      </c>
      <c r="B131" s="183" t="s">
        <v>921</v>
      </c>
      <c r="C131" s="184">
        <v>14.537100000000001</v>
      </c>
      <c r="D131" s="184">
        <v>14.7643</v>
      </c>
      <c r="E131" s="25" t="s">
        <v>9</v>
      </c>
      <c r="F131" s="73" t="s">
        <v>9</v>
      </c>
      <c r="G131" s="25" t="s">
        <v>9</v>
      </c>
      <c r="H131" s="142"/>
    </row>
    <row r="132" spans="1:8" x14ac:dyDescent="0.2">
      <c r="A132" s="25" t="s">
        <v>9</v>
      </c>
      <c r="B132" s="183" t="s">
        <v>138</v>
      </c>
      <c r="C132" s="184">
        <v>15.488200000000001</v>
      </c>
      <c r="D132" s="184">
        <v>15.713800000000001</v>
      </c>
      <c r="E132" s="25" t="s">
        <v>9</v>
      </c>
      <c r="F132" s="73" t="s">
        <v>9</v>
      </c>
      <c r="G132" s="25" t="s">
        <v>9</v>
      </c>
      <c r="H132" s="142"/>
    </row>
    <row r="133" spans="1:8" x14ac:dyDescent="0.2">
      <c r="A133" s="25" t="s">
        <v>9</v>
      </c>
      <c r="B133" s="183" t="s">
        <v>922</v>
      </c>
      <c r="C133" s="184">
        <v>14.1662</v>
      </c>
      <c r="D133" s="184">
        <v>14.3725</v>
      </c>
      <c r="E133" s="25" t="s">
        <v>9</v>
      </c>
      <c r="F133" s="73" t="s">
        <v>9</v>
      </c>
      <c r="G133" s="25" t="s">
        <v>9</v>
      </c>
      <c r="H133" s="142"/>
    </row>
    <row r="134" spans="1:8" x14ac:dyDescent="0.2">
      <c r="A134" s="25" t="s">
        <v>9</v>
      </c>
      <c r="B134" s="22" t="s">
        <v>9</v>
      </c>
      <c r="C134" s="22" t="s">
        <v>9</v>
      </c>
      <c r="D134" s="22" t="s">
        <v>9</v>
      </c>
      <c r="E134" s="25" t="s">
        <v>9</v>
      </c>
      <c r="F134" s="25" t="s">
        <v>9</v>
      </c>
      <c r="G134" s="25" t="s">
        <v>9</v>
      </c>
      <c r="H134" s="142"/>
    </row>
    <row r="135" spans="1:8" x14ac:dyDescent="0.2">
      <c r="A135" s="25" t="s">
        <v>9</v>
      </c>
      <c r="B135" s="240" t="s">
        <v>1012</v>
      </c>
      <c r="C135" s="241"/>
      <c r="D135" s="177" t="s">
        <v>129</v>
      </c>
      <c r="E135" s="25" t="s">
        <v>9</v>
      </c>
      <c r="F135" s="25" t="s">
        <v>9</v>
      </c>
      <c r="G135" s="25" t="s">
        <v>9</v>
      </c>
      <c r="H135" s="142"/>
    </row>
    <row r="136" spans="1:8" x14ac:dyDescent="0.2">
      <c r="A136" s="25" t="s">
        <v>9</v>
      </c>
      <c r="B136" s="98"/>
      <c r="C136" s="98"/>
      <c r="D136" s="26" t="s">
        <v>9</v>
      </c>
      <c r="E136" s="25" t="s">
        <v>9</v>
      </c>
      <c r="F136" s="25" t="s">
        <v>9</v>
      </c>
      <c r="G136" s="25" t="s">
        <v>9</v>
      </c>
      <c r="H136" s="142"/>
    </row>
    <row r="137" spans="1:8" s="238" customFormat="1" ht="12.75" x14ac:dyDescent="0.2">
      <c r="B137" s="246" t="s">
        <v>923</v>
      </c>
      <c r="C137" s="246"/>
      <c r="D137" s="246"/>
      <c r="E137" s="246"/>
      <c r="F137" s="246"/>
    </row>
    <row r="138" spans="1:8" x14ac:dyDescent="0.2">
      <c r="A138" s="25" t="s">
        <v>9</v>
      </c>
      <c r="B138" s="185" t="s">
        <v>9</v>
      </c>
      <c r="C138" s="185" t="s">
        <v>9</v>
      </c>
      <c r="D138" s="22" t="s">
        <v>9</v>
      </c>
      <c r="E138" s="25" t="s">
        <v>9</v>
      </c>
      <c r="F138" s="25" t="s">
        <v>9</v>
      </c>
      <c r="G138" s="25" t="s">
        <v>9</v>
      </c>
      <c r="H138" s="142"/>
    </row>
    <row r="139" spans="1:8" x14ac:dyDescent="0.2">
      <c r="A139" s="25" t="s">
        <v>9</v>
      </c>
      <c r="B139" s="240" t="s">
        <v>139</v>
      </c>
      <c r="C139" s="241"/>
      <c r="D139" s="177" t="s">
        <v>129</v>
      </c>
      <c r="E139" s="25" t="s">
        <v>9</v>
      </c>
      <c r="F139" s="25" t="s">
        <v>9</v>
      </c>
      <c r="G139" s="25" t="s">
        <v>9</v>
      </c>
      <c r="H139" s="142"/>
    </row>
    <row r="140" spans="1:8" x14ac:dyDescent="0.2">
      <c r="A140" s="25" t="s">
        <v>9</v>
      </c>
      <c r="B140" s="240" t="s">
        <v>140</v>
      </c>
      <c r="C140" s="241"/>
      <c r="D140" s="177" t="s">
        <v>129</v>
      </c>
      <c r="E140" s="25" t="s">
        <v>9</v>
      </c>
      <c r="F140" s="25" t="s">
        <v>9</v>
      </c>
      <c r="G140" s="25" t="s">
        <v>9</v>
      </c>
      <c r="H140" s="142"/>
    </row>
    <row r="141" spans="1:8" x14ac:dyDescent="0.2">
      <c r="A141" s="25" t="s">
        <v>9</v>
      </c>
      <c r="B141" s="240" t="s">
        <v>141</v>
      </c>
      <c r="C141" s="241"/>
      <c r="D141" s="186">
        <v>0.26043404256708935</v>
      </c>
      <c r="E141" s="25" t="s">
        <v>9</v>
      </c>
      <c r="F141" s="73" t="s">
        <v>9</v>
      </c>
      <c r="G141" s="25" t="s">
        <v>9</v>
      </c>
      <c r="H141" s="142"/>
    </row>
    <row r="142" spans="1:8" x14ac:dyDescent="0.2">
      <c r="A142" s="25" t="s">
        <v>9</v>
      </c>
      <c r="B142" s="240" t="s">
        <v>142</v>
      </c>
      <c r="C142" s="241"/>
      <c r="D142" s="177" t="s">
        <v>129</v>
      </c>
      <c r="E142" s="25" t="s">
        <v>9</v>
      </c>
      <c r="F142" s="25" t="s">
        <v>9</v>
      </c>
      <c r="G142" s="25" t="s">
        <v>9</v>
      </c>
      <c r="H142" s="142"/>
    </row>
  </sheetData>
  <mergeCells count="15">
    <mergeCell ref="B124:C124"/>
    <mergeCell ref="B121:F121"/>
    <mergeCell ref="B122:F122"/>
    <mergeCell ref="A1:H1"/>
    <mergeCell ref="A2:H2"/>
    <mergeCell ref="A3:H3"/>
    <mergeCell ref="B141:C141"/>
    <mergeCell ref="B142:C142"/>
    <mergeCell ref="B125:C125"/>
    <mergeCell ref="B126:C126"/>
    <mergeCell ref="B127:C127"/>
    <mergeCell ref="B135:C135"/>
    <mergeCell ref="B139:C139"/>
    <mergeCell ref="B140:C140"/>
    <mergeCell ref="B137:F137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outlinePr summaryBelow="0" summaryRight="0"/>
  </sheetPr>
  <dimension ref="A1:H195"/>
  <sheetViews>
    <sheetView showGridLines="0" workbookViewId="0">
      <selection activeCell="J1" sqref="J1"/>
    </sheetView>
  </sheetViews>
  <sheetFormatPr defaultRowHeight="15" x14ac:dyDescent="0.2"/>
  <cols>
    <col min="1" max="1" width="6.85546875" style="155" customWidth="1"/>
    <col min="2" max="2" width="20.5703125" style="155" customWidth="1"/>
    <col min="3" max="3" width="34.28515625" style="155" customWidth="1"/>
    <col min="4" max="4" width="17.85546875" style="155" customWidth="1"/>
    <col min="5" max="6" width="19.140625" style="155" customWidth="1"/>
    <col min="7" max="7" width="16.42578125" style="155" customWidth="1"/>
    <col min="8" max="16384" width="9.140625" style="155"/>
  </cols>
  <sheetData>
    <row r="1" spans="1:8" x14ac:dyDescent="0.2">
      <c r="A1" s="250" t="s">
        <v>0</v>
      </c>
      <c r="B1" s="250"/>
      <c r="C1" s="250"/>
      <c r="D1" s="250"/>
      <c r="E1" s="250"/>
      <c r="F1" s="250"/>
      <c r="G1" s="250"/>
      <c r="H1" s="250"/>
    </row>
    <row r="2" spans="1:8" x14ac:dyDescent="0.2">
      <c r="A2" s="251" t="s">
        <v>588</v>
      </c>
      <c r="B2" s="252"/>
      <c r="C2" s="252"/>
      <c r="D2" s="252"/>
      <c r="E2" s="252"/>
      <c r="F2" s="252"/>
      <c r="G2" s="252"/>
      <c r="H2" s="253"/>
    </row>
    <row r="3" spans="1:8" x14ac:dyDescent="0.2">
      <c r="A3" s="250" t="s">
        <v>1015</v>
      </c>
      <c r="B3" s="250"/>
      <c r="C3" s="250"/>
      <c r="D3" s="250"/>
      <c r="E3" s="250"/>
      <c r="F3" s="250"/>
      <c r="G3" s="250"/>
      <c r="H3" s="250"/>
    </row>
    <row r="4" spans="1:8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60" t="s">
        <v>6</v>
      </c>
      <c r="F4" s="160" t="s">
        <v>7</v>
      </c>
      <c r="G4" s="160" t="s">
        <v>8</v>
      </c>
      <c r="H4" s="161" t="s">
        <v>909</v>
      </c>
    </row>
    <row r="5" spans="1:8" x14ac:dyDescent="0.2">
      <c r="A5" s="15" t="s">
        <v>9</v>
      </c>
      <c r="B5" s="15" t="s">
        <v>9</v>
      </c>
      <c r="C5" s="3" t="s">
        <v>10</v>
      </c>
      <c r="D5" s="15" t="s">
        <v>9</v>
      </c>
      <c r="E5" s="15" t="s">
        <v>9</v>
      </c>
      <c r="F5" s="15" t="s">
        <v>9</v>
      </c>
      <c r="G5" s="15" t="s">
        <v>9</v>
      </c>
      <c r="H5" s="100"/>
    </row>
    <row r="6" spans="1:8" ht="25.5" x14ac:dyDescent="0.2">
      <c r="A6" s="15" t="s">
        <v>9</v>
      </c>
      <c r="B6" s="15" t="s">
        <v>9</v>
      </c>
      <c r="C6" s="3" t="s">
        <v>11</v>
      </c>
      <c r="D6" s="15" t="s">
        <v>9</v>
      </c>
      <c r="E6" s="15" t="s">
        <v>9</v>
      </c>
      <c r="F6" s="15" t="s">
        <v>9</v>
      </c>
      <c r="G6" s="15" t="s">
        <v>9</v>
      </c>
      <c r="H6" s="100"/>
    </row>
    <row r="7" spans="1:8" x14ac:dyDescent="0.2">
      <c r="A7" s="4">
        <v>1</v>
      </c>
      <c r="B7" s="5" t="s">
        <v>589</v>
      </c>
      <c r="C7" s="5" t="s">
        <v>590</v>
      </c>
      <c r="D7" s="5" t="s">
        <v>47</v>
      </c>
      <c r="E7" s="6">
        <v>6074</v>
      </c>
      <c r="F7" s="7">
        <v>43.602209000000002</v>
      </c>
      <c r="G7" s="8">
        <v>1.5412886000000001E-2</v>
      </c>
      <c r="H7" s="100"/>
    </row>
    <row r="8" spans="1:8" x14ac:dyDescent="0.2">
      <c r="A8" s="4">
        <v>2</v>
      </c>
      <c r="B8" s="5" t="s">
        <v>413</v>
      </c>
      <c r="C8" s="5" t="s">
        <v>414</v>
      </c>
      <c r="D8" s="5" t="s">
        <v>47</v>
      </c>
      <c r="E8" s="6">
        <v>3674</v>
      </c>
      <c r="F8" s="7">
        <v>37.989159999999998</v>
      </c>
      <c r="G8" s="8">
        <v>1.3428737E-2</v>
      </c>
      <c r="H8" s="100"/>
    </row>
    <row r="9" spans="1:8" x14ac:dyDescent="0.2">
      <c r="A9" s="4">
        <v>3</v>
      </c>
      <c r="B9" s="5" t="s">
        <v>591</v>
      </c>
      <c r="C9" s="5" t="s">
        <v>592</v>
      </c>
      <c r="D9" s="5" t="s">
        <v>193</v>
      </c>
      <c r="E9" s="6">
        <v>6354</v>
      </c>
      <c r="F9" s="7">
        <v>36.290871000000003</v>
      </c>
      <c r="G9" s="8">
        <v>1.2828411E-2</v>
      </c>
      <c r="H9" s="100"/>
    </row>
    <row r="10" spans="1:8" x14ac:dyDescent="0.2">
      <c r="A10" s="4">
        <v>4</v>
      </c>
      <c r="B10" s="5" t="s">
        <v>593</v>
      </c>
      <c r="C10" s="5" t="s">
        <v>930</v>
      </c>
      <c r="D10" s="5" t="s">
        <v>594</v>
      </c>
      <c r="E10" s="6">
        <v>21507</v>
      </c>
      <c r="F10" s="7">
        <v>33.497152499999999</v>
      </c>
      <c r="G10" s="8">
        <v>1.1840863E-2</v>
      </c>
      <c r="H10" s="100"/>
    </row>
    <row r="11" spans="1:8" x14ac:dyDescent="0.2">
      <c r="A11" s="4">
        <v>5</v>
      </c>
      <c r="B11" s="5" t="s">
        <v>595</v>
      </c>
      <c r="C11" s="5" t="s">
        <v>596</v>
      </c>
      <c r="D11" s="5" t="s">
        <v>53</v>
      </c>
      <c r="E11" s="6">
        <v>3174</v>
      </c>
      <c r="F11" s="7">
        <v>33.323825999999997</v>
      </c>
      <c r="G11" s="8">
        <v>1.1779593999999999E-2</v>
      </c>
      <c r="H11" s="100"/>
    </row>
    <row r="12" spans="1:8" x14ac:dyDescent="0.2">
      <c r="A12" s="4">
        <v>6</v>
      </c>
      <c r="B12" s="5" t="s">
        <v>411</v>
      </c>
      <c r="C12" s="5" t="s">
        <v>412</v>
      </c>
      <c r="D12" s="5" t="s">
        <v>151</v>
      </c>
      <c r="E12" s="6">
        <v>6674</v>
      </c>
      <c r="F12" s="7">
        <v>32.886135000000003</v>
      </c>
      <c r="G12" s="8">
        <v>1.1624875E-2</v>
      </c>
      <c r="H12" s="100"/>
    </row>
    <row r="13" spans="1:8" x14ac:dyDescent="0.2">
      <c r="A13" s="4">
        <v>7</v>
      </c>
      <c r="B13" s="5" t="s">
        <v>382</v>
      </c>
      <c r="C13" s="5" t="s">
        <v>383</v>
      </c>
      <c r="D13" s="5" t="s">
        <v>1009</v>
      </c>
      <c r="E13" s="6">
        <v>294</v>
      </c>
      <c r="F13" s="7">
        <v>32.462451000000001</v>
      </c>
      <c r="G13" s="8">
        <v>1.1475107999999999E-2</v>
      </c>
      <c r="H13" s="100"/>
    </row>
    <row r="14" spans="1:8" ht="25.5" x14ac:dyDescent="0.2">
      <c r="A14" s="4">
        <v>8</v>
      </c>
      <c r="B14" s="5" t="s">
        <v>597</v>
      </c>
      <c r="C14" s="5" t="s">
        <v>598</v>
      </c>
      <c r="D14" s="5" t="s">
        <v>1009</v>
      </c>
      <c r="E14" s="6">
        <v>6192</v>
      </c>
      <c r="F14" s="7">
        <v>32.319144000000001</v>
      </c>
      <c r="G14" s="8">
        <v>1.1424449999999999E-2</v>
      </c>
      <c r="H14" s="100"/>
    </row>
    <row r="15" spans="1:8" x14ac:dyDescent="0.2">
      <c r="A15" s="4">
        <v>9</v>
      </c>
      <c r="B15" s="5" t="s">
        <v>599</v>
      </c>
      <c r="C15" s="5" t="s">
        <v>960</v>
      </c>
      <c r="D15" s="5" t="s">
        <v>594</v>
      </c>
      <c r="E15" s="6">
        <v>2720</v>
      </c>
      <c r="F15" s="7">
        <v>31.516639999999999</v>
      </c>
      <c r="G15" s="8">
        <v>1.1140774000000001E-2</v>
      </c>
      <c r="H15" s="100"/>
    </row>
    <row r="16" spans="1:8" x14ac:dyDescent="0.2">
      <c r="A16" s="4">
        <v>10</v>
      </c>
      <c r="B16" s="5" t="s">
        <v>417</v>
      </c>
      <c r="C16" s="5" t="s">
        <v>418</v>
      </c>
      <c r="D16" s="5" t="s">
        <v>193</v>
      </c>
      <c r="E16" s="6">
        <v>775</v>
      </c>
      <c r="F16" s="7">
        <v>31.4832125</v>
      </c>
      <c r="G16" s="8">
        <v>1.1128958E-2</v>
      </c>
      <c r="H16" s="100"/>
    </row>
    <row r="17" spans="1:8" x14ac:dyDescent="0.2">
      <c r="A17" s="4">
        <v>11</v>
      </c>
      <c r="B17" s="5" t="s">
        <v>435</v>
      </c>
      <c r="C17" s="5" t="s">
        <v>942</v>
      </c>
      <c r="D17" s="5" t="s">
        <v>193</v>
      </c>
      <c r="E17" s="6">
        <v>609</v>
      </c>
      <c r="F17" s="7">
        <v>31.443279</v>
      </c>
      <c r="G17" s="8">
        <v>1.1114842E-2</v>
      </c>
      <c r="H17" s="100"/>
    </row>
    <row r="18" spans="1:8" x14ac:dyDescent="0.2">
      <c r="A18" s="4">
        <v>12</v>
      </c>
      <c r="B18" s="5" t="s">
        <v>405</v>
      </c>
      <c r="C18" s="5" t="s">
        <v>406</v>
      </c>
      <c r="D18" s="5" t="s">
        <v>193</v>
      </c>
      <c r="E18" s="6">
        <v>3180</v>
      </c>
      <c r="F18" s="7">
        <v>31.191030000000001</v>
      </c>
      <c r="G18" s="8">
        <v>1.1025675E-2</v>
      </c>
      <c r="H18" s="100"/>
    </row>
    <row r="19" spans="1:8" x14ac:dyDescent="0.2">
      <c r="A19" s="4">
        <v>13</v>
      </c>
      <c r="B19" s="5" t="s">
        <v>425</v>
      </c>
      <c r="C19" s="5" t="s">
        <v>426</v>
      </c>
      <c r="D19" s="5" t="s">
        <v>427</v>
      </c>
      <c r="E19" s="6">
        <v>8489</v>
      </c>
      <c r="F19" s="7">
        <v>30.933916</v>
      </c>
      <c r="G19" s="8">
        <v>1.0934788000000001E-2</v>
      </c>
      <c r="H19" s="100"/>
    </row>
    <row r="20" spans="1:8" x14ac:dyDescent="0.2">
      <c r="A20" s="4">
        <v>14</v>
      </c>
      <c r="B20" s="5" t="s">
        <v>600</v>
      </c>
      <c r="C20" s="5" t="s">
        <v>601</v>
      </c>
      <c r="D20" s="5" t="s">
        <v>427</v>
      </c>
      <c r="E20" s="6">
        <v>11999</v>
      </c>
      <c r="F20" s="7">
        <v>30.867427500000002</v>
      </c>
      <c r="G20" s="8">
        <v>1.0911285E-2</v>
      </c>
      <c r="H20" s="100"/>
    </row>
    <row r="21" spans="1:8" x14ac:dyDescent="0.2">
      <c r="A21" s="4">
        <v>15</v>
      </c>
      <c r="B21" s="5" t="s">
        <v>433</v>
      </c>
      <c r="C21" s="5" t="s">
        <v>434</v>
      </c>
      <c r="D21" s="5" t="s">
        <v>193</v>
      </c>
      <c r="E21" s="6">
        <v>3383</v>
      </c>
      <c r="F21" s="7">
        <v>30.797140500000001</v>
      </c>
      <c r="G21" s="8">
        <v>1.0886438999999999E-2</v>
      </c>
      <c r="H21" s="100"/>
    </row>
    <row r="22" spans="1:8" x14ac:dyDescent="0.2">
      <c r="A22" s="4">
        <v>16</v>
      </c>
      <c r="B22" s="5" t="s">
        <v>293</v>
      </c>
      <c r="C22" s="5" t="s">
        <v>294</v>
      </c>
      <c r="D22" s="5" t="s">
        <v>172</v>
      </c>
      <c r="E22" s="6">
        <v>950</v>
      </c>
      <c r="F22" s="7">
        <v>30.376249999999999</v>
      </c>
      <c r="G22" s="8">
        <v>1.0737659E-2</v>
      </c>
      <c r="H22" s="100"/>
    </row>
    <row r="23" spans="1:8" x14ac:dyDescent="0.2">
      <c r="A23" s="4">
        <v>17</v>
      </c>
      <c r="B23" s="5" t="s">
        <v>407</v>
      </c>
      <c r="C23" s="5" t="s">
        <v>408</v>
      </c>
      <c r="D23" s="5" t="s">
        <v>193</v>
      </c>
      <c r="E23" s="6">
        <v>4641</v>
      </c>
      <c r="F23" s="7">
        <v>30.3730245</v>
      </c>
      <c r="G23" s="8">
        <v>1.0736519E-2</v>
      </c>
      <c r="H23" s="100"/>
    </row>
    <row r="24" spans="1:8" x14ac:dyDescent="0.2">
      <c r="A24" s="4">
        <v>18</v>
      </c>
      <c r="B24" s="5" t="s">
        <v>583</v>
      </c>
      <c r="C24" s="5" t="s">
        <v>584</v>
      </c>
      <c r="D24" s="5" t="s">
        <v>272</v>
      </c>
      <c r="E24" s="6">
        <v>605</v>
      </c>
      <c r="F24" s="7">
        <v>29.733934999999999</v>
      </c>
      <c r="G24" s="8">
        <v>1.0510607999999999E-2</v>
      </c>
      <c r="H24" s="100"/>
    </row>
    <row r="25" spans="1:8" x14ac:dyDescent="0.2">
      <c r="A25" s="4">
        <v>19</v>
      </c>
      <c r="B25" s="5" t="s">
        <v>602</v>
      </c>
      <c r="C25" s="5" t="s">
        <v>603</v>
      </c>
      <c r="D25" s="5" t="s">
        <v>163</v>
      </c>
      <c r="E25" s="6">
        <v>13632</v>
      </c>
      <c r="F25" s="7">
        <v>29.267904000000001</v>
      </c>
      <c r="G25" s="8">
        <v>1.0345872000000001E-2</v>
      </c>
      <c r="H25" s="100"/>
    </row>
    <row r="26" spans="1:8" x14ac:dyDescent="0.2">
      <c r="A26" s="4">
        <v>20</v>
      </c>
      <c r="B26" s="5" t="s">
        <v>604</v>
      </c>
      <c r="C26" s="5" t="s">
        <v>605</v>
      </c>
      <c r="D26" s="5" t="s">
        <v>91</v>
      </c>
      <c r="E26" s="6">
        <v>763</v>
      </c>
      <c r="F26" s="7">
        <v>29.2515125</v>
      </c>
      <c r="G26" s="8">
        <v>1.0340077E-2</v>
      </c>
      <c r="H26" s="100"/>
    </row>
    <row r="27" spans="1:8" ht="25.5" x14ac:dyDescent="0.2">
      <c r="A27" s="4">
        <v>21</v>
      </c>
      <c r="B27" s="5" t="s">
        <v>346</v>
      </c>
      <c r="C27" s="5" t="s">
        <v>939</v>
      </c>
      <c r="D27" s="5" t="s">
        <v>73</v>
      </c>
      <c r="E27" s="6">
        <v>4336</v>
      </c>
      <c r="F27" s="7">
        <v>29.029520000000002</v>
      </c>
      <c r="G27" s="8">
        <v>1.0261606E-2</v>
      </c>
      <c r="H27" s="100"/>
    </row>
    <row r="28" spans="1:8" x14ac:dyDescent="0.2">
      <c r="A28" s="4">
        <v>22</v>
      </c>
      <c r="B28" s="5" t="s">
        <v>85</v>
      </c>
      <c r="C28" s="5" t="s">
        <v>86</v>
      </c>
      <c r="D28" s="5" t="s">
        <v>78</v>
      </c>
      <c r="E28" s="6">
        <v>12075</v>
      </c>
      <c r="F28" s="7">
        <v>28.973962499999999</v>
      </c>
      <c r="G28" s="8">
        <v>1.0241966999999999E-2</v>
      </c>
      <c r="H28" s="100"/>
    </row>
    <row r="29" spans="1:8" x14ac:dyDescent="0.2">
      <c r="A29" s="4">
        <v>23</v>
      </c>
      <c r="B29" s="5" t="s">
        <v>606</v>
      </c>
      <c r="C29" s="5" t="s">
        <v>607</v>
      </c>
      <c r="D29" s="5" t="s">
        <v>193</v>
      </c>
      <c r="E29" s="6">
        <v>2688</v>
      </c>
      <c r="F29" s="7">
        <v>28.748159999999999</v>
      </c>
      <c r="G29" s="8">
        <v>1.0162147999999999E-2</v>
      </c>
      <c r="H29" s="100"/>
    </row>
    <row r="30" spans="1:8" x14ac:dyDescent="0.2">
      <c r="A30" s="4">
        <v>24</v>
      </c>
      <c r="B30" s="5" t="s">
        <v>403</v>
      </c>
      <c r="C30" s="5" t="s">
        <v>404</v>
      </c>
      <c r="D30" s="5" t="s">
        <v>1009</v>
      </c>
      <c r="E30" s="6">
        <v>3091</v>
      </c>
      <c r="F30" s="7">
        <v>28.706116999999999</v>
      </c>
      <c r="G30" s="8">
        <v>1.0147286E-2</v>
      </c>
      <c r="H30" s="100"/>
    </row>
    <row r="31" spans="1:8" x14ac:dyDescent="0.2">
      <c r="A31" s="4">
        <v>25</v>
      </c>
      <c r="B31" s="5" t="s">
        <v>76</v>
      </c>
      <c r="C31" s="5" t="s">
        <v>77</v>
      </c>
      <c r="D31" s="5" t="s">
        <v>78</v>
      </c>
      <c r="E31" s="6">
        <v>20904</v>
      </c>
      <c r="F31" s="7">
        <v>28.680288000000001</v>
      </c>
      <c r="G31" s="8">
        <v>1.0138156000000001E-2</v>
      </c>
      <c r="H31" s="100"/>
    </row>
    <row r="32" spans="1:8" x14ac:dyDescent="0.2">
      <c r="A32" s="4">
        <v>26</v>
      </c>
      <c r="B32" s="5" t="s">
        <v>608</v>
      </c>
      <c r="C32" s="5" t="s">
        <v>609</v>
      </c>
      <c r="D32" s="5" t="s">
        <v>156</v>
      </c>
      <c r="E32" s="6">
        <v>2911</v>
      </c>
      <c r="F32" s="7">
        <v>28.650061999999998</v>
      </c>
      <c r="G32" s="8">
        <v>1.0127472E-2</v>
      </c>
      <c r="H32" s="100"/>
    </row>
    <row r="33" spans="1:8" ht="25.5" x14ac:dyDescent="0.2">
      <c r="A33" s="4">
        <v>27</v>
      </c>
      <c r="B33" s="5" t="s">
        <v>479</v>
      </c>
      <c r="C33" s="5" t="s">
        <v>958</v>
      </c>
      <c r="D33" s="5" t="s">
        <v>73</v>
      </c>
      <c r="E33" s="6">
        <v>211</v>
      </c>
      <c r="F33" s="7">
        <v>28.587334999999999</v>
      </c>
      <c r="G33" s="8">
        <v>1.0105298E-2</v>
      </c>
      <c r="H33" s="100"/>
    </row>
    <row r="34" spans="1:8" x14ac:dyDescent="0.2">
      <c r="A34" s="4">
        <v>28</v>
      </c>
      <c r="B34" s="5" t="s">
        <v>566</v>
      </c>
      <c r="C34" s="5" t="s">
        <v>567</v>
      </c>
      <c r="D34" s="5" t="s">
        <v>156</v>
      </c>
      <c r="E34" s="6">
        <v>522</v>
      </c>
      <c r="F34" s="7">
        <v>28.458918000000001</v>
      </c>
      <c r="G34" s="8">
        <v>1.0059904E-2</v>
      </c>
      <c r="H34" s="100"/>
    </row>
    <row r="35" spans="1:8" ht="25.5" x14ac:dyDescent="0.2">
      <c r="A35" s="4">
        <v>29</v>
      </c>
      <c r="B35" s="5" t="s">
        <v>87</v>
      </c>
      <c r="C35" s="5" t="s">
        <v>88</v>
      </c>
      <c r="D35" s="5" t="s">
        <v>63</v>
      </c>
      <c r="E35" s="6">
        <v>3890</v>
      </c>
      <c r="F35" s="7">
        <v>28.398945000000001</v>
      </c>
      <c r="G35" s="8">
        <v>1.0038705E-2</v>
      </c>
      <c r="H35" s="100"/>
    </row>
    <row r="36" spans="1:8" x14ac:dyDescent="0.2">
      <c r="A36" s="4">
        <v>30</v>
      </c>
      <c r="B36" s="5" t="s">
        <v>610</v>
      </c>
      <c r="C36" s="5" t="s">
        <v>611</v>
      </c>
      <c r="D36" s="5" t="s">
        <v>612</v>
      </c>
      <c r="E36" s="6">
        <v>26188</v>
      </c>
      <c r="F36" s="7">
        <v>28.322322</v>
      </c>
      <c r="G36" s="8">
        <v>1.0011618999999999E-2</v>
      </c>
      <c r="H36" s="100"/>
    </row>
    <row r="37" spans="1:8" x14ac:dyDescent="0.2">
      <c r="A37" s="4">
        <v>31</v>
      </c>
      <c r="B37" s="5" t="s">
        <v>29</v>
      </c>
      <c r="C37" s="5" t="s">
        <v>30</v>
      </c>
      <c r="D37" s="5" t="s">
        <v>31</v>
      </c>
      <c r="E37" s="6">
        <v>5261</v>
      </c>
      <c r="F37" s="7">
        <v>28.238417500000001</v>
      </c>
      <c r="G37" s="8">
        <v>9.9819599999999998E-3</v>
      </c>
      <c r="H37" s="100"/>
    </row>
    <row r="38" spans="1:8" ht="25.5" x14ac:dyDescent="0.2">
      <c r="A38" s="4">
        <v>32</v>
      </c>
      <c r="B38" s="5" t="s">
        <v>562</v>
      </c>
      <c r="C38" s="5" t="s">
        <v>563</v>
      </c>
      <c r="D38" s="5" t="s">
        <v>73</v>
      </c>
      <c r="E38" s="6">
        <v>1111</v>
      </c>
      <c r="F38" s="7">
        <v>28.179404000000002</v>
      </c>
      <c r="G38" s="8">
        <v>9.9610989999999993E-3</v>
      </c>
      <c r="H38" s="100"/>
    </row>
    <row r="39" spans="1:8" ht="25.5" x14ac:dyDescent="0.2">
      <c r="A39" s="4">
        <v>33</v>
      </c>
      <c r="B39" s="5" t="s">
        <v>415</v>
      </c>
      <c r="C39" s="5" t="s">
        <v>938</v>
      </c>
      <c r="D39" s="5" t="s">
        <v>73</v>
      </c>
      <c r="E39" s="6">
        <v>1195</v>
      </c>
      <c r="F39" s="7">
        <v>28.127312499999999</v>
      </c>
      <c r="G39" s="8">
        <v>9.9426859999999992E-3</v>
      </c>
      <c r="H39" s="100"/>
    </row>
    <row r="40" spans="1:8" x14ac:dyDescent="0.2">
      <c r="A40" s="4">
        <v>34</v>
      </c>
      <c r="B40" s="5" t="s">
        <v>20</v>
      </c>
      <c r="C40" s="5" t="s">
        <v>21</v>
      </c>
      <c r="D40" s="5" t="s">
        <v>22</v>
      </c>
      <c r="E40" s="6">
        <v>4674</v>
      </c>
      <c r="F40" s="7">
        <v>28.06737</v>
      </c>
      <c r="G40" s="8">
        <v>9.9214969999999996E-3</v>
      </c>
      <c r="H40" s="100"/>
    </row>
    <row r="41" spans="1:8" ht="25.5" x14ac:dyDescent="0.2">
      <c r="A41" s="4">
        <v>35</v>
      </c>
      <c r="B41" s="5" t="s">
        <v>613</v>
      </c>
      <c r="C41" s="5" t="s">
        <v>614</v>
      </c>
      <c r="D41" s="5" t="s">
        <v>1001</v>
      </c>
      <c r="E41" s="6">
        <v>9081</v>
      </c>
      <c r="F41" s="7">
        <v>28.064830499999999</v>
      </c>
      <c r="G41" s="8">
        <v>9.9205990000000004E-3</v>
      </c>
      <c r="H41" s="100"/>
    </row>
    <row r="42" spans="1:8" x14ac:dyDescent="0.2">
      <c r="A42" s="4">
        <v>36</v>
      </c>
      <c r="B42" s="5" t="s">
        <v>615</v>
      </c>
      <c r="C42" s="5" t="s">
        <v>616</v>
      </c>
      <c r="D42" s="5" t="s">
        <v>156</v>
      </c>
      <c r="E42" s="6">
        <v>819</v>
      </c>
      <c r="F42" s="7">
        <v>28.019628000000001</v>
      </c>
      <c r="G42" s="8">
        <v>9.9046199999999994E-3</v>
      </c>
      <c r="H42" s="100"/>
    </row>
    <row r="43" spans="1:8" ht="25.5" x14ac:dyDescent="0.2">
      <c r="A43" s="4">
        <v>37</v>
      </c>
      <c r="B43" s="5" t="s">
        <v>506</v>
      </c>
      <c r="C43" s="5" t="s">
        <v>507</v>
      </c>
      <c r="D43" s="5" t="s">
        <v>25</v>
      </c>
      <c r="E43" s="6">
        <v>1483</v>
      </c>
      <c r="F43" s="7">
        <v>27.9019035</v>
      </c>
      <c r="G43" s="8">
        <v>9.8630060000000006E-3</v>
      </c>
      <c r="H43" s="100"/>
    </row>
    <row r="44" spans="1:8" ht="25.5" x14ac:dyDescent="0.2">
      <c r="A44" s="4">
        <v>38</v>
      </c>
      <c r="B44" s="5" t="s">
        <v>617</v>
      </c>
      <c r="C44" s="5" t="s">
        <v>618</v>
      </c>
      <c r="D44" s="5" t="s">
        <v>73</v>
      </c>
      <c r="E44" s="6">
        <v>6764</v>
      </c>
      <c r="F44" s="7">
        <v>27.830477999999999</v>
      </c>
      <c r="G44" s="8">
        <v>9.8377580000000003E-3</v>
      </c>
      <c r="H44" s="100"/>
    </row>
    <row r="45" spans="1:8" ht="25.5" x14ac:dyDescent="0.2">
      <c r="A45" s="4">
        <v>39</v>
      </c>
      <c r="B45" s="5" t="s">
        <v>619</v>
      </c>
      <c r="C45" s="5" t="s">
        <v>961</v>
      </c>
      <c r="D45" s="5" t="s">
        <v>66</v>
      </c>
      <c r="E45" s="6">
        <v>11020</v>
      </c>
      <c r="F45" s="7">
        <v>27.825500000000002</v>
      </c>
      <c r="G45" s="8">
        <v>9.8359980000000003E-3</v>
      </c>
      <c r="H45" s="100"/>
    </row>
    <row r="46" spans="1:8" x14ac:dyDescent="0.2">
      <c r="A46" s="4">
        <v>40</v>
      </c>
      <c r="B46" s="5" t="s">
        <v>620</v>
      </c>
      <c r="C46" s="5" t="s">
        <v>621</v>
      </c>
      <c r="D46" s="5" t="s">
        <v>193</v>
      </c>
      <c r="E46" s="6">
        <v>1007</v>
      </c>
      <c r="F46" s="7">
        <v>27.783633500000001</v>
      </c>
      <c r="G46" s="8">
        <v>9.8211989999999992E-3</v>
      </c>
      <c r="H46" s="100"/>
    </row>
    <row r="47" spans="1:8" ht="25.5" x14ac:dyDescent="0.2">
      <c r="A47" s="4">
        <v>41</v>
      </c>
      <c r="B47" s="5" t="s">
        <v>622</v>
      </c>
      <c r="C47" s="5" t="s">
        <v>623</v>
      </c>
      <c r="D47" s="5" t="s">
        <v>73</v>
      </c>
      <c r="E47" s="6">
        <v>5162</v>
      </c>
      <c r="F47" s="7">
        <v>27.774141</v>
      </c>
      <c r="G47" s="8">
        <v>9.8178429999999997E-3</v>
      </c>
      <c r="H47" s="100"/>
    </row>
    <row r="48" spans="1:8" x14ac:dyDescent="0.2">
      <c r="A48" s="4">
        <v>42</v>
      </c>
      <c r="B48" s="5" t="s">
        <v>624</v>
      </c>
      <c r="C48" s="5" t="s">
        <v>625</v>
      </c>
      <c r="D48" s="5" t="s">
        <v>594</v>
      </c>
      <c r="E48" s="6">
        <v>20825</v>
      </c>
      <c r="F48" s="7">
        <v>27.707662500000001</v>
      </c>
      <c r="G48" s="8">
        <v>9.794344E-3</v>
      </c>
      <c r="H48" s="100"/>
    </row>
    <row r="49" spans="1:8" x14ac:dyDescent="0.2">
      <c r="A49" s="4">
        <v>43</v>
      </c>
      <c r="B49" s="5" t="s">
        <v>626</v>
      </c>
      <c r="C49" s="5" t="s">
        <v>627</v>
      </c>
      <c r="D49" s="5" t="s">
        <v>17</v>
      </c>
      <c r="E49" s="6">
        <v>11730</v>
      </c>
      <c r="F49" s="7">
        <v>27.524445</v>
      </c>
      <c r="G49" s="8">
        <v>9.7295790000000004E-3</v>
      </c>
      <c r="H49" s="100"/>
    </row>
    <row r="50" spans="1:8" x14ac:dyDescent="0.2">
      <c r="A50" s="4">
        <v>44</v>
      </c>
      <c r="B50" s="5" t="s">
        <v>628</v>
      </c>
      <c r="C50" s="5" t="s">
        <v>629</v>
      </c>
      <c r="D50" s="5" t="s">
        <v>146</v>
      </c>
      <c r="E50" s="6">
        <v>1515</v>
      </c>
      <c r="F50" s="7">
        <v>27.509370000000001</v>
      </c>
      <c r="G50" s="8">
        <v>9.7242500000000003E-3</v>
      </c>
      <c r="H50" s="100"/>
    </row>
    <row r="51" spans="1:8" x14ac:dyDescent="0.2">
      <c r="A51" s="4">
        <v>45</v>
      </c>
      <c r="B51" s="5" t="s">
        <v>397</v>
      </c>
      <c r="C51" s="5" t="s">
        <v>398</v>
      </c>
      <c r="D51" s="5" t="s">
        <v>22</v>
      </c>
      <c r="E51" s="6">
        <v>3839</v>
      </c>
      <c r="F51" s="7">
        <v>27.445011000000001</v>
      </c>
      <c r="G51" s="8">
        <v>9.7015000000000001E-3</v>
      </c>
      <c r="H51" s="100"/>
    </row>
    <row r="52" spans="1:8" x14ac:dyDescent="0.2">
      <c r="A52" s="4">
        <v>46</v>
      </c>
      <c r="B52" s="5" t="s">
        <v>572</v>
      </c>
      <c r="C52" s="5" t="s">
        <v>573</v>
      </c>
      <c r="D52" s="5" t="s">
        <v>58</v>
      </c>
      <c r="E52" s="6">
        <v>1837</v>
      </c>
      <c r="F52" s="7">
        <v>27.4016105</v>
      </c>
      <c r="G52" s="8">
        <v>9.6861580000000003E-3</v>
      </c>
      <c r="H52" s="100"/>
    </row>
    <row r="53" spans="1:8" x14ac:dyDescent="0.2">
      <c r="A53" s="4">
        <v>47</v>
      </c>
      <c r="B53" s="5" t="s">
        <v>630</v>
      </c>
      <c r="C53" s="5" t="s">
        <v>631</v>
      </c>
      <c r="D53" s="5" t="s">
        <v>22</v>
      </c>
      <c r="E53" s="6">
        <v>188016</v>
      </c>
      <c r="F53" s="7">
        <v>27.356328000000001</v>
      </c>
      <c r="G53" s="8">
        <v>9.6701510000000001E-3</v>
      </c>
      <c r="H53" s="100"/>
    </row>
    <row r="54" spans="1:8" x14ac:dyDescent="0.2">
      <c r="A54" s="4">
        <v>48</v>
      </c>
      <c r="B54" s="5" t="s">
        <v>305</v>
      </c>
      <c r="C54" s="5" t="s">
        <v>306</v>
      </c>
      <c r="D54" s="5" t="s">
        <v>1005</v>
      </c>
      <c r="E54" s="6">
        <v>945</v>
      </c>
      <c r="F54" s="7">
        <v>27.326564999999999</v>
      </c>
      <c r="G54" s="8">
        <v>9.6596300000000006E-3</v>
      </c>
      <c r="H54" s="100"/>
    </row>
    <row r="55" spans="1:8" x14ac:dyDescent="0.2">
      <c r="A55" s="4">
        <v>49</v>
      </c>
      <c r="B55" s="5" t="s">
        <v>632</v>
      </c>
      <c r="C55" s="5" t="s">
        <v>633</v>
      </c>
      <c r="D55" s="5" t="s">
        <v>193</v>
      </c>
      <c r="E55" s="6">
        <v>1089</v>
      </c>
      <c r="F55" s="7">
        <v>27.325732500000001</v>
      </c>
      <c r="G55" s="8">
        <v>9.6593359999999993E-3</v>
      </c>
      <c r="H55" s="100"/>
    </row>
    <row r="56" spans="1:8" x14ac:dyDescent="0.2">
      <c r="A56" s="4">
        <v>50</v>
      </c>
      <c r="B56" s="5" t="s">
        <v>634</v>
      </c>
      <c r="C56" s="5" t="s">
        <v>635</v>
      </c>
      <c r="D56" s="5" t="s">
        <v>91</v>
      </c>
      <c r="E56" s="6">
        <v>9294</v>
      </c>
      <c r="F56" s="7">
        <v>27.310419</v>
      </c>
      <c r="G56" s="8">
        <v>9.653923E-3</v>
      </c>
      <c r="H56" s="100"/>
    </row>
    <row r="57" spans="1:8" ht="25.5" x14ac:dyDescent="0.2">
      <c r="A57" s="4">
        <v>51</v>
      </c>
      <c r="B57" s="5" t="s">
        <v>636</v>
      </c>
      <c r="C57" s="5" t="s">
        <v>637</v>
      </c>
      <c r="D57" s="5" t="s">
        <v>1001</v>
      </c>
      <c r="E57" s="6">
        <v>1948</v>
      </c>
      <c r="F57" s="7">
        <v>27.306090000000001</v>
      </c>
      <c r="G57" s="8">
        <v>9.6523930000000004E-3</v>
      </c>
      <c r="H57" s="100"/>
    </row>
    <row r="58" spans="1:8" x14ac:dyDescent="0.2">
      <c r="A58" s="4">
        <v>52</v>
      </c>
      <c r="B58" s="5" t="s">
        <v>586</v>
      </c>
      <c r="C58" s="5" t="s">
        <v>587</v>
      </c>
      <c r="D58" s="5" t="s">
        <v>272</v>
      </c>
      <c r="E58" s="6">
        <v>955</v>
      </c>
      <c r="F58" s="7">
        <v>27.245194999999999</v>
      </c>
      <c r="G58" s="8">
        <v>9.6308669999999996E-3</v>
      </c>
      <c r="H58" s="100"/>
    </row>
    <row r="59" spans="1:8" x14ac:dyDescent="0.2">
      <c r="A59" s="4">
        <v>53</v>
      </c>
      <c r="B59" s="5" t="s">
        <v>638</v>
      </c>
      <c r="C59" s="5" t="s">
        <v>639</v>
      </c>
      <c r="D59" s="5" t="s">
        <v>53</v>
      </c>
      <c r="E59" s="6">
        <v>12347</v>
      </c>
      <c r="F59" s="7">
        <v>27.169573499999998</v>
      </c>
      <c r="G59" s="8">
        <v>9.6041359999999992E-3</v>
      </c>
      <c r="H59" s="100"/>
    </row>
    <row r="60" spans="1:8" x14ac:dyDescent="0.2">
      <c r="A60" s="4">
        <v>54</v>
      </c>
      <c r="B60" s="5" t="s">
        <v>640</v>
      </c>
      <c r="C60" s="5" t="s">
        <v>641</v>
      </c>
      <c r="D60" s="5" t="s">
        <v>313</v>
      </c>
      <c r="E60" s="6">
        <v>4474</v>
      </c>
      <c r="F60" s="7">
        <v>27.152705999999998</v>
      </c>
      <c r="G60" s="8">
        <v>9.5981729999999998E-3</v>
      </c>
      <c r="H60" s="100"/>
    </row>
    <row r="61" spans="1:8" ht="25.5" x14ac:dyDescent="0.2">
      <c r="A61" s="4">
        <v>55</v>
      </c>
      <c r="B61" s="5" t="s">
        <v>419</v>
      </c>
      <c r="C61" s="5" t="s">
        <v>420</v>
      </c>
      <c r="D61" s="5" t="s">
        <v>1009</v>
      </c>
      <c r="E61" s="6">
        <v>1918</v>
      </c>
      <c r="F61" s="7">
        <v>27.120519999999999</v>
      </c>
      <c r="G61" s="8">
        <v>9.5867959999999999E-3</v>
      </c>
      <c r="H61" s="100"/>
    </row>
    <row r="62" spans="1:8" ht="25.5" x14ac:dyDescent="0.2">
      <c r="A62" s="4">
        <v>56</v>
      </c>
      <c r="B62" s="5" t="s">
        <v>642</v>
      </c>
      <c r="C62" s="5" t="s">
        <v>643</v>
      </c>
      <c r="D62" s="5" t="s">
        <v>73</v>
      </c>
      <c r="E62" s="6">
        <v>3917</v>
      </c>
      <c r="F62" s="7">
        <v>27.095847500000001</v>
      </c>
      <c r="G62" s="8">
        <v>9.5780740000000007E-3</v>
      </c>
      <c r="H62" s="100"/>
    </row>
    <row r="63" spans="1:8" ht="25.5" x14ac:dyDescent="0.2">
      <c r="A63" s="4">
        <v>57</v>
      </c>
      <c r="B63" s="5" t="s">
        <v>644</v>
      </c>
      <c r="C63" s="5" t="s">
        <v>645</v>
      </c>
      <c r="D63" s="5" t="s">
        <v>1001</v>
      </c>
      <c r="E63" s="6">
        <v>1439</v>
      </c>
      <c r="F63" s="7">
        <v>27.092772499999999</v>
      </c>
      <c r="G63" s="8">
        <v>9.5769870000000003E-3</v>
      </c>
      <c r="H63" s="100"/>
    </row>
    <row r="64" spans="1:8" ht="25.5" x14ac:dyDescent="0.2">
      <c r="A64" s="4">
        <v>58</v>
      </c>
      <c r="B64" s="5" t="s">
        <v>646</v>
      </c>
      <c r="C64" s="5" t="s">
        <v>647</v>
      </c>
      <c r="D64" s="5" t="s">
        <v>1001</v>
      </c>
      <c r="E64" s="6">
        <v>97</v>
      </c>
      <c r="F64" s="7">
        <v>27.073184999999999</v>
      </c>
      <c r="G64" s="8">
        <v>9.5700630000000002E-3</v>
      </c>
      <c r="H64" s="100"/>
    </row>
    <row r="65" spans="1:8" x14ac:dyDescent="0.2">
      <c r="A65" s="4">
        <v>59</v>
      </c>
      <c r="B65" s="5" t="s">
        <v>322</v>
      </c>
      <c r="C65" s="5" t="s">
        <v>323</v>
      </c>
      <c r="D65" s="5" t="s">
        <v>78</v>
      </c>
      <c r="E65" s="6">
        <v>5315</v>
      </c>
      <c r="F65" s="7">
        <v>27.0506925</v>
      </c>
      <c r="G65" s="8">
        <v>9.5621130000000006E-3</v>
      </c>
      <c r="H65" s="100"/>
    </row>
    <row r="66" spans="1:8" x14ac:dyDescent="0.2">
      <c r="A66" s="4">
        <v>60</v>
      </c>
      <c r="B66" s="5" t="s">
        <v>504</v>
      </c>
      <c r="C66" s="5" t="s">
        <v>505</v>
      </c>
      <c r="D66" s="5" t="s">
        <v>151</v>
      </c>
      <c r="E66" s="6">
        <v>695</v>
      </c>
      <c r="F66" s="7">
        <v>27.0372375</v>
      </c>
      <c r="G66" s="8">
        <v>9.5573559999999995E-3</v>
      </c>
      <c r="H66" s="100"/>
    </row>
    <row r="67" spans="1:8" x14ac:dyDescent="0.2">
      <c r="A67" s="4">
        <v>61</v>
      </c>
      <c r="B67" s="5" t="s">
        <v>393</v>
      </c>
      <c r="C67" s="5" t="s">
        <v>394</v>
      </c>
      <c r="D67" s="5" t="s">
        <v>151</v>
      </c>
      <c r="E67" s="6">
        <v>1996</v>
      </c>
      <c r="F67" s="7">
        <v>27.032826</v>
      </c>
      <c r="G67" s="8">
        <v>9.5557969999999996E-3</v>
      </c>
      <c r="H67" s="100"/>
    </row>
    <row r="68" spans="1:8" x14ac:dyDescent="0.2">
      <c r="A68" s="4">
        <v>62</v>
      </c>
      <c r="B68" s="5" t="s">
        <v>648</v>
      </c>
      <c r="C68" s="5" t="s">
        <v>649</v>
      </c>
      <c r="D68" s="5" t="s">
        <v>193</v>
      </c>
      <c r="E68" s="6">
        <v>178</v>
      </c>
      <c r="F68" s="7">
        <v>26.970115</v>
      </c>
      <c r="G68" s="8">
        <v>9.5336290000000001E-3</v>
      </c>
      <c r="H68" s="100"/>
    </row>
    <row r="69" spans="1:8" ht="25.5" x14ac:dyDescent="0.2">
      <c r="A69" s="4">
        <v>63</v>
      </c>
      <c r="B69" s="5" t="s">
        <v>568</v>
      </c>
      <c r="C69" s="5" t="s">
        <v>569</v>
      </c>
      <c r="D69" s="5" t="s">
        <v>73</v>
      </c>
      <c r="E69" s="6">
        <v>165</v>
      </c>
      <c r="F69" s="7">
        <v>26.910262500000002</v>
      </c>
      <c r="G69" s="8">
        <v>9.5124719999999992E-3</v>
      </c>
      <c r="H69" s="100"/>
    </row>
    <row r="70" spans="1:8" x14ac:dyDescent="0.2">
      <c r="A70" s="4">
        <v>64</v>
      </c>
      <c r="B70" s="5" t="s">
        <v>69</v>
      </c>
      <c r="C70" s="5" t="s">
        <v>70</v>
      </c>
      <c r="D70" s="5" t="s">
        <v>17</v>
      </c>
      <c r="E70" s="6">
        <v>6378</v>
      </c>
      <c r="F70" s="7">
        <v>26.902404000000001</v>
      </c>
      <c r="G70" s="8">
        <v>9.5096940000000008E-3</v>
      </c>
      <c r="H70" s="100"/>
    </row>
    <row r="71" spans="1:8" x14ac:dyDescent="0.2">
      <c r="A71" s="4">
        <v>65</v>
      </c>
      <c r="B71" s="5" t="s">
        <v>650</v>
      </c>
      <c r="C71" s="5" t="s">
        <v>651</v>
      </c>
      <c r="D71" s="5" t="s">
        <v>17</v>
      </c>
      <c r="E71" s="6">
        <v>29419</v>
      </c>
      <c r="F71" s="7">
        <v>26.727161500000001</v>
      </c>
      <c r="G71" s="8">
        <v>9.4477480000000006E-3</v>
      </c>
      <c r="H71" s="100"/>
    </row>
    <row r="72" spans="1:8" x14ac:dyDescent="0.2">
      <c r="A72" s="4">
        <v>66</v>
      </c>
      <c r="B72" s="5" t="s">
        <v>15</v>
      </c>
      <c r="C72" s="5" t="s">
        <v>16</v>
      </c>
      <c r="D72" s="5" t="s">
        <v>17</v>
      </c>
      <c r="E72" s="6">
        <v>1340</v>
      </c>
      <c r="F72" s="7">
        <v>26.726299999999998</v>
      </c>
      <c r="G72" s="8">
        <v>9.4474439999999993E-3</v>
      </c>
      <c r="H72" s="100"/>
    </row>
    <row r="73" spans="1:8" ht="25.5" x14ac:dyDescent="0.2">
      <c r="A73" s="4">
        <v>67</v>
      </c>
      <c r="B73" s="5" t="s">
        <v>652</v>
      </c>
      <c r="C73" s="5" t="s">
        <v>653</v>
      </c>
      <c r="D73" s="5" t="s">
        <v>73</v>
      </c>
      <c r="E73" s="6">
        <v>2203</v>
      </c>
      <c r="F73" s="7">
        <v>26.698156999999998</v>
      </c>
      <c r="G73" s="8">
        <v>9.4374950000000006E-3</v>
      </c>
      <c r="H73" s="100"/>
    </row>
    <row r="74" spans="1:8" ht="25.5" x14ac:dyDescent="0.2">
      <c r="A74" s="4">
        <v>68</v>
      </c>
      <c r="B74" s="5" t="s">
        <v>654</v>
      </c>
      <c r="C74" s="5" t="s">
        <v>655</v>
      </c>
      <c r="D74" s="5" t="s">
        <v>73</v>
      </c>
      <c r="E74" s="6">
        <v>774</v>
      </c>
      <c r="F74" s="7">
        <v>26.695260000000001</v>
      </c>
      <c r="G74" s="8">
        <v>9.4364710000000001E-3</v>
      </c>
      <c r="H74" s="100"/>
    </row>
    <row r="75" spans="1:8" x14ac:dyDescent="0.2">
      <c r="A75" s="4">
        <v>69</v>
      </c>
      <c r="B75" s="5" t="s">
        <v>579</v>
      </c>
      <c r="C75" s="5" t="s">
        <v>580</v>
      </c>
      <c r="D75" s="5" t="s">
        <v>1009</v>
      </c>
      <c r="E75" s="6">
        <v>4001</v>
      </c>
      <c r="F75" s="7">
        <v>26.610651000000001</v>
      </c>
      <c r="G75" s="8">
        <v>9.4065629999999997E-3</v>
      </c>
      <c r="H75" s="100"/>
    </row>
    <row r="76" spans="1:8" x14ac:dyDescent="0.2">
      <c r="A76" s="4">
        <v>70</v>
      </c>
      <c r="B76" s="5" t="s">
        <v>399</v>
      </c>
      <c r="C76" s="5" t="s">
        <v>400</v>
      </c>
      <c r="D76" s="5" t="s">
        <v>22</v>
      </c>
      <c r="E76" s="6">
        <v>7522</v>
      </c>
      <c r="F76" s="7">
        <v>26.59027</v>
      </c>
      <c r="G76" s="8">
        <v>9.399358E-3</v>
      </c>
      <c r="H76" s="100"/>
    </row>
    <row r="77" spans="1:8" x14ac:dyDescent="0.2">
      <c r="A77" s="4">
        <v>71</v>
      </c>
      <c r="B77" s="5" t="s">
        <v>494</v>
      </c>
      <c r="C77" s="5" t="s">
        <v>495</v>
      </c>
      <c r="D77" s="5" t="s">
        <v>151</v>
      </c>
      <c r="E77" s="6">
        <v>2760</v>
      </c>
      <c r="F77" s="7">
        <v>26.50704</v>
      </c>
      <c r="G77" s="8">
        <v>9.3699379999999995E-3</v>
      </c>
      <c r="H77" s="100"/>
    </row>
    <row r="78" spans="1:8" x14ac:dyDescent="0.2">
      <c r="A78" s="4">
        <v>72</v>
      </c>
      <c r="B78" s="5" t="s">
        <v>656</v>
      </c>
      <c r="C78" s="5" t="s">
        <v>657</v>
      </c>
      <c r="D78" s="5" t="s">
        <v>63</v>
      </c>
      <c r="E78" s="6">
        <v>1612</v>
      </c>
      <c r="F78" s="7">
        <v>26.491607999999999</v>
      </c>
      <c r="G78" s="8">
        <v>9.3644829999999998E-3</v>
      </c>
      <c r="H78" s="100"/>
    </row>
    <row r="79" spans="1:8" x14ac:dyDescent="0.2">
      <c r="A79" s="4">
        <v>73</v>
      </c>
      <c r="B79" s="5" t="s">
        <v>658</v>
      </c>
      <c r="C79" s="5" t="s">
        <v>659</v>
      </c>
      <c r="D79" s="5" t="s">
        <v>53</v>
      </c>
      <c r="E79" s="6">
        <v>25847</v>
      </c>
      <c r="F79" s="7">
        <v>26.480251500000001</v>
      </c>
      <c r="G79" s="8">
        <v>9.3604680000000003E-3</v>
      </c>
      <c r="H79" s="100"/>
    </row>
    <row r="80" spans="1:8" x14ac:dyDescent="0.2">
      <c r="A80" s="4">
        <v>74</v>
      </c>
      <c r="B80" s="5" t="s">
        <v>423</v>
      </c>
      <c r="C80" s="5" t="s">
        <v>424</v>
      </c>
      <c r="D80" s="5" t="s">
        <v>22</v>
      </c>
      <c r="E80" s="6">
        <v>1514</v>
      </c>
      <c r="F80" s="7">
        <v>26.476832000000002</v>
      </c>
      <c r="G80" s="8">
        <v>9.359259E-3</v>
      </c>
      <c r="H80" s="100"/>
    </row>
    <row r="81" spans="1:8" x14ac:dyDescent="0.2">
      <c r="A81" s="4">
        <v>75</v>
      </c>
      <c r="B81" s="5" t="s">
        <v>409</v>
      </c>
      <c r="C81" s="5" t="s">
        <v>940</v>
      </c>
      <c r="D81" s="5" t="s">
        <v>151</v>
      </c>
      <c r="E81" s="6">
        <v>871</v>
      </c>
      <c r="F81" s="7">
        <v>26.4405115</v>
      </c>
      <c r="G81" s="8">
        <v>9.3464210000000006E-3</v>
      </c>
      <c r="H81" s="100"/>
    </row>
    <row r="82" spans="1:8" x14ac:dyDescent="0.2">
      <c r="A82" s="4">
        <v>76</v>
      </c>
      <c r="B82" s="5" t="s">
        <v>660</v>
      </c>
      <c r="C82" s="5" t="s">
        <v>661</v>
      </c>
      <c r="D82" s="5" t="s">
        <v>1006</v>
      </c>
      <c r="E82" s="6">
        <v>949</v>
      </c>
      <c r="F82" s="7">
        <v>26.347561500000001</v>
      </c>
      <c r="G82" s="8">
        <v>9.3135639999999999E-3</v>
      </c>
      <c r="H82" s="100"/>
    </row>
    <row r="83" spans="1:8" x14ac:dyDescent="0.2">
      <c r="A83" s="4">
        <v>77</v>
      </c>
      <c r="B83" s="5" t="s">
        <v>662</v>
      </c>
      <c r="C83" s="5" t="s">
        <v>663</v>
      </c>
      <c r="D83" s="5" t="s">
        <v>22</v>
      </c>
      <c r="E83" s="6">
        <v>75207</v>
      </c>
      <c r="F83" s="7">
        <v>26.209639500000002</v>
      </c>
      <c r="G83" s="8">
        <v>9.2648100000000001E-3</v>
      </c>
      <c r="H83" s="100"/>
    </row>
    <row r="84" spans="1:8" x14ac:dyDescent="0.2">
      <c r="A84" s="4">
        <v>78</v>
      </c>
      <c r="B84" s="5" t="s">
        <v>477</v>
      </c>
      <c r="C84" s="5" t="s">
        <v>478</v>
      </c>
      <c r="D84" s="5" t="s">
        <v>163</v>
      </c>
      <c r="E84" s="6">
        <v>194</v>
      </c>
      <c r="F84" s="7">
        <v>26.207460000000001</v>
      </c>
      <c r="G84" s="8">
        <v>9.2640399999999994E-3</v>
      </c>
      <c r="H84" s="100"/>
    </row>
    <row r="85" spans="1:8" ht="25.5" x14ac:dyDescent="0.2">
      <c r="A85" s="4">
        <v>79</v>
      </c>
      <c r="B85" s="5" t="s">
        <v>395</v>
      </c>
      <c r="C85" s="5" t="s">
        <v>396</v>
      </c>
      <c r="D85" s="5" t="s">
        <v>156</v>
      </c>
      <c r="E85" s="6">
        <v>1082</v>
      </c>
      <c r="F85" s="7">
        <v>26.185482</v>
      </c>
      <c r="G85" s="8">
        <v>9.2562709999999999E-3</v>
      </c>
      <c r="H85" s="100"/>
    </row>
    <row r="86" spans="1:8" x14ac:dyDescent="0.2">
      <c r="A86" s="4">
        <v>80</v>
      </c>
      <c r="B86" s="5" t="s">
        <v>664</v>
      </c>
      <c r="C86" s="5" t="s">
        <v>665</v>
      </c>
      <c r="D86" s="5" t="s">
        <v>22</v>
      </c>
      <c r="E86" s="6">
        <v>2793</v>
      </c>
      <c r="F86" s="7">
        <v>26.113153499999999</v>
      </c>
      <c r="G86" s="8">
        <v>9.2307029999999998E-3</v>
      </c>
      <c r="H86" s="100"/>
    </row>
    <row r="87" spans="1:8" x14ac:dyDescent="0.2">
      <c r="A87" s="4">
        <v>81</v>
      </c>
      <c r="B87" s="5" t="s">
        <v>12</v>
      </c>
      <c r="C87" s="5" t="s">
        <v>13</v>
      </c>
      <c r="D87" s="5" t="s">
        <v>14</v>
      </c>
      <c r="E87" s="6">
        <v>1946</v>
      </c>
      <c r="F87" s="7">
        <v>26.085156999999999</v>
      </c>
      <c r="G87" s="8">
        <v>9.2208069999999993E-3</v>
      </c>
      <c r="H87" s="100"/>
    </row>
    <row r="88" spans="1:8" x14ac:dyDescent="0.2">
      <c r="A88" s="4">
        <v>82</v>
      </c>
      <c r="B88" s="5" t="s">
        <v>666</v>
      </c>
      <c r="C88" s="5" t="s">
        <v>667</v>
      </c>
      <c r="D88" s="5" t="s">
        <v>156</v>
      </c>
      <c r="E88" s="6">
        <v>2251</v>
      </c>
      <c r="F88" s="7">
        <v>26.053073999999999</v>
      </c>
      <c r="G88" s="8">
        <v>9.2094659999999995E-3</v>
      </c>
      <c r="H88" s="100"/>
    </row>
    <row r="89" spans="1:8" ht="25.5" x14ac:dyDescent="0.2">
      <c r="A89" s="4">
        <v>83</v>
      </c>
      <c r="B89" s="5" t="s">
        <v>668</v>
      </c>
      <c r="C89" s="5" t="s">
        <v>669</v>
      </c>
      <c r="D89" s="5" t="s">
        <v>73</v>
      </c>
      <c r="E89" s="6">
        <v>1745</v>
      </c>
      <c r="F89" s="7">
        <v>25.859155000000001</v>
      </c>
      <c r="G89" s="8">
        <v>9.1409179999999996E-3</v>
      </c>
      <c r="H89" s="100"/>
    </row>
    <row r="90" spans="1:8" x14ac:dyDescent="0.2">
      <c r="A90" s="4">
        <v>84</v>
      </c>
      <c r="B90" s="5" t="s">
        <v>316</v>
      </c>
      <c r="C90" s="5" t="s">
        <v>317</v>
      </c>
      <c r="D90" s="5" t="s">
        <v>163</v>
      </c>
      <c r="E90" s="6">
        <v>32</v>
      </c>
      <c r="F90" s="7">
        <v>25.830576000000001</v>
      </c>
      <c r="G90" s="8">
        <v>9.1308150000000005E-3</v>
      </c>
      <c r="H90" s="100"/>
    </row>
    <row r="91" spans="1:8" x14ac:dyDescent="0.2">
      <c r="A91" s="4">
        <v>85</v>
      </c>
      <c r="B91" s="5" t="s">
        <v>54</v>
      </c>
      <c r="C91" s="5" t="s">
        <v>55</v>
      </c>
      <c r="D91" s="5" t="s">
        <v>22</v>
      </c>
      <c r="E91" s="6">
        <v>1827</v>
      </c>
      <c r="F91" s="7">
        <v>25.802720999999998</v>
      </c>
      <c r="G91" s="8">
        <v>9.1209689999999996E-3</v>
      </c>
      <c r="H91" s="100"/>
    </row>
    <row r="92" spans="1:8" ht="25.5" x14ac:dyDescent="0.2">
      <c r="A92" s="4">
        <v>86</v>
      </c>
      <c r="B92" s="5" t="s">
        <v>421</v>
      </c>
      <c r="C92" s="5" t="s">
        <v>422</v>
      </c>
      <c r="D92" s="5" t="s">
        <v>73</v>
      </c>
      <c r="E92" s="6">
        <v>12709</v>
      </c>
      <c r="F92" s="7">
        <v>25.748434</v>
      </c>
      <c r="G92" s="8">
        <v>9.1017790000000008E-3</v>
      </c>
      <c r="H92" s="100"/>
    </row>
    <row r="93" spans="1:8" x14ac:dyDescent="0.2">
      <c r="A93" s="4">
        <v>87</v>
      </c>
      <c r="B93" s="5" t="s">
        <v>670</v>
      </c>
      <c r="C93" s="5" t="s">
        <v>671</v>
      </c>
      <c r="D93" s="5" t="s">
        <v>58</v>
      </c>
      <c r="E93" s="6">
        <v>2592</v>
      </c>
      <c r="F93" s="7">
        <v>25.667280000000002</v>
      </c>
      <c r="G93" s="8">
        <v>9.0730919999999996E-3</v>
      </c>
      <c r="H93" s="100"/>
    </row>
    <row r="94" spans="1:8" x14ac:dyDescent="0.2">
      <c r="A94" s="4">
        <v>88</v>
      </c>
      <c r="B94" s="5" t="s">
        <v>672</v>
      </c>
      <c r="C94" s="5" t="s">
        <v>943</v>
      </c>
      <c r="D94" s="5" t="s">
        <v>91</v>
      </c>
      <c r="E94" s="6">
        <v>908</v>
      </c>
      <c r="F94" s="7">
        <v>25.597881999999998</v>
      </c>
      <c r="G94" s="8">
        <v>9.0485610000000001E-3</v>
      </c>
      <c r="H94" s="100"/>
    </row>
    <row r="95" spans="1:8" ht="25.5" x14ac:dyDescent="0.2">
      <c r="A95" s="4">
        <v>89</v>
      </c>
      <c r="B95" s="5" t="s">
        <v>673</v>
      </c>
      <c r="C95" s="5" t="s">
        <v>962</v>
      </c>
      <c r="D95" s="5" t="s">
        <v>73</v>
      </c>
      <c r="E95" s="6">
        <v>3631</v>
      </c>
      <c r="F95" s="7">
        <v>25.562239999999999</v>
      </c>
      <c r="G95" s="8">
        <v>9.0359619999999998E-3</v>
      </c>
      <c r="H95" s="100"/>
    </row>
    <row r="96" spans="1:8" x14ac:dyDescent="0.2">
      <c r="A96" s="4">
        <v>90</v>
      </c>
      <c r="B96" s="5" t="s">
        <v>674</v>
      </c>
      <c r="C96" s="5" t="s">
        <v>675</v>
      </c>
      <c r="D96" s="5" t="s">
        <v>193</v>
      </c>
      <c r="E96" s="6">
        <v>6716</v>
      </c>
      <c r="F96" s="7">
        <v>25.497294</v>
      </c>
      <c r="G96" s="8">
        <v>9.0130039999999998E-3</v>
      </c>
      <c r="H96" s="100"/>
    </row>
    <row r="97" spans="1:8" x14ac:dyDescent="0.2">
      <c r="A97" s="4">
        <v>91</v>
      </c>
      <c r="B97" s="5" t="s">
        <v>401</v>
      </c>
      <c r="C97" s="5" t="s">
        <v>402</v>
      </c>
      <c r="D97" s="5" t="s">
        <v>91</v>
      </c>
      <c r="E97" s="6">
        <v>3381</v>
      </c>
      <c r="F97" s="7">
        <v>25.4437155</v>
      </c>
      <c r="G97" s="8">
        <v>8.9940639999999995E-3</v>
      </c>
      <c r="H97" s="100"/>
    </row>
    <row r="98" spans="1:8" ht="25.5" x14ac:dyDescent="0.2">
      <c r="A98" s="4">
        <v>92</v>
      </c>
      <c r="B98" s="5" t="s">
        <v>480</v>
      </c>
      <c r="C98" s="5" t="s">
        <v>481</v>
      </c>
      <c r="D98" s="5" t="s">
        <v>73</v>
      </c>
      <c r="E98" s="6">
        <v>4888</v>
      </c>
      <c r="F98" s="7">
        <v>25.395603999999999</v>
      </c>
      <c r="G98" s="8">
        <v>8.9770579999999996E-3</v>
      </c>
      <c r="H98" s="100"/>
    </row>
    <row r="99" spans="1:8" x14ac:dyDescent="0.2">
      <c r="A99" s="4">
        <v>93</v>
      </c>
      <c r="B99" s="5" t="s">
        <v>487</v>
      </c>
      <c r="C99" s="5" t="s">
        <v>488</v>
      </c>
      <c r="D99" s="5" t="s">
        <v>91</v>
      </c>
      <c r="E99" s="6">
        <v>393</v>
      </c>
      <c r="F99" s="7">
        <v>25.370704499999999</v>
      </c>
      <c r="G99" s="8">
        <v>8.9682560000000008E-3</v>
      </c>
      <c r="H99" s="100"/>
    </row>
    <row r="100" spans="1:8" ht="25.5" x14ac:dyDescent="0.2">
      <c r="A100" s="4">
        <v>94</v>
      </c>
      <c r="B100" s="5" t="s">
        <v>39</v>
      </c>
      <c r="C100" s="5" t="s">
        <v>941</v>
      </c>
      <c r="D100" s="5" t="s">
        <v>1001</v>
      </c>
      <c r="E100" s="6">
        <v>401</v>
      </c>
      <c r="F100" s="7">
        <v>25.178589500000001</v>
      </c>
      <c r="G100" s="8">
        <v>8.9003450000000005E-3</v>
      </c>
      <c r="H100" s="100"/>
    </row>
    <row r="101" spans="1:8" x14ac:dyDescent="0.2">
      <c r="A101" s="4">
        <v>95</v>
      </c>
      <c r="B101" s="5" t="s">
        <v>676</v>
      </c>
      <c r="C101" s="5" t="s">
        <v>677</v>
      </c>
      <c r="D101" s="5" t="s">
        <v>22</v>
      </c>
      <c r="E101" s="6">
        <v>7631</v>
      </c>
      <c r="F101" s="7">
        <v>25.1632225</v>
      </c>
      <c r="G101" s="8">
        <v>8.8949130000000008E-3</v>
      </c>
      <c r="H101" s="100"/>
    </row>
    <row r="102" spans="1:8" x14ac:dyDescent="0.2">
      <c r="A102" s="4">
        <v>96</v>
      </c>
      <c r="B102" s="5" t="s">
        <v>678</v>
      </c>
      <c r="C102" s="5" t="s">
        <v>679</v>
      </c>
      <c r="D102" s="5" t="s">
        <v>91</v>
      </c>
      <c r="E102" s="6">
        <v>1036</v>
      </c>
      <c r="F102" s="7">
        <v>25.088294000000001</v>
      </c>
      <c r="G102" s="8">
        <v>8.8684269999999999E-3</v>
      </c>
      <c r="H102" s="100"/>
    </row>
    <row r="103" spans="1:8" x14ac:dyDescent="0.2">
      <c r="A103" s="4">
        <v>97</v>
      </c>
      <c r="B103" s="5" t="s">
        <v>680</v>
      </c>
      <c r="C103" s="5" t="s">
        <v>681</v>
      </c>
      <c r="D103" s="5" t="s">
        <v>156</v>
      </c>
      <c r="E103" s="6">
        <v>1488</v>
      </c>
      <c r="F103" s="7">
        <v>25.001376</v>
      </c>
      <c r="G103" s="8">
        <v>8.8377030000000006E-3</v>
      </c>
      <c r="H103" s="100"/>
    </row>
    <row r="104" spans="1:8" x14ac:dyDescent="0.2">
      <c r="A104" s="4">
        <v>98</v>
      </c>
      <c r="B104" s="5" t="s">
        <v>356</v>
      </c>
      <c r="C104" s="5" t="s">
        <v>357</v>
      </c>
      <c r="D104" s="5" t="s">
        <v>151</v>
      </c>
      <c r="E104" s="6">
        <v>2781</v>
      </c>
      <c r="F104" s="7">
        <v>24.999799500000002</v>
      </c>
      <c r="G104" s="8">
        <v>8.8371449999999994E-3</v>
      </c>
      <c r="H104" s="100"/>
    </row>
    <row r="105" spans="1:8" x14ac:dyDescent="0.2">
      <c r="A105" s="4">
        <v>99</v>
      </c>
      <c r="B105" s="5" t="s">
        <v>682</v>
      </c>
      <c r="C105" s="5" t="s">
        <v>683</v>
      </c>
      <c r="D105" s="5" t="s">
        <v>38</v>
      </c>
      <c r="E105" s="6">
        <v>9648</v>
      </c>
      <c r="F105" s="7">
        <v>23.859504000000001</v>
      </c>
      <c r="G105" s="8">
        <v>8.4340639999999998E-3</v>
      </c>
      <c r="H105" s="100"/>
    </row>
    <row r="106" spans="1:8" x14ac:dyDescent="0.2">
      <c r="A106" s="4">
        <v>100</v>
      </c>
      <c r="B106" s="5" t="s">
        <v>684</v>
      </c>
      <c r="C106" s="5" t="s">
        <v>685</v>
      </c>
      <c r="D106" s="5" t="s">
        <v>53</v>
      </c>
      <c r="E106" s="6">
        <v>2203</v>
      </c>
      <c r="F106" s="7">
        <v>22.447468499999999</v>
      </c>
      <c r="G106" s="8">
        <v>7.9349250000000007E-3</v>
      </c>
      <c r="H106" s="100"/>
    </row>
    <row r="107" spans="1:8" x14ac:dyDescent="0.2">
      <c r="A107" s="15" t="s">
        <v>9</v>
      </c>
      <c r="B107" s="15" t="s">
        <v>9</v>
      </c>
      <c r="C107" s="3" t="s">
        <v>94</v>
      </c>
      <c r="D107" s="15" t="s">
        <v>9</v>
      </c>
      <c r="E107" s="15" t="s">
        <v>9</v>
      </c>
      <c r="F107" s="9">
        <v>2799.2004685000002</v>
      </c>
      <c r="G107" s="10">
        <v>0.98948557599999998</v>
      </c>
      <c r="H107" s="100"/>
    </row>
    <row r="108" spans="1:8" x14ac:dyDescent="0.2">
      <c r="A108" s="15" t="s">
        <v>9</v>
      </c>
      <c r="B108" s="15" t="s">
        <v>9</v>
      </c>
      <c r="C108" s="11" t="s">
        <v>9</v>
      </c>
      <c r="D108" s="15" t="s">
        <v>9</v>
      </c>
      <c r="E108" s="15" t="s">
        <v>9</v>
      </c>
      <c r="F108" s="12" t="s">
        <v>9</v>
      </c>
      <c r="G108" s="12" t="s">
        <v>9</v>
      </c>
      <c r="H108" s="100"/>
    </row>
    <row r="109" spans="1:8" x14ac:dyDescent="0.2">
      <c r="A109" s="15" t="s">
        <v>9</v>
      </c>
      <c r="B109" s="15" t="s">
        <v>9</v>
      </c>
      <c r="C109" s="3" t="s">
        <v>95</v>
      </c>
      <c r="D109" s="15" t="s">
        <v>9</v>
      </c>
      <c r="E109" s="15" t="s">
        <v>9</v>
      </c>
      <c r="F109" s="15" t="s">
        <v>9</v>
      </c>
      <c r="G109" s="15" t="s">
        <v>9</v>
      </c>
      <c r="H109" s="100"/>
    </row>
    <row r="110" spans="1:8" x14ac:dyDescent="0.2">
      <c r="A110" s="15" t="s">
        <v>9</v>
      </c>
      <c r="B110" s="15" t="s">
        <v>9</v>
      </c>
      <c r="C110" s="3" t="s">
        <v>94</v>
      </c>
      <c r="D110" s="15" t="s">
        <v>9</v>
      </c>
      <c r="E110" s="15" t="s">
        <v>9</v>
      </c>
      <c r="F110" s="13">
        <v>0</v>
      </c>
      <c r="G110" s="14">
        <v>0</v>
      </c>
      <c r="H110" s="100"/>
    </row>
    <row r="111" spans="1:8" x14ac:dyDescent="0.2">
      <c r="A111" s="15" t="s">
        <v>9</v>
      </c>
      <c r="B111" s="15" t="s">
        <v>9</v>
      </c>
      <c r="C111" s="11" t="s">
        <v>9</v>
      </c>
      <c r="D111" s="15" t="s">
        <v>9</v>
      </c>
      <c r="E111" s="15" t="s">
        <v>9</v>
      </c>
      <c r="F111" s="12" t="s">
        <v>9</v>
      </c>
      <c r="G111" s="12" t="s">
        <v>9</v>
      </c>
      <c r="H111" s="100"/>
    </row>
    <row r="112" spans="1:8" x14ac:dyDescent="0.2">
      <c r="A112" s="15" t="s">
        <v>9</v>
      </c>
      <c r="B112" s="15" t="s">
        <v>9</v>
      </c>
      <c r="C112" s="3" t="s">
        <v>96</v>
      </c>
      <c r="D112" s="15" t="s">
        <v>9</v>
      </c>
      <c r="E112" s="15" t="s">
        <v>9</v>
      </c>
      <c r="F112" s="15" t="s">
        <v>9</v>
      </c>
      <c r="G112" s="15" t="s">
        <v>9</v>
      </c>
      <c r="H112" s="100"/>
    </row>
    <row r="113" spans="1:8" x14ac:dyDescent="0.2">
      <c r="A113" s="15" t="s">
        <v>9</v>
      </c>
      <c r="B113" s="15" t="s">
        <v>9</v>
      </c>
      <c r="C113" s="3" t="s">
        <v>94</v>
      </c>
      <c r="D113" s="15" t="s">
        <v>9</v>
      </c>
      <c r="E113" s="15" t="s">
        <v>9</v>
      </c>
      <c r="F113" s="13">
        <v>0</v>
      </c>
      <c r="G113" s="14">
        <v>0</v>
      </c>
      <c r="H113" s="100"/>
    </row>
    <row r="114" spans="1:8" x14ac:dyDescent="0.2">
      <c r="A114" s="15" t="s">
        <v>9</v>
      </c>
      <c r="B114" s="15" t="s">
        <v>9</v>
      </c>
      <c r="C114" s="11" t="s">
        <v>9</v>
      </c>
      <c r="D114" s="15" t="s">
        <v>9</v>
      </c>
      <c r="E114" s="15" t="s">
        <v>9</v>
      </c>
      <c r="F114" s="12" t="s">
        <v>9</v>
      </c>
      <c r="G114" s="12" t="s">
        <v>9</v>
      </c>
      <c r="H114" s="100"/>
    </row>
    <row r="115" spans="1:8" x14ac:dyDescent="0.2">
      <c r="A115" s="15" t="s">
        <v>9</v>
      </c>
      <c r="B115" s="15" t="s">
        <v>9</v>
      </c>
      <c r="C115" s="3" t="s">
        <v>100</v>
      </c>
      <c r="D115" s="15" t="s">
        <v>9</v>
      </c>
      <c r="E115" s="15" t="s">
        <v>9</v>
      </c>
      <c r="F115" s="15" t="s">
        <v>9</v>
      </c>
      <c r="G115" s="15" t="s">
        <v>9</v>
      </c>
      <c r="H115" s="100"/>
    </row>
    <row r="116" spans="1:8" x14ac:dyDescent="0.2">
      <c r="A116" s="15" t="s">
        <v>9</v>
      </c>
      <c r="B116" s="15" t="s">
        <v>9</v>
      </c>
      <c r="C116" s="3" t="s">
        <v>94</v>
      </c>
      <c r="D116" s="15" t="s">
        <v>9</v>
      </c>
      <c r="E116" s="15" t="s">
        <v>9</v>
      </c>
      <c r="F116" s="13">
        <v>0</v>
      </c>
      <c r="G116" s="14">
        <v>0</v>
      </c>
      <c r="H116" s="100"/>
    </row>
    <row r="117" spans="1:8" x14ac:dyDescent="0.2">
      <c r="A117" s="15" t="s">
        <v>9</v>
      </c>
      <c r="B117" s="15" t="s">
        <v>9</v>
      </c>
      <c r="C117" s="11" t="s">
        <v>9</v>
      </c>
      <c r="D117" s="15" t="s">
        <v>9</v>
      </c>
      <c r="E117" s="15" t="s">
        <v>9</v>
      </c>
      <c r="F117" s="12" t="s">
        <v>9</v>
      </c>
      <c r="G117" s="12" t="s">
        <v>9</v>
      </c>
      <c r="H117" s="100"/>
    </row>
    <row r="118" spans="1:8" x14ac:dyDescent="0.2">
      <c r="A118" s="15" t="s">
        <v>9</v>
      </c>
      <c r="B118" s="15" t="s">
        <v>9</v>
      </c>
      <c r="C118" s="3" t="s">
        <v>101</v>
      </c>
      <c r="D118" s="15" t="s">
        <v>9</v>
      </c>
      <c r="E118" s="15" t="s">
        <v>9</v>
      </c>
      <c r="F118" s="12" t="s">
        <v>9</v>
      </c>
      <c r="G118" s="12" t="s">
        <v>9</v>
      </c>
      <c r="H118" s="100"/>
    </row>
    <row r="119" spans="1:8" x14ac:dyDescent="0.2">
      <c r="A119" s="15" t="s">
        <v>9</v>
      </c>
      <c r="B119" s="15" t="s">
        <v>9</v>
      </c>
      <c r="C119" s="3" t="s">
        <v>94</v>
      </c>
      <c r="D119" s="15" t="s">
        <v>9</v>
      </c>
      <c r="E119" s="15" t="s">
        <v>9</v>
      </c>
      <c r="F119" s="13">
        <v>0</v>
      </c>
      <c r="G119" s="14">
        <v>0</v>
      </c>
      <c r="H119" s="100"/>
    </row>
    <row r="120" spans="1:8" x14ac:dyDescent="0.2">
      <c r="A120" s="15" t="s">
        <v>9</v>
      </c>
      <c r="B120" s="15" t="s">
        <v>9</v>
      </c>
      <c r="C120" s="11" t="s">
        <v>9</v>
      </c>
      <c r="D120" s="15" t="s">
        <v>9</v>
      </c>
      <c r="E120" s="15" t="s">
        <v>9</v>
      </c>
      <c r="F120" s="12" t="s">
        <v>9</v>
      </c>
      <c r="G120" s="12" t="s">
        <v>9</v>
      </c>
      <c r="H120" s="100"/>
    </row>
    <row r="121" spans="1:8" x14ac:dyDescent="0.2">
      <c r="A121" s="15" t="s">
        <v>9</v>
      </c>
      <c r="B121" s="15" t="s">
        <v>9</v>
      </c>
      <c r="C121" s="3" t="s">
        <v>102</v>
      </c>
      <c r="D121" s="15" t="s">
        <v>9</v>
      </c>
      <c r="E121" s="15" t="s">
        <v>9</v>
      </c>
      <c r="F121" s="12" t="s">
        <v>9</v>
      </c>
      <c r="G121" s="12" t="s">
        <v>9</v>
      </c>
      <c r="H121" s="100"/>
    </row>
    <row r="122" spans="1:8" x14ac:dyDescent="0.2">
      <c r="A122" s="15" t="s">
        <v>9</v>
      </c>
      <c r="B122" s="15" t="s">
        <v>9</v>
      </c>
      <c r="C122" s="3" t="s">
        <v>94</v>
      </c>
      <c r="D122" s="15" t="s">
        <v>9</v>
      </c>
      <c r="E122" s="15" t="s">
        <v>9</v>
      </c>
      <c r="F122" s="13">
        <v>0</v>
      </c>
      <c r="G122" s="14">
        <v>0</v>
      </c>
      <c r="H122" s="100"/>
    </row>
    <row r="123" spans="1:8" x14ac:dyDescent="0.2">
      <c r="A123" s="15" t="s">
        <v>9</v>
      </c>
      <c r="B123" s="15" t="s">
        <v>9</v>
      </c>
      <c r="C123" s="11" t="s">
        <v>9</v>
      </c>
      <c r="D123" s="15" t="s">
        <v>9</v>
      </c>
      <c r="E123" s="15" t="s">
        <v>9</v>
      </c>
      <c r="F123" s="12" t="s">
        <v>9</v>
      </c>
      <c r="G123" s="12" t="s">
        <v>9</v>
      </c>
      <c r="H123" s="100"/>
    </row>
    <row r="124" spans="1:8" x14ac:dyDescent="0.2">
      <c r="A124" s="15" t="s">
        <v>9</v>
      </c>
      <c r="B124" s="15" t="s">
        <v>9</v>
      </c>
      <c r="C124" s="3" t="s">
        <v>104</v>
      </c>
      <c r="D124" s="15" t="s">
        <v>9</v>
      </c>
      <c r="E124" s="15" t="s">
        <v>9</v>
      </c>
      <c r="F124" s="9">
        <v>2799.2004685000002</v>
      </c>
      <c r="G124" s="10">
        <v>0.98948557599999998</v>
      </c>
      <c r="H124" s="100"/>
    </row>
    <row r="125" spans="1:8" x14ac:dyDescent="0.2">
      <c r="A125" s="15" t="s">
        <v>9</v>
      </c>
      <c r="B125" s="15" t="s">
        <v>9</v>
      </c>
      <c r="C125" s="11" t="s">
        <v>9</v>
      </c>
      <c r="D125" s="15" t="s">
        <v>9</v>
      </c>
      <c r="E125" s="15" t="s">
        <v>9</v>
      </c>
      <c r="F125" s="12" t="s">
        <v>9</v>
      </c>
      <c r="G125" s="12" t="s">
        <v>9</v>
      </c>
      <c r="H125" s="100"/>
    </row>
    <row r="126" spans="1:8" x14ac:dyDescent="0.2">
      <c r="A126" s="15" t="s">
        <v>9</v>
      </c>
      <c r="B126" s="15" t="s">
        <v>9</v>
      </c>
      <c r="C126" s="3" t="s">
        <v>105</v>
      </c>
      <c r="D126" s="15" t="s">
        <v>9</v>
      </c>
      <c r="E126" s="15" t="s">
        <v>9</v>
      </c>
      <c r="F126" s="12" t="s">
        <v>9</v>
      </c>
      <c r="G126" s="12" t="s">
        <v>9</v>
      </c>
      <c r="H126" s="100"/>
    </row>
    <row r="127" spans="1:8" ht="25.5" x14ac:dyDescent="0.2">
      <c r="A127" s="15" t="s">
        <v>9</v>
      </c>
      <c r="B127" s="15" t="s">
        <v>9</v>
      </c>
      <c r="C127" s="3" t="s">
        <v>11</v>
      </c>
      <c r="D127" s="15" t="s">
        <v>9</v>
      </c>
      <c r="E127" s="15" t="s">
        <v>9</v>
      </c>
      <c r="F127" s="12" t="s">
        <v>9</v>
      </c>
      <c r="G127" s="12" t="s">
        <v>9</v>
      </c>
      <c r="H127" s="100"/>
    </row>
    <row r="128" spans="1:8" x14ac:dyDescent="0.2">
      <c r="A128" s="15" t="s">
        <v>9</v>
      </c>
      <c r="B128" s="15" t="s">
        <v>9</v>
      </c>
      <c r="C128" s="3" t="s">
        <v>94</v>
      </c>
      <c r="D128" s="15" t="s">
        <v>9</v>
      </c>
      <c r="E128" s="15" t="s">
        <v>9</v>
      </c>
      <c r="F128" s="13">
        <v>0</v>
      </c>
      <c r="G128" s="14">
        <v>0</v>
      </c>
      <c r="H128" s="100"/>
    </row>
    <row r="129" spans="1:8" x14ac:dyDescent="0.2">
      <c r="A129" s="15" t="s">
        <v>9</v>
      </c>
      <c r="B129" s="15" t="s">
        <v>9</v>
      </c>
      <c r="C129" s="11" t="s">
        <v>9</v>
      </c>
      <c r="D129" s="15" t="s">
        <v>9</v>
      </c>
      <c r="E129" s="15" t="s">
        <v>9</v>
      </c>
      <c r="F129" s="12" t="s">
        <v>9</v>
      </c>
      <c r="G129" s="12" t="s">
        <v>9</v>
      </c>
      <c r="H129" s="100"/>
    </row>
    <row r="130" spans="1:8" x14ac:dyDescent="0.2">
      <c r="A130" s="15" t="s">
        <v>9</v>
      </c>
      <c r="B130" s="15" t="s">
        <v>9</v>
      </c>
      <c r="C130" s="3" t="s">
        <v>106</v>
      </c>
      <c r="D130" s="15" t="s">
        <v>9</v>
      </c>
      <c r="E130" s="15" t="s">
        <v>9</v>
      </c>
      <c r="F130" s="15" t="s">
        <v>9</v>
      </c>
      <c r="G130" s="15" t="s">
        <v>9</v>
      </c>
      <c r="H130" s="100"/>
    </row>
    <row r="131" spans="1:8" x14ac:dyDescent="0.2">
      <c r="A131" s="15" t="s">
        <v>9</v>
      </c>
      <c r="B131" s="15" t="s">
        <v>9</v>
      </c>
      <c r="C131" s="3" t="s">
        <v>94</v>
      </c>
      <c r="D131" s="15" t="s">
        <v>9</v>
      </c>
      <c r="E131" s="15" t="s">
        <v>9</v>
      </c>
      <c r="F131" s="13">
        <v>0</v>
      </c>
      <c r="G131" s="14">
        <v>0</v>
      </c>
      <c r="H131" s="100"/>
    </row>
    <row r="132" spans="1:8" x14ac:dyDescent="0.2">
      <c r="A132" s="15" t="s">
        <v>9</v>
      </c>
      <c r="B132" s="15" t="s">
        <v>9</v>
      </c>
      <c r="C132" s="11" t="s">
        <v>9</v>
      </c>
      <c r="D132" s="15" t="s">
        <v>9</v>
      </c>
      <c r="E132" s="15" t="s">
        <v>9</v>
      </c>
      <c r="F132" s="12" t="s">
        <v>9</v>
      </c>
      <c r="G132" s="12" t="s">
        <v>9</v>
      </c>
      <c r="H132" s="100"/>
    </row>
    <row r="133" spans="1:8" x14ac:dyDescent="0.2">
      <c r="A133" s="15" t="s">
        <v>9</v>
      </c>
      <c r="B133" s="15" t="s">
        <v>9</v>
      </c>
      <c r="C133" s="3" t="s">
        <v>107</v>
      </c>
      <c r="D133" s="15" t="s">
        <v>9</v>
      </c>
      <c r="E133" s="15" t="s">
        <v>9</v>
      </c>
      <c r="F133" s="15" t="s">
        <v>9</v>
      </c>
      <c r="G133" s="15" t="s">
        <v>9</v>
      </c>
      <c r="H133" s="100"/>
    </row>
    <row r="134" spans="1:8" x14ac:dyDescent="0.2">
      <c r="A134" s="15" t="s">
        <v>9</v>
      </c>
      <c r="B134" s="15" t="s">
        <v>9</v>
      </c>
      <c r="C134" s="3" t="s">
        <v>94</v>
      </c>
      <c r="D134" s="15" t="s">
        <v>9</v>
      </c>
      <c r="E134" s="15" t="s">
        <v>9</v>
      </c>
      <c r="F134" s="13">
        <v>0</v>
      </c>
      <c r="G134" s="14">
        <v>0</v>
      </c>
      <c r="H134" s="100"/>
    </row>
    <row r="135" spans="1:8" x14ac:dyDescent="0.2">
      <c r="A135" s="15" t="s">
        <v>9</v>
      </c>
      <c r="B135" s="15" t="s">
        <v>9</v>
      </c>
      <c r="C135" s="11" t="s">
        <v>9</v>
      </c>
      <c r="D135" s="15" t="s">
        <v>9</v>
      </c>
      <c r="E135" s="15" t="s">
        <v>9</v>
      </c>
      <c r="F135" s="12" t="s">
        <v>9</v>
      </c>
      <c r="G135" s="12" t="s">
        <v>9</v>
      </c>
      <c r="H135" s="100"/>
    </row>
    <row r="136" spans="1:8" x14ac:dyDescent="0.2">
      <c r="A136" s="15" t="s">
        <v>9</v>
      </c>
      <c r="B136" s="15" t="s">
        <v>9</v>
      </c>
      <c r="C136" s="3" t="s">
        <v>108</v>
      </c>
      <c r="D136" s="15" t="s">
        <v>9</v>
      </c>
      <c r="E136" s="15" t="s">
        <v>9</v>
      </c>
      <c r="F136" s="12" t="s">
        <v>9</v>
      </c>
      <c r="G136" s="12" t="s">
        <v>9</v>
      </c>
      <c r="H136" s="100"/>
    </row>
    <row r="137" spans="1:8" x14ac:dyDescent="0.2">
      <c r="A137" s="15" t="s">
        <v>9</v>
      </c>
      <c r="B137" s="15" t="s">
        <v>9</v>
      </c>
      <c r="C137" s="3" t="s">
        <v>94</v>
      </c>
      <c r="D137" s="15" t="s">
        <v>9</v>
      </c>
      <c r="E137" s="15" t="s">
        <v>9</v>
      </c>
      <c r="F137" s="13">
        <v>0</v>
      </c>
      <c r="G137" s="14">
        <v>0</v>
      </c>
      <c r="H137" s="100"/>
    </row>
    <row r="138" spans="1:8" x14ac:dyDescent="0.2">
      <c r="A138" s="15" t="s">
        <v>9</v>
      </c>
      <c r="B138" s="15" t="s">
        <v>9</v>
      </c>
      <c r="C138" s="11" t="s">
        <v>9</v>
      </c>
      <c r="D138" s="15" t="s">
        <v>9</v>
      </c>
      <c r="E138" s="15" t="s">
        <v>9</v>
      </c>
      <c r="F138" s="12" t="s">
        <v>9</v>
      </c>
      <c r="G138" s="12" t="s">
        <v>9</v>
      </c>
      <c r="H138" s="100"/>
    </row>
    <row r="139" spans="1:8" x14ac:dyDescent="0.2">
      <c r="A139" s="15" t="s">
        <v>9</v>
      </c>
      <c r="B139" s="15" t="s">
        <v>9</v>
      </c>
      <c r="C139" s="3" t="s">
        <v>109</v>
      </c>
      <c r="D139" s="15" t="s">
        <v>9</v>
      </c>
      <c r="E139" s="15" t="s">
        <v>9</v>
      </c>
      <c r="F139" s="9">
        <v>0</v>
      </c>
      <c r="G139" s="10">
        <v>0</v>
      </c>
      <c r="H139" s="100"/>
    </row>
    <row r="140" spans="1:8" x14ac:dyDescent="0.2">
      <c r="A140" s="15" t="s">
        <v>9</v>
      </c>
      <c r="B140" s="15" t="s">
        <v>9</v>
      </c>
      <c r="C140" s="11" t="s">
        <v>9</v>
      </c>
      <c r="D140" s="15" t="s">
        <v>9</v>
      </c>
      <c r="E140" s="15" t="s">
        <v>9</v>
      </c>
      <c r="F140" s="12" t="s">
        <v>9</v>
      </c>
      <c r="G140" s="12" t="s">
        <v>9</v>
      </c>
      <c r="H140" s="100"/>
    </row>
    <row r="141" spans="1:8" x14ac:dyDescent="0.2">
      <c r="A141" s="15" t="s">
        <v>9</v>
      </c>
      <c r="B141" s="15" t="s">
        <v>9</v>
      </c>
      <c r="C141" s="3" t="s">
        <v>110</v>
      </c>
      <c r="D141" s="15" t="s">
        <v>9</v>
      </c>
      <c r="E141" s="15" t="s">
        <v>9</v>
      </c>
      <c r="F141" s="12" t="s">
        <v>9</v>
      </c>
      <c r="G141" s="12" t="s">
        <v>9</v>
      </c>
      <c r="H141" s="100"/>
    </row>
    <row r="142" spans="1:8" x14ac:dyDescent="0.2">
      <c r="A142" s="15" t="s">
        <v>9</v>
      </c>
      <c r="B142" s="15" t="s">
        <v>9</v>
      </c>
      <c r="C142" s="3" t="s">
        <v>111</v>
      </c>
      <c r="D142" s="15" t="s">
        <v>9</v>
      </c>
      <c r="E142" s="15" t="s">
        <v>9</v>
      </c>
      <c r="F142" s="12" t="s">
        <v>9</v>
      </c>
      <c r="G142" s="12" t="s">
        <v>9</v>
      </c>
      <c r="H142" s="100"/>
    </row>
    <row r="143" spans="1:8" x14ac:dyDescent="0.2">
      <c r="A143" s="15" t="s">
        <v>9</v>
      </c>
      <c r="B143" s="15" t="s">
        <v>9</v>
      </c>
      <c r="C143" s="3" t="s">
        <v>94</v>
      </c>
      <c r="D143" s="15" t="s">
        <v>9</v>
      </c>
      <c r="E143" s="15" t="s">
        <v>9</v>
      </c>
      <c r="F143" s="13">
        <v>0</v>
      </c>
      <c r="G143" s="14">
        <v>0</v>
      </c>
      <c r="H143" s="100"/>
    </row>
    <row r="144" spans="1:8" x14ac:dyDescent="0.2">
      <c r="A144" s="15" t="s">
        <v>9</v>
      </c>
      <c r="B144" s="15" t="s">
        <v>9</v>
      </c>
      <c r="C144" s="11" t="s">
        <v>9</v>
      </c>
      <c r="D144" s="15" t="s">
        <v>9</v>
      </c>
      <c r="E144" s="15" t="s">
        <v>9</v>
      </c>
      <c r="F144" s="12" t="s">
        <v>9</v>
      </c>
      <c r="G144" s="12" t="s">
        <v>9</v>
      </c>
      <c r="H144" s="100"/>
    </row>
    <row r="145" spans="1:8" x14ac:dyDescent="0.2">
      <c r="A145" s="15" t="s">
        <v>9</v>
      </c>
      <c r="B145" s="15" t="s">
        <v>9</v>
      </c>
      <c r="C145" s="3" t="s">
        <v>112</v>
      </c>
      <c r="D145" s="15" t="s">
        <v>9</v>
      </c>
      <c r="E145" s="15" t="s">
        <v>9</v>
      </c>
      <c r="F145" s="12" t="s">
        <v>9</v>
      </c>
      <c r="G145" s="12" t="s">
        <v>9</v>
      </c>
      <c r="H145" s="100"/>
    </row>
    <row r="146" spans="1:8" x14ac:dyDescent="0.2">
      <c r="A146" s="15" t="s">
        <v>9</v>
      </c>
      <c r="B146" s="15" t="s">
        <v>9</v>
      </c>
      <c r="C146" s="3" t="s">
        <v>94</v>
      </c>
      <c r="D146" s="15" t="s">
        <v>9</v>
      </c>
      <c r="E146" s="15" t="s">
        <v>9</v>
      </c>
      <c r="F146" s="13">
        <v>0</v>
      </c>
      <c r="G146" s="14">
        <v>0</v>
      </c>
      <c r="H146" s="100"/>
    </row>
    <row r="147" spans="1:8" x14ac:dyDescent="0.2">
      <c r="A147" s="15" t="s">
        <v>9</v>
      </c>
      <c r="B147" s="15" t="s">
        <v>9</v>
      </c>
      <c r="C147" s="11" t="s">
        <v>9</v>
      </c>
      <c r="D147" s="15" t="s">
        <v>9</v>
      </c>
      <c r="E147" s="15" t="s">
        <v>9</v>
      </c>
      <c r="F147" s="12" t="s">
        <v>9</v>
      </c>
      <c r="G147" s="12" t="s">
        <v>9</v>
      </c>
      <c r="H147" s="100"/>
    </row>
    <row r="148" spans="1:8" x14ac:dyDescent="0.2">
      <c r="A148" s="15" t="s">
        <v>9</v>
      </c>
      <c r="B148" s="15" t="s">
        <v>9</v>
      </c>
      <c r="C148" s="3" t="s">
        <v>113</v>
      </c>
      <c r="D148" s="15" t="s">
        <v>9</v>
      </c>
      <c r="E148" s="15" t="s">
        <v>9</v>
      </c>
      <c r="F148" s="12" t="s">
        <v>9</v>
      </c>
      <c r="G148" s="12" t="s">
        <v>9</v>
      </c>
      <c r="H148" s="100"/>
    </row>
    <row r="149" spans="1:8" x14ac:dyDescent="0.2">
      <c r="A149" s="15" t="s">
        <v>9</v>
      </c>
      <c r="B149" s="15" t="s">
        <v>9</v>
      </c>
      <c r="C149" s="3" t="s">
        <v>94</v>
      </c>
      <c r="D149" s="15" t="s">
        <v>9</v>
      </c>
      <c r="E149" s="15" t="s">
        <v>9</v>
      </c>
      <c r="F149" s="13">
        <v>0</v>
      </c>
      <c r="G149" s="14">
        <v>0</v>
      </c>
      <c r="H149" s="100"/>
    </row>
    <row r="150" spans="1:8" x14ac:dyDescent="0.2">
      <c r="A150" s="15" t="s">
        <v>9</v>
      </c>
      <c r="B150" s="15" t="s">
        <v>9</v>
      </c>
      <c r="C150" s="11" t="s">
        <v>9</v>
      </c>
      <c r="D150" s="15" t="s">
        <v>9</v>
      </c>
      <c r="E150" s="15" t="s">
        <v>9</v>
      </c>
      <c r="F150" s="12" t="s">
        <v>9</v>
      </c>
      <c r="G150" s="12" t="s">
        <v>9</v>
      </c>
      <c r="H150" s="100"/>
    </row>
    <row r="151" spans="1:8" x14ac:dyDescent="0.2">
      <c r="A151" s="15" t="s">
        <v>9</v>
      </c>
      <c r="B151" s="15" t="s">
        <v>9</v>
      </c>
      <c r="C151" s="3" t="s">
        <v>114</v>
      </c>
      <c r="D151" s="15" t="s">
        <v>9</v>
      </c>
      <c r="E151" s="15" t="s">
        <v>9</v>
      </c>
      <c r="F151" s="12" t="s">
        <v>9</v>
      </c>
      <c r="G151" s="12" t="s">
        <v>9</v>
      </c>
      <c r="H151" s="100"/>
    </row>
    <row r="152" spans="1:8" x14ac:dyDescent="0.2">
      <c r="A152" s="4">
        <v>1</v>
      </c>
      <c r="B152" s="5"/>
      <c r="C152" s="5" t="s">
        <v>115</v>
      </c>
      <c r="D152" s="5"/>
      <c r="E152" s="15" t="s">
        <v>9</v>
      </c>
      <c r="F152" s="7">
        <v>25.618953000000001</v>
      </c>
      <c r="G152" s="8">
        <v>9.0560090000000003E-3</v>
      </c>
      <c r="H152" s="99">
        <v>3.2516689338443991</v>
      </c>
    </row>
    <row r="153" spans="1:8" x14ac:dyDescent="0.2">
      <c r="A153" s="4">
        <v>2</v>
      </c>
      <c r="B153" s="5"/>
      <c r="C153" s="5" t="s">
        <v>116</v>
      </c>
      <c r="D153" s="5"/>
      <c r="E153" s="15" t="s">
        <v>9</v>
      </c>
      <c r="F153" s="7">
        <v>3.5100373999999999</v>
      </c>
      <c r="G153" s="8">
        <v>1.240758E-3</v>
      </c>
      <c r="H153" s="100">
        <v>3.350000000000001</v>
      </c>
    </row>
    <row r="154" spans="1:8" x14ac:dyDescent="0.2">
      <c r="A154" s="15" t="s">
        <v>9</v>
      </c>
      <c r="B154" s="15" t="s">
        <v>9</v>
      </c>
      <c r="C154" s="3" t="s">
        <v>94</v>
      </c>
      <c r="D154" s="15" t="s">
        <v>9</v>
      </c>
      <c r="E154" s="15" t="s">
        <v>9</v>
      </c>
      <c r="F154" s="9">
        <v>29.128990399999999</v>
      </c>
      <c r="G154" s="10">
        <v>1.0296767E-2</v>
      </c>
      <c r="H154" s="100"/>
    </row>
    <row r="155" spans="1:8" x14ac:dyDescent="0.2">
      <c r="A155" s="15" t="s">
        <v>9</v>
      </c>
      <c r="B155" s="15" t="s">
        <v>9</v>
      </c>
      <c r="C155" s="11" t="s">
        <v>9</v>
      </c>
      <c r="D155" s="15" t="s">
        <v>9</v>
      </c>
      <c r="E155" s="15" t="s">
        <v>9</v>
      </c>
      <c r="F155" s="12" t="s">
        <v>9</v>
      </c>
      <c r="G155" s="12" t="s">
        <v>9</v>
      </c>
      <c r="H155" s="100"/>
    </row>
    <row r="156" spans="1:8" x14ac:dyDescent="0.2">
      <c r="A156" s="15" t="s">
        <v>9</v>
      </c>
      <c r="B156" s="15" t="s">
        <v>9</v>
      </c>
      <c r="C156" s="3" t="s">
        <v>117</v>
      </c>
      <c r="D156" s="15" t="s">
        <v>9</v>
      </c>
      <c r="E156" s="15" t="s">
        <v>9</v>
      </c>
      <c r="F156" s="9">
        <v>29.128990399999999</v>
      </c>
      <c r="G156" s="10">
        <v>1.0296767E-2</v>
      </c>
      <c r="H156" s="100"/>
    </row>
    <row r="157" spans="1:8" x14ac:dyDescent="0.2">
      <c r="A157" s="15" t="s">
        <v>9</v>
      </c>
      <c r="B157" s="15" t="s">
        <v>9</v>
      </c>
      <c r="C157" s="12" t="s">
        <v>9</v>
      </c>
      <c r="D157" s="15" t="s">
        <v>9</v>
      </c>
      <c r="E157" s="15" t="s">
        <v>9</v>
      </c>
      <c r="F157" s="15" t="s">
        <v>9</v>
      </c>
      <c r="G157" s="15" t="s">
        <v>9</v>
      </c>
      <c r="H157" s="100"/>
    </row>
    <row r="158" spans="1:8" x14ac:dyDescent="0.2">
      <c r="A158" s="15" t="s">
        <v>9</v>
      </c>
      <c r="B158" s="15" t="s">
        <v>9</v>
      </c>
      <c r="C158" s="3" t="s">
        <v>118</v>
      </c>
      <c r="D158" s="15" t="s">
        <v>9</v>
      </c>
      <c r="E158" s="15" t="s">
        <v>9</v>
      </c>
      <c r="F158" s="15" t="s">
        <v>9</v>
      </c>
      <c r="G158" s="15" t="s">
        <v>9</v>
      </c>
      <c r="H158" s="100"/>
    </row>
    <row r="159" spans="1:8" x14ac:dyDescent="0.2">
      <c r="A159" s="15" t="s">
        <v>9</v>
      </c>
      <c r="B159" s="15" t="s">
        <v>9</v>
      </c>
      <c r="C159" s="3" t="s">
        <v>119</v>
      </c>
      <c r="D159" s="15" t="s">
        <v>9</v>
      </c>
      <c r="E159" s="15" t="s">
        <v>9</v>
      </c>
      <c r="F159" s="15" t="s">
        <v>9</v>
      </c>
      <c r="G159" s="15" t="s">
        <v>9</v>
      </c>
      <c r="H159" s="100"/>
    </row>
    <row r="160" spans="1:8" x14ac:dyDescent="0.2">
      <c r="A160" s="15" t="s">
        <v>9</v>
      </c>
      <c r="B160" s="15" t="s">
        <v>9</v>
      </c>
      <c r="C160" s="3" t="s">
        <v>94</v>
      </c>
      <c r="D160" s="15" t="s">
        <v>9</v>
      </c>
      <c r="E160" s="15" t="s">
        <v>9</v>
      </c>
      <c r="F160" s="13">
        <v>0</v>
      </c>
      <c r="G160" s="14">
        <v>0</v>
      </c>
      <c r="H160" s="100"/>
    </row>
    <row r="161" spans="1:8" x14ac:dyDescent="0.2">
      <c r="A161" s="15" t="s">
        <v>9</v>
      </c>
      <c r="B161" s="15" t="s">
        <v>9</v>
      </c>
      <c r="C161" s="11" t="s">
        <v>9</v>
      </c>
      <c r="D161" s="15" t="s">
        <v>9</v>
      </c>
      <c r="E161" s="15" t="s">
        <v>9</v>
      </c>
      <c r="F161" s="12" t="s">
        <v>9</v>
      </c>
      <c r="G161" s="12" t="s">
        <v>9</v>
      </c>
      <c r="H161" s="100"/>
    </row>
    <row r="162" spans="1:8" x14ac:dyDescent="0.2">
      <c r="A162" s="15" t="s">
        <v>9</v>
      </c>
      <c r="B162" s="15" t="s">
        <v>9</v>
      </c>
      <c r="C162" s="3" t="s">
        <v>120</v>
      </c>
      <c r="D162" s="15" t="s">
        <v>9</v>
      </c>
      <c r="E162" s="15" t="s">
        <v>9</v>
      </c>
      <c r="F162" s="15" t="s">
        <v>9</v>
      </c>
      <c r="G162" s="15" t="s">
        <v>9</v>
      </c>
      <c r="H162" s="100"/>
    </row>
    <row r="163" spans="1:8" x14ac:dyDescent="0.2">
      <c r="A163" s="15" t="s">
        <v>9</v>
      </c>
      <c r="B163" s="15" t="s">
        <v>9</v>
      </c>
      <c r="C163" s="3" t="s">
        <v>121</v>
      </c>
      <c r="D163" s="15" t="s">
        <v>9</v>
      </c>
      <c r="E163" s="15" t="s">
        <v>9</v>
      </c>
      <c r="F163" s="15" t="s">
        <v>9</v>
      </c>
      <c r="G163" s="15" t="s">
        <v>9</v>
      </c>
      <c r="H163" s="100"/>
    </row>
    <row r="164" spans="1:8" x14ac:dyDescent="0.2">
      <c r="A164" s="15" t="s">
        <v>9</v>
      </c>
      <c r="B164" s="15" t="s">
        <v>9</v>
      </c>
      <c r="C164" s="3" t="s">
        <v>94</v>
      </c>
      <c r="D164" s="15" t="s">
        <v>9</v>
      </c>
      <c r="E164" s="15" t="s">
        <v>9</v>
      </c>
      <c r="F164" s="13">
        <v>0</v>
      </c>
      <c r="G164" s="14">
        <v>0</v>
      </c>
      <c r="H164" s="100"/>
    </row>
    <row r="165" spans="1:8" x14ac:dyDescent="0.2">
      <c r="A165" s="15" t="s">
        <v>9</v>
      </c>
      <c r="B165" s="15" t="s">
        <v>9</v>
      </c>
      <c r="C165" s="11" t="s">
        <v>9</v>
      </c>
      <c r="D165" s="15" t="s">
        <v>9</v>
      </c>
      <c r="E165" s="15" t="s">
        <v>9</v>
      </c>
      <c r="F165" s="12" t="s">
        <v>9</v>
      </c>
      <c r="G165" s="12" t="s">
        <v>9</v>
      </c>
      <c r="H165" s="100"/>
    </row>
    <row r="166" spans="1:8" x14ac:dyDescent="0.2">
      <c r="A166" s="15" t="s">
        <v>9</v>
      </c>
      <c r="B166" s="15" t="s">
        <v>9</v>
      </c>
      <c r="C166" s="11" t="s">
        <v>9</v>
      </c>
      <c r="D166" s="15" t="s">
        <v>9</v>
      </c>
      <c r="E166" s="15" t="s">
        <v>9</v>
      </c>
      <c r="F166" s="12" t="s">
        <v>9</v>
      </c>
      <c r="G166" s="12" t="s">
        <v>9</v>
      </c>
      <c r="H166" s="100"/>
    </row>
    <row r="167" spans="1:8" ht="25.5" x14ac:dyDescent="0.2">
      <c r="A167" s="15" t="s">
        <v>9</v>
      </c>
      <c r="B167" s="15" t="s">
        <v>9</v>
      </c>
      <c r="C167" s="3" t="s">
        <v>122</v>
      </c>
      <c r="D167" s="15" t="s">
        <v>9</v>
      </c>
      <c r="E167" s="15" t="s">
        <v>9</v>
      </c>
      <c r="F167" s="12" t="s">
        <v>9</v>
      </c>
      <c r="G167" s="12" t="s">
        <v>9</v>
      </c>
      <c r="H167" s="100"/>
    </row>
    <row r="168" spans="1:8" x14ac:dyDescent="0.2">
      <c r="A168" s="15" t="s">
        <v>9</v>
      </c>
      <c r="B168" s="15" t="s">
        <v>9</v>
      </c>
      <c r="C168" s="3" t="s">
        <v>94</v>
      </c>
      <c r="D168" s="15" t="s">
        <v>9</v>
      </c>
      <c r="E168" s="15" t="s">
        <v>9</v>
      </c>
      <c r="F168" s="13">
        <v>0</v>
      </c>
      <c r="G168" s="14">
        <v>0</v>
      </c>
      <c r="H168" s="100"/>
    </row>
    <row r="169" spans="1:8" x14ac:dyDescent="0.2">
      <c r="A169" s="15" t="s">
        <v>9</v>
      </c>
      <c r="B169" s="15" t="s">
        <v>9</v>
      </c>
      <c r="C169" s="11" t="s">
        <v>9</v>
      </c>
      <c r="D169" s="15" t="s">
        <v>9</v>
      </c>
      <c r="E169" s="15" t="s">
        <v>9</v>
      </c>
      <c r="F169" s="12" t="s">
        <v>9</v>
      </c>
      <c r="G169" s="12" t="s">
        <v>9</v>
      </c>
      <c r="H169" s="100"/>
    </row>
    <row r="170" spans="1:8" x14ac:dyDescent="0.2">
      <c r="A170" s="15" t="s">
        <v>9</v>
      </c>
      <c r="B170" s="5" t="s">
        <v>9</v>
      </c>
      <c r="C170" s="5" t="s">
        <v>9</v>
      </c>
      <c r="D170" s="3" t="s">
        <v>9</v>
      </c>
      <c r="E170" s="15" t="s">
        <v>9</v>
      </c>
      <c r="F170" s="5" t="s">
        <v>9</v>
      </c>
      <c r="G170" s="15" t="s">
        <v>9</v>
      </c>
      <c r="H170" s="100"/>
    </row>
    <row r="171" spans="1:8" x14ac:dyDescent="0.2">
      <c r="A171" s="15" t="s">
        <v>9</v>
      </c>
      <c r="B171" s="5" t="s">
        <v>9</v>
      </c>
      <c r="C171" s="5" t="s">
        <v>124</v>
      </c>
      <c r="D171" s="5" t="s">
        <v>9</v>
      </c>
      <c r="E171" s="15" t="s">
        <v>9</v>
      </c>
      <c r="F171" s="7">
        <v>0.61573118999999998</v>
      </c>
      <c r="G171" s="8">
        <v>2.1765399999999999E-4</v>
      </c>
      <c r="H171" s="100"/>
    </row>
    <row r="172" spans="1:8" x14ac:dyDescent="0.2">
      <c r="A172" s="11" t="s">
        <v>9</v>
      </c>
      <c r="B172" s="11" t="s">
        <v>9</v>
      </c>
      <c r="C172" s="3" t="s">
        <v>125</v>
      </c>
      <c r="D172" s="16" t="s">
        <v>9</v>
      </c>
      <c r="E172" s="16" t="s">
        <v>9</v>
      </c>
      <c r="F172" s="9">
        <v>2828.9451900899999</v>
      </c>
      <c r="G172" s="10">
        <v>0.99999999699999997</v>
      </c>
      <c r="H172" s="100"/>
    </row>
    <row r="173" spans="1:8" x14ac:dyDescent="0.2">
      <c r="A173" s="17" t="s">
        <v>9</v>
      </c>
      <c r="B173" s="17" t="s">
        <v>9</v>
      </c>
      <c r="C173" s="17" t="s">
        <v>9</v>
      </c>
      <c r="D173" s="18" t="s">
        <v>9</v>
      </c>
      <c r="E173" s="18" t="s">
        <v>9</v>
      </c>
      <c r="F173" s="18" t="s">
        <v>9</v>
      </c>
      <c r="G173" s="18" t="s">
        <v>9</v>
      </c>
      <c r="H173" s="142"/>
    </row>
    <row r="174" spans="1:8" x14ac:dyDescent="0.2">
      <c r="A174" s="19" t="s">
        <v>9</v>
      </c>
      <c r="B174" s="254" t="s">
        <v>9</v>
      </c>
      <c r="C174" s="254"/>
      <c r="D174" s="254"/>
      <c r="E174" s="254"/>
      <c r="F174" s="254"/>
      <c r="G174" s="20" t="s">
        <v>9</v>
      </c>
      <c r="H174" s="142"/>
    </row>
    <row r="175" spans="1:8" x14ac:dyDescent="0.2">
      <c r="A175" s="19" t="s">
        <v>9</v>
      </c>
      <c r="B175" s="254" t="s">
        <v>9</v>
      </c>
      <c r="C175" s="254"/>
      <c r="D175" s="254"/>
      <c r="E175" s="254"/>
      <c r="F175" s="254"/>
      <c r="G175" s="20" t="s">
        <v>9</v>
      </c>
      <c r="H175" s="142"/>
    </row>
    <row r="176" spans="1:8" x14ac:dyDescent="0.2">
      <c r="A176" s="19" t="s">
        <v>9</v>
      </c>
      <c r="B176" s="19" t="s">
        <v>9</v>
      </c>
      <c r="C176" s="19" t="s">
        <v>9</v>
      </c>
      <c r="D176" s="20" t="s">
        <v>9</v>
      </c>
      <c r="E176" s="20" t="s">
        <v>9</v>
      </c>
      <c r="F176" s="20" t="s">
        <v>9</v>
      </c>
      <c r="G176" s="20" t="s">
        <v>9</v>
      </c>
      <c r="H176" s="142"/>
    </row>
    <row r="177" spans="1:8" x14ac:dyDescent="0.2">
      <c r="A177" s="19" t="s">
        <v>9</v>
      </c>
      <c r="B177" s="247" t="s">
        <v>127</v>
      </c>
      <c r="C177" s="248"/>
      <c r="D177" s="182" t="s">
        <v>9</v>
      </c>
      <c r="E177" s="21" t="s">
        <v>9</v>
      </c>
      <c r="F177" s="20" t="s">
        <v>9</v>
      </c>
      <c r="G177" s="20" t="s">
        <v>9</v>
      </c>
      <c r="H177" s="142"/>
    </row>
    <row r="178" spans="1:8" ht="28.5" customHeight="1" x14ac:dyDescent="0.2">
      <c r="A178" s="19" t="s">
        <v>9</v>
      </c>
      <c r="B178" s="242" t="s">
        <v>128</v>
      </c>
      <c r="C178" s="243"/>
      <c r="D178" s="3" t="s">
        <v>129</v>
      </c>
      <c r="E178" s="21" t="s">
        <v>9</v>
      </c>
      <c r="F178" s="20" t="s">
        <v>9</v>
      </c>
      <c r="G178" s="20" t="s">
        <v>9</v>
      </c>
      <c r="H178" s="142"/>
    </row>
    <row r="179" spans="1:8" x14ac:dyDescent="0.2">
      <c r="A179" s="19" t="s">
        <v>9</v>
      </c>
      <c r="B179" s="240" t="s">
        <v>130</v>
      </c>
      <c r="C179" s="241"/>
      <c r="D179" s="177" t="s">
        <v>129</v>
      </c>
      <c r="E179" s="21" t="s">
        <v>9</v>
      </c>
      <c r="F179" s="20" t="s">
        <v>9</v>
      </c>
      <c r="G179" s="20" t="s">
        <v>9</v>
      </c>
      <c r="H179" s="142"/>
    </row>
    <row r="180" spans="1:8" x14ac:dyDescent="0.2">
      <c r="A180" s="19" t="s">
        <v>9</v>
      </c>
      <c r="B180" s="240" t="s">
        <v>131</v>
      </c>
      <c r="C180" s="241"/>
      <c r="D180" s="182" t="s">
        <v>9</v>
      </c>
      <c r="E180" s="21" t="s">
        <v>9</v>
      </c>
      <c r="F180" s="20" t="s">
        <v>9</v>
      </c>
      <c r="G180" s="20" t="s">
        <v>9</v>
      </c>
      <c r="H180" s="142"/>
    </row>
    <row r="181" spans="1:8" ht="25.5" x14ac:dyDescent="0.2">
      <c r="A181" s="25" t="s">
        <v>9</v>
      </c>
      <c r="B181" s="23" t="s">
        <v>9</v>
      </c>
      <c r="C181" s="23" t="s">
        <v>132</v>
      </c>
      <c r="D181" s="23" t="s">
        <v>133</v>
      </c>
      <c r="E181" s="25" t="s">
        <v>9</v>
      </c>
      <c r="F181" s="25" t="s">
        <v>9</v>
      </c>
      <c r="G181" s="25" t="s">
        <v>9</v>
      </c>
      <c r="H181" s="142"/>
    </row>
    <row r="182" spans="1:8" x14ac:dyDescent="0.2">
      <c r="A182" s="25" t="s">
        <v>9</v>
      </c>
      <c r="B182" s="23" t="s">
        <v>134</v>
      </c>
      <c r="C182" s="23" t="s">
        <v>135</v>
      </c>
      <c r="D182" s="23" t="s">
        <v>136</v>
      </c>
      <c r="E182" s="25" t="s">
        <v>9</v>
      </c>
      <c r="F182" s="25" t="s">
        <v>9</v>
      </c>
      <c r="G182" s="25" t="s">
        <v>9</v>
      </c>
      <c r="H182" s="142"/>
    </row>
    <row r="183" spans="1:8" x14ac:dyDescent="0.2">
      <c r="A183" s="25" t="s">
        <v>9</v>
      </c>
      <c r="B183" s="183" t="s">
        <v>137</v>
      </c>
      <c r="C183" s="184">
        <v>15.2498</v>
      </c>
      <c r="D183" s="184">
        <v>15.524800000000001</v>
      </c>
      <c r="E183" s="25" t="s">
        <v>9</v>
      </c>
      <c r="F183" s="73" t="s">
        <v>9</v>
      </c>
      <c r="G183" s="25" t="s">
        <v>9</v>
      </c>
      <c r="H183" s="142"/>
    </row>
    <row r="184" spans="1:8" x14ac:dyDescent="0.2">
      <c r="A184" s="25" t="s">
        <v>9</v>
      </c>
      <c r="B184" s="183" t="s">
        <v>921</v>
      </c>
      <c r="C184" s="184">
        <v>14.5969</v>
      </c>
      <c r="D184" s="184">
        <v>14.860200000000001</v>
      </c>
      <c r="E184" s="25" t="s">
        <v>9</v>
      </c>
      <c r="F184" s="73" t="s">
        <v>9</v>
      </c>
      <c r="G184" s="25" t="s">
        <v>9</v>
      </c>
      <c r="H184" s="142"/>
    </row>
    <row r="185" spans="1:8" x14ac:dyDescent="0.2">
      <c r="A185" s="25" t="s">
        <v>9</v>
      </c>
      <c r="B185" s="183" t="s">
        <v>138</v>
      </c>
      <c r="C185" s="184">
        <v>14.814500000000001</v>
      </c>
      <c r="D185" s="184">
        <v>15.075799999999999</v>
      </c>
      <c r="E185" s="25" t="s">
        <v>9</v>
      </c>
      <c r="F185" s="73" t="s">
        <v>9</v>
      </c>
      <c r="G185" s="25" t="s">
        <v>9</v>
      </c>
      <c r="H185" s="142"/>
    </row>
    <row r="186" spans="1:8" x14ac:dyDescent="0.2">
      <c r="A186" s="25" t="s">
        <v>9</v>
      </c>
      <c r="B186" s="183" t="s">
        <v>922</v>
      </c>
      <c r="C186" s="184">
        <v>14.174200000000001</v>
      </c>
      <c r="D186" s="184">
        <v>14.424200000000001</v>
      </c>
      <c r="E186" s="25" t="s">
        <v>9</v>
      </c>
      <c r="F186" s="73" t="s">
        <v>9</v>
      </c>
      <c r="G186" s="25" t="s">
        <v>9</v>
      </c>
      <c r="H186" s="142"/>
    </row>
    <row r="187" spans="1:8" x14ac:dyDescent="0.2">
      <c r="A187" s="25" t="s">
        <v>9</v>
      </c>
      <c r="B187" s="22" t="s">
        <v>9</v>
      </c>
      <c r="C187" s="22" t="s">
        <v>9</v>
      </c>
      <c r="D187" s="22" t="s">
        <v>9</v>
      </c>
      <c r="E187" s="25" t="s">
        <v>9</v>
      </c>
      <c r="F187" s="25" t="s">
        <v>9</v>
      </c>
      <c r="G187" s="25" t="s">
        <v>9</v>
      </c>
      <c r="H187" s="142"/>
    </row>
    <row r="188" spans="1:8" x14ac:dyDescent="0.2">
      <c r="A188" s="25" t="s">
        <v>9</v>
      </c>
      <c r="B188" s="240" t="s">
        <v>1012</v>
      </c>
      <c r="C188" s="241"/>
      <c r="D188" s="177" t="s">
        <v>129</v>
      </c>
      <c r="E188" s="25" t="s">
        <v>9</v>
      </c>
      <c r="F188" s="25" t="s">
        <v>9</v>
      </c>
      <c r="G188" s="25" t="s">
        <v>9</v>
      </c>
      <c r="H188" s="142"/>
    </row>
    <row r="189" spans="1:8" x14ac:dyDescent="0.2">
      <c r="A189" s="25" t="s">
        <v>9</v>
      </c>
      <c r="B189" s="98"/>
      <c r="C189" s="98"/>
      <c r="D189" s="26" t="s">
        <v>9</v>
      </c>
      <c r="E189" s="25" t="s">
        <v>9</v>
      </c>
      <c r="F189" s="25" t="s">
        <v>9</v>
      </c>
      <c r="G189" s="25" t="s">
        <v>9</v>
      </c>
      <c r="H189" s="142"/>
    </row>
    <row r="190" spans="1:8" s="238" customFormat="1" ht="12.75" x14ac:dyDescent="0.2">
      <c r="B190" s="246" t="s">
        <v>923</v>
      </c>
      <c r="C190" s="246"/>
      <c r="D190" s="246"/>
      <c r="E190" s="246"/>
      <c r="F190" s="246"/>
    </row>
    <row r="191" spans="1:8" x14ac:dyDescent="0.2">
      <c r="A191" s="25" t="s">
        <v>9</v>
      </c>
      <c r="B191" s="185" t="s">
        <v>9</v>
      </c>
      <c r="C191" s="185" t="s">
        <v>9</v>
      </c>
      <c r="D191" s="22" t="s">
        <v>9</v>
      </c>
      <c r="E191" s="25" t="s">
        <v>9</v>
      </c>
      <c r="F191" s="25" t="s">
        <v>9</v>
      </c>
      <c r="G191" s="25" t="s">
        <v>9</v>
      </c>
      <c r="H191" s="142"/>
    </row>
    <row r="192" spans="1:8" x14ac:dyDescent="0.2">
      <c r="A192" s="25" t="s">
        <v>9</v>
      </c>
      <c r="B192" s="240" t="s">
        <v>139</v>
      </c>
      <c r="C192" s="241"/>
      <c r="D192" s="177" t="s">
        <v>129</v>
      </c>
      <c r="E192" s="25" t="s">
        <v>9</v>
      </c>
      <c r="F192" s="25" t="s">
        <v>9</v>
      </c>
      <c r="G192" s="25" t="s">
        <v>9</v>
      </c>
      <c r="H192" s="142"/>
    </row>
    <row r="193" spans="1:8" x14ac:dyDescent="0.2">
      <c r="A193" s="25" t="s">
        <v>9</v>
      </c>
      <c r="B193" s="240" t="s">
        <v>140</v>
      </c>
      <c r="C193" s="241"/>
      <c r="D193" s="177" t="s">
        <v>129</v>
      </c>
      <c r="E193" s="25" t="s">
        <v>9</v>
      </c>
      <c r="F193" s="25" t="s">
        <v>9</v>
      </c>
      <c r="G193" s="25" t="s">
        <v>9</v>
      </c>
      <c r="H193" s="142"/>
    </row>
    <row r="194" spans="1:8" x14ac:dyDescent="0.2">
      <c r="A194" s="25" t="s">
        <v>9</v>
      </c>
      <c r="B194" s="240" t="s">
        <v>141</v>
      </c>
      <c r="C194" s="241"/>
      <c r="D194" s="186">
        <v>0.68915649073013663</v>
      </c>
      <c r="E194" s="25" t="s">
        <v>9</v>
      </c>
      <c r="F194" s="73" t="s">
        <v>9</v>
      </c>
      <c r="G194" s="25" t="s">
        <v>9</v>
      </c>
      <c r="H194" s="142"/>
    </row>
    <row r="195" spans="1:8" x14ac:dyDescent="0.2">
      <c r="A195" s="25" t="s">
        <v>9</v>
      </c>
      <c r="B195" s="240" t="s">
        <v>142</v>
      </c>
      <c r="C195" s="241"/>
      <c r="D195" s="177" t="s">
        <v>129</v>
      </c>
      <c r="E195" s="25" t="s">
        <v>9</v>
      </c>
      <c r="F195" s="25" t="s">
        <v>9</v>
      </c>
      <c r="G195" s="25" t="s">
        <v>9</v>
      </c>
      <c r="H195" s="142"/>
    </row>
  </sheetData>
  <mergeCells count="15">
    <mergeCell ref="B177:C177"/>
    <mergeCell ref="B174:F174"/>
    <mergeCell ref="B175:F175"/>
    <mergeCell ref="A1:H1"/>
    <mergeCell ref="A2:H2"/>
    <mergeCell ref="A3:H3"/>
    <mergeCell ref="B194:C194"/>
    <mergeCell ref="B195:C195"/>
    <mergeCell ref="B178:C178"/>
    <mergeCell ref="B179:C179"/>
    <mergeCell ref="B180:C180"/>
    <mergeCell ref="B188:C188"/>
    <mergeCell ref="B192:C192"/>
    <mergeCell ref="B193:C193"/>
    <mergeCell ref="B190:F190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outlinePr summaryBelow="0" summaryRight="0"/>
  </sheetPr>
  <dimension ref="A1:H146"/>
  <sheetViews>
    <sheetView showGridLines="0" workbookViewId="0">
      <selection activeCell="J1" sqref="J1"/>
    </sheetView>
  </sheetViews>
  <sheetFormatPr defaultRowHeight="15" x14ac:dyDescent="0.2"/>
  <cols>
    <col min="1" max="1" width="6.85546875" style="155" customWidth="1"/>
    <col min="2" max="2" width="20.5703125" style="155" customWidth="1"/>
    <col min="3" max="3" width="34.28515625" style="155" customWidth="1"/>
    <col min="4" max="4" width="17.85546875" style="155" customWidth="1"/>
    <col min="5" max="6" width="19.140625" style="155" customWidth="1"/>
    <col min="7" max="7" width="16.42578125" style="155" customWidth="1"/>
    <col min="8" max="16384" width="9.140625" style="155"/>
  </cols>
  <sheetData>
    <row r="1" spans="1:8" x14ac:dyDescent="0.2">
      <c r="A1" s="250" t="s">
        <v>0</v>
      </c>
      <c r="B1" s="250"/>
      <c r="C1" s="250"/>
      <c r="D1" s="250"/>
      <c r="E1" s="250"/>
      <c r="F1" s="250"/>
      <c r="G1" s="250"/>
      <c r="H1" s="250"/>
    </row>
    <row r="2" spans="1:8" x14ac:dyDescent="0.2">
      <c r="A2" s="251" t="s">
        <v>686</v>
      </c>
      <c r="B2" s="252"/>
      <c r="C2" s="252"/>
      <c r="D2" s="252"/>
      <c r="E2" s="252"/>
      <c r="F2" s="252"/>
      <c r="G2" s="252"/>
      <c r="H2" s="253"/>
    </row>
    <row r="3" spans="1:8" x14ac:dyDescent="0.2">
      <c r="A3" s="250" t="s">
        <v>1015</v>
      </c>
      <c r="B3" s="250"/>
      <c r="C3" s="250"/>
      <c r="D3" s="250"/>
      <c r="E3" s="250"/>
      <c r="F3" s="250"/>
      <c r="G3" s="250"/>
      <c r="H3" s="250"/>
    </row>
    <row r="4" spans="1:8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60" t="s">
        <v>6</v>
      </c>
      <c r="F4" s="160" t="s">
        <v>7</v>
      </c>
      <c r="G4" s="160" t="s">
        <v>8</v>
      </c>
      <c r="H4" s="161" t="s">
        <v>909</v>
      </c>
    </row>
    <row r="5" spans="1:8" x14ac:dyDescent="0.2">
      <c r="A5" s="15" t="s">
        <v>9</v>
      </c>
      <c r="B5" s="15" t="s">
        <v>9</v>
      </c>
      <c r="C5" s="3" t="s">
        <v>10</v>
      </c>
      <c r="D5" s="15" t="s">
        <v>9</v>
      </c>
      <c r="E5" s="15" t="s">
        <v>9</v>
      </c>
      <c r="F5" s="15" t="s">
        <v>9</v>
      </c>
      <c r="G5" s="15" t="s">
        <v>9</v>
      </c>
      <c r="H5" s="100"/>
    </row>
    <row r="6" spans="1:8" ht="25.5" x14ac:dyDescent="0.2">
      <c r="A6" s="15" t="s">
        <v>9</v>
      </c>
      <c r="B6" s="15" t="s">
        <v>9</v>
      </c>
      <c r="C6" s="3" t="s">
        <v>11</v>
      </c>
      <c r="D6" s="15" t="s">
        <v>9</v>
      </c>
      <c r="E6" s="15" t="s">
        <v>9</v>
      </c>
      <c r="F6" s="15" t="s">
        <v>9</v>
      </c>
      <c r="G6" s="15" t="s">
        <v>9</v>
      </c>
      <c r="H6" s="100"/>
    </row>
    <row r="7" spans="1:8" x14ac:dyDescent="0.2">
      <c r="A7" s="4">
        <v>1</v>
      </c>
      <c r="B7" s="5" t="s">
        <v>54</v>
      </c>
      <c r="C7" s="5" t="s">
        <v>55</v>
      </c>
      <c r="D7" s="5" t="s">
        <v>22</v>
      </c>
      <c r="E7" s="6">
        <v>1175000</v>
      </c>
      <c r="F7" s="7">
        <v>16594.525000000001</v>
      </c>
      <c r="G7" s="8">
        <v>7.3920847999999997E-2</v>
      </c>
      <c r="H7" s="100"/>
    </row>
    <row r="8" spans="1:8" x14ac:dyDescent="0.2">
      <c r="A8" s="4">
        <v>2</v>
      </c>
      <c r="B8" s="5" t="s">
        <v>15</v>
      </c>
      <c r="C8" s="5" t="s">
        <v>16</v>
      </c>
      <c r="D8" s="5" t="s">
        <v>17</v>
      </c>
      <c r="E8" s="6">
        <v>800000</v>
      </c>
      <c r="F8" s="7">
        <v>15956</v>
      </c>
      <c r="G8" s="8">
        <v>7.1076517000000006E-2</v>
      </c>
      <c r="H8" s="100"/>
    </row>
    <row r="9" spans="1:8" x14ac:dyDescent="0.2">
      <c r="A9" s="4">
        <v>3</v>
      </c>
      <c r="B9" s="5" t="s">
        <v>20</v>
      </c>
      <c r="C9" s="5" t="s">
        <v>21</v>
      </c>
      <c r="D9" s="5" t="s">
        <v>22</v>
      </c>
      <c r="E9" s="6">
        <v>2490000</v>
      </c>
      <c r="F9" s="7">
        <v>14952.45</v>
      </c>
      <c r="G9" s="8">
        <v>6.6606171000000006E-2</v>
      </c>
      <c r="H9" s="100"/>
    </row>
    <row r="10" spans="1:8" x14ac:dyDescent="0.2">
      <c r="A10" s="4">
        <v>4</v>
      </c>
      <c r="B10" s="5" t="s">
        <v>393</v>
      </c>
      <c r="C10" s="5" t="s">
        <v>394</v>
      </c>
      <c r="D10" s="5" t="s">
        <v>151</v>
      </c>
      <c r="E10" s="6">
        <v>1072000</v>
      </c>
      <c r="F10" s="7">
        <v>14518.632</v>
      </c>
      <c r="G10" s="8">
        <v>6.4673715000000007E-2</v>
      </c>
      <c r="H10" s="100"/>
    </row>
    <row r="11" spans="1:8" ht="25.5" x14ac:dyDescent="0.2">
      <c r="A11" s="4">
        <v>5</v>
      </c>
      <c r="B11" s="5" t="s">
        <v>395</v>
      </c>
      <c r="C11" s="5" t="s">
        <v>396</v>
      </c>
      <c r="D11" s="5" t="s">
        <v>156</v>
      </c>
      <c r="E11" s="6">
        <v>460000</v>
      </c>
      <c r="F11" s="7">
        <v>11132.46</v>
      </c>
      <c r="G11" s="8">
        <v>4.9589902999999998E-2</v>
      </c>
      <c r="H11" s="100"/>
    </row>
    <row r="12" spans="1:8" x14ac:dyDescent="0.2">
      <c r="A12" s="4">
        <v>6</v>
      </c>
      <c r="B12" s="5" t="s">
        <v>397</v>
      </c>
      <c r="C12" s="5" t="s">
        <v>398</v>
      </c>
      <c r="D12" s="5" t="s">
        <v>22</v>
      </c>
      <c r="E12" s="6">
        <v>1405000</v>
      </c>
      <c r="F12" s="7">
        <v>10044.344999999999</v>
      </c>
      <c r="G12" s="8">
        <v>4.4742859000000003E-2</v>
      </c>
      <c r="H12" s="100"/>
    </row>
    <row r="13" spans="1:8" x14ac:dyDescent="0.2">
      <c r="A13" s="4">
        <v>7</v>
      </c>
      <c r="B13" s="5" t="s">
        <v>409</v>
      </c>
      <c r="C13" s="5" t="s">
        <v>940</v>
      </c>
      <c r="D13" s="5" t="s">
        <v>151</v>
      </c>
      <c r="E13" s="6">
        <v>230000</v>
      </c>
      <c r="F13" s="7">
        <v>6981.9949999999999</v>
      </c>
      <c r="G13" s="8">
        <v>3.1101522E-2</v>
      </c>
      <c r="H13" s="100"/>
    </row>
    <row r="14" spans="1:8" x14ac:dyDescent="0.2">
      <c r="A14" s="4">
        <v>8</v>
      </c>
      <c r="B14" s="5" t="s">
        <v>356</v>
      </c>
      <c r="C14" s="5" t="s">
        <v>357</v>
      </c>
      <c r="D14" s="5" t="s">
        <v>151</v>
      </c>
      <c r="E14" s="6">
        <v>770000</v>
      </c>
      <c r="F14" s="7">
        <v>6921.915</v>
      </c>
      <c r="G14" s="8">
        <v>3.0833894000000001E-2</v>
      </c>
      <c r="H14" s="100"/>
    </row>
    <row r="15" spans="1:8" x14ac:dyDescent="0.2">
      <c r="A15" s="4">
        <v>9</v>
      </c>
      <c r="B15" s="5" t="s">
        <v>144</v>
      </c>
      <c r="C15" s="5" t="s">
        <v>145</v>
      </c>
      <c r="D15" s="5" t="s">
        <v>146</v>
      </c>
      <c r="E15" s="6">
        <v>200000</v>
      </c>
      <c r="F15" s="7">
        <v>6856.4</v>
      </c>
      <c r="G15" s="8">
        <v>3.0542054999999999E-2</v>
      </c>
      <c r="H15" s="100"/>
    </row>
    <row r="16" spans="1:8" ht="25.5" x14ac:dyDescent="0.2">
      <c r="A16" s="4">
        <v>10</v>
      </c>
      <c r="B16" s="5" t="s">
        <v>326</v>
      </c>
      <c r="C16" s="5" t="s">
        <v>327</v>
      </c>
      <c r="D16" s="5" t="s">
        <v>73</v>
      </c>
      <c r="E16" s="6">
        <v>640000</v>
      </c>
      <c r="F16" s="7">
        <v>6083.52</v>
      </c>
      <c r="G16" s="8">
        <v>2.7099235999999999E-2</v>
      </c>
      <c r="H16" s="100"/>
    </row>
    <row r="17" spans="1:8" ht="25.5" x14ac:dyDescent="0.2">
      <c r="A17" s="4">
        <v>11</v>
      </c>
      <c r="B17" s="5" t="s">
        <v>18</v>
      </c>
      <c r="C17" s="5" t="s">
        <v>19</v>
      </c>
      <c r="D17" s="5" t="s">
        <v>1001</v>
      </c>
      <c r="E17" s="6">
        <v>575000</v>
      </c>
      <c r="F17" s="7">
        <v>5666.625</v>
      </c>
      <c r="G17" s="8">
        <v>2.5242164000000001E-2</v>
      </c>
      <c r="H17" s="100"/>
    </row>
    <row r="18" spans="1:8" ht="25.5" x14ac:dyDescent="0.2">
      <c r="A18" s="4">
        <v>12</v>
      </c>
      <c r="B18" s="5" t="s">
        <v>39</v>
      </c>
      <c r="C18" s="5" t="s">
        <v>941</v>
      </c>
      <c r="D18" s="5" t="s">
        <v>1001</v>
      </c>
      <c r="E18" s="6">
        <v>90000</v>
      </c>
      <c r="F18" s="7">
        <v>5651.0550000000003</v>
      </c>
      <c r="G18" s="8">
        <v>2.5172806999999998E-2</v>
      </c>
      <c r="H18" s="100"/>
    </row>
    <row r="19" spans="1:8" x14ac:dyDescent="0.2">
      <c r="A19" s="4">
        <v>13</v>
      </c>
      <c r="B19" s="5" t="s">
        <v>12</v>
      </c>
      <c r="C19" s="5" t="s">
        <v>13</v>
      </c>
      <c r="D19" s="5" t="s">
        <v>14</v>
      </c>
      <c r="E19" s="6">
        <v>400000</v>
      </c>
      <c r="F19" s="7">
        <v>5361.8</v>
      </c>
      <c r="G19" s="8">
        <v>2.3884310999999998E-2</v>
      </c>
      <c r="H19" s="100"/>
    </row>
    <row r="20" spans="1:8" x14ac:dyDescent="0.2">
      <c r="A20" s="4">
        <v>14</v>
      </c>
      <c r="B20" s="5" t="s">
        <v>399</v>
      </c>
      <c r="C20" s="5" t="s">
        <v>400</v>
      </c>
      <c r="D20" s="5" t="s">
        <v>22</v>
      </c>
      <c r="E20" s="6">
        <v>1510000</v>
      </c>
      <c r="F20" s="7">
        <v>5337.85</v>
      </c>
      <c r="G20" s="8">
        <v>2.3777625E-2</v>
      </c>
      <c r="H20" s="100"/>
    </row>
    <row r="21" spans="1:8" x14ac:dyDescent="0.2">
      <c r="A21" s="4">
        <v>15</v>
      </c>
      <c r="B21" s="5" t="s">
        <v>26</v>
      </c>
      <c r="C21" s="5" t="s">
        <v>27</v>
      </c>
      <c r="D21" s="5" t="s">
        <v>28</v>
      </c>
      <c r="E21" s="6">
        <v>570000</v>
      </c>
      <c r="F21" s="7">
        <v>5220.63</v>
      </c>
      <c r="G21" s="8">
        <v>2.3255464999999999E-2</v>
      </c>
      <c r="H21" s="100"/>
    </row>
    <row r="22" spans="1:8" x14ac:dyDescent="0.2">
      <c r="A22" s="4">
        <v>16</v>
      </c>
      <c r="B22" s="5" t="s">
        <v>200</v>
      </c>
      <c r="C22" s="5" t="s">
        <v>201</v>
      </c>
      <c r="D22" s="5" t="s">
        <v>1003</v>
      </c>
      <c r="E22" s="6">
        <v>800000</v>
      </c>
      <c r="F22" s="7">
        <v>5026.3999999999996</v>
      </c>
      <c r="G22" s="8">
        <v>2.2390261000000002E-2</v>
      </c>
      <c r="H22" s="100"/>
    </row>
    <row r="23" spans="1:8" x14ac:dyDescent="0.2">
      <c r="A23" s="4">
        <v>17</v>
      </c>
      <c r="B23" s="5" t="s">
        <v>29</v>
      </c>
      <c r="C23" s="5" t="s">
        <v>30</v>
      </c>
      <c r="D23" s="5" t="s">
        <v>31</v>
      </c>
      <c r="E23" s="6">
        <v>900000</v>
      </c>
      <c r="F23" s="7">
        <v>4830.75</v>
      </c>
      <c r="G23" s="8">
        <v>2.1518731999999999E-2</v>
      </c>
      <c r="H23" s="100"/>
    </row>
    <row r="24" spans="1:8" ht="25.5" x14ac:dyDescent="0.2">
      <c r="A24" s="4">
        <v>18</v>
      </c>
      <c r="B24" s="5" t="s">
        <v>314</v>
      </c>
      <c r="C24" s="5" t="s">
        <v>315</v>
      </c>
      <c r="D24" s="5" t="s">
        <v>73</v>
      </c>
      <c r="E24" s="6">
        <v>950000</v>
      </c>
      <c r="F24" s="7">
        <v>4670.6750000000002</v>
      </c>
      <c r="G24" s="8">
        <v>2.0805673E-2</v>
      </c>
      <c r="H24" s="100"/>
    </row>
    <row r="25" spans="1:8" x14ac:dyDescent="0.2">
      <c r="A25" s="4">
        <v>19</v>
      </c>
      <c r="B25" s="5" t="s">
        <v>305</v>
      </c>
      <c r="C25" s="5" t="s">
        <v>306</v>
      </c>
      <c r="D25" s="5" t="s">
        <v>1005</v>
      </c>
      <c r="E25" s="6">
        <v>155000</v>
      </c>
      <c r="F25" s="7">
        <v>4482.1350000000002</v>
      </c>
      <c r="G25" s="8">
        <v>1.9965815000000001E-2</v>
      </c>
      <c r="H25" s="100"/>
    </row>
    <row r="26" spans="1:8" x14ac:dyDescent="0.2">
      <c r="A26" s="4">
        <v>20</v>
      </c>
      <c r="B26" s="5" t="s">
        <v>401</v>
      </c>
      <c r="C26" s="5" t="s">
        <v>402</v>
      </c>
      <c r="D26" s="5" t="s">
        <v>91</v>
      </c>
      <c r="E26" s="6">
        <v>590000</v>
      </c>
      <c r="F26" s="7">
        <v>4440.0450000000001</v>
      </c>
      <c r="G26" s="8">
        <v>1.9778324E-2</v>
      </c>
      <c r="H26" s="100"/>
    </row>
    <row r="27" spans="1:8" x14ac:dyDescent="0.2">
      <c r="A27" s="4">
        <v>21</v>
      </c>
      <c r="B27" s="5" t="s">
        <v>403</v>
      </c>
      <c r="C27" s="5" t="s">
        <v>404</v>
      </c>
      <c r="D27" s="5" t="s">
        <v>1009</v>
      </c>
      <c r="E27" s="6">
        <v>460000</v>
      </c>
      <c r="F27" s="7">
        <v>4272.0200000000004</v>
      </c>
      <c r="G27" s="8">
        <v>1.9029851E-2</v>
      </c>
      <c r="H27" s="100"/>
    </row>
    <row r="28" spans="1:8" ht="25.5" x14ac:dyDescent="0.2">
      <c r="A28" s="4">
        <v>22</v>
      </c>
      <c r="B28" s="5" t="s">
        <v>324</v>
      </c>
      <c r="C28" s="5" t="s">
        <v>325</v>
      </c>
      <c r="D28" s="5" t="s">
        <v>58</v>
      </c>
      <c r="E28" s="6">
        <v>1000000</v>
      </c>
      <c r="F28" s="7">
        <v>3849</v>
      </c>
      <c r="G28" s="8">
        <v>1.7145495E-2</v>
      </c>
      <c r="H28" s="100"/>
    </row>
    <row r="29" spans="1:8" x14ac:dyDescent="0.2">
      <c r="A29" s="4">
        <v>23</v>
      </c>
      <c r="B29" s="5" t="s">
        <v>69</v>
      </c>
      <c r="C29" s="5" t="s">
        <v>70</v>
      </c>
      <c r="D29" s="5" t="s">
        <v>17</v>
      </c>
      <c r="E29" s="6">
        <v>860000</v>
      </c>
      <c r="F29" s="7">
        <v>3627.48</v>
      </c>
      <c r="G29" s="8">
        <v>1.6158727000000001E-2</v>
      </c>
      <c r="H29" s="100"/>
    </row>
    <row r="30" spans="1:8" x14ac:dyDescent="0.2">
      <c r="A30" s="4">
        <v>24</v>
      </c>
      <c r="B30" s="5" t="s">
        <v>320</v>
      </c>
      <c r="C30" s="5" t="s">
        <v>321</v>
      </c>
      <c r="D30" s="5" t="s">
        <v>47</v>
      </c>
      <c r="E30" s="6">
        <v>800000</v>
      </c>
      <c r="F30" s="7">
        <v>3532</v>
      </c>
      <c r="G30" s="8">
        <v>1.5733408000000001E-2</v>
      </c>
      <c r="H30" s="100"/>
    </row>
    <row r="31" spans="1:8" x14ac:dyDescent="0.2">
      <c r="A31" s="4">
        <v>25</v>
      </c>
      <c r="B31" s="5" t="s">
        <v>328</v>
      </c>
      <c r="C31" s="5" t="s">
        <v>953</v>
      </c>
      <c r="D31" s="5" t="s">
        <v>28</v>
      </c>
      <c r="E31" s="6">
        <v>63078</v>
      </c>
      <c r="F31" s="7">
        <v>3301.1240520000001</v>
      </c>
      <c r="G31" s="8">
        <v>1.4704963999999999E-2</v>
      </c>
      <c r="H31" s="100"/>
    </row>
    <row r="32" spans="1:8" x14ac:dyDescent="0.2">
      <c r="A32" s="4">
        <v>26</v>
      </c>
      <c r="B32" s="5" t="s">
        <v>417</v>
      </c>
      <c r="C32" s="5" t="s">
        <v>418</v>
      </c>
      <c r="D32" s="5" t="s">
        <v>193</v>
      </c>
      <c r="E32" s="6">
        <v>74000</v>
      </c>
      <c r="F32" s="7">
        <v>3006.1390000000001</v>
      </c>
      <c r="G32" s="8">
        <v>1.3390943000000001E-2</v>
      </c>
      <c r="H32" s="100"/>
    </row>
    <row r="33" spans="1:8" ht="25.5" x14ac:dyDescent="0.2">
      <c r="A33" s="4">
        <v>27</v>
      </c>
      <c r="B33" s="5" t="s">
        <v>415</v>
      </c>
      <c r="C33" s="5" t="s">
        <v>938</v>
      </c>
      <c r="D33" s="5" t="s">
        <v>73</v>
      </c>
      <c r="E33" s="6">
        <v>120000</v>
      </c>
      <c r="F33" s="7">
        <v>2824.5</v>
      </c>
      <c r="G33" s="8">
        <v>1.2581826000000001E-2</v>
      </c>
      <c r="H33" s="100"/>
    </row>
    <row r="34" spans="1:8" x14ac:dyDescent="0.2">
      <c r="A34" s="4">
        <v>28</v>
      </c>
      <c r="B34" s="5" t="s">
        <v>407</v>
      </c>
      <c r="C34" s="5" t="s">
        <v>408</v>
      </c>
      <c r="D34" s="5" t="s">
        <v>193</v>
      </c>
      <c r="E34" s="6">
        <v>425000</v>
      </c>
      <c r="F34" s="7">
        <v>2781.4124999999999</v>
      </c>
      <c r="G34" s="8">
        <v>1.2389892E-2</v>
      </c>
      <c r="H34" s="100"/>
    </row>
    <row r="35" spans="1:8" x14ac:dyDescent="0.2">
      <c r="A35" s="4">
        <v>29</v>
      </c>
      <c r="B35" s="5" t="s">
        <v>159</v>
      </c>
      <c r="C35" s="5" t="s">
        <v>160</v>
      </c>
      <c r="D35" s="5" t="s">
        <v>58</v>
      </c>
      <c r="E35" s="6">
        <v>730000</v>
      </c>
      <c r="F35" s="7">
        <v>2555</v>
      </c>
      <c r="G35" s="8">
        <v>1.138133E-2</v>
      </c>
      <c r="H35" s="100"/>
    </row>
    <row r="36" spans="1:8" ht="25.5" x14ac:dyDescent="0.2">
      <c r="A36" s="4">
        <v>30</v>
      </c>
      <c r="B36" s="5" t="s">
        <v>346</v>
      </c>
      <c r="C36" s="5" t="s">
        <v>939</v>
      </c>
      <c r="D36" s="5" t="s">
        <v>73</v>
      </c>
      <c r="E36" s="6">
        <v>370000</v>
      </c>
      <c r="F36" s="7">
        <v>2477.15</v>
      </c>
      <c r="G36" s="8">
        <v>1.1034545E-2</v>
      </c>
      <c r="H36" s="100"/>
    </row>
    <row r="37" spans="1:8" x14ac:dyDescent="0.2">
      <c r="A37" s="4">
        <v>31</v>
      </c>
      <c r="B37" s="5" t="s">
        <v>184</v>
      </c>
      <c r="C37" s="5" t="s">
        <v>185</v>
      </c>
      <c r="D37" s="5" t="s">
        <v>172</v>
      </c>
      <c r="E37" s="6">
        <v>1335000</v>
      </c>
      <c r="F37" s="7">
        <v>2370.96</v>
      </c>
      <c r="G37" s="8">
        <v>1.0561518000000001E-2</v>
      </c>
      <c r="H37" s="100"/>
    </row>
    <row r="38" spans="1:8" x14ac:dyDescent="0.2">
      <c r="A38" s="4">
        <v>32</v>
      </c>
      <c r="B38" s="5" t="s">
        <v>293</v>
      </c>
      <c r="C38" s="5" t="s">
        <v>294</v>
      </c>
      <c r="D38" s="5" t="s">
        <v>172</v>
      </c>
      <c r="E38" s="6">
        <v>70000</v>
      </c>
      <c r="F38" s="7">
        <v>2238.25</v>
      </c>
      <c r="G38" s="8">
        <v>9.9703569999999991E-3</v>
      </c>
      <c r="H38" s="100"/>
    </row>
    <row r="39" spans="1:8" x14ac:dyDescent="0.2">
      <c r="A39" s="4">
        <v>33</v>
      </c>
      <c r="B39" s="5" t="s">
        <v>297</v>
      </c>
      <c r="C39" s="5" t="s">
        <v>928</v>
      </c>
      <c r="D39" s="5" t="s">
        <v>22</v>
      </c>
      <c r="E39" s="6">
        <v>2750000</v>
      </c>
      <c r="F39" s="7">
        <v>2202.75</v>
      </c>
      <c r="G39" s="8">
        <v>9.8122209999999994E-3</v>
      </c>
      <c r="H39" s="100"/>
    </row>
    <row r="40" spans="1:8" x14ac:dyDescent="0.2">
      <c r="A40" s="4">
        <v>34</v>
      </c>
      <c r="B40" s="5" t="s">
        <v>354</v>
      </c>
      <c r="C40" s="5" t="s">
        <v>355</v>
      </c>
      <c r="D40" s="5" t="s">
        <v>63</v>
      </c>
      <c r="E40" s="6">
        <v>350000</v>
      </c>
      <c r="F40" s="7">
        <v>2064.65</v>
      </c>
      <c r="G40" s="8">
        <v>9.19705E-3</v>
      </c>
      <c r="H40" s="100"/>
    </row>
    <row r="41" spans="1:8" ht="25.5" x14ac:dyDescent="0.2">
      <c r="A41" s="4">
        <v>35</v>
      </c>
      <c r="B41" s="5" t="s">
        <v>421</v>
      </c>
      <c r="C41" s="5" t="s">
        <v>422</v>
      </c>
      <c r="D41" s="5" t="s">
        <v>73</v>
      </c>
      <c r="E41" s="6">
        <v>900000</v>
      </c>
      <c r="F41" s="7">
        <v>1823.4</v>
      </c>
      <c r="G41" s="8">
        <v>8.1223939999999998E-3</v>
      </c>
      <c r="H41" s="100"/>
    </row>
    <row r="42" spans="1:8" x14ac:dyDescent="0.2">
      <c r="A42" s="4">
        <v>36</v>
      </c>
      <c r="B42" s="5" t="s">
        <v>382</v>
      </c>
      <c r="C42" s="5" t="s">
        <v>383</v>
      </c>
      <c r="D42" s="5" t="s">
        <v>1009</v>
      </c>
      <c r="E42" s="6">
        <v>16000</v>
      </c>
      <c r="F42" s="7">
        <v>1766.664</v>
      </c>
      <c r="G42" s="8">
        <v>7.8696619999999995E-3</v>
      </c>
      <c r="H42" s="100"/>
    </row>
    <row r="43" spans="1:8" x14ac:dyDescent="0.2">
      <c r="A43" s="4">
        <v>37</v>
      </c>
      <c r="B43" s="5" t="s">
        <v>435</v>
      </c>
      <c r="C43" s="5" t="s">
        <v>942</v>
      </c>
      <c r="D43" s="5" t="s">
        <v>193</v>
      </c>
      <c r="E43" s="6">
        <v>34000</v>
      </c>
      <c r="F43" s="7">
        <v>1755.454</v>
      </c>
      <c r="G43" s="8">
        <v>7.8197270000000003E-3</v>
      </c>
      <c r="H43" s="100"/>
    </row>
    <row r="44" spans="1:8" ht="25.5" x14ac:dyDescent="0.2">
      <c r="A44" s="4">
        <v>38</v>
      </c>
      <c r="B44" s="5" t="s">
        <v>419</v>
      </c>
      <c r="C44" s="5" t="s">
        <v>420</v>
      </c>
      <c r="D44" s="5" t="s">
        <v>1009</v>
      </c>
      <c r="E44" s="6">
        <v>120000</v>
      </c>
      <c r="F44" s="7">
        <v>1696.8</v>
      </c>
      <c r="G44" s="8">
        <v>7.5584500000000004E-3</v>
      </c>
      <c r="H44" s="100"/>
    </row>
    <row r="45" spans="1:8" x14ac:dyDescent="0.2">
      <c r="A45" s="4">
        <v>39</v>
      </c>
      <c r="B45" s="5" t="s">
        <v>425</v>
      </c>
      <c r="C45" s="5" t="s">
        <v>426</v>
      </c>
      <c r="D45" s="5" t="s">
        <v>427</v>
      </c>
      <c r="E45" s="6">
        <v>463000</v>
      </c>
      <c r="F45" s="7">
        <v>1687.172</v>
      </c>
      <c r="G45" s="8">
        <v>7.5155619999999999E-3</v>
      </c>
      <c r="H45" s="100"/>
    </row>
    <row r="46" spans="1:8" x14ac:dyDescent="0.2">
      <c r="A46" s="4">
        <v>40</v>
      </c>
      <c r="B46" s="5" t="s">
        <v>423</v>
      </c>
      <c r="C46" s="5" t="s">
        <v>424</v>
      </c>
      <c r="D46" s="5" t="s">
        <v>22</v>
      </c>
      <c r="E46" s="6">
        <v>94000</v>
      </c>
      <c r="F46" s="7">
        <v>1643.8720000000001</v>
      </c>
      <c r="G46" s="8">
        <v>7.3226810000000002E-3</v>
      </c>
      <c r="H46" s="100"/>
    </row>
    <row r="47" spans="1:8" x14ac:dyDescent="0.2">
      <c r="A47" s="4">
        <v>41</v>
      </c>
      <c r="B47" s="5" t="s">
        <v>358</v>
      </c>
      <c r="C47" s="5" t="s">
        <v>359</v>
      </c>
      <c r="D47" s="5" t="s">
        <v>156</v>
      </c>
      <c r="E47" s="6">
        <v>141000</v>
      </c>
      <c r="F47" s="7">
        <v>1589.5635</v>
      </c>
      <c r="G47" s="8">
        <v>7.080762E-3</v>
      </c>
      <c r="H47" s="100"/>
    </row>
    <row r="48" spans="1:8" x14ac:dyDescent="0.2">
      <c r="A48" s="4">
        <v>42</v>
      </c>
      <c r="B48" s="5" t="s">
        <v>76</v>
      </c>
      <c r="C48" s="5" t="s">
        <v>77</v>
      </c>
      <c r="D48" s="5" t="s">
        <v>78</v>
      </c>
      <c r="E48" s="6">
        <v>1100000</v>
      </c>
      <c r="F48" s="7">
        <v>1509.2</v>
      </c>
      <c r="G48" s="8">
        <v>6.7227800000000002E-3</v>
      </c>
      <c r="H48" s="100"/>
    </row>
    <row r="49" spans="1:8" ht="25.5" x14ac:dyDescent="0.2">
      <c r="A49" s="4">
        <v>43</v>
      </c>
      <c r="B49" s="5" t="s">
        <v>32</v>
      </c>
      <c r="C49" s="5" t="s">
        <v>33</v>
      </c>
      <c r="D49" s="5" t="s">
        <v>25</v>
      </c>
      <c r="E49" s="6">
        <v>3500</v>
      </c>
      <c r="F49" s="7">
        <v>1509.02325</v>
      </c>
      <c r="G49" s="8">
        <v>6.7219929999999999E-3</v>
      </c>
      <c r="H49" s="100"/>
    </row>
    <row r="50" spans="1:8" x14ac:dyDescent="0.2">
      <c r="A50" s="4">
        <v>44</v>
      </c>
      <c r="B50" s="5" t="s">
        <v>433</v>
      </c>
      <c r="C50" s="5" t="s">
        <v>434</v>
      </c>
      <c r="D50" s="5" t="s">
        <v>193</v>
      </c>
      <c r="E50" s="6">
        <v>165000</v>
      </c>
      <c r="F50" s="7">
        <v>1502.0775000000001</v>
      </c>
      <c r="G50" s="8">
        <v>6.6910529999999998E-3</v>
      </c>
      <c r="H50" s="100"/>
    </row>
    <row r="51" spans="1:8" x14ac:dyDescent="0.2">
      <c r="A51" s="4">
        <v>45</v>
      </c>
      <c r="B51" s="5" t="s">
        <v>241</v>
      </c>
      <c r="C51" s="5" t="s">
        <v>242</v>
      </c>
      <c r="D51" s="5" t="s">
        <v>163</v>
      </c>
      <c r="E51" s="6">
        <v>204789</v>
      </c>
      <c r="F51" s="7">
        <v>1219.7232839999999</v>
      </c>
      <c r="G51" s="8">
        <v>5.4332970000000001E-3</v>
      </c>
      <c r="H51" s="100"/>
    </row>
    <row r="52" spans="1:8" ht="25.5" x14ac:dyDescent="0.2">
      <c r="A52" s="4">
        <v>46</v>
      </c>
      <c r="B52" s="5" t="s">
        <v>506</v>
      </c>
      <c r="C52" s="5" t="s">
        <v>507</v>
      </c>
      <c r="D52" s="5" t="s">
        <v>25</v>
      </c>
      <c r="E52" s="6">
        <v>59500</v>
      </c>
      <c r="F52" s="7">
        <v>1119.4627499999999</v>
      </c>
      <c r="G52" s="8">
        <v>4.9866829999999996E-3</v>
      </c>
      <c r="H52" s="100"/>
    </row>
    <row r="53" spans="1:8" x14ac:dyDescent="0.2">
      <c r="A53" s="4">
        <v>47</v>
      </c>
      <c r="B53" s="5" t="s">
        <v>367</v>
      </c>
      <c r="C53" s="5" t="s">
        <v>368</v>
      </c>
      <c r="D53" s="5" t="s">
        <v>22</v>
      </c>
      <c r="E53" s="6">
        <v>1386000</v>
      </c>
      <c r="F53" s="7">
        <v>925.15499999999997</v>
      </c>
      <c r="G53" s="8">
        <v>4.1211329999999999E-3</v>
      </c>
      <c r="H53" s="100"/>
    </row>
    <row r="54" spans="1:8" x14ac:dyDescent="0.2">
      <c r="A54" s="4">
        <v>48</v>
      </c>
      <c r="B54" s="5" t="s">
        <v>307</v>
      </c>
      <c r="C54" s="5" t="s">
        <v>308</v>
      </c>
      <c r="D54" s="5" t="s">
        <v>193</v>
      </c>
      <c r="E54" s="6">
        <v>30000</v>
      </c>
      <c r="F54" s="7">
        <v>631.59</v>
      </c>
      <c r="G54" s="8">
        <v>2.8134380000000001E-3</v>
      </c>
      <c r="H54" s="100"/>
    </row>
    <row r="55" spans="1:8" x14ac:dyDescent="0.2">
      <c r="A55" s="4">
        <v>49</v>
      </c>
      <c r="B55" s="5" t="s">
        <v>303</v>
      </c>
      <c r="C55" s="5" t="s">
        <v>304</v>
      </c>
      <c r="D55" s="5" t="s">
        <v>22</v>
      </c>
      <c r="E55" s="6">
        <v>50000</v>
      </c>
      <c r="F55" s="7">
        <v>502.15</v>
      </c>
      <c r="G55" s="8">
        <v>2.2368430000000001E-3</v>
      </c>
      <c r="H55" s="100"/>
    </row>
    <row r="56" spans="1:8" ht="25.5" x14ac:dyDescent="0.2">
      <c r="A56" s="4">
        <v>50</v>
      </c>
      <c r="B56" s="5" t="s">
        <v>273</v>
      </c>
      <c r="C56" s="5" t="s">
        <v>274</v>
      </c>
      <c r="D56" s="5" t="s">
        <v>1008</v>
      </c>
      <c r="E56" s="6">
        <v>553177</v>
      </c>
      <c r="F56" s="7">
        <v>492.88070699999997</v>
      </c>
      <c r="G56" s="8">
        <v>2.1955529999999998E-3</v>
      </c>
      <c r="H56" s="100"/>
    </row>
    <row r="57" spans="1:8" x14ac:dyDescent="0.2">
      <c r="A57" s="15" t="s">
        <v>9</v>
      </c>
      <c r="B57" s="15" t="s">
        <v>9</v>
      </c>
      <c r="C57" s="3" t="s">
        <v>94</v>
      </c>
      <c r="D57" s="15" t="s">
        <v>9</v>
      </c>
      <c r="E57" s="15" t="s">
        <v>9</v>
      </c>
      <c r="F57" s="9">
        <v>223206.83054299999</v>
      </c>
      <c r="G57" s="10">
        <v>0.99428203500000001</v>
      </c>
      <c r="H57" s="100"/>
    </row>
    <row r="58" spans="1:8" x14ac:dyDescent="0.2">
      <c r="A58" s="15" t="s">
        <v>9</v>
      </c>
      <c r="B58" s="15" t="s">
        <v>9</v>
      </c>
      <c r="C58" s="11" t="s">
        <v>9</v>
      </c>
      <c r="D58" s="15" t="s">
        <v>9</v>
      </c>
      <c r="E58" s="15" t="s">
        <v>9</v>
      </c>
      <c r="F58" s="12" t="s">
        <v>9</v>
      </c>
      <c r="G58" s="12" t="s">
        <v>9</v>
      </c>
      <c r="H58" s="100"/>
    </row>
    <row r="59" spans="1:8" x14ac:dyDescent="0.2">
      <c r="A59" s="15" t="s">
        <v>9</v>
      </c>
      <c r="B59" s="15" t="s">
        <v>9</v>
      </c>
      <c r="C59" s="3" t="s">
        <v>95</v>
      </c>
      <c r="D59" s="15" t="s">
        <v>9</v>
      </c>
      <c r="E59" s="15" t="s">
        <v>9</v>
      </c>
      <c r="F59" s="15" t="s">
        <v>9</v>
      </c>
      <c r="G59" s="15" t="s">
        <v>9</v>
      </c>
      <c r="H59" s="100"/>
    </row>
    <row r="60" spans="1:8" x14ac:dyDescent="0.2">
      <c r="A60" s="15" t="s">
        <v>9</v>
      </c>
      <c r="B60" s="15" t="s">
        <v>9</v>
      </c>
      <c r="C60" s="3" t="s">
        <v>94</v>
      </c>
      <c r="D60" s="15" t="s">
        <v>9</v>
      </c>
      <c r="E60" s="15" t="s">
        <v>9</v>
      </c>
      <c r="F60" s="13">
        <v>0</v>
      </c>
      <c r="G60" s="14">
        <v>0</v>
      </c>
      <c r="H60" s="100"/>
    </row>
    <row r="61" spans="1:8" x14ac:dyDescent="0.2">
      <c r="A61" s="15" t="s">
        <v>9</v>
      </c>
      <c r="B61" s="15" t="s">
        <v>9</v>
      </c>
      <c r="C61" s="11" t="s">
        <v>9</v>
      </c>
      <c r="D61" s="15" t="s">
        <v>9</v>
      </c>
      <c r="E61" s="15" t="s">
        <v>9</v>
      </c>
      <c r="F61" s="12" t="s">
        <v>9</v>
      </c>
      <c r="G61" s="12" t="s">
        <v>9</v>
      </c>
      <c r="H61" s="100"/>
    </row>
    <row r="62" spans="1:8" x14ac:dyDescent="0.2">
      <c r="A62" s="15" t="s">
        <v>9</v>
      </c>
      <c r="B62" s="15" t="s">
        <v>9</v>
      </c>
      <c r="C62" s="3" t="s">
        <v>96</v>
      </c>
      <c r="D62" s="15" t="s">
        <v>9</v>
      </c>
      <c r="E62" s="15" t="s">
        <v>9</v>
      </c>
      <c r="F62" s="15" t="s">
        <v>9</v>
      </c>
      <c r="G62" s="15" t="s">
        <v>9</v>
      </c>
      <c r="H62" s="100"/>
    </row>
    <row r="63" spans="1:8" x14ac:dyDescent="0.2">
      <c r="A63" s="15" t="s">
        <v>9</v>
      </c>
      <c r="B63" s="15" t="s">
        <v>9</v>
      </c>
      <c r="C63" s="3" t="s">
        <v>94</v>
      </c>
      <c r="D63" s="15" t="s">
        <v>9</v>
      </c>
      <c r="E63" s="15" t="s">
        <v>9</v>
      </c>
      <c r="F63" s="13">
        <v>0</v>
      </c>
      <c r="G63" s="14">
        <v>0</v>
      </c>
      <c r="H63" s="100"/>
    </row>
    <row r="64" spans="1:8" x14ac:dyDescent="0.2">
      <c r="A64" s="15" t="s">
        <v>9</v>
      </c>
      <c r="B64" s="15" t="s">
        <v>9</v>
      </c>
      <c r="C64" s="11" t="s">
        <v>9</v>
      </c>
      <c r="D64" s="15" t="s">
        <v>9</v>
      </c>
      <c r="E64" s="15" t="s">
        <v>9</v>
      </c>
      <c r="F64" s="12" t="s">
        <v>9</v>
      </c>
      <c r="G64" s="12" t="s">
        <v>9</v>
      </c>
      <c r="H64" s="100"/>
    </row>
    <row r="65" spans="1:8" x14ac:dyDescent="0.2">
      <c r="A65" s="15" t="s">
        <v>9</v>
      </c>
      <c r="B65" s="15" t="s">
        <v>9</v>
      </c>
      <c r="C65" s="3" t="s">
        <v>100</v>
      </c>
      <c r="D65" s="15" t="s">
        <v>9</v>
      </c>
      <c r="E65" s="15" t="s">
        <v>9</v>
      </c>
      <c r="F65" s="15" t="s">
        <v>9</v>
      </c>
      <c r="G65" s="15" t="s">
        <v>9</v>
      </c>
      <c r="H65" s="100"/>
    </row>
    <row r="66" spans="1:8" x14ac:dyDescent="0.2">
      <c r="A66" s="15" t="s">
        <v>9</v>
      </c>
      <c r="B66" s="15" t="s">
        <v>9</v>
      </c>
      <c r="C66" s="3" t="s">
        <v>94</v>
      </c>
      <c r="D66" s="15" t="s">
        <v>9</v>
      </c>
      <c r="E66" s="15" t="s">
        <v>9</v>
      </c>
      <c r="F66" s="13">
        <v>0</v>
      </c>
      <c r="G66" s="14">
        <v>0</v>
      </c>
      <c r="H66" s="100"/>
    </row>
    <row r="67" spans="1:8" x14ac:dyDescent="0.2">
      <c r="A67" s="15" t="s">
        <v>9</v>
      </c>
      <c r="B67" s="15" t="s">
        <v>9</v>
      </c>
      <c r="C67" s="11" t="s">
        <v>9</v>
      </c>
      <c r="D67" s="15" t="s">
        <v>9</v>
      </c>
      <c r="E67" s="15" t="s">
        <v>9</v>
      </c>
      <c r="F67" s="12" t="s">
        <v>9</v>
      </c>
      <c r="G67" s="12" t="s">
        <v>9</v>
      </c>
      <c r="H67" s="100"/>
    </row>
    <row r="68" spans="1:8" x14ac:dyDescent="0.2">
      <c r="A68" s="15" t="s">
        <v>9</v>
      </c>
      <c r="B68" s="15" t="s">
        <v>9</v>
      </c>
      <c r="C68" s="3" t="s">
        <v>101</v>
      </c>
      <c r="D68" s="15" t="s">
        <v>9</v>
      </c>
      <c r="E68" s="15" t="s">
        <v>9</v>
      </c>
      <c r="F68" s="12" t="s">
        <v>9</v>
      </c>
      <c r="G68" s="12" t="s">
        <v>9</v>
      </c>
      <c r="H68" s="100"/>
    </row>
    <row r="69" spans="1:8" x14ac:dyDescent="0.2">
      <c r="A69" s="15" t="s">
        <v>9</v>
      </c>
      <c r="B69" s="15" t="s">
        <v>9</v>
      </c>
      <c r="C69" s="3" t="s">
        <v>94</v>
      </c>
      <c r="D69" s="15" t="s">
        <v>9</v>
      </c>
      <c r="E69" s="15" t="s">
        <v>9</v>
      </c>
      <c r="F69" s="13">
        <v>0</v>
      </c>
      <c r="G69" s="14">
        <v>0</v>
      </c>
      <c r="H69" s="100"/>
    </row>
    <row r="70" spans="1:8" x14ac:dyDescent="0.2">
      <c r="A70" s="15" t="s">
        <v>9</v>
      </c>
      <c r="B70" s="15" t="s">
        <v>9</v>
      </c>
      <c r="C70" s="11" t="s">
        <v>9</v>
      </c>
      <c r="D70" s="15" t="s">
        <v>9</v>
      </c>
      <c r="E70" s="15" t="s">
        <v>9</v>
      </c>
      <c r="F70" s="12" t="s">
        <v>9</v>
      </c>
      <c r="G70" s="12" t="s">
        <v>9</v>
      </c>
      <c r="H70" s="100"/>
    </row>
    <row r="71" spans="1:8" x14ac:dyDescent="0.2">
      <c r="A71" s="15" t="s">
        <v>9</v>
      </c>
      <c r="B71" s="15" t="s">
        <v>9</v>
      </c>
      <c r="C71" s="3" t="s">
        <v>102</v>
      </c>
      <c r="D71" s="15" t="s">
        <v>9</v>
      </c>
      <c r="E71" s="15" t="s">
        <v>9</v>
      </c>
      <c r="F71" s="12" t="s">
        <v>9</v>
      </c>
      <c r="G71" s="12" t="s">
        <v>9</v>
      </c>
      <c r="H71" s="100"/>
    </row>
    <row r="72" spans="1:8" x14ac:dyDescent="0.2">
      <c r="A72" s="15" t="s">
        <v>9</v>
      </c>
      <c r="B72" s="15" t="s">
        <v>9</v>
      </c>
      <c r="C72" s="3" t="s">
        <v>94</v>
      </c>
      <c r="D72" s="15" t="s">
        <v>9</v>
      </c>
      <c r="E72" s="15" t="s">
        <v>9</v>
      </c>
      <c r="F72" s="13">
        <v>0</v>
      </c>
      <c r="G72" s="14">
        <v>0</v>
      </c>
      <c r="H72" s="100"/>
    </row>
    <row r="73" spans="1:8" x14ac:dyDescent="0.2">
      <c r="A73" s="15" t="s">
        <v>9</v>
      </c>
      <c r="B73" s="15" t="s">
        <v>9</v>
      </c>
      <c r="C73" s="11" t="s">
        <v>9</v>
      </c>
      <c r="D73" s="15" t="s">
        <v>9</v>
      </c>
      <c r="E73" s="15" t="s">
        <v>9</v>
      </c>
      <c r="F73" s="12" t="s">
        <v>9</v>
      </c>
      <c r="G73" s="12" t="s">
        <v>9</v>
      </c>
      <c r="H73" s="100"/>
    </row>
    <row r="74" spans="1:8" x14ac:dyDescent="0.2">
      <c r="A74" s="15" t="s">
        <v>9</v>
      </c>
      <c r="B74" s="15" t="s">
        <v>9</v>
      </c>
      <c r="C74" s="3" t="s">
        <v>104</v>
      </c>
      <c r="D74" s="15" t="s">
        <v>9</v>
      </c>
      <c r="E74" s="15" t="s">
        <v>9</v>
      </c>
      <c r="F74" s="9">
        <v>223206.83054299999</v>
      </c>
      <c r="G74" s="10">
        <v>0.99428203500000001</v>
      </c>
      <c r="H74" s="100"/>
    </row>
    <row r="75" spans="1:8" x14ac:dyDescent="0.2">
      <c r="A75" s="15" t="s">
        <v>9</v>
      </c>
      <c r="B75" s="15" t="s">
        <v>9</v>
      </c>
      <c r="C75" s="11" t="s">
        <v>9</v>
      </c>
      <c r="D75" s="15" t="s">
        <v>9</v>
      </c>
      <c r="E75" s="15" t="s">
        <v>9</v>
      </c>
      <c r="F75" s="12" t="s">
        <v>9</v>
      </c>
      <c r="G75" s="12" t="s">
        <v>9</v>
      </c>
      <c r="H75" s="100"/>
    </row>
    <row r="76" spans="1:8" x14ac:dyDescent="0.2">
      <c r="A76" s="15" t="s">
        <v>9</v>
      </c>
      <c r="B76" s="15" t="s">
        <v>9</v>
      </c>
      <c r="C76" s="3" t="s">
        <v>105</v>
      </c>
      <c r="D76" s="15" t="s">
        <v>9</v>
      </c>
      <c r="E76" s="15" t="s">
        <v>9</v>
      </c>
      <c r="F76" s="12" t="s">
        <v>9</v>
      </c>
      <c r="G76" s="12" t="s">
        <v>9</v>
      </c>
      <c r="H76" s="100"/>
    </row>
    <row r="77" spans="1:8" ht="25.5" x14ac:dyDescent="0.2">
      <c r="A77" s="15" t="s">
        <v>9</v>
      </c>
      <c r="B77" s="15" t="s">
        <v>9</v>
      </c>
      <c r="C77" s="3" t="s">
        <v>11</v>
      </c>
      <c r="D77" s="15" t="s">
        <v>9</v>
      </c>
      <c r="E77" s="15" t="s">
        <v>9</v>
      </c>
      <c r="F77" s="12" t="s">
        <v>9</v>
      </c>
      <c r="G77" s="12" t="s">
        <v>9</v>
      </c>
      <c r="H77" s="100"/>
    </row>
    <row r="78" spans="1:8" x14ac:dyDescent="0.2">
      <c r="A78" s="15" t="s">
        <v>9</v>
      </c>
      <c r="B78" s="15" t="s">
        <v>9</v>
      </c>
      <c r="C78" s="3" t="s">
        <v>94</v>
      </c>
      <c r="D78" s="15" t="s">
        <v>9</v>
      </c>
      <c r="E78" s="15" t="s">
        <v>9</v>
      </c>
      <c r="F78" s="13">
        <v>0</v>
      </c>
      <c r="G78" s="14">
        <v>0</v>
      </c>
      <c r="H78" s="100"/>
    </row>
    <row r="79" spans="1:8" x14ac:dyDescent="0.2">
      <c r="A79" s="15" t="s">
        <v>9</v>
      </c>
      <c r="B79" s="15" t="s">
        <v>9</v>
      </c>
      <c r="C79" s="11" t="s">
        <v>9</v>
      </c>
      <c r="D79" s="15" t="s">
        <v>9</v>
      </c>
      <c r="E79" s="15" t="s">
        <v>9</v>
      </c>
      <c r="F79" s="12" t="s">
        <v>9</v>
      </c>
      <c r="G79" s="12" t="s">
        <v>9</v>
      </c>
      <c r="H79" s="100"/>
    </row>
    <row r="80" spans="1:8" x14ac:dyDescent="0.2">
      <c r="A80" s="15" t="s">
        <v>9</v>
      </c>
      <c r="B80" s="15" t="s">
        <v>9</v>
      </c>
      <c r="C80" s="3" t="s">
        <v>106</v>
      </c>
      <c r="D80" s="15" t="s">
        <v>9</v>
      </c>
      <c r="E80" s="15" t="s">
        <v>9</v>
      </c>
      <c r="F80" s="15" t="s">
        <v>9</v>
      </c>
      <c r="G80" s="15" t="s">
        <v>9</v>
      </c>
      <c r="H80" s="100"/>
    </row>
    <row r="81" spans="1:8" x14ac:dyDescent="0.2">
      <c r="A81" s="15" t="s">
        <v>9</v>
      </c>
      <c r="B81" s="15" t="s">
        <v>9</v>
      </c>
      <c r="C81" s="3" t="s">
        <v>94</v>
      </c>
      <c r="D81" s="15" t="s">
        <v>9</v>
      </c>
      <c r="E81" s="15" t="s">
        <v>9</v>
      </c>
      <c r="F81" s="13">
        <v>0</v>
      </c>
      <c r="G81" s="14">
        <v>0</v>
      </c>
      <c r="H81" s="100"/>
    </row>
    <row r="82" spans="1:8" x14ac:dyDescent="0.2">
      <c r="A82" s="15" t="s">
        <v>9</v>
      </c>
      <c r="B82" s="15" t="s">
        <v>9</v>
      </c>
      <c r="C82" s="11" t="s">
        <v>9</v>
      </c>
      <c r="D82" s="15" t="s">
        <v>9</v>
      </c>
      <c r="E82" s="15" t="s">
        <v>9</v>
      </c>
      <c r="F82" s="12" t="s">
        <v>9</v>
      </c>
      <c r="G82" s="12" t="s">
        <v>9</v>
      </c>
      <c r="H82" s="100"/>
    </row>
    <row r="83" spans="1:8" x14ac:dyDescent="0.2">
      <c r="A83" s="15" t="s">
        <v>9</v>
      </c>
      <c r="B83" s="15" t="s">
        <v>9</v>
      </c>
      <c r="C83" s="3" t="s">
        <v>107</v>
      </c>
      <c r="D83" s="15" t="s">
        <v>9</v>
      </c>
      <c r="E83" s="15" t="s">
        <v>9</v>
      </c>
      <c r="F83" s="15" t="s">
        <v>9</v>
      </c>
      <c r="G83" s="15" t="s">
        <v>9</v>
      </c>
      <c r="H83" s="100"/>
    </row>
    <row r="84" spans="1:8" x14ac:dyDescent="0.2">
      <c r="A84" s="15" t="s">
        <v>9</v>
      </c>
      <c r="B84" s="15" t="s">
        <v>9</v>
      </c>
      <c r="C84" s="3" t="s">
        <v>94</v>
      </c>
      <c r="D84" s="15" t="s">
        <v>9</v>
      </c>
      <c r="E84" s="15" t="s">
        <v>9</v>
      </c>
      <c r="F84" s="13">
        <v>0</v>
      </c>
      <c r="G84" s="14">
        <v>0</v>
      </c>
      <c r="H84" s="100"/>
    </row>
    <row r="85" spans="1:8" x14ac:dyDescent="0.2">
      <c r="A85" s="15" t="s">
        <v>9</v>
      </c>
      <c r="B85" s="15" t="s">
        <v>9</v>
      </c>
      <c r="C85" s="11" t="s">
        <v>9</v>
      </c>
      <c r="D85" s="15" t="s">
        <v>9</v>
      </c>
      <c r="E85" s="15" t="s">
        <v>9</v>
      </c>
      <c r="F85" s="12" t="s">
        <v>9</v>
      </c>
      <c r="G85" s="12" t="s">
        <v>9</v>
      </c>
      <c r="H85" s="100"/>
    </row>
    <row r="86" spans="1:8" x14ac:dyDescent="0.2">
      <c r="A86" s="15" t="s">
        <v>9</v>
      </c>
      <c r="B86" s="15" t="s">
        <v>9</v>
      </c>
      <c r="C86" s="3" t="s">
        <v>108</v>
      </c>
      <c r="D86" s="15" t="s">
        <v>9</v>
      </c>
      <c r="E86" s="15" t="s">
        <v>9</v>
      </c>
      <c r="F86" s="12" t="s">
        <v>9</v>
      </c>
      <c r="G86" s="12" t="s">
        <v>9</v>
      </c>
      <c r="H86" s="100"/>
    </row>
    <row r="87" spans="1:8" x14ac:dyDescent="0.2">
      <c r="A87" s="15" t="s">
        <v>9</v>
      </c>
      <c r="B87" s="15" t="s">
        <v>9</v>
      </c>
      <c r="C87" s="3" t="s">
        <v>94</v>
      </c>
      <c r="D87" s="15" t="s">
        <v>9</v>
      </c>
      <c r="E87" s="15" t="s">
        <v>9</v>
      </c>
      <c r="F87" s="13">
        <v>0</v>
      </c>
      <c r="G87" s="14">
        <v>0</v>
      </c>
      <c r="H87" s="100"/>
    </row>
    <row r="88" spans="1:8" x14ac:dyDescent="0.2">
      <c r="A88" s="15" t="s">
        <v>9</v>
      </c>
      <c r="B88" s="15" t="s">
        <v>9</v>
      </c>
      <c r="C88" s="11" t="s">
        <v>9</v>
      </c>
      <c r="D88" s="15" t="s">
        <v>9</v>
      </c>
      <c r="E88" s="15" t="s">
        <v>9</v>
      </c>
      <c r="F88" s="12" t="s">
        <v>9</v>
      </c>
      <c r="G88" s="12" t="s">
        <v>9</v>
      </c>
      <c r="H88" s="100"/>
    </row>
    <row r="89" spans="1:8" x14ac:dyDescent="0.2">
      <c r="A89" s="15" t="s">
        <v>9</v>
      </c>
      <c r="B89" s="15" t="s">
        <v>9</v>
      </c>
      <c r="C89" s="3" t="s">
        <v>109</v>
      </c>
      <c r="D89" s="15" t="s">
        <v>9</v>
      </c>
      <c r="E89" s="15" t="s">
        <v>9</v>
      </c>
      <c r="F89" s="9">
        <v>0</v>
      </c>
      <c r="G89" s="10">
        <v>0</v>
      </c>
      <c r="H89" s="100"/>
    </row>
    <row r="90" spans="1:8" x14ac:dyDescent="0.2">
      <c r="A90" s="15" t="s">
        <v>9</v>
      </c>
      <c r="B90" s="15" t="s">
        <v>9</v>
      </c>
      <c r="C90" s="11" t="s">
        <v>9</v>
      </c>
      <c r="D90" s="15" t="s">
        <v>9</v>
      </c>
      <c r="E90" s="15" t="s">
        <v>9</v>
      </c>
      <c r="F90" s="12" t="s">
        <v>9</v>
      </c>
      <c r="G90" s="12" t="s">
        <v>9</v>
      </c>
      <c r="H90" s="100"/>
    </row>
    <row r="91" spans="1:8" x14ac:dyDescent="0.2">
      <c r="A91" s="15" t="s">
        <v>9</v>
      </c>
      <c r="B91" s="15" t="s">
        <v>9</v>
      </c>
      <c r="C91" s="3" t="s">
        <v>110</v>
      </c>
      <c r="D91" s="15" t="s">
        <v>9</v>
      </c>
      <c r="E91" s="15" t="s">
        <v>9</v>
      </c>
      <c r="F91" s="12" t="s">
        <v>9</v>
      </c>
      <c r="G91" s="12" t="s">
        <v>9</v>
      </c>
      <c r="H91" s="100"/>
    </row>
    <row r="92" spans="1:8" x14ac:dyDescent="0.2">
      <c r="A92" s="15" t="s">
        <v>9</v>
      </c>
      <c r="B92" s="15" t="s">
        <v>9</v>
      </c>
      <c r="C92" s="3" t="s">
        <v>111</v>
      </c>
      <c r="D92" s="15" t="s">
        <v>9</v>
      </c>
      <c r="E92" s="15" t="s">
        <v>9</v>
      </c>
      <c r="F92" s="12" t="s">
        <v>9</v>
      </c>
      <c r="G92" s="12" t="s">
        <v>9</v>
      </c>
      <c r="H92" s="100"/>
    </row>
    <row r="93" spans="1:8" x14ac:dyDescent="0.2">
      <c r="A93" s="15" t="s">
        <v>9</v>
      </c>
      <c r="B93" s="15" t="s">
        <v>9</v>
      </c>
      <c r="C93" s="3" t="s">
        <v>94</v>
      </c>
      <c r="D93" s="15" t="s">
        <v>9</v>
      </c>
      <c r="E93" s="15" t="s">
        <v>9</v>
      </c>
      <c r="F93" s="13">
        <v>0</v>
      </c>
      <c r="G93" s="14">
        <v>0</v>
      </c>
      <c r="H93" s="100"/>
    </row>
    <row r="94" spans="1:8" x14ac:dyDescent="0.2">
      <c r="A94" s="15" t="s">
        <v>9</v>
      </c>
      <c r="B94" s="15" t="s">
        <v>9</v>
      </c>
      <c r="C94" s="11" t="s">
        <v>9</v>
      </c>
      <c r="D94" s="15" t="s">
        <v>9</v>
      </c>
      <c r="E94" s="15" t="s">
        <v>9</v>
      </c>
      <c r="F94" s="12" t="s">
        <v>9</v>
      </c>
      <c r="G94" s="12" t="s">
        <v>9</v>
      </c>
      <c r="H94" s="100"/>
    </row>
    <row r="95" spans="1:8" x14ac:dyDescent="0.2">
      <c r="A95" s="15" t="s">
        <v>9</v>
      </c>
      <c r="B95" s="15" t="s">
        <v>9</v>
      </c>
      <c r="C95" s="3" t="s">
        <v>112</v>
      </c>
      <c r="D95" s="15" t="s">
        <v>9</v>
      </c>
      <c r="E95" s="15" t="s">
        <v>9</v>
      </c>
      <c r="F95" s="12" t="s">
        <v>9</v>
      </c>
      <c r="G95" s="12" t="s">
        <v>9</v>
      </c>
      <c r="H95" s="100"/>
    </row>
    <row r="96" spans="1:8" x14ac:dyDescent="0.2">
      <c r="A96" s="15" t="s">
        <v>9</v>
      </c>
      <c r="B96" s="15" t="s">
        <v>9</v>
      </c>
      <c r="C96" s="3" t="s">
        <v>94</v>
      </c>
      <c r="D96" s="15" t="s">
        <v>9</v>
      </c>
      <c r="E96" s="15" t="s">
        <v>9</v>
      </c>
      <c r="F96" s="13">
        <v>0</v>
      </c>
      <c r="G96" s="14">
        <v>0</v>
      </c>
      <c r="H96" s="100"/>
    </row>
    <row r="97" spans="1:8" x14ac:dyDescent="0.2">
      <c r="A97" s="15" t="s">
        <v>9</v>
      </c>
      <c r="B97" s="15" t="s">
        <v>9</v>
      </c>
      <c r="C97" s="11" t="s">
        <v>9</v>
      </c>
      <c r="D97" s="15" t="s">
        <v>9</v>
      </c>
      <c r="E97" s="15" t="s">
        <v>9</v>
      </c>
      <c r="F97" s="12" t="s">
        <v>9</v>
      </c>
      <c r="G97" s="12" t="s">
        <v>9</v>
      </c>
      <c r="H97" s="100"/>
    </row>
    <row r="98" spans="1:8" x14ac:dyDescent="0.2">
      <c r="A98" s="15" t="s">
        <v>9</v>
      </c>
      <c r="B98" s="15" t="s">
        <v>9</v>
      </c>
      <c r="C98" s="3" t="s">
        <v>113</v>
      </c>
      <c r="D98" s="15" t="s">
        <v>9</v>
      </c>
      <c r="E98" s="15" t="s">
        <v>9</v>
      </c>
      <c r="F98" s="12" t="s">
        <v>9</v>
      </c>
      <c r="G98" s="12" t="s">
        <v>9</v>
      </c>
      <c r="H98" s="100"/>
    </row>
    <row r="99" spans="1:8" x14ac:dyDescent="0.2">
      <c r="A99" s="15" t="s">
        <v>9</v>
      </c>
      <c r="B99" s="15" t="s">
        <v>9</v>
      </c>
      <c r="C99" s="3" t="s">
        <v>94</v>
      </c>
      <c r="D99" s="15" t="s">
        <v>9</v>
      </c>
      <c r="E99" s="15" t="s">
        <v>9</v>
      </c>
      <c r="F99" s="13">
        <v>0</v>
      </c>
      <c r="G99" s="14">
        <v>0</v>
      </c>
      <c r="H99" s="100"/>
    </row>
    <row r="100" spans="1:8" x14ac:dyDescent="0.2">
      <c r="A100" s="15" t="s">
        <v>9</v>
      </c>
      <c r="B100" s="15" t="s">
        <v>9</v>
      </c>
      <c r="C100" s="11" t="s">
        <v>9</v>
      </c>
      <c r="D100" s="15" t="s">
        <v>9</v>
      </c>
      <c r="E100" s="15" t="s">
        <v>9</v>
      </c>
      <c r="F100" s="12" t="s">
        <v>9</v>
      </c>
      <c r="G100" s="12" t="s">
        <v>9</v>
      </c>
      <c r="H100" s="100"/>
    </row>
    <row r="101" spans="1:8" x14ac:dyDescent="0.2">
      <c r="A101" s="15" t="s">
        <v>9</v>
      </c>
      <c r="B101" s="15" t="s">
        <v>9</v>
      </c>
      <c r="C101" s="3" t="s">
        <v>114</v>
      </c>
      <c r="D101" s="15" t="s">
        <v>9</v>
      </c>
      <c r="E101" s="15" t="s">
        <v>9</v>
      </c>
      <c r="F101" s="12" t="s">
        <v>9</v>
      </c>
      <c r="G101" s="12" t="s">
        <v>9</v>
      </c>
      <c r="H101" s="100"/>
    </row>
    <row r="102" spans="1:8" x14ac:dyDescent="0.2">
      <c r="A102" s="4">
        <v>1</v>
      </c>
      <c r="B102" s="5"/>
      <c r="C102" s="5" t="s">
        <v>115</v>
      </c>
      <c r="D102" s="5"/>
      <c r="E102" s="15" t="s">
        <v>9</v>
      </c>
      <c r="F102" s="7">
        <v>1845.1642606</v>
      </c>
      <c r="G102" s="8">
        <v>8.219344E-3</v>
      </c>
      <c r="H102" s="99">
        <v>3.2516689338443991</v>
      </c>
    </row>
    <row r="103" spans="1:8" x14ac:dyDescent="0.2">
      <c r="A103" s="4">
        <v>2</v>
      </c>
      <c r="B103" s="5"/>
      <c r="C103" s="5" t="s">
        <v>116</v>
      </c>
      <c r="D103" s="5"/>
      <c r="E103" s="15" t="s">
        <v>9</v>
      </c>
      <c r="F103" s="7">
        <v>252.8043552</v>
      </c>
      <c r="G103" s="8">
        <v>1.126125E-3</v>
      </c>
      <c r="H103" s="100">
        <v>3.350000000000001</v>
      </c>
    </row>
    <row r="104" spans="1:8" x14ac:dyDescent="0.2">
      <c r="A104" s="15" t="s">
        <v>9</v>
      </c>
      <c r="B104" s="15" t="s">
        <v>9</v>
      </c>
      <c r="C104" s="3" t="s">
        <v>94</v>
      </c>
      <c r="D104" s="15" t="s">
        <v>9</v>
      </c>
      <c r="E104" s="15" t="s">
        <v>9</v>
      </c>
      <c r="F104" s="9">
        <v>2097.9686158</v>
      </c>
      <c r="G104" s="10">
        <v>9.3454690000000003E-3</v>
      </c>
      <c r="H104" s="100"/>
    </row>
    <row r="105" spans="1:8" x14ac:dyDescent="0.2">
      <c r="A105" s="15" t="s">
        <v>9</v>
      </c>
      <c r="B105" s="15" t="s">
        <v>9</v>
      </c>
      <c r="C105" s="11" t="s">
        <v>9</v>
      </c>
      <c r="D105" s="15" t="s">
        <v>9</v>
      </c>
      <c r="E105" s="15" t="s">
        <v>9</v>
      </c>
      <c r="F105" s="12" t="s">
        <v>9</v>
      </c>
      <c r="G105" s="12" t="s">
        <v>9</v>
      </c>
      <c r="H105" s="100"/>
    </row>
    <row r="106" spans="1:8" x14ac:dyDescent="0.2">
      <c r="A106" s="15" t="s">
        <v>9</v>
      </c>
      <c r="B106" s="15" t="s">
        <v>9</v>
      </c>
      <c r="C106" s="3" t="s">
        <v>117</v>
      </c>
      <c r="D106" s="15" t="s">
        <v>9</v>
      </c>
      <c r="E106" s="15" t="s">
        <v>9</v>
      </c>
      <c r="F106" s="9">
        <v>2097.9686158</v>
      </c>
      <c r="G106" s="10">
        <v>9.3454690000000003E-3</v>
      </c>
      <c r="H106" s="100"/>
    </row>
    <row r="107" spans="1:8" x14ac:dyDescent="0.2">
      <c r="A107" s="15" t="s">
        <v>9</v>
      </c>
      <c r="B107" s="15" t="s">
        <v>9</v>
      </c>
      <c r="C107" s="12" t="s">
        <v>9</v>
      </c>
      <c r="D107" s="15" t="s">
        <v>9</v>
      </c>
      <c r="E107" s="15" t="s">
        <v>9</v>
      </c>
      <c r="F107" s="15" t="s">
        <v>9</v>
      </c>
      <c r="G107" s="15" t="s">
        <v>9</v>
      </c>
      <c r="H107" s="100"/>
    </row>
    <row r="108" spans="1:8" x14ac:dyDescent="0.2">
      <c r="A108" s="15" t="s">
        <v>9</v>
      </c>
      <c r="B108" s="15" t="s">
        <v>9</v>
      </c>
      <c r="C108" s="3" t="s">
        <v>118</v>
      </c>
      <c r="D108" s="15" t="s">
        <v>9</v>
      </c>
      <c r="E108" s="15" t="s">
        <v>9</v>
      </c>
      <c r="F108" s="15" t="s">
        <v>9</v>
      </c>
      <c r="G108" s="15" t="s">
        <v>9</v>
      </c>
      <c r="H108" s="100"/>
    </row>
    <row r="109" spans="1:8" x14ac:dyDescent="0.2">
      <c r="A109" s="15" t="s">
        <v>9</v>
      </c>
      <c r="B109" s="15" t="s">
        <v>9</v>
      </c>
      <c r="C109" s="3" t="s">
        <v>119</v>
      </c>
      <c r="D109" s="15" t="s">
        <v>9</v>
      </c>
      <c r="E109" s="15" t="s">
        <v>9</v>
      </c>
      <c r="F109" s="15" t="s">
        <v>9</v>
      </c>
      <c r="G109" s="15" t="s">
        <v>9</v>
      </c>
      <c r="H109" s="100"/>
    </row>
    <row r="110" spans="1:8" x14ac:dyDescent="0.2">
      <c r="A110" s="15" t="s">
        <v>9</v>
      </c>
      <c r="B110" s="15" t="s">
        <v>9</v>
      </c>
      <c r="C110" s="3" t="s">
        <v>94</v>
      </c>
      <c r="D110" s="15" t="s">
        <v>9</v>
      </c>
      <c r="E110" s="15" t="s">
        <v>9</v>
      </c>
      <c r="F110" s="13">
        <v>0</v>
      </c>
      <c r="G110" s="14">
        <v>0</v>
      </c>
      <c r="H110" s="100"/>
    </row>
    <row r="111" spans="1:8" x14ac:dyDescent="0.2">
      <c r="A111" s="15" t="s">
        <v>9</v>
      </c>
      <c r="B111" s="15" t="s">
        <v>9</v>
      </c>
      <c r="C111" s="11" t="s">
        <v>9</v>
      </c>
      <c r="D111" s="15" t="s">
        <v>9</v>
      </c>
      <c r="E111" s="15" t="s">
        <v>9</v>
      </c>
      <c r="F111" s="12" t="s">
        <v>9</v>
      </c>
      <c r="G111" s="12" t="s">
        <v>9</v>
      </c>
      <c r="H111" s="100"/>
    </row>
    <row r="112" spans="1:8" x14ac:dyDescent="0.2">
      <c r="A112" s="15" t="s">
        <v>9</v>
      </c>
      <c r="B112" s="15" t="s">
        <v>9</v>
      </c>
      <c r="C112" s="3" t="s">
        <v>120</v>
      </c>
      <c r="D112" s="15" t="s">
        <v>9</v>
      </c>
      <c r="E112" s="15" t="s">
        <v>9</v>
      </c>
      <c r="F112" s="15" t="s">
        <v>9</v>
      </c>
      <c r="G112" s="15" t="s">
        <v>9</v>
      </c>
      <c r="H112" s="100"/>
    </row>
    <row r="113" spans="1:8" x14ac:dyDescent="0.2">
      <c r="A113" s="15" t="s">
        <v>9</v>
      </c>
      <c r="B113" s="15" t="s">
        <v>9</v>
      </c>
      <c r="C113" s="3" t="s">
        <v>121</v>
      </c>
      <c r="D113" s="15" t="s">
        <v>9</v>
      </c>
      <c r="E113" s="15" t="s">
        <v>9</v>
      </c>
      <c r="F113" s="15" t="s">
        <v>9</v>
      </c>
      <c r="G113" s="15" t="s">
        <v>9</v>
      </c>
      <c r="H113" s="100"/>
    </row>
    <row r="114" spans="1:8" x14ac:dyDescent="0.2">
      <c r="A114" s="15" t="s">
        <v>9</v>
      </c>
      <c r="B114" s="15" t="s">
        <v>9</v>
      </c>
      <c r="C114" s="3" t="s">
        <v>94</v>
      </c>
      <c r="D114" s="15" t="s">
        <v>9</v>
      </c>
      <c r="E114" s="15" t="s">
        <v>9</v>
      </c>
      <c r="F114" s="13">
        <v>0</v>
      </c>
      <c r="G114" s="14">
        <v>0</v>
      </c>
      <c r="H114" s="100"/>
    </row>
    <row r="115" spans="1:8" x14ac:dyDescent="0.2">
      <c r="A115" s="15" t="s">
        <v>9</v>
      </c>
      <c r="B115" s="15" t="s">
        <v>9</v>
      </c>
      <c r="C115" s="11" t="s">
        <v>9</v>
      </c>
      <c r="D115" s="15" t="s">
        <v>9</v>
      </c>
      <c r="E115" s="15" t="s">
        <v>9</v>
      </c>
      <c r="F115" s="12" t="s">
        <v>9</v>
      </c>
      <c r="G115" s="12" t="s">
        <v>9</v>
      </c>
      <c r="H115" s="100"/>
    </row>
    <row r="116" spans="1:8" x14ac:dyDescent="0.2">
      <c r="A116" s="15" t="s">
        <v>9</v>
      </c>
      <c r="B116" s="15" t="s">
        <v>9</v>
      </c>
      <c r="C116" s="11" t="s">
        <v>9</v>
      </c>
      <c r="D116" s="15" t="s">
        <v>9</v>
      </c>
      <c r="E116" s="15" t="s">
        <v>9</v>
      </c>
      <c r="F116" s="12" t="s">
        <v>9</v>
      </c>
      <c r="G116" s="12" t="s">
        <v>9</v>
      </c>
      <c r="H116" s="100"/>
    </row>
    <row r="117" spans="1:8" ht="25.5" x14ac:dyDescent="0.2">
      <c r="A117" s="15" t="s">
        <v>9</v>
      </c>
      <c r="B117" s="15" t="s">
        <v>9</v>
      </c>
      <c r="C117" s="3" t="s">
        <v>122</v>
      </c>
      <c r="D117" s="15" t="s">
        <v>9</v>
      </c>
      <c r="E117" s="15" t="s">
        <v>9</v>
      </c>
      <c r="F117" s="12" t="s">
        <v>9</v>
      </c>
      <c r="G117" s="12" t="s">
        <v>9</v>
      </c>
      <c r="H117" s="100"/>
    </row>
    <row r="118" spans="1:8" x14ac:dyDescent="0.2">
      <c r="A118" s="15" t="s">
        <v>9</v>
      </c>
      <c r="B118" s="15" t="s">
        <v>9</v>
      </c>
      <c r="C118" s="3" t="s">
        <v>94</v>
      </c>
      <c r="D118" s="15" t="s">
        <v>9</v>
      </c>
      <c r="E118" s="15" t="s">
        <v>9</v>
      </c>
      <c r="F118" s="13">
        <v>0</v>
      </c>
      <c r="G118" s="14">
        <v>0</v>
      </c>
      <c r="H118" s="100"/>
    </row>
    <row r="119" spans="1:8" x14ac:dyDescent="0.2">
      <c r="A119" s="15" t="s">
        <v>9</v>
      </c>
      <c r="B119" s="15" t="s">
        <v>9</v>
      </c>
      <c r="C119" s="11" t="s">
        <v>9</v>
      </c>
      <c r="D119" s="15" t="s">
        <v>9</v>
      </c>
      <c r="E119" s="15" t="s">
        <v>9</v>
      </c>
      <c r="F119" s="12" t="s">
        <v>9</v>
      </c>
      <c r="G119" s="12" t="s">
        <v>9</v>
      </c>
      <c r="H119" s="100"/>
    </row>
    <row r="120" spans="1:8" x14ac:dyDescent="0.2">
      <c r="A120" s="15" t="s">
        <v>9</v>
      </c>
      <c r="B120" s="5" t="s">
        <v>9</v>
      </c>
      <c r="C120" s="5" t="s">
        <v>9</v>
      </c>
      <c r="D120" s="3" t="s">
        <v>9</v>
      </c>
      <c r="E120" s="15" t="s">
        <v>9</v>
      </c>
      <c r="F120" s="5" t="s">
        <v>9</v>
      </c>
      <c r="G120" s="15" t="s">
        <v>9</v>
      </c>
      <c r="H120" s="100"/>
    </row>
    <row r="121" spans="1:8" x14ac:dyDescent="0.2">
      <c r="A121" s="15" t="s">
        <v>9</v>
      </c>
      <c r="B121" s="5" t="s">
        <v>9</v>
      </c>
      <c r="C121" s="5" t="s">
        <v>124</v>
      </c>
      <c r="D121" s="5" t="s">
        <v>9</v>
      </c>
      <c r="E121" s="15" t="s">
        <v>9</v>
      </c>
      <c r="F121" s="7">
        <v>-814.3402916</v>
      </c>
      <c r="G121" s="8">
        <v>-3.6275050000000001E-3</v>
      </c>
      <c r="H121" s="100"/>
    </row>
    <row r="122" spans="1:8" x14ac:dyDescent="0.2">
      <c r="A122" s="11" t="s">
        <v>9</v>
      </c>
      <c r="B122" s="11" t="s">
        <v>9</v>
      </c>
      <c r="C122" s="3" t="s">
        <v>125</v>
      </c>
      <c r="D122" s="16" t="s">
        <v>9</v>
      </c>
      <c r="E122" s="16" t="s">
        <v>9</v>
      </c>
      <c r="F122" s="9">
        <v>224490.45886720001</v>
      </c>
      <c r="G122" s="10">
        <v>0.99999999900000003</v>
      </c>
      <c r="H122" s="100"/>
    </row>
    <row r="123" spans="1:8" x14ac:dyDescent="0.2">
      <c r="A123" s="17" t="s">
        <v>9</v>
      </c>
      <c r="B123" s="17" t="s">
        <v>9</v>
      </c>
      <c r="C123" s="17" t="s">
        <v>9</v>
      </c>
      <c r="D123" s="18" t="s">
        <v>9</v>
      </c>
      <c r="E123" s="18" t="s">
        <v>9</v>
      </c>
      <c r="F123" s="18" t="s">
        <v>9</v>
      </c>
      <c r="G123" s="18" t="s">
        <v>9</v>
      </c>
      <c r="H123" s="142"/>
    </row>
    <row r="124" spans="1:8" x14ac:dyDescent="0.2">
      <c r="A124" s="19" t="s">
        <v>9</v>
      </c>
      <c r="B124" s="254" t="s">
        <v>9</v>
      </c>
      <c r="C124" s="254"/>
      <c r="D124" s="254"/>
      <c r="E124" s="254"/>
      <c r="F124" s="254"/>
      <c r="G124" s="20" t="s">
        <v>9</v>
      </c>
      <c r="H124" s="142"/>
    </row>
    <row r="125" spans="1:8" x14ac:dyDescent="0.2">
      <c r="A125" s="19" t="s">
        <v>9</v>
      </c>
      <c r="B125" s="254" t="s">
        <v>9</v>
      </c>
      <c r="C125" s="254"/>
      <c r="D125" s="254"/>
      <c r="E125" s="254"/>
      <c r="F125" s="254"/>
      <c r="G125" s="20" t="s">
        <v>9</v>
      </c>
      <c r="H125" s="142"/>
    </row>
    <row r="126" spans="1:8" x14ac:dyDescent="0.2">
      <c r="A126" s="19" t="s">
        <v>9</v>
      </c>
      <c r="B126" s="19" t="s">
        <v>9</v>
      </c>
      <c r="C126" s="19" t="s">
        <v>9</v>
      </c>
      <c r="D126" s="20" t="s">
        <v>9</v>
      </c>
      <c r="E126" s="20" t="s">
        <v>9</v>
      </c>
      <c r="F126" s="20" t="s">
        <v>9</v>
      </c>
      <c r="G126" s="20" t="s">
        <v>9</v>
      </c>
      <c r="H126" s="142"/>
    </row>
    <row r="127" spans="1:8" x14ac:dyDescent="0.2">
      <c r="A127" s="19" t="s">
        <v>9</v>
      </c>
      <c r="B127" s="247" t="s">
        <v>127</v>
      </c>
      <c r="C127" s="248"/>
      <c r="D127" s="182" t="s">
        <v>9</v>
      </c>
      <c r="E127" s="21" t="s">
        <v>9</v>
      </c>
      <c r="F127" s="20" t="s">
        <v>9</v>
      </c>
      <c r="G127" s="20" t="s">
        <v>9</v>
      </c>
      <c r="H127" s="142"/>
    </row>
    <row r="128" spans="1:8" ht="28.5" customHeight="1" x14ac:dyDescent="0.2">
      <c r="A128" s="19" t="s">
        <v>9</v>
      </c>
      <c r="B128" s="242" t="s">
        <v>128</v>
      </c>
      <c r="C128" s="243"/>
      <c r="D128" s="3" t="s">
        <v>129</v>
      </c>
      <c r="E128" s="21" t="s">
        <v>9</v>
      </c>
      <c r="F128" s="20" t="s">
        <v>9</v>
      </c>
      <c r="G128" s="20" t="s">
        <v>9</v>
      </c>
      <c r="H128" s="142"/>
    </row>
    <row r="129" spans="1:8" x14ac:dyDescent="0.2">
      <c r="A129" s="19" t="s">
        <v>9</v>
      </c>
      <c r="B129" s="240" t="s">
        <v>130</v>
      </c>
      <c r="C129" s="241"/>
      <c r="D129" s="177" t="s">
        <v>129</v>
      </c>
      <c r="E129" s="21" t="s">
        <v>9</v>
      </c>
      <c r="F129" s="20" t="s">
        <v>9</v>
      </c>
      <c r="G129" s="20" t="s">
        <v>9</v>
      </c>
      <c r="H129" s="142"/>
    </row>
    <row r="130" spans="1:8" x14ac:dyDescent="0.2">
      <c r="A130" s="19" t="s">
        <v>9</v>
      </c>
      <c r="B130" s="240" t="s">
        <v>131</v>
      </c>
      <c r="C130" s="241"/>
      <c r="D130" s="182" t="s">
        <v>9</v>
      </c>
      <c r="E130" s="21" t="s">
        <v>9</v>
      </c>
      <c r="F130" s="20" t="s">
        <v>9</v>
      </c>
      <c r="G130" s="20" t="s">
        <v>9</v>
      </c>
      <c r="H130" s="142"/>
    </row>
    <row r="131" spans="1:8" ht="25.5" x14ac:dyDescent="0.2">
      <c r="A131" s="25" t="s">
        <v>9</v>
      </c>
      <c r="B131" s="23" t="s">
        <v>9</v>
      </c>
      <c r="C131" s="23" t="s">
        <v>132</v>
      </c>
      <c r="D131" s="23" t="s">
        <v>133</v>
      </c>
      <c r="E131" s="25" t="s">
        <v>9</v>
      </c>
      <c r="F131" s="25" t="s">
        <v>9</v>
      </c>
      <c r="G131" s="25" t="s">
        <v>9</v>
      </c>
      <c r="H131" s="142"/>
    </row>
    <row r="132" spans="1:8" x14ac:dyDescent="0.2">
      <c r="A132" s="25" t="s">
        <v>9</v>
      </c>
      <c r="B132" s="23" t="s">
        <v>134</v>
      </c>
      <c r="C132" s="23" t="s">
        <v>135</v>
      </c>
      <c r="D132" s="23" t="s">
        <v>136</v>
      </c>
      <c r="E132" s="25" t="s">
        <v>9</v>
      </c>
      <c r="F132" s="25" t="s">
        <v>9</v>
      </c>
      <c r="G132" s="25" t="s">
        <v>9</v>
      </c>
      <c r="H132" s="142"/>
    </row>
    <row r="133" spans="1:8" x14ac:dyDescent="0.2">
      <c r="A133" s="25" t="s">
        <v>9</v>
      </c>
      <c r="B133" s="183" t="s">
        <v>137</v>
      </c>
      <c r="C133" s="184">
        <v>125.7381</v>
      </c>
      <c r="D133" s="184">
        <v>124.809</v>
      </c>
      <c r="E133" s="25" t="s">
        <v>9</v>
      </c>
      <c r="F133" s="73" t="s">
        <v>9</v>
      </c>
      <c r="G133" s="25" t="s">
        <v>9</v>
      </c>
      <c r="H133" s="142"/>
    </row>
    <row r="134" spans="1:8" x14ac:dyDescent="0.2">
      <c r="A134" s="25" t="s">
        <v>9</v>
      </c>
      <c r="B134" s="183" t="s">
        <v>921</v>
      </c>
      <c r="C134" s="184">
        <v>14.7752</v>
      </c>
      <c r="D134" s="184">
        <v>14.6661</v>
      </c>
      <c r="E134" s="25" t="s">
        <v>9</v>
      </c>
      <c r="F134" s="73" t="s">
        <v>9</v>
      </c>
      <c r="G134" s="25" t="s">
        <v>9</v>
      </c>
      <c r="H134" s="142"/>
    </row>
    <row r="135" spans="1:8" x14ac:dyDescent="0.2">
      <c r="A135" s="25" t="s">
        <v>9</v>
      </c>
      <c r="B135" s="183" t="s">
        <v>138</v>
      </c>
      <c r="C135" s="184">
        <v>121.65479999999999</v>
      </c>
      <c r="D135" s="184">
        <v>120.6711</v>
      </c>
      <c r="E135" s="25" t="s">
        <v>9</v>
      </c>
      <c r="F135" s="73" t="s">
        <v>9</v>
      </c>
      <c r="G135" s="25" t="s">
        <v>9</v>
      </c>
      <c r="H135" s="142"/>
    </row>
    <row r="136" spans="1:8" x14ac:dyDescent="0.2">
      <c r="A136" s="25" t="s">
        <v>9</v>
      </c>
      <c r="B136" s="183" t="s">
        <v>922</v>
      </c>
      <c r="C136" s="184">
        <v>12.464499999999999</v>
      </c>
      <c r="D136" s="184">
        <v>12.363799999999999</v>
      </c>
      <c r="E136" s="25" t="s">
        <v>9</v>
      </c>
      <c r="F136" s="73" t="s">
        <v>9</v>
      </c>
      <c r="G136" s="25" t="s">
        <v>9</v>
      </c>
      <c r="H136" s="142"/>
    </row>
    <row r="137" spans="1:8" x14ac:dyDescent="0.2">
      <c r="A137" s="25" t="s">
        <v>9</v>
      </c>
      <c r="B137" s="22" t="s">
        <v>9</v>
      </c>
      <c r="C137" s="22" t="s">
        <v>9</v>
      </c>
      <c r="D137" s="22" t="s">
        <v>9</v>
      </c>
      <c r="E137" s="25" t="s">
        <v>9</v>
      </c>
      <c r="F137" s="25" t="s">
        <v>9</v>
      </c>
      <c r="G137" s="25" t="s">
        <v>9</v>
      </c>
      <c r="H137" s="142"/>
    </row>
    <row r="138" spans="1:8" x14ac:dyDescent="0.2">
      <c r="A138" s="25" t="s">
        <v>9</v>
      </c>
      <c r="B138" s="240" t="s">
        <v>1012</v>
      </c>
      <c r="C138" s="241"/>
      <c r="D138" s="177" t="s">
        <v>129</v>
      </c>
      <c r="E138" s="25" t="s">
        <v>9</v>
      </c>
      <c r="F138" s="25" t="s">
        <v>9</v>
      </c>
      <c r="G138" s="25" t="s">
        <v>9</v>
      </c>
      <c r="H138" s="142"/>
    </row>
    <row r="139" spans="1:8" x14ac:dyDescent="0.2">
      <c r="A139" s="25" t="s">
        <v>9</v>
      </c>
      <c r="B139" s="98"/>
      <c r="C139" s="98"/>
      <c r="D139" s="26" t="s">
        <v>9</v>
      </c>
      <c r="E139" s="25" t="s">
        <v>9</v>
      </c>
      <c r="F139" s="25" t="s">
        <v>9</v>
      </c>
      <c r="G139" s="25" t="s">
        <v>9</v>
      </c>
      <c r="H139" s="142"/>
    </row>
    <row r="140" spans="1:8" s="238" customFormat="1" ht="12.75" x14ac:dyDescent="0.2">
      <c r="B140" s="246" t="s">
        <v>923</v>
      </c>
      <c r="C140" s="246"/>
      <c r="D140" s="246"/>
      <c r="E140" s="246"/>
      <c r="F140" s="246"/>
    </row>
    <row r="141" spans="1:8" x14ac:dyDescent="0.2">
      <c r="A141" s="25" t="s">
        <v>9</v>
      </c>
      <c r="B141" s="185" t="s">
        <v>9</v>
      </c>
      <c r="C141" s="185" t="s">
        <v>9</v>
      </c>
      <c r="D141" s="22" t="s">
        <v>9</v>
      </c>
      <c r="E141" s="25" t="s">
        <v>9</v>
      </c>
      <c r="F141" s="25" t="s">
        <v>9</v>
      </c>
      <c r="G141" s="25" t="s">
        <v>9</v>
      </c>
      <c r="H141" s="142"/>
    </row>
    <row r="142" spans="1:8" x14ac:dyDescent="0.2">
      <c r="A142" s="25" t="s">
        <v>9</v>
      </c>
      <c r="B142" s="240" t="s">
        <v>139</v>
      </c>
      <c r="C142" s="241"/>
      <c r="D142" s="177" t="s">
        <v>129</v>
      </c>
      <c r="E142" s="25" t="s">
        <v>9</v>
      </c>
      <c r="F142" s="25" t="s">
        <v>9</v>
      </c>
      <c r="G142" s="25" t="s">
        <v>9</v>
      </c>
      <c r="H142" s="142"/>
    </row>
    <row r="143" spans="1:8" x14ac:dyDescent="0.2">
      <c r="A143" s="25" t="s">
        <v>9</v>
      </c>
      <c r="B143" s="240" t="s">
        <v>140</v>
      </c>
      <c r="C143" s="241"/>
      <c r="D143" s="177" t="s">
        <v>129</v>
      </c>
      <c r="E143" s="25" t="s">
        <v>9</v>
      </c>
      <c r="F143" s="25" t="s">
        <v>9</v>
      </c>
      <c r="G143" s="25" t="s">
        <v>9</v>
      </c>
      <c r="H143" s="142"/>
    </row>
    <row r="144" spans="1:8" x14ac:dyDescent="0.2">
      <c r="A144" s="25" t="s">
        <v>9</v>
      </c>
      <c r="B144" s="240" t="s">
        <v>141</v>
      </c>
      <c r="C144" s="241"/>
      <c r="D144" s="186">
        <v>0.4638212755966804</v>
      </c>
      <c r="E144" s="25" t="s">
        <v>9</v>
      </c>
      <c r="F144" s="73" t="s">
        <v>9</v>
      </c>
      <c r="G144" s="25" t="s">
        <v>9</v>
      </c>
      <c r="H144" s="142"/>
    </row>
    <row r="145" spans="1:8" x14ac:dyDescent="0.2">
      <c r="A145" s="25" t="s">
        <v>9</v>
      </c>
      <c r="B145" s="240" t="s">
        <v>142</v>
      </c>
      <c r="C145" s="241"/>
      <c r="D145" s="177" t="s">
        <v>129</v>
      </c>
      <c r="E145" s="25" t="s">
        <v>9</v>
      </c>
      <c r="F145" s="25" t="s">
        <v>9</v>
      </c>
      <c r="G145" s="25" t="s">
        <v>9</v>
      </c>
      <c r="H145" s="142"/>
    </row>
    <row r="146" spans="1:8" x14ac:dyDescent="0.2">
      <c r="A146" s="142"/>
      <c r="B146" s="142"/>
      <c r="C146" s="142"/>
      <c r="D146" s="142"/>
      <c r="E146" s="142"/>
      <c r="F146" s="142"/>
      <c r="G146" s="142"/>
      <c r="H146" s="142"/>
    </row>
  </sheetData>
  <mergeCells count="15">
    <mergeCell ref="B127:C127"/>
    <mergeCell ref="B124:F124"/>
    <mergeCell ref="B125:F125"/>
    <mergeCell ref="A1:H1"/>
    <mergeCell ref="A2:H2"/>
    <mergeCell ref="A3:H3"/>
    <mergeCell ref="B144:C144"/>
    <mergeCell ref="B145:C145"/>
    <mergeCell ref="B128:C128"/>
    <mergeCell ref="B129:C129"/>
    <mergeCell ref="B130:C130"/>
    <mergeCell ref="B138:C138"/>
    <mergeCell ref="B142:C142"/>
    <mergeCell ref="B143:C143"/>
    <mergeCell ref="B140:F140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>
    <outlinePr summaryBelow="0" summaryRight="0"/>
  </sheetPr>
  <dimension ref="A1:H128"/>
  <sheetViews>
    <sheetView showGridLines="0" zoomScaleNormal="100" workbookViewId="0">
      <selection activeCell="J1" sqref="J1"/>
    </sheetView>
  </sheetViews>
  <sheetFormatPr defaultRowHeight="15" x14ac:dyDescent="0.2"/>
  <cols>
    <col min="1" max="1" width="6.85546875" style="155" customWidth="1"/>
    <col min="2" max="2" width="20.5703125" style="155" customWidth="1"/>
    <col min="3" max="3" width="34.28515625" style="155" customWidth="1"/>
    <col min="4" max="4" width="17.85546875" style="155" customWidth="1"/>
    <col min="5" max="6" width="19.140625" style="155" customWidth="1"/>
    <col min="7" max="7" width="16.42578125" style="155" customWidth="1"/>
    <col min="8" max="16384" width="9.140625" style="155"/>
  </cols>
  <sheetData>
    <row r="1" spans="1:8" x14ac:dyDescent="0.2">
      <c r="A1" s="250" t="s">
        <v>0</v>
      </c>
      <c r="B1" s="250"/>
      <c r="C1" s="250"/>
      <c r="D1" s="250"/>
      <c r="E1" s="250"/>
      <c r="F1" s="250"/>
      <c r="G1" s="250"/>
      <c r="H1" s="250"/>
    </row>
    <row r="2" spans="1:8" x14ac:dyDescent="0.2">
      <c r="A2" s="251" t="s">
        <v>687</v>
      </c>
      <c r="B2" s="252"/>
      <c r="C2" s="252"/>
      <c r="D2" s="252"/>
      <c r="E2" s="252"/>
      <c r="F2" s="252"/>
      <c r="G2" s="252"/>
      <c r="H2" s="253"/>
    </row>
    <row r="3" spans="1:8" x14ac:dyDescent="0.2">
      <c r="A3" s="250" t="s">
        <v>1015</v>
      </c>
      <c r="B3" s="250"/>
      <c r="C3" s="250"/>
      <c r="D3" s="250"/>
      <c r="E3" s="250"/>
      <c r="F3" s="250"/>
      <c r="G3" s="250"/>
      <c r="H3" s="250"/>
    </row>
    <row r="4" spans="1:8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60" t="s">
        <v>6</v>
      </c>
      <c r="F4" s="160" t="s">
        <v>7</v>
      </c>
      <c r="G4" s="160" t="s">
        <v>8</v>
      </c>
      <c r="H4" s="161" t="s">
        <v>909</v>
      </c>
    </row>
    <row r="5" spans="1:8" x14ac:dyDescent="0.2">
      <c r="A5" s="15" t="s">
        <v>9</v>
      </c>
      <c r="B5" s="15" t="s">
        <v>9</v>
      </c>
      <c r="C5" s="3" t="s">
        <v>10</v>
      </c>
      <c r="D5" s="15" t="s">
        <v>9</v>
      </c>
      <c r="E5" s="15" t="s">
        <v>9</v>
      </c>
      <c r="F5" s="15" t="s">
        <v>9</v>
      </c>
      <c r="G5" s="15" t="s">
        <v>9</v>
      </c>
      <c r="H5" s="100"/>
    </row>
    <row r="6" spans="1:8" ht="25.5" x14ac:dyDescent="0.2">
      <c r="A6" s="15" t="s">
        <v>9</v>
      </c>
      <c r="B6" s="15" t="s">
        <v>9</v>
      </c>
      <c r="C6" s="3" t="s">
        <v>11</v>
      </c>
      <c r="D6" s="15" t="s">
        <v>9</v>
      </c>
      <c r="E6" s="15" t="s">
        <v>9</v>
      </c>
      <c r="F6" s="15" t="s">
        <v>9</v>
      </c>
      <c r="G6" s="15" t="s">
        <v>9</v>
      </c>
      <c r="H6" s="100"/>
    </row>
    <row r="7" spans="1:8" x14ac:dyDescent="0.2">
      <c r="A7" s="4">
        <v>1</v>
      </c>
      <c r="B7" s="5" t="s">
        <v>397</v>
      </c>
      <c r="C7" s="5" t="s">
        <v>398</v>
      </c>
      <c r="D7" s="5" t="s">
        <v>22</v>
      </c>
      <c r="E7" s="6">
        <v>67200</v>
      </c>
      <c r="F7" s="7">
        <v>480.4128</v>
      </c>
      <c r="G7" s="8">
        <v>8.4641852670621257E-2</v>
      </c>
      <c r="H7" s="100"/>
    </row>
    <row r="8" spans="1:8" x14ac:dyDescent="0.2">
      <c r="A8" s="4">
        <v>2</v>
      </c>
      <c r="B8" s="5" t="s">
        <v>15</v>
      </c>
      <c r="C8" s="5" t="s">
        <v>16</v>
      </c>
      <c r="D8" s="5" t="s">
        <v>17</v>
      </c>
      <c r="E8" s="6">
        <v>20000</v>
      </c>
      <c r="F8" s="7">
        <v>398.9</v>
      </c>
      <c r="G8" s="8">
        <v>7.0280465113150226E-2</v>
      </c>
      <c r="H8" s="100"/>
    </row>
    <row r="9" spans="1:8" x14ac:dyDescent="0.2">
      <c r="A9" s="4">
        <v>3</v>
      </c>
      <c r="B9" s="5" t="s">
        <v>352</v>
      </c>
      <c r="C9" s="5" t="s">
        <v>353</v>
      </c>
      <c r="D9" s="5" t="s">
        <v>28</v>
      </c>
      <c r="E9" s="6">
        <v>60000</v>
      </c>
      <c r="F9" s="7">
        <v>366.24</v>
      </c>
      <c r="G9" s="8">
        <v>6.4526241020406466E-2</v>
      </c>
      <c r="H9" s="100"/>
    </row>
    <row r="10" spans="1:8" x14ac:dyDescent="0.2">
      <c r="A10" s="4">
        <v>4</v>
      </c>
      <c r="B10" s="5" t="s">
        <v>89</v>
      </c>
      <c r="C10" s="5" t="s">
        <v>90</v>
      </c>
      <c r="D10" s="5" t="s">
        <v>91</v>
      </c>
      <c r="E10" s="6">
        <v>288000</v>
      </c>
      <c r="F10" s="7">
        <v>324.57600000000002</v>
      </c>
      <c r="G10" s="8">
        <v>5.7185641124507018E-2</v>
      </c>
      <c r="H10" s="100"/>
    </row>
    <row r="11" spans="1:8" x14ac:dyDescent="0.2">
      <c r="A11" s="4">
        <v>5</v>
      </c>
      <c r="B11" s="5" t="s">
        <v>334</v>
      </c>
      <c r="C11" s="5" t="s">
        <v>335</v>
      </c>
      <c r="D11" s="5" t="s">
        <v>156</v>
      </c>
      <c r="E11" s="6">
        <v>72000</v>
      </c>
      <c r="F11" s="7">
        <v>292.10399999999998</v>
      </c>
      <c r="G11" s="8">
        <v>5.1464539938359574E-2</v>
      </c>
      <c r="H11" s="100"/>
    </row>
    <row r="12" spans="1:8" x14ac:dyDescent="0.2">
      <c r="A12" s="4">
        <v>6</v>
      </c>
      <c r="B12" s="5" t="s">
        <v>320</v>
      </c>
      <c r="C12" s="5" t="s">
        <v>321</v>
      </c>
      <c r="D12" s="5" t="s">
        <v>47</v>
      </c>
      <c r="E12" s="6">
        <v>65000</v>
      </c>
      <c r="F12" s="7">
        <v>286.97500000000002</v>
      </c>
      <c r="G12" s="8">
        <v>5.0560883619569535E-2</v>
      </c>
      <c r="H12" s="100"/>
    </row>
    <row r="13" spans="1:8" x14ac:dyDescent="0.2">
      <c r="A13" s="4">
        <v>7</v>
      </c>
      <c r="B13" s="5" t="s">
        <v>340</v>
      </c>
      <c r="C13" s="5" t="s">
        <v>341</v>
      </c>
      <c r="D13" s="5" t="s">
        <v>228</v>
      </c>
      <c r="E13" s="6">
        <v>930</v>
      </c>
      <c r="F13" s="7">
        <v>275.84357999999997</v>
      </c>
      <c r="G13" s="8">
        <v>4.8599686891141795E-2</v>
      </c>
      <c r="H13" s="100"/>
    </row>
    <row r="14" spans="1:8" x14ac:dyDescent="0.2">
      <c r="A14" s="4">
        <v>8</v>
      </c>
      <c r="B14" s="5" t="s">
        <v>12</v>
      </c>
      <c r="C14" s="5" t="s">
        <v>13</v>
      </c>
      <c r="D14" s="5" t="s">
        <v>14</v>
      </c>
      <c r="E14" s="6">
        <v>17825</v>
      </c>
      <c r="F14" s="7">
        <v>238.93521250000001</v>
      </c>
      <c r="G14" s="8">
        <v>4.2096961309624939E-2</v>
      </c>
      <c r="H14" s="100"/>
    </row>
    <row r="15" spans="1:8" x14ac:dyDescent="0.2">
      <c r="A15" s="4">
        <v>9</v>
      </c>
      <c r="B15" s="5" t="s">
        <v>399</v>
      </c>
      <c r="C15" s="5" t="s">
        <v>400</v>
      </c>
      <c r="D15" s="5" t="s">
        <v>22</v>
      </c>
      <c r="E15" s="6">
        <v>66000</v>
      </c>
      <c r="F15" s="7">
        <v>233.31</v>
      </c>
      <c r="G15" s="8">
        <v>4.1105879457380499E-2</v>
      </c>
      <c r="H15" s="100"/>
    </row>
    <row r="16" spans="1:8" ht="25.5" x14ac:dyDescent="0.2">
      <c r="A16" s="4">
        <v>10</v>
      </c>
      <c r="B16" s="5" t="s">
        <v>87</v>
      </c>
      <c r="C16" s="5" t="s">
        <v>88</v>
      </c>
      <c r="D16" s="5" t="s">
        <v>63</v>
      </c>
      <c r="E16" s="6">
        <v>30000</v>
      </c>
      <c r="F16" s="7">
        <v>219.01499999999999</v>
      </c>
      <c r="G16" s="8">
        <v>3.8587305256346446E-2</v>
      </c>
      <c r="H16" s="100"/>
    </row>
    <row r="17" spans="1:8" x14ac:dyDescent="0.2">
      <c r="A17" s="4">
        <v>11</v>
      </c>
      <c r="B17" s="5" t="s">
        <v>322</v>
      </c>
      <c r="C17" s="5" t="s">
        <v>323</v>
      </c>
      <c r="D17" s="5" t="s">
        <v>78</v>
      </c>
      <c r="E17" s="6">
        <v>34375</v>
      </c>
      <c r="F17" s="7">
        <v>174.95156249999999</v>
      </c>
      <c r="G17" s="8">
        <v>3.0823958848765032E-2</v>
      </c>
      <c r="H17" s="100"/>
    </row>
    <row r="18" spans="1:8" x14ac:dyDescent="0.2">
      <c r="A18" s="4">
        <v>12</v>
      </c>
      <c r="B18" s="5" t="s">
        <v>297</v>
      </c>
      <c r="C18" s="5" t="s">
        <v>928</v>
      </c>
      <c r="D18" s="5" t="s">
        <v>22</v>
      </c>
      <c r="E18" s="6">
        <v>170000</v>
      </c>
      <c r="F18" s="7">
        <v>136.16999999999999</v>
      </c>
      <c r="G18" s="8">
        <v>2.3991203144792344E-2</v>
      </c>
      <c r="H18" s="100"/>
    </row>
    <row r="19" spans="1:8" x14ac:dyDescent="0.2">
      <c r="A19" s="4">
        <v>13</v>
      </c>
      <c r="B19" s="5" t="s">
        <v>688</v>
      </c>
      <c r="C19" s="5" t="s">
        <v>689</v>
      </c>
      <c r="D19" s="5" t="s">
        <v>22</v>
      </c>
      <c r="E19" s="6">
        <v>75600</v>
      </c>
      <c r="F19" s="7">
        <v>104.895</v>
      </c>
      <c r="G19" s="8">
        <v>1.8480996209686372E-2</v>
      </c>
      <c r="H19" s="100"/>
    </row>
    <row r="20" spans="1:8" x14ac:dyDescent="0.2">
      <c r="A20" s="4">
        <v>14</v>
      </c>
      <c r="B20" s="5" t="s">
        <v>367</v>
      </c>
      <c r="C20" s="5" t="s">
        <v>368</v>
      </c>
      <c r="D20" s="5" t="s">
        <v>22</v>
      </c>
      <c r="E20" s="6">
        <v>140400</v>
      </c>
      <c r="F20" s="7">
        <v>93.716999999999999</v>
      </c>
      <c r="G20" s="8">
        <v>1.6511592752592379E-2</v>
      </c>
      <c r="H20" s="100"/>
    </row>
    <row r="21" spans="1:8" x14ac:dyDescent="0.2">
      <c r="A21" s="4">
        <v>15</v>
      </c>
      <c r="B21" s="5" t="s">
        <v>487</v>
      </c>
      <c r="C21" s="5" t="s">
        <v>488</v>
      </c>
      <c r="D21" s="5" t="s">
        <v>91</v>
      </c>
      <c r="E21" s="6">
        <v>1000</v>
      </c>
      <c r="F21" s="7">
        <v>64.5565</v>
      </c>
      <c r="G21" s="8">
        <v>1.1373930423858317E-2</v>
      </c>
      <c r="H21" s="100"/>
    </row>
    <row r="22" spans="1:8" x14ac:dyDescent="0.2">
      <c r="A22" s="4">
        <v>16</v>
      </c>
      <c r="B22" s="5" t="s">
        <v>417</v>
      </c>
      <c r="C22" s="5" t="s">
        <v>418</v>
      </c>
      <c r="D22" s="5" t="s">
        <v>193</v>
      </c>
      <c r="E22" s="6">
        <v>1400</v>
      </c>
      <c r="F22" s="7">
        <v>56.872900000000001</v>
      </c>
      <c r="G22" s="8">
        <v>1.0020190183839765E-2</v>
      </c>
      <c r="H22" s="100"/>
    </row>
    <row r="23" spans="1:8" x14ac:dyDescent="0.2">
      <c r="A23" s="15" t="s">
        <v>9</v>
      </c>
      <c r="B23" s="15" t="s">
        <v>9</v>
      </c>
      <c r="C23" s="3" t="s">
        <v>94</v>
      </c>
      <c r="D23" s="15" t="s">
        <v>9</v>
      </c>
      <c r="E23" s="15" t="s">
        <v>9</v>
      </c>
      <c r="F23" s="9">
        <v>3747.4745549999998</v>
      </c>
      <c r="G23" s="10">
        <v>0.66025132796464203</v>
      </c>
      <c r="H23" s="100"/>
    </row>
    <row r="24" spans="1:8" x14ac:dyDescent="0.2">
      <c r="A24" s="15" t="s">
        <v>9</v>
      </c>
      <c r="B24" s="15" t="s">
        <v>9</v>
      </c>
      <c r="C24" s="11" t="s">
        <v>9</v>
      </c>
      <c r="D24" s="15" t="s">
        <v>9</v>
      </c>
      <c r="E24" s="15" t="s">
        <v>9</v>
      </c>
      <c r="F24" s="12" t="s">
        <v>9</v>
      </c>
      <c r="G24" s="12" t="s">
        <v>9</v>
      </c>
      <c r="H24" s="100"/>
    </row>
    <row r="25" spans="1:8" x14ac:dyDescent="0.2">
      <c r="A25" s="15" t="s">
        <v>9</v>
      </c>
      <c r="B25" s="15" t="s">
        <v>9</v>
      </c>
      <c r="C25" s="3" t="s">
        <v>95</v>
      </c>
      <c r="D25" s="15" t="s">
        <v>9</v>
      </c>
      <c r="E25" s="15" t="s">
        <v>9</v>
      </c>
      <c r="F25" s="15" t="s">
        <v>9</v>
      </c>
      <c r="G25" s="15" t="s">
        <v>9</v>
      </c>
      <c r="H25" s="100"/>
    </row>
    <row r="26" spans="1:8" x14ac:dyDescent="0.2">
      <c r="A26" s="15" t="s">
        <v>9</v>
      </c>
      <c r="B26" s="15" t="s">
        <v>9</v>
      </c>
      <c r="C26" s="3" t="s">
        <v>94</v>
      </c>
      <c r="D26" s="15" t="s">
        <v>9</v>
      </c>
      <c r="E26" s="15" t="s">
        <v>9</v>
      </c>
      <c r="F26" s="13">
        <v>0</v>
      </c>
      <c r="G26" s="14">
        <v>0</v>
      </c>
      <c r="H26" s="100"/>
    </row>
    <row r="27" spans="1:8" x14ac:dyDescent="0.2">
      <c r="A27" s="15" t="s">
        <v>9</v>
      </c>
      <c r="B27" s="15" t="s">
        <v>9</v>
      </c>
      <c r="C27" s="11" t="s">
        <v>9</v>
      </c>
      <c r="D27" s="15" t="s">
        <v>9</v>
      </c>
      <c r="E27" s="15" t="s">
        <v>9</v>
      </c>
      <c r="F27" s="12" t="s">
        <v>9</v>
      </c>
      <c r="G27" s="12" t="s">
        <v>9</v>
      </c>
      <c r="H27" s="100"/>
    </row>
    <row r="28" spans="1:8" x14ac:dyDescent="0.2">
      <c r="A28" s="15" t="s">
        <v>9</v>
      </c>
      <c r="B28" s="15" t="s">
        <v>9</v>
      </c>
      <c r="C28" s="3" t="s">
        <v>96</v>
      </c>
      <c r="D28" s="15" t="s">
        <v>9</v>
      </c>
      <c r="E28" s="15" t="s">
        <v>9</v>
      </c>
      <c r="F28" s="15" t="s">
        <v>9</v>
      </c>
      <c r="G28" s="15" t="s">
        <v>9</v>
      </c>
      <c r="H28" s="100"/>
    </row>
    <row r="29" spans="1:8" x14ac:dyDescent="0.2">
      <c r="A29" s="15" t="s">
        <v>9</v>
      </c>
      <c r="B29" s="15" t="s">
        <v>9</v>
      </c>
      <c r="C29" s="3" t="s">
        <v>94</v>
      </c>
      <c r="D29" s="15" t="s">
        <v>9</v>
      </c>
      <c r="E29" s="15" t="s">
        <v>9</v>
      </c>
      <c r="F29" s="13">
        <v>0</v>
      </c>
      <c r="G29" s="14">
        <v>0</v>
      </c>
      <c r="H29" s="100"/>
    </row>
    <row r="30" spans="1:8" x14ac:dyDescent="0.2">
      <c r="A30" s="15" t="s">
        <v>9</v>
      </c>
      <c r="B30" s="15" t="s">
        <v>9</v>
      </c>
      <c r="C30" s="11" t="s">
        <v>9</v>
      </c>
      <c r="D30" s="15" t="s">
        <v>9</v>
      </c>
      <c r="E30" s="15" t="s">
        <v>9</v>
      </c>
      <c r="F30" s="12" t="s">
        <v>9</v>
      </c>
      <c r="G30" s="12" t="s">
        <v>9</v>
      </c>
      <c r="H30" s="100"/>
    </row>
    <row r="31" spans="1:8" x14ac:dyDescent="0.2">
      <c r="A31" s="15" t="s">
        <v>9</v>
      </c>
      <c r="B31" s="15" t="s">
        <v>9</v>
      </c>
      <c r="C31" s="3" t="s">
        <v>100</v>
      </c>
      <c r="D31" s="15" t="s">
        <v>9</v>
      </c>
      <c r="E31" s="15" t="s">
        <v>9</v>
      </c>
      <c r="F31" s="15" t="s">
        <v>9</v>
      </c>
      <c r="G31" s="15" t="s">
        <v>9</v>
      </c>
      <c r="H31" s="100"/>
    </row>
    <row r="32" spans="1:8" x14ac:dyDescent="0.2">
      <c r="A32" s="15" t="s">
        <v>9</v>
      </c>
      <c r="B32" s="15" t="s">
        <v>9</v>
      </c>
      <c r="C32" s="3" t="s">
        <v>94</v>
      </c>
      <c r="D32" s="15" t="s">
        <v>9</v>
      </c>
      <c r="E32" s="15" t="s">
        <v>9</v>
      </c>
      <c r="F32" s="13">
        <v>0</v>
      </c>
      <c r="G32" s="14">
        <v>0</v>
      </c>
      <c r="H32" s="100"/>
    </row>
    <row r="33" spans="1:8" x14ac:dyDescent="0.2">
      <c r="A33" s="15" t="s">
        <v>9</v>
      </c>
      <c r="B33" s="15" t="s">
        <v>9</v>
      </c>
      <c r="C33" s="11" t="s">
        <v>9</v>
      </c>
      <c r="D33" s="15" t="s">
        <v>9</v>
      </c>
      <c r="E33" s="15" t="s">
        <v>9</v>
      </c>
      <c r="F33" s="12" t="s">
        <v>9</v>
      </c>
      <c r="G33" s="12" t="s">
        <v>9</v>
      </c>
      <c r="H33" s="100"/>
    </row>
    <row r="34" spans="1:8" x14ac:dyDescent="0.2">
      <c r="A34" s="15" t="s">
        <v>9</v>
      </c>
      <c r="B34" s="15" t="s">
        <v>9</v>
      </c>
      <c r="C34" s="3" t="s">
        <v>101</v>
      </c>
      <c r="D34" s="15" t="s">
        <v>9</v>
      </c>
      <c r="E34" s="15" t="s">
        <v>9</v>
      </c>
      <c r="F34" s="12" t="s">
        <v>9</v>
      </c>
      <c r="G34" s="12" t="s">
        <v>9</v>
      </c>
      <c r="H34" s="100"/>
    </row>
    <row r="35" spans="1:8" x14ac:dyDescent="0.2">
      <c r="A35" s="15" t="s">
        <v>9</v>
      </c>
      <c r="B35" s="15" t="s">
        <v>9</v>
      </c>
      <c r="C35" s="3" t="s">
        <v>94</v>
      </c>
      <c r="D35" s="15" t="s">
        <v>9</v>
      </c>
      <c r="E35" s="15" t="s">
        <v>9</v>
      </c>
      <c r="F35" s="13">
        <v>0</v>
      </c>
      <c r="G35" s="14">
        <v>0</v>
      </c>
      <c r="H35" s="100"/>
    </row>
    <row r="36" spans="1:8" x14ac:dyDescent="0.2">
      <c r="A36" s="15" t="s">
        <v>9</v>
      </c>
      <c r="B36" s="15" t="s">
        <v>9</v>
      </c>
      <c r="C36" s="11" t="s">
        <v>9</v>
      </c>
      <c r="D36" s="15" t="s">
        <v>9</v>
      </c>
      <c r="E36" s="15" t="s">
        <v>9</v>
      </c>
      <c r="F36" s="12" t="s">
        <v>9</v>
      </c>
      <c r="G36" s="12" t="s">
        <v>9</v>
      </c>
      <c r="H36" s="100"/>
    </row>
    <row r="37" spans="1:8" x14ac:dyDescent="0.2">
      <c r="A37" s="15" t="s">
        <v>9</v>
      </c>
      <c r="B37" s="15" t="s">
        <v>9</v>
      </c>
      <c r="C37" s="3" t="s">
        <v>102</v>
      </c>
      <c r="D37" s="15" t="s">
        <v>9</v>
      </c>
      <c r="E37" s="15" t="s">
        <v>9</v>
      </c>
      <c r="F37" s="12" t="s">
        <v>9</v>
      </c>
      <c r="G37" s="12" t="s">
        <v>9</v>
      </c>
      <c r="H37" s="100"/>
    </row>
    <row r="38" spans="1:8" x14ac:dyDescent="0.2">
      <c r="A38" s="4">
        <v>1</v>
      </c>
      <c r="B38" s="5"/>
      <c r="C38" s="5" t="s">
        <v>895</v>
      </c>
      <c r="D38" s="5" t="s">
        <v>103</v>
      </c>
      <c r="E38" s="6">
        <v>-1400</v>
      </c>
      <c r="F38" s="7">
        <v>-57.126300000000001</v>
      </c>
      <c r="G38" s="8">
        <f>+F38/$F$105</f>
        <v>-1.0064835633475442E-2</v>
      </c>
      <c r="H38" s="100"/>
    </row>
    <row r="39" spans="1:8" x14ac:dyDescent="0.2">
      <c r="A39" s="4">
        <v>2</v>
      </c>
      <c r="B39" s="5"/>
      <c r="C39" s="5" t="s">
        <v>896</v>
      </c>
      <c r="D39" s="5" t="s">
        <v>103</v>
      </c>
      <c r="E39" s="6">
        <v>-1000</v>
      </c>
      <c r="F39" s="7">
        <v>-64.869</v>
      </c>
      <c r="G39" s="8">
        <f t="shared" ref="G39:G53" si="0">+F39/$F$105</f>
        <v>-1.1428988446791031E-2</v>
      </c>
      <c r="H39" s="100"/>
    </row>
    <row r="40" spans="1:8" x14ac:dyDescent="0.2">
      <c r="A40" s="4">
        <v>3</v>
      </c>
      <c r="B40" s="5"/>
      <c r="C40" s="5" t="s">
        <v>368</v>
      </c>
      <c r="D40" s="5" t="s">
        <v>103</v>
      </c>
      <c r="E40" s="6">
        <v>-140400</v>
      </c>
      <c r="F40" s="7">
        <v>-94.138199999999998</v>
      </c>
      <c r="G40" s="8">
        <f t="shared" si="0"/>
        <v>-1.6585802158222009E-2</v>
      </c>
      <c r="H40" s="100"/>
    </row>
    <row r="41" spans="1:8" x14ac:dyDescent="0.2">
      <c r="A41" s="4">
        <v>4</v>
      </c>
      <c r="B41" s="5"/>
      <c r="C41" s="5" t="s">
        <v>897</v>
      </c>
      <c r="D41" s="5" t="s">
        <v>103</v>
      </c>
      <c r="E41" s="6">
        <v>-75600</v>
      </c>
      <c r="F41" s="7">
        <v>-105.38639999999999</v>
      </c>
      <c r="G41" s="8">
        <f t="shared" si="0"/>
        <v>-1.8567573849587602E-2</v>
      </c>
      <c r="H41" s="100"/>
    </row>
    <row r="42" spans="1:8" x14ac:dyDescent="0.2">
      <c r="A42" s="4">
        <v>5</v>
      </c>
      <c r="B42" s="5"/>
      <c r="C42" s="5" t="s">
        <v>872</v>
      </c>
      <c r="D42" s="5" t="s">
        <v>103</v>
      </c>
      <c r="E42" s="6">
        <v>-170000</v>
      </c>
      <c r="F42" s="7">
        <v>-136.42500000000001</v>
      </c>
      <c r="G42" s="8">
        <f t="shared" si="0"/>
        <v>-2.4036130491505443E-2</v>
      </c>
      <c r="H42" s="100"/>
    </row>
    <row r="43" spans="1:8" x14ac:dyDescent="0.2">
      <c r="A43" s="4">
        <v>6</v>
      </c>
      <c r="B43" s="5"/>
      <c r="C43" s="5" t="s">
        <v>898</v>
      </c>
      <c r="D43" s="5" t="s">
        <v>103</v>
      </c>
      <c r="E43" s="6">
        <v>-34375</v>
      </c>
      <c r="F43" s="7">
        <v>-175.94843750000001</v>
      </c>
      <c r="G43" s="8">
        <f t="shared" si="0"/>
        <v>-3.0999593941920391E-2</v>
      </c>
      <c r="H43" s="100"/>
    </row>
    <row r="44" spans="1:8" x14ac:dyDescent="0.2">
      <c r="A44" s="4">
        <v>7</v>
      </c>
      <c r="B44" s="5"/>
      <c r="C44" s="5" t="s">
        <v>885</v>
      </c>
      <c r="D44" s="5" t="s">
        <v>103</v>
      </c>
      <c r="E44" s="6">
        <v>-30000</v>
      </c>
      <c r="F44" s="7">
        <v>-220.53</v>
      </c>
      <c r="G44" s="8">
        <f t="shared" si="0"/>
        <v>-3.8854226551524242E-2</v>
      </c>
      <c r="H44" s="100"/>
    </row>
    <row r="45" spans="1:8" x14ac:dyDescent="0.2">
      <c r="A45" s="4">
        <v>8</v>
      </c>
      <c r="B45" s="5"/>
      <c r="C45" s="5" t="s">
        <v>891</v>
      </c>
      <c r="D45" s="5" t="s">
        <v>103</v>
      </c>
      <c r="E45" s="6">
        <v>-66000</v>
      </c>
      <c r="F45" s="7">
        <v>-233.64</v>
      </c>
      <c r="G45" s="8">
        <f t="shared" si="0"/>
        <v>-4.1164020729597441E-2</v>
      </c>
      <c r="H45" s="100"/>
    </row>
    <row r="46" spans="1:8" x14ac:dyDescent="0.2">
      <c r="A46" s="4">
        <v>9</v>
      </c>
      <c r="B46" s="5"/>
      <c r="C46" s="5" t="s">
        <v>888</v>
      </c>
      <c r="D46" s="5" t="s">
        <v>103</v>
      </c>
      <c r="E46" s="6">
        <v>-17825</v>
      </c>
      <c r="F46" s="7">
        <v>-240.45033749999999</v>
      </c>
      <c r="G46" s="8">
        <f t="shared" si="0"/>
        <v>-4.23639046280119E-2</v>
      </c>
      <c r="H46" s="100"/>
    </row>
    <row r="47" spans="1:8" x14ac:dyDescent="0.2">
      <c r="A47" s="4">
        <v>10</v>
      </c>
      <c r="B47" s="5"/>
      <c r="C47" s="5" t="s">
        <v>899</v>
      </c>
      <c r="D47" s="5" t="s">
        <v>103</v>
      </c>
      <c r="E47" s="6">
        <v>-930</v>
      </c>
      <c r="F47" s="7">
        <v>-276.64105499999999</v>
      </c>
      <c r="G47" s="8">
        <f t="shared" si="0"/>
        <v>-4.8740190561024251E-2</v>
      </c>
      <c r="H47" s="100"/>
    </row>
    <row r="48" spans="1:8" x14ac:dyDescent="0.2">
      <c r="A48" s="4">
        <v>11</v>
      </c>
      <c r="B48" s="5"/>
      <c r="C48" s="5" t="s">
        <v>879</v>
      </c>
      <c r="D48" s="5" t="s">
        <v>103</v>
      </c>
      <c r="E48" s="6">
        <v>-65000</v>
      </c>
      <c r="F48" s="7">
        <v>-288.17750000000001</v>
      </c>
      <c r="G48" s="8">
        <f t="shared" si="0"/>
        <v>-5.0772746891814616E-2</v>
      </c>
      <c r="H48" s="100"/>
    </row>
    <row r="49" spans="1:8" x14ac:dyDescent="0.2">
      <c r="A49" s="4">
        <v>12</v>
      </c>
      <c r="B49" s="5"/>
      <c r="C49" s="5" t="s">
        <v>900</v>
      </c>
      <c r="D49" s="5" t="s">
        <v>103</v>
      </c>
      <c r="E49" s="6">
        <v>-72000</v>
      </c>
      <c r="F49" s="7">
        <v>-292.71600000000001</v>
      </c>
      <c r="G49" s="8">
        <f t="shared" si="0"/>
        <v>-5.1572365570471006E-2</v>
      </c>
      <c r="H49" s="100"/>
    </row>
    <row r="50" spans="1:8" x14ac:dyDescent="0.2">
      <c r="A50" s="4">
        <v>13</v>
      </c>
      <c r="B50" s="5"/>
      <c r="C50" s="5" t="s">
        <v>901</v>
      </c>
      <c r="D50" s="5" t="s">
        <v>103</v>
      </c>
      <c r="E50" s="6">
        <v>-288000</v>
      </c>
      <c r="F50" s="7">
        <v>-325.29599999999999</v>
      </c>
      <c r="G50" s="8">
        <f t="shared" si="0"/>
        <v>-5.7312494809343986E-2</v>
      </c>
      <c r="H50" s="100"/>
    </row>
    <row r="51" spans="1:8" x14ac:dyDescent="0.2">
      <c r="A51" s="4">
        <v>14</v>
      </c>
      <c r="B51" s="5"/>
      <c r="C51" s="5" t="s">
        <v>902</v>
      </c>
      <c r="D51" s="5" t="s">
        <v>103</v>
      </c>
      <c r="E51" s="6">
        <v>-60000</v>
      </c>
      <c r="F51" s="7">
        <v>-368.28</v>
      </c>
      <c r="G51" s="8">
        <f t="shared" si="0"/>
        <v>-6.488565979411122E-2</v>
      </c>
      <c r="H51" s="100"/>
    </row>
    <row r="52" spans="1:8" x14ac:dyDescent="0.2">
      <c r="A52" s="4">
        <v>15</v>
      </c>
      <c r="B52" s="5"/>
      <c r="C52" s="5" t="s">
        <v>874</v>
      </c>
      <c r="D52" s="5" t="s">
        <v>103</v>
      </c>
      <c r="E52" s="6">
        <v>-20000</v>
      </c>
      <c r="F52" s="7">
        <v>-401.12</v>
      </c>
      <c r="G52" s="8">
        <f t="shared" si="0"/>
        <v>-7.067159730806423E-2</v>
      </c>
      <c r="H52" s="100"/>
    </row>
    <row r="53" spans="1:8" x14ac:dyDescent="0.2">
      <c r="A53" s="4">
        <v>16</v>
      </c>
      <c r="B53" s="5"/>
      <c r="C53" s="5" t="s">
        <v>870</v>
      </c>
      <c r="D53" s="5" t="s">
        <v>103</v>
      </c>
      <c r="E53" s="6">
        <v>-67200</v>
      </c>
      <c r="F53" s="7">
        <v>-481.79039999999998</v>
      </c>
      <c r="G53" s="8">
        <f t="shared" si="0"/>
        <v>-8.4884566054275995E-2</v>
      </c>
      <c r="H53" s="100"/>
    </row>
    <row r="54" spans="1:8" x14ac:dyDescent="0.2">
      <c r="A54" s="15" t="s">
        <v>9</v>
      </c>
      <c r="B54" s="15" t="s">
        <v>9</v>
      </c>
      <c r="C54" s="3" t="s">
        <v>94</v>
      </c>
      <c r="D54" s="15" t="s">
        <v>9</v>
      </c>
      <c r="E54" s="15" t="s">
        <v>9</v>
      </c>
      <c r="F54" s="9">
        <v>-3762.5346300000001</v>
      </c>
      <c r="G54" s="10">
        <v>-0.66290469741974078</v>
      </c>
      <c r="H54" s="100"/>
    </row>
    <row r="55" spans="1:8" x14ac:dyDescent="0.2">
      <c r="A55" s="15" t="s">
        <v>9</v>
      </c>
      <c r="B55" s="15" t="s">
        <v>9</v>
      </c>
      <c r="C55" s="11" t="s">
        <v>9</v>
      </c>
      <c r="D55" s="15" t="s">
        <v>9</v>
      </c>
      <c r="E55" s="15" t="s">
        <v>9</v>
      </c>
      <c r="F55" s="12" t="s">
        <v>9</v>
      </c>
      <c r="G55" s="12" t="s">
        <v>9</v>
      </c>
      <c r="H55" s="100"/>
    </row>
    <row r="56" spans="1:8" x14ac:dyDescent="0.2">
      <c r="A56" s="15" t="s">
        <v>9</v>
      </c>
      <c r="B56" s="15" t="s">
        <v>9</v>
      </c>
      <c r="C56" s="3" t="s">
        <v>104</v>
      </c>
      <c r="D56" s="15" t="s">
        <v>9</v>
      </c>
      <c r="E56" s="15" t="s">
        <v>9</v>
      </c>
      <c r="F56" s="9">
        <v>3747.4745549999998</v>
      </c>
      <c r="G56" s="10">
        <v>0.660251327</v>
      </c>
      <c r="H56" s="100"/>
    </row>
    <row r="57" spans="1:8" x14ac:dyDescent="0.2">
      <c r="A57" s="15" t="s">
        <v>9</v>
      </c>
      <c r="B57" s="15" t="s">
        <v>9</v>
      </c>
      <c r="C57" s="11" t="s">
        <v>9</v>
      </c>
      <c r="D57" s="15" t="s">
        <v>9</v>
      </c>
      <c r="E57" s="15" t="s">
        <v>9</v>
      </c>
      <c r="F57" s="12" t="s">
        <v>9</v>
      </c>
      <c r="G57" s="12" t="s">
        <v>9</v>
      </c>
      <c r="H57" s="100"/>
    </row>
    <row r="58" spans="1:8" x14ac:dyDescent="0.2">
      <c r="A58" s="15" t="s">
        <v>9</v>
      </c>
      <c r="B58" s="15" t="s">
        <v>9</v>
      </c>
      <c r="C58" s="3" t="s">
        <v>105</v>
      </c>
      <c r="D58" s="15" t="s">
        <v>9</v>
      </c>
      <c r="E58" s="15" t="s">
        <v>9</v>
      </c>
      <c r="F58" s="12" t="s">
        <v>9</v>
      </c>
      <c r="G58" s="12" t="s">
        <v>9</v>
      </c>
      <c r="H58" s="100"/>
    </row>
    <row r="59" spans="1:8" ht="25.5" x14ac:dyDescent="0.2">
      <c r="A59" s="15" t="s">
        <v>9</v>
      </c>
      <c r="B59" s="15" t="s">
        <v>9</v>
      </c>
      <c r="C59" s="3" t="s">
        <v>11</v>
      </c>
      <c r="D59" s="15" t="s">
        <v>9</v>
      </c>
      <c r="E59" s="15" t="s">
        <v>9</v>
      </c>
      <c r="F59" s="12" t="s">
        <v>9</v>
      </c>
      <c r="G59" s="12" t="s">
        <v>9</v>
      </c>
      <c r="H59" s="100"/>
    </row>
    <row r="60" spans="1:8" x14ac:dyDescent="0.2">
      <c r="A60" s="15" t="s">
        <v>9</v>
      </c>
      <c r="B60" s="15" t="s">
        <v>9</v>
      </c>
      <c r="C60" s="3" t="s">
        <v>94</v>
      </c>
      <c r="D60" s="15" t="s">
        <v>9</v>
      </c>
      <c r="E60" s="15" t="s">
        <v>9</v>
      </c>
      <c r="F60" s="13">
        <v>0</v>
      </c>
      <c r="G60" s="14">
        <v>0</v>
      </c>
      <c r="H60" s="100"/>
    </row>
    <row r="61" spans="1:8" x14ac:dyDescent="0.2">
      <c r="A61" s="15" t="s">
        <v>9</v>
      </c>
      <c r="B61" s="15" t="s">
        <v>9</v>
      </c>
      <c r="C61" s="11" t="s">
        <v>9</v>
      </c>
      <c r="D61" s="15" t="s">
        <v>9</v>
      </c>
      <c r="E61" s="15" t="s">
        <v>9</v>
      </c>
      <c r="F61" s="12" t="s">
        <v>9</v>
      </c>
      <c r="G61" s="12" t="s">
        <v>9</v>
      </c>
      <c r="H61" s="100"/>
    </row>
    <row r="62" spans="1:8" x14ac:dyDescent="0.2">
      <c r="A62" s="15" t="s">
        <v>9</v>
      </c>
      <c r="B62" s="15" t="s">
        <v>9</v>
      </c>
      <c r="C62" s="3" t="s">
        <v>106</v>
      </c>
      <c r="D62" s="15" t="s">
        <v>9</v>
      </c>
      <c r="E62" s="15" t="s">
        <v>9</v>
      </c>
      <c r="F62" s="15" t="s">
        <v>9</v>
      </c>
      <c r="G62" s="15" t="s">
        <v>9</v>
      </c>
      <c r="H62" s="100"/>
    </row>
    <row r="63" spans="1:8" x14ac:dyDescent="0.2">
      <c r="A63" s="15" t="s">
        <v>9</v>
      </c>
      <c r="B63" s="15" t="s">
        <v>9</v>
      </c>
      <c r="C63" s="3" t="s">
        <v>94</v>
      </c>
      <c r="D63" s="15" t="s">
        <v>9</v>
      </c>
      <c r="E63" s="15" t="s">
        <v>9</v>
      </c>
      <c r="F63" s="13">
        <v>0</v>
      </c>
      <c r="G63" s="14">
        <v>0</v>
      </c>
      <c r="H63" s="100"/>
    </row>
    <row r="64" spans="1:8" x14ac:dyDescent="0.2">
      <c r="A64" s="15" t="s">
        <v>9</v>
      </c>
      <c r="B64" s="15" t="s">
        <v>9</v>
      </c>
      <c r="C64" s="11" t="s">
        <v>9</v>
      </c>
      <c r="D64" s="15" t="s">
        <v>9</v>
      </c>
      <c r="E64" s="15" t="s">
        <v>9</v>
      </c>
      <c r="F64" s="12" t="s">
        <v>9</v>
      </c>
      <c r="G64" s="12" t="s">
        <v>9</v>
      </c>
      <c r="H64" s="100"/>
    </row>
    <row r="65" spans="1:8" x14ac:dyDescent="0.2">
      <c r="A65" s="15" t="s">
        <v>9</v>
      </c>
      <c r="B65" s="15" t="s">
        <v>9</v>
      </c>
      <c r="C65" s="3" t="s">
        <v>107</v>
      </c>
      <c r="D65" s="15" t="s">
        <v>9</v>
      </c>
      <c r="E65" s="15" t="s">
        <v>9</v>
      </c>
      <c r="F65" s="15" t="s">
        <v>9</v>
      </c>
      <c r="G65" s="15" t="s">
        <v>9</v>
      </c>
      <c r="H65" s="100"/>
    </row>
    <row r="66" spans="1:8" x14ac:dyDescent="0.2">
      <c r="A66" s="15" t="s">
        <v>9</v>
      </c>
      <c r="B66" s="15" t="s">
        <v>9</v>
      </c>
      <c r="C66" s="3" t="s">
        <v>94</v>
      </c>
      <c r="D66" s="15" t="s">
        <v>9</v>
      </c>
      <c r="E66" s="15" t="s">
        <v>9</v>
      </c>
      <c r="F66" s="13">
        <v>0</v>
      </c>
      <c r="G66" s="14">
        <v>0</v>
      </c>
      <c r="H66" s="100"/>
    </row>
    <row r="67" spans="1:8" x14ac:dyDescent="0.2">
      <c r="A67" s="15" t="s">
        <v>9</v>
      </c>
      <c r="B67" s="15" t="s">
        <v>9</v>
      </c>
      <c r="C67" s="11" t="s">
        <v>9</v>
      </c>
      <c r="D67" s="15" t="s">
        <v>9</v>
      </c>
      <c r="E67" s="15" t="s">
        <v>9</v>
      </c>
      <c r="F67" s="12" t="s">
        <v>9</v>
      </c>
      <c r="G67" s="12" t="s">
        <v>9</v>
      </c>
      <c r="H67" s="100"/>
    </row>
    <row r="68" spans="1:8" x14ac:dyDescent="0.2">
      <c r="A68" s="15" t="s">
        <v>9</v>
      </c>
      <c r="B68" s="15" t="s">
        <v>9</v>
      </c>
      <c r="C68" s="3" t="s">
        <v>108</v>
      </c>
      <c r="D68" s="15" t="s">
        <v>9</v>
      </c>
      <c r="E68" s="15" t="s">
        <v>9</v>
      </c>
      <c r="F68" s="12" t="s">
        <v>9</v>
      </c>
      <c r="G68" s="12" t="s">
        <v>9</v>
      </c>
      <c r="H68" s="100"/>
    </row>
    <row r="69" spans="1:8" x14ac:dyDescent="0.2">
      <c r="A69" s="15" t="s">
        <v>9</v>
      </c>
      <c r="B69" s="15" t="s">
        <v>9</v>
      </c>
      <c r="C69" s="3" t="s">
        <v>94</v>
      </c>
      <c r="D69" s="15" t="s">
        <v>9</v>
      </c>
      <c r="E69" s="15" t="s">
        <v>9</v>
      </c>
      <c r="F69" s="13">
        <v>0</v>
      </c>
      <c r="G69" s="14">
        <v>0</v>
      </c>
      <c r="H69" s="100"/>
    </row>
    <row r="70" spans="1:8" x14ac:dyDescent="0.2">
      <c r="A70" s="15" t="s">
        <v>9</v>
      </c>
      <c r="B70" s="15" t="s">
        <v>9</v>
      </c>
      <c r="C70" s="11" t="s">
        <v>9</v>
      </c>
      <c r="D70" s="15" t="s">
        <v>9</v>
      </c>
      <c r="E70" s="15" t="s">
        <v>9</v>
      </c>
      <c r="F70" s="12" t="s">
        <v>9</v>
      </c>
      <c r="G70" s="12" t="s">
        <v>9</v>
      </c>
      <c r="H70" s="100"/>
    </row>
    <row r="71" spans="1:8" x14ac:dyDescent="0.2">
      <c r="A71" s="15" t="s">
        <v>9</v>
      </c>
      <c r="B71" s="15" t="s">
        <v>9</v>
      </c>
      <c r="C71" s="3" t="s">
        <v>109</v>
      </c>
      <c r="D71" s="15" t="s">
        <v>9</v>
      </c>
      <c r="E71" s="15" t="s">
        <v>9</v>
      </c>
      <c r="F71" s="9">
        <v>0</v>
      </c>
      <c r="G71" s="10">
        <v>0</v>
      </c>
      <c r="H71" s="100"/>
    </row>
    <row r="72" spans="1:8" x14ac:dyDescent="0.2">
      <c r="A72" s="15" t="s">
        <v>9</v>
      </c>
      <c r="B72" s="15" t="s">
        <v>9</v>
      </c>
      <c r="C72" s="11" t="s">
        <v>9</v>
      </c>
      <c r="D72" s="15" t="s">
        <v>9</v>
      </c>
      <c r="E72" s="15" t="s">
        <v>9</v>
      </c>
      <c r="F72" s="12" t="s">
        <v>9</v>
      </c>
      <c r="G72" s="12" t="s">
        <v>9</v>
      </c>
      <c r="H72" s="100"/>
    </row>
    <row r="73" spans="1:8" x14ac:dyDescent="0.2">
      <c r="A73" s="15" t="s">
        <v>9</v>
      </c>
      <c r="B73" s="15" t="s">
        <v>9</v>
      </c>
      <c r="C73" s="3" t="s">
        <v>110</v>
      </c>
      <c r="D73" s="15" t="s">
        <v>9</v>
      </c>
      <c r="E73" s="15" t="s">
        <v>9</v>
      </c>
      <c r="F73" s="12" t="s">
        <v>9</v>
      </c>
      <c r="G73" s="12" t="s">
        <v>9</v>
      </c>
      <c r="H73" s="100"/>
    </row>
    <row r="74" spans="1:8" x14ac:dyDescent="0.2">
      <c r="A74" s="15" t="s">
        <v>9</v>
      </c>
      <c r="B74" s="15" t="s">
        <v>9</v>
      </c>
      <c r="C74" s="3" t="s">
        <v>111</v>
      </c>
      <c r="D74" s="15" t="s">
        <v>9</v>
      </c>
      <c r="E74" s="15" t="s">
        <v>9</v>
      </c>
      <c r="F74" s="12" t="s">
        <v>9</v>
      </c>
      <c r="G74" s="12" t="s">
        <v>9</v>
      </c>
      <c r="H74" s="100"/>
    </row>
    <row r="75" spans="1:8" x14ac:dyDescent="0.2">
      <c r="A75" s="15" t="s">
        <v>9</v>
      </c>
      <c r="B75" s="15" t="s">
        <v>9</v>
      </c>
      <c r="C75" s="3" t="s">
        <v>94</v>
      </c>
      <c r="D75" s="15" t="s">
        <v>9</v>
      </c>
      <c r="E75" s="15" t="s">
        <v>9</v>
      </c>
      <c r="F75" s="13">
        <v>0</v>
      </c>
      <c r="G75" s="14">
        <v>0</v>
      </c>
      <c r="H75" s="100"/>
    </row>
    <row r="76" spans="1:8" x14ac:dyDescent="0.2">
      <c r="A76" s="15" t="s">
        <v>9</v>
      </c>
      <c r="B76" s="15" t="s">
        <v>9</v>
      </c>
      <c r="C76" s="11" t="s">
        <v>9</v>
      </c>
      <c r="D76" s="15" t="s">
        <v>9</v>
      </c>
      <c r="E76" s="15" t="s">
        <v>9</v>
      </c>
      <c r="F76" s="12" t="s">
        <v>9</v>
      </c>
      <c r="G76" s="12" t="s">
        <v>9</v>
      </c>
      <c r="H76" s="100"/>
    </row>
    <row r="77" spans="1:8" x14ac:dyDescent="0.2">
      <c r="A77" s="15" t="s">
        <v>9</v>
      </c>
      <c r="B77" s="15" t="s">
        <v>9</v>
      </c>
      <c r="C77" s="3" t="s">
        <v>112</v>
      </c>
      <c r="D77" s="15" t="s">
        <v>9</v>
      </c>
      <c r="E77" s="15" t="s">
        <v>9</v>
      </c>
      <c r="F77" s="12" t="s">
        <v>9</v>
      </c>
      <c r="G77" s="12" t="s">
        <v>9</v>
      </c>
      <c r="H77" s="100"/>
    </row>
    <row r="78" spans="1:8" x14ac:dyDescent="0.2">
      <c r="A78" s="15" t="s">
        <v>9</v>
      </c>
      <c r="B78" s="15" t="s">
        <v>9</v>
      </c>
      <c r="C78" s="3" t="s">
        <v>94</v>
      </c>
      <c r="D78" s="15" t="s">
        <v>9</v>
      </c>
      <c r="E78" s="15" t="s">
        <v>9</v>
      </c>
      <c r="F78" s="13">
        <v>0</v>
      </c>
      <c r="G78" s="14">
        <v>0</v>
      </c>
      <c r="H78" s="100"/>
    </row>
    <row r="79" spans="1:8" x14ac:dyDescent="0.2">
      <c r="A79" s="15" t="s">
        <v>9</v>
      </c>
      <c r="B79" s="15" t="s">
        <v>9</v>
      </c>
      <c r="C79" s="11" t="s">
        <v>9</v>
      </c>
      <c r="D79" s="15" t="s">
        <v>9</v>
      </c>
      <c r="E79" s="15" t="s">
        <v>9</v>
      </c>
      <c r="F79" s="12" t="s">
        <v>9</v>
      </c>
      <c r="G79" s="12" t="s">
        <v>9</v>
      </c>
      <c r="H79" s="100"/>
    </row>
    <row r="80" spans="1:8" x14ac:dyDescent="0.2">
      <c r="A80" s="15" t="s">
        <v>9</v>
      </c>
      <c r="B80" s="15" t="s">
        <v>9</v>
      </c>
      <c r="C80" s="3" t="s">
        <v>113</v>
      </c>
      <c r="D80" s="15" t="s">
        <v>9</v>
      </c>
      <c r="E80" s="15" t="s">
        <v>9</v>
      </c>
      <c r="F80" s="12" t="s">
        <v>9</v>
      </c>
      <c r="G80" s="12" t="s">
        <v>9</v>
      </c>
      <c r="H80" s="100"/>
    </row>
    <row r="81" spans="1:8" x14ac:dyDescent="0.2">
      <c r="A81" s="15" t="s">
        <v>9</v>
      </c>
      <c r="B81" s="15" t="s">
        <v>9</v>
      </c>
      <c r="C81" s="3" t="s">
        <v>94</v>
      </c>
      <c r="D81" s="15" t="s">
        <v>9</v>
      </c>
      <c r="E81" s="15" t="s">
        <v>9</v>
      </c>
      <c r="F81" s="13">
        <v>0</v>
      </c>
      <c r="G81" s="14">
        <v>0</v>
      </c>
      <c r="H81" s="100"/>
    </row>
    <row r="82" spans="1:8" x14ac:dyDescent="0.2">
      <c r="A82" s="15" t="s">
        <v>9</v>
      </c>
      <c r="B82" s="15" t="s">
        <v>9</v>
      </c>
      <c r="C82" s="11" t="s">
        <v>9</v>
      </c>
      <c r="D82" s="15" t="s">
        <v>9</v>
      </c>
      <c r="E82" s="15" t="s">
        <v>9</v>
      </c>
      <c r="F82" s="12" t="s">
        <v>9</v>
      </c>
      <c r="G82" s="12" t="s">
        <v>9</v>
      </c>
      <c r="H82" s="100"/>
    </row>
    <row r="83" spans="1:8" x14ac:dyDescent="0.2">
      <c r="A83" s="15" t="s">
        <v>9</v>
      </c>
      <c r="B83" s="15" t="s">
        <v>9</v>
      </c>
      <c r="C83" s="3" t="s">
        <v>114</v>
      </c>
      <c r="D83" s="15" t="s">
        <v>9</v>
      </c>
      <c r="E83" s="15" t="s">
        <v>9</v>
      </c>
      <c r="F83" s="12" t="s">
        <v>9</v>
      </c>
      <c r="G83" s="12" t="s">
        <v>9</v>
      </c>
      <c r="H83" s="100"/>
    </row>
    <row r="84" spans="1:8" x14ac:dyDescent="0.2">
      <c r="A84" s="4">
        <v>1</v>
      </c>
      <c r="B84" s="5"/>
      <c r="C84" s="5" t="s">
        <v>115</v>
      </c>
      <c r="D84" s="5"/>
      <c r="E84" s="15" t="s">
        <v>9</v>
      </c>
      <c r="F84" s="7">
        <v>600.85851430000002</v>
      </c>
      <c r="G84" s="8">
        <v>0.10586266195086595</v>
      </c>
      <c r="H84" s="99">
        <v>3.2516689338443991</v>
      </c>
    </row>
    <row r="85" spans="1:8" x14ac:dyDescent="0.2">
      <c r="A85" s="4">
        <v>2</v>
      </c>
      <c r="B85" s="5"/>
      <c r="C85" s="5" t="s">
        <v>116</v>
      </c>
      <c r="D85" s="5"/>
      <c r="E85" s="15" t="s">
        <v>9</v>
      </c>
      <c r="F85" s="7">
        <v>82.323096199999995</v>
      </c>
      <c r="G85" s="8">
        <v>1.4504150139109075E-2</v>
      </c>
      <c r="H85" s="100">
        <v>3.350000000000001</v>
      </c>
    </row>
    <row r="86" spans="1:8" x14ac:dyDescent="0.2">
      <c r="A86" s="15" t="s">
        <v>9</v>
      </c>
      <c r="B86" s="15" t="s">
        <v>9</v>
      </c>
      <c r="C86" s="3" t="s">
        <v>94</v>
      </c>
      <c r="D86" s="15" t="s">
        <v>9</v>
      </c>
      <c r="E86" s="15" t="s">
        <v>9</v>
      </c>
      <c r="F86" s="9">
        <v>683.18161050000003</v>
      </c>
      <c r="G86" s="10">
        <v>0.12036681208997503</v>
      </c>
      <c r="H86" s="100"/>
    </row>
    <row r="87" spans="1:8" x14ac:dyDescent="0.2">
      <c r="A87" s="15" t="s">
        <v>9</v>
      </c>
      <c r="B87" s="15" t="s">
        <v>9</v>
      </c>
      <c r="C87" s="11" t="s">
        <v>9</v>
      </c>
      <c r="D87" s="15" t="s">
        <v>9</v>
      </c>
      <c r="E87" s="15" t="s">
        <v>9</v>
      </c>
      <c r="F87" s="12" t="s">
        <v>9</v>
      </c>
      <c r="G87" s="12" t="s">
        <v>9</v>
      </c>
      <c r="H87" s="100"/>
    </row>
    <row r="88" spans="1:8" x14ac:dyDescent="0.2">
      <c r="A88" s="15" t="s">
        <v>9</v>
      </c>
      <c r="B88" s="15" t="s">
        <v>9</v>
      </c>
      <c r="C88" s="3" t="s">
        <v>117</v>
      </c>
      <c r="D88" s="15" t="s">
        <v>9</v>
      </c>
      <c r="E88" s="15" t="s">
        <v>9</v>
      </c>
      <c r="F88" s="9">
        <v>683.18161050000003</v>
      </c>
      <c r="G88" s="10">
        <v>0.12036681208997503</v>
      </c>
      <c r="H88" s="100"/>
    </row>
    <row r="89" spans="1:8" x14ac:dyDescent="0.2">
      <c r="A89" s="15" t="s">
        <v>9</v>
      </c>
      <c r="B89" s="15" t="s">
        <v>9</v>
      </c>
      <c r="C89" s="12" t="s">
        <v>9</v>
      </c>
      <c r="D89" s="15" t="s">
        <v>9</v>
      </c>
      <c r="E89" s="15" t="s">
        <v>9</v>
      </c>
      <c r="F89" s="15" t="s">
        <v>9</v>
      </c>
      <c r="G89" s="15" t="s">
        <v>9</v>
      </c>
      <c r="H89" s="100"/>
    </row>
    <row r="90" spans="1:8" x14ac:dyDescent="0.2">
      <c r="A90" s="15" t="s">
        <v>9</v>
      </c>
      <c r="B90" s="15" t="s">
        <v>9</v>
      </c>
      <c r="C90" s="3" t="s">
        <v>118</v>
      </c>
      <c r="D90" s="15" t="s">
        <v>9</v>
      </c>
      <c r="E90" s="15" t="s">
        <v>9</v>
      </c>
      <c r="F90" s="15" t="s">
        <v>9</v>
      </c>
      <c r="G90" s="15" t="s">
        <v>9</v>
      </c>
      <c r="H90" s="100"/>
    </row>
    <row r="91" spans="1:8" x14ac:dyDescent="0.2">
      <c r="A91" s="15" t="s">
        <v>9</v>
      </c>
      <c r="B91" s="15" t="s">
        <v>9</v>
      </c>
      <c r="C91" s="3" t="s">
        <v>119</v>
      </c>
      <c r="D91" s="15" t="s">
        <v>9</v>
      </c>
      <c r="E91" s="15" t="s">
        <v>9</v>
      </c>
      <c r="F91" s="15" t="s">
        <v>9</v>
      </c>
      <c r="G91" s="15" t="s">
        <v>9</v>
      </c>
      <c r="H91" s="100"/>
    </row>
    <row r="92" spans="1:8" ht="25.5" x14ac:dyDescent="0.2">
      <c r="A92" s="4">
        <v>1</v>
      </c>
      <c r="B92" s="5" t="s">
        <v>690</v>
      </c>
      <c r="C92" s="5" t="s">
        <v>974</v>
      </c>
      <c r="D92" s="5"/>
      <c r="E92" s="6">
        <v>464328.50199999998</v>
      </c>
      <c r="F92" s="7">
        <v>202.03722480499999</v>
      </c>
      <c r="G92" s="8">
        <v>3.5596064501041594E-2</v>
      </c>
      <c r="H92" s="100"/>
    </row>
    <row r="93" spans="1:8" x14ac:dyDescent="0.2">
      <c r="A93" s="15" t="s">
        <v>9</v>
      </c>
      <c r="B93" s="15" t="s">
        <v>9</v>
      </c>
      <c r="C93" s="3" t="s">
        <v>94</v>
      </c>
      <c r="D93" s="15" t="s">
        <v>9</v>
      </c>
      <c r="E93" s="15" t="s">
        <v>9</v>
      </c>
      <c r="F93" s="9">
        <v>202.03722480499999</v>
      </c>
      <c r="G93" s="10">
        <v>3.5596064501041594E-2</v>
      </c>
      <c r="H93" s="100"/>
    </row>
    <row r="94" spans="1:8" x14ac:dyDescent="0.2">
      <c r="A94" s="15" t="s">
        <v>9</v>
      </c>
      <c r="B94" s="15" t="s">
        <v>9</v>
      </c>
      <c r="C94" s="11" t="s">
        <v>9</v>
      </c>
      <c r="D94" s="15" t="s">
        <v>9</v>
      </c>
      <c r="E94" s="15" t="s">
        <v>9</v>
      </c>
      <c r="F94" s="12" t="s">
        <v>9</v>
      </c>
      <c r="G94" s="12" t="s">
        <v>9</v>
      </c>
      <c r="H94" s="100"/>
    </row>
    <row r="95" spans="1:8" x14ac:dyDescent="0.2">
      <c r="A95" s="15" t="s">
        <v>9</v>
      </c>
      <c r="B95" s="15" t="s">
        <v>9</v>
      </c>
      <c r="C95" s="3" t="s">
        <v>120</v>
      </c>
      <c r="D95" s="15" t="s">
        <v>9</v>
      </c>
      <c r="E95" s="15" t="s">
        <v>9</v>
      </c>
      <c r="F95" s="15" t="s">
        <v>9</v>
      </c>
      <c r="G95" s="15" t="s">
        <v>9</v>
      </c>
      <c r="H95" s="100"/>
    </row>
    <row r="96" spans="1:8" x14ac:dyDescent="0.2">
      <c r="A96" s="15" t="s">
        <v>9</v>
      </c>
      <c r="B96" s="15" t="s">
        <v>9</v>
      </c>
      <c r="C96" s="3" t="s">
        <v>121</v>
      </c>
      <c r="D96" s="15" t="s">
        <v>9</v>
      </c>
      <c r="E96" s="15" t="s">
        <v>9</v>
      </c>
      <c r="F96" s="15" t="s">
        <v>9</v>
      </c>
      <c r="G96" s="15" t="s">
        <v>9</v>
      </c>
      <c r="H96" s="100"/>
    </row>
    <row r="97" spans="1:8" x14ac:dyDescent="0.2">
      <c r="A97" s="15" t="s">
        <v>9</v>
      </c>
      <c r="B97" s="15" t="s">
        <v>9</v>
      </c>
      <c r="C97" s="3" t="s">
        <v>94</v>
      </c>
      <c r="D97" s="15" t="s">
        <v>9</v>
      </c>
      <c r="E97" s="15" t="s">
        <v>9</v>
      </c>
      <c r="F97" s="13">
        <v>0</v>
      </c>
      <c r="G97" s="14">
        <v>0</v>
      </c>
      <c r="H97" s="100"/>
    </row>
    <row r="98" spans="1:8" x14ac:dyDescent="0.2">
      <c r="A98" s="15" t="s">
        <v>9</v>
      </c>
      <c r="B98" s="15" t="s">
        <v>9</v>
      </c>
      <c r="C98" s="11" t="s">
        <v>9</v>
      </c>
      <c r="D98" s="15" t="s">
        <v>9</v>
      </c>
      <c r="E98" s="15" t="s">
        <v>9</v>
      </c>
      <c r="F98" s="12" t="s">
        <v>9</v>
      </c>
      <c r="G98" s="12" t="s">
        <v>9</v>
      </c>
      <c r="H98" s="100"/>
    </row>
    <row r="99" spans="1:8" x14ac:dyDescent="0.2">
      <c r="A99" s="15" t="s">
        <v>9</v>
      </c>
      <c r="B99" s="15" t="s">
        <v>9</v>
      </c>
      <c r="C99" s="11" t="s">
        <v>9</v>
      </c>
      <c r="D99" s="15" t="s">
        <v>9</v>
      </c>
      <c r="E99" s="15" t="s">
        <v>9</v>
      </c>
      <c r="F99" s="12" t="s">
        <v>9</v>
      </c>
      <c r="G99" s="12" t="s">
        <v>9</v>
      </c>
      <c r="H99" s="100"/>
    </row>
    <row r="100" spans="1:8" ht="25.5" x14ac:dyDescent="0.2">
      <c r="A100" s="15" t="s">
        <v>9</v>
      </c>
      <c r="B100" s="15" t="s">
        <v>9</v>
      </c>
      <c r="C100" s="3" t="s">
        <v>122</v>
      </c>
      <c r="D100" s="15" t="s">
        <v>9</v>
      </c>
      <c r="E100" s="15" t="s">
        <v>9</v>
      </c>
      <c r="F100" s="12" t="s">
        <v>9</v>
      </c>
      <c r="G100" s="12" t="s">
        <v>9</v>
      </c>
      <c r="H100" s="100"/>
    </row>
    <row r="101" spans="1:8" x14ac:dyDescent="0.2">
      <c r="A101" s="15" t="s">
        <v>9</v>
      </c>
      <c r="B101" s="15" t="s">
        <v>9</v>
      </c>
      <c r="C101" s="3" t="s">
        <v>94</v>
      </c>
      <c r="D101" s="15" t="s">
        <v>9</v>
      </c>
      <c r="E101" s="15" t="s">
        <v>9</v>
      </c>
      <c r="F101" s="13">
        <v>0</v>
      </c>
      <c r="G101" s="14">
        <v>0</v>
      </c>
      <c r="H101" s="100"/>
    </row>
    <row r="102" spans="1:8" x14ac:dyDescent="0.2">
      <c r="A102" s="15" t="s">
        <v>9</v>
      </c>
      <c r="B102" s="15" t="s">
        <v>9</v>
      </c>
      <c r="C102" s="11" t="s">
        <v>9</v>
      </c>
      <c r="D102" s="15" t="s">
        <v>9</v>
      </c>
      <c r="E102" s="15" t="s">
        <v>9</v>
      </c>
      <c r="F102" s="12" t="s">
        <v>9</v>
      </c>
      <c r="G102" s="12" t="s">
        <v>9</v>
      </c>
      <c r="H102" s="100"/>
    </row>
    <row r="103" spans="1:8" x14ac:dyDescent="0.2">
      <c r="A103" s="15" t="s">
        <v>9</v>
      </c>
      <c r="B103" s="5" t="s">
        <v>9</v>
      </c>
      <c r="C103" s="5" t="s">
        <v>123</v>
      </c>
      <c r="D103" s="5" t="s">
        <v>9</v>
      </c>
      <c r="E103" s="15" t="s">
        <v>9</v>
      </c>
      <c r="F103" s="7">
        <v>1360.7458982000001</v>
      </c>
      <c r="G103" s="8">
        <v>0.23974393237981292</v>
      </c>
      <c r="H103" s="100"/>
    </row>
    <row r="104" spans="1:8" x14ac:dyDescent="0.2">
      <c r="A104" s="15" t="s">
        <v>9</v>
      </c>
      <c r="B104" s="5" t="s">
        <v>9</v>
      </c>
      <c r="C104" s="5" t="s">
        <v>124</v>
      </c>
      <c r="D104" s="5" t="s">
        <v>9</v>
      </c>
      <c r="E104" s="15" t="s">
        <v>9</v>
      </c>
      <c r="F104" s="7">
        <v>-317.60889441499944</v>
      </c>
      <c r="G104" s="8">
        <v>-5.5958136935471504E-2</v>
      </c>
      <c r="H104" s="100"/>
    </row>
    <row r="105" spans="1:8" x14ac:dyDescent="0.2">
      <c r="A105" s="11" t="s">
        <v>9</v>
      </c>
      <c r="B105" s="11" t="s">
        <v>9</v>
      </c>
      <c r="C105" s="3" t="s">
        <v>125</v>
      </c>
      <c r="D105" s="16" t="s">
        <v>9</v>
      </c>
      <c r="E105" s="16" t="s">
        <v>9</v>
      </c>
      <c r="F105" s="9">
        <v>5675.8303940900005</v>
      </c>
      <c r="G105" s="10">
        <v>1</v>
      </c>
      <c r="H105" s="100"/>
    </row>
    <row r="106" spans="1:8" x14ac:dyDescent="0.2">
      <c r="A106" s="17" t="s">
        <v>9</v>
      </c>
      <c r="B106" s="17" t="s">
        <v>9</v>
      </c>
      <c r="C106" s="17" t="s">
        <v>9</v>
      </c>
      <c r="D106" s="18" t="s">
        <v>9</v>
      </c>
      <c r="E106" s="18" t="s">
        <v>9</v>
      </c>
      <c r="F106" s="18" t="s">
        <v>9</v>
      </c>
      <c r="G106" s="18" t="s">
        <v>9</v>
      </c>
      <c r="H106" s="142"/>
    </row>
    <row r="107" spans="1:8" x14ac:dyDescent="0.2">
      <c r="A107" s="86" t="s">
        <v>9</v>
      </c>
      <c r="B107" s="259" t="s">
        <v>975</v>
      </c>
      <c r="C107" s="259"/>
      <c r="D107" s="259"/>
      <c r="E107" s="259"/>
      <c r="F107" s="259"/>
      <c r="G107" s="87" t="s">
        <v>9</v>
      </c>
      <c r="H107" s="142"/>
    </row>
    <row r="108" spans="1:8" x14ac:dyDescent="0.2">
      <c r="A108" s="19" t="s">
        <v>9</v>
      </c>
      <c r="B108" s="254" t="s">
        <v>9</v>
      </c>
      <c r="C108" s="254"/>
      <c r="D108" s="254"/>
      <c r="E108" s="254"/>
      <c r="F108" s="254"/>
      <c r="G108" s="20" t="s">
        <v>9</v>
      </c>
      <c r="H108" s="142"/>
    </row>
    <row r="109" spans="1:8" x14ac:dyDescent="0.2">
      <c r="A109" s="19" t="s">
        <v>9</v>
      </c>
      <c r="B109" s="19" t="s">
        <v>9</v>
      </c>
      <c r="C109" s="19" t="s">
        <v>9</v>
      </c>
      <c r="D109" s="20" t="s">
        <v>9</v>
      </c>
      <c r="E109" s="20" t="s">
        <v>9</v>
      </c>
      <c r="F109" s="20" t="s">
        <v>9</v>
      </c>
      <c r="G109" s="20" t="s">
        <v>9</v>
      </c>
      <c r="H109" s="142"/>
    </row>
    <row r="110" spans="1:8" x14ac:dyDescent="0.2">
      <c r="A110" s="19" t="s">
        <v>9</v>
      </c>
      <c r="B110" s="247" t="s">
        <v>127</v>
      </c>
      <c r="C110" s="248"/>
      <c r="D110" s="182" t="s">
        <v>9</v>
      </c>
      <c r="E110" s="21" t="s">
        <v>9</v>
      </c>
      <c r="F110" s="20" t="s">
        <v>9</v>
      </c>
      <c r="G110" s="20" t="s">
        <v>9</v>
      </c>
      <c r="H110" s="142"/>
    </row>
    <row r="111" spans="1:8" ht="28.5" customHeight="1" x14ac:dyDescent="0.2">
      <c r="A111" s="19" t="s">
        <v>9</v>
      </c>
      <c r="B111" s="242" t="s">
        <v>128</v>
      </c>
      <c r="C111" s="243"/>
      <c r="D111" s="3" t="s">
        <v>129</v>
      </c>
      <c r="E111" s="21" t="s">
        <v>9</v>
      </c>
      <c r="F111" s="20" t="s">
        <v>9</v>
      </c>
      <c r="G111" s="20" t="s">
        <v>9</v>
      </c>
      <c r="H111" s="142"/>
    </row>
    <row r="112" spans="1:8" x14ac:dyDescent="0.2">
      <c r="A112" s="19" t="s">
        <v>9</v>
      </c>
      <c r="B112" s="240" t="s">
        <v>130</v>
      </c>
      <c r="C112" s="241"/>
      <c r="D112" s="177" t="s">
        <v>129</v>
      </c>
      <c r="E112" s="21" t="s">
        <v>9</v>
      </c>
      <c r="F112" s="20" t="s">
        <v>9</v>
      </c>
      <c r="G112" s="20" t="s">
        <v>9</v>
      </c>
      <c r="H112" s="142"/>
    </row>
    <row r="113" spans="1:8" x14ac:dyDescent="0.2">
      <c r="A113" s="19" t="s">
        <v>9</v>
      </c>
      <c r="B113" s="240" t="s">
        <v>131</v>
      </c>
      <c r="C113" s="241"/>
      <c r="D113" s="182" t="s">
        <v>9</v>
      </c>
      <c r="E113" s="21" t="s">
        <v>9</v>
      </c>
      <c r="F113" s="20" t="s">
        <v>9</v>
      </c>
      <c r="G113" s="20" t="s">
        <v>9</v>
      </c>
      <c r="H113" s="142"/>
    </row>
    <row r="114" spans="1:8" ht="25.5" x14ac:dyDescent="0.2">
      <c r="A114" s="25" t="s">
        <v>9</v>
      </c>
      <c r="B114" s="23" t="s">
        <v>9</v>
      </c>
      <c r="C114" s="23" t="s">
        <v>132</v>
      </c>
      <c r="D114" s="23" t="s">
        <v>133</v>
      </c>
      <c r="E114" s="25" t="s">
        <v>9</v>
      </c>
      <c r="F114" s="25" t="s">
        <v>9</v>
      </c>
      <c r="G114" s="25" t="s">
        <v>9</v>
      </c>
      <c r="H114" s="142"/>
    </row>
    <row r="115" spans="1:8" x14ac:dyDescent="0.2">
      <c r="A115" s="25" t="s">
        <v>9</v>
      </c>
      <c r="B115" s="23" t="s">
        <v>134</v>
      </c>
      <c r="C115" s="23" t="s">
        <v>135</v>
      </c>
      <c r="D115" s="23" t="s">
        <v>136</v>
      </c>
      <c r="E115" s="25" t="s">
        <v>9</v>
      </c>
      <c r="F115" s="25" t="s">
        <v>9</v>
      </c>
      <c r="G115" s="25" t="s">
        <v>9</v>
      </c>
      <c r="H115" s="142"/>
    </row>
    <row r="116" spans="1:8" x14ac:dyDescent="0.2">
      <c r="A116" s="25" t="s">
        <v>9</v>
      </c>
      <c r="B116" s="183" t="s">
        <v>137</v>
      </c>
      <c r="C116" s="184">
        <v>10.485799999999999</v>
      </c>
      <c r="D116" s="184">
        <v>10.555899999999999</v>
      </c>
      <c r="E116" s="25" t="s">
        <v>9</v>
      </c>
      <c r="F116" s="73" t="s">
        <v>9</v>
      </c>
      <c r="G116" s="25" t="s">
        <v>9</v>
      </c>
      <c r="H116" s="142"/>
    </row>
    <row r="117" spans="1:8" x14ac:dyDescent="0.2">
      <c r="A117" s="25" t="s">
        <v>9</v>
      </c>
      <c r="B117" s="183" t="s">
        <v>921</v>
      </c>
      <c r="C117" s="184">
        <v>10.483499999999999</v>
      </c>
      <c r="D117" s="184">
        <v>10.553100000000001</v>
      </c>
      <c r="E117" s="25" t="s">
        <v>9</v>
      </c>
      <c r="F117" s="73" t="s">
        <v>9</v>
      </c>
      <c r="G117" s="25" t="s">
        <v>9</v>
      </c>
      <c r="H117" s="142"/>
    </row>
    <row r="118" spans="1:8" x14ac:dyDescent="0.2">
      <c r="A118" s="25" t="s">
        <v>9</v>
      </c>
      <c r="B118" s="183" t="s">
        <v>138</v>
      </c>
      <c r="C118" s="184">
        <v>10.4033</v>
      </c>
      <c r="D118" s="184">
        <v>10.4666</v>
      </c>
      <c r="E118" s="25" t="s">
        <v>9</v>
      </c>
      <c r="F118" s="73" t="s">
        <v>9</v>
      </c>
      <c r="G118" s="25" t="s">
        <v>9</v>
      </c>
      <c r="H118" s="142"/>
    </row>
    <row r="119" spans="1:8" x14ac:dyDescent="0.2">
      <c r="A119" s="25" t="s">
        <v>9</v>
      </c>
      <c r="B119" s="183" t="s">
        <v>922</v>
      </c>
      <c r="C119" s="184">
        <v>10.4034</v>
      </c>
      <c r="D119" s="184">
        <v>10.466699999999999</v>
      </c>
      <c r="E119" s="25" t="s">
        <v>9</v>
      </c>
      <c r="F119" s="73" t="s">
        <v>9</v>
      </c>
      <c r="G119" s="25" t="s">
        <v>9</v>
      </c>
      <c r="H119" s="142"/>
    </row>
    <row r="120" spans="1:8" x14ac:dyDescent="0.2">
      <c r="A120" s="25" t="s">
        <v>9</v>
      </c>
      <c r="B120" s="22" t="s">
        <v>9</v>
      </c>
      <c r="C120" s="22" t="s">
        <v>9</v>
      </c>
      <c r="D120" s="22" t="s">
        <v>9</v>
      </c>
      <c r="E120" s="25" t="s">
        <v>9</v>
      </c>
      <c r="F120" s="25" t="s">
        <v>9</v>
      </c>
      <c r="G120" s="25" t="s">
        <v>9</v>
      </c>
      <c r="H120" s="142"/>
    </row>
    <row r="121" spans="1:8" x14ac:dyDescent="0.2">
      <c r="A121" s="25" t="s">
        <v>9</v>
      </c>
      <c r="B121" s="240" t="s">
        <v>1012</v>
      </c>
      <c r="C121" s="241"/>
      <c r="D121" s="177" t="s">
        <v>129</v>
      </c>
      <c r="E121" s="25" t="s">
        <v>9</v>
      </c>
      <c r="F121" s="25" t="s">
        <v>9</v>
      </c>
      <c r="G121" s="25" t="s">
        <v>9</v>
      </c>
      <c r="H121" s="142"/>
    </row>
    <row r="122" spans="1:8" x14ac:dyDescent="0.2">
      <c r="A122" s="25" t="s">
        <v>9</v>
      </c>
      <c r="B122" s="98"/>
      <c r="C122" s="98"/>
      <c r="D122" s="26" t="s">
        <v>9</v>
      </c>
      <c r="E122" s="25" t="s">
        <v>9</v>
      </c>
      <c r="F122" s="25" t="s">
        <v>9</v>
      </c>
      <c r="G122" s="25" t="s">
        <v>9</v>
      </c>
      <c r="H122" s="142"/>
    </row>
    <row r="123" spans="1:8" s="238" customFormat="1" ht="12.75" x14ac:dyDescent="0.2">
      <c r="B123" s="246" t="s">
        <v>923</v>
      </c>
      <c r="C123" s="246"/>
      <c r="D123" s="246"/>
      <c r="E123" s="246"/>
      <c r="F123" s="246"/>
    </row>
    <row r="124" spans="1:8" x14ac:dyDescent="0.2">
      <c r="A124" s="25" t="s">
        <v>9</v>
      </c>
      <c r="B124" s="185" t="s">
        <v>9</v>
      </c>
      <c r="C124" s="185" t="s">
        <v>9</v>
      </c>
      <c r="D124" s="22" t="s">
        <v>9</v>
      </c>
      <c r="E124" s="25" t="s">
        <v>9</v>
      </c>
      <c r="F124" s="25" t="s">
        <v>9</v>
      </c>
      <c r="G124" s="25" t="s">
        <v>9</v>
      </c>
      <c r="H124" s="142"/>
    </row>
    <row r="125" spans="1:8" x14ac:dyDescent="0.2">
      <c r="A125" s="25" t="s">
        <v>9</v>
      </c>
      <c r="B125" s="240" t="s">
        <v>139</v>
      </c>
      <c r="C125" s="241"/>
      <c r="D125" s="177" t="s">
        <v>990</v>
      </c>
      <c r="E125" s="25" t="s">
        <v>9</v>
      </c>
      <c r="F125" s="25" t="s">
        <v>9</v>
      </c>
      <c r="G125" s="25" t="s">
        <v>9</v>
      </c>
      <c r="H125" s="142"/>
    </row>
    <row r="126" spans="1:8" x14ac:dyDescent="0.2">
      <c r="A126" s="25" t="s">
        <v>9</v>
      </c>
      <c r="B126" s="240" t="s">
        <v>140</v>
      </c>
      <c r="C126" s="241"/>
      <c r="D126" s="177" t="s">
        <v>129</v>
      </c>
      <c r="E126" s="25" t="s">
        <v>9</v>
      </c>
      <c r="F126" s="25" t="s">
        <v>9</v>
      </c>
      <c r="G126" s="25" t="s">
        <v>9</v>
      </c>
      <c r="H126" s="142"/>
    </row>
    <row r="127" spans="1:8" x14ac:dyDescent="0.2">
      <c r="A127" s="25" t="s">
        <v>9</v>
      </c>
      <c r="B127" s="240" t="s">
        <v>141</v>
      </c>
      <c r="C127" s="241"/>
      <c r="D127" s="186">
        <v>13.67836260403244</v>
      </c>
      <c r="E127" s="25" t="s">
        <v>9</v>
      </c>
      <c r="F127" s="73" t="s">
        <v>9</v>
      </c>
      <c r="G127" s="25" t="s">
        <v>9</v>
      </c>
      <c r="H127" s="142"/>
    </row>
    <row r="128" spans="1:8" x14ac:dyDescent="0.2">
      <c r="A128" s="25" t="s">
        <v>9</v>
      </c>
      <c r="B128" s="240" t="s">
        <v>142</v>
      </c>
      <c r="C128" s="241"/>
      <c r="D128" s="177" t="s">
        <v>129</v>
      </c>
      <c r="E128" s="25" t="s">
        <v>9</v>
      </c>
      <c r="F128" s="25" t="s">
        <v>9</v>
      </c>
      <c r="G128" s="25" t="s">
        <v>9</v>
      </c>
      <c r="H128" s="142"/>
    </row>
  </sheetData>
  <mergeCells count="15">
    <mergeCell ref="B110:C110"/>
    <mergeCell ref="B108:F108"/>
    <mergeCell ref="B107:F107"/>
    <mergeCell ref="A1:H1"/>
    <mergeCell ref="A2:H2"/>
    <mergeCell ref="A3:H3"/>
    <mergeCell ref="B127:C127"/>
    <mergeCell ref="B128:C128"/>
    <mergeCell ref="B111:C111"/>
    <mergeCell ref="B112:C112"/>
    <mergeCell ref="B113:C113"/>
    <mergeCell ref="B121:C121"/>
    <mergeCell ref="B125:C125"/>
    <mergeCell ref="B126:C126"/>
    <mergeCell ref="B123:F12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5D14C-B79B-4ABB-AE92-D17711E0B989}">
  <sheetPr codeName="Sheet35">
    <outlinePr summaryBelow="0" summaryRight="0"/>
  </sheetPr>
  <dimension ref="A1:H202"/>
  <sheetViews>
    <sheetView showGridLines="0" workbookViewId="0">
      <selection activeCell="J1" sqref="J1"/>
    </sheetView>
  </sheetViews>
  <sheetFormatPr defaultRowHeight="15" x14ac:dyDescent="0.2"/>
  <cols>
    <col min="1" max="1" width="6.85546875" style="158" customWidth="1"/>
    <col min="2" max="2" width="20.5703125" style="158" customWidth="1"/>
    <col min="3" max="3" width="34.28515625" style="158" customWidth="1"/>
    <col min="4" max="4" width="17.85546875" style="158" customWidth="1"/>
    <col min="5" max="6" width="19.140625" style="158" customWidth="1"/>
    <col min="7" max="7" width="16.42578125" style="158" customWidth="1"/>
    <col min="8" max="253" width="9.140625" style="158"/>
    <col min="254" max="254" width="6.85546875" style="158" customWidth="1"/>
    <col min="255" max="255" width="20.5703125" style="158" customWidth="1"/>
    <col min="256" max="256" width="34.28515625" style="158" customWidth="1"/>
    <col min="257" max="257" width="17.85546875" style="158" customWidth="1"/>
    <col min="258" max="259" width="19.140625" style="158" customWidth="1"/>
    <col min="260" max="260" width="16.42578125" style="158" customWidth="1"/>
    <col min="261" max="509" width="9.140625" style="158"/>
    <col min="510" max="510" width="6.85546875" style="158" customWidth="1"/>
    <col min="511" max="511" width="20.5703125" style="158" customWidth="1"/>
    <col min="512" max="512" width="34.28515625" style="158" customWidth="1"/>
    <col min="513" max="513" width="17.85546875" style="158" customWidth="1"/>
    <col min="514" max="515" width="19.140625" style="158" customWidth="1"/>
    <col min="516" max="516" width="16.42578125" style="158" customWidth="1"/>
    <col min="517" max="765" width="9.140625" style="158"/>
    <col min="766" max="766" width="6.85546875" style="158" customWidth="1"/>
    <col min="767" max="767" width="20.5703125" style="158" customWidth="1"/>
    <col min="768" max="768" width="34.28515625" style="158" customWidth="1"/>
    <col min="769" max="769" width="17.85546875" style="158" customWidth="1"/>
    <col min="770" max="771" width="19.140625" style="158" customWidth="1"/>
    <col min="772" max="772" width="16.42578125" style="158" customWidth="1"/>
    <col min="773" max="1021" width="9.140625" style="158"/>
    <col min="1022" max="1022" width="6.85546875" style="158" customWidth="1"/>
    <col min="1023" max="1023" width="20.5703125" style="158" customWidth="1"/>
    <col min="1024" max="1024" width="34.28515625" style="158" customWidth="1"/>
    <col min="1025" max="1025" width="17.85546875" style="158" customWidth="1"/>
    <col min="1026" max="1027" width="19.140625" style="158" customWidth="1"/>
    <col min="1028" max="1028" width="16.42578125" style="158" customWidth="1"/>
    <col min="1029" max="1277" width="9.140625" style="158"/>
    <col min="1278" max="1278" width="6.85546875" style="158" customWidth="1"/>
    <col min="1279" max="1279" width="20.5703125" style="158" customWidth="1"/>
    <col min="1280" max="1280" width="34.28515625" style="158" customWidth="1"/>
    <col min="1281" max="1281" width="17.85546875" style="158" customWidth="1"/>
    <col min="1282" max="1283" width="19.140625" style="158" customWidth="1"/>
    <col min="1284" max="1284" width="16.42578125" style="158" customWidth="1"/>
    <col min="1285" max="1533" width="9.140625" style="158"/>
    <col min="1534" max="1534" width="6.85546875" style="158" customWidth="1"/>
    <col min="1535" max="1535" width="20.5703125" style="158" customWidth="1"/>
    <col min="1536" max="1536" width="34.28515625" style="158" customWidth="1"/>
    <col min="1537" max="1537" width="17.85546875" style="158" customWidth="1"/>
    <col min="1538" max="1539" width="19.140625" style="158" customWidth="1"/>
    <col min="1540" max="1540" width="16.42578125" style="158" customWidth="1"/>
    <col min="1541" max="1789" width="9.140625" style="158"/>
    <col min="1790" max="1790" width="6.85546875" style="158" customWidth="1"/>
    <col min="1791" max="1791" width="20.5703125" style="158" customWidth="1"/>
    <col min="1792" max="1792" width="34.28515625" style="158" customWidth="1"/>
    <col min="1793" max="1793" width="17.85546875" style="158" customWidth="1"/>
    <col min="1794" max="1795" width="19.140625" style="158" customWidth="1"/>
    <col min="1796" max="1796" width="16.42578125" style="158" customWidth="1"/>
    <col min="1797" max="2045" width="9.140625" style="158"/>
    <col min="2046" max="2046" width="6.85546875" style="158" customWidth="1"/>
    <col min="2047" max="2047" width="20.5703125" style="158" customWidth="1"/>
    <col min="2048" max="2048" width="34.28515625" style="158" customWidth="1"/>
    <col min="2049" max="2049" width="17.85546875" style="158" customWidth="1"/>
    <col min="2050" max="2051" width="19.140625" style="158" customWidth="1"/>
    <col min="2052" max="2052" width="16.42578125" style="158" customWidth="1"/>
    <col min="2053" max="2301" width="9.140625" style="158"/>
    <col min="2302" max="2302" width="6.85546875" style="158" customWidth="1"/>
    <col min="2303" max="2303" width="20.5703125" style="158" customWidth="1"/>
    <col min="2304" max="2304" width="34.28515625" style="158" customWidth="1"/>
    <col min="2305" max="2305" width="17.85546875" style="158" customWidth="1"/>
    <col min="2306" max="2307" width="19.140625" style="158" customWidth="1"/>
    <col min="2308" max="2308" width="16.42578125" style="158" customWidth="1"/>
    <col min="2309" max="2557" width="9.140625" style="158"/>
    <col min="2558" max="2558" width="6.85546875" style="158" customWidth="1"/>
    <col min="2559" max="2559" width="20.5703125" style="158" customWidth="1"/>
    <col min="2560" max="2560" width="34.28515625" style="158" customWidth="1"/>
    <col min="2561" max="2561" width="17.85546875" style="158" customWidth="1"/>
    <col min="2562" max="2563" width="19.140625" style="158" customWidth="1"/>
    <col min="2564" max="2564" width="16.42578125" style="158" customWidth="1"/>
    <col min="2565" max="2813" width="9.140625" style="158"/>
    <col min="2814" max="2814" width="6.85546875" style="158" customWidth="1"/>
    <col min="2815" max="2815" width="20.5703125" style="158" customWidth="1"/>
    <col min="2816" max="2816" width="34.28515625" style="158" customWidth="1"/>
    <col min="2817" max="2817" width="17.85546875" style="158" customWidth="1"/>
    <col min="2818" max="2819" width="19.140625" style="158" customWidth="1"/>
    <col min="2820" max="2820" width="16.42578125" style="158" customWidth="1"/>
    <col min="2821" max="3069" width="9.140625" style="158"/>
    <col min="3070" max="3070" width="6.85546875" style="158" customWidth="1"/>
    <col min="3071" max="3071" width="20.5703125" style="158" customWidth="1"/>
    <col min="3072" max="3072" width="34.28515625" style="158" customWidth="1"/>
    <col min="3073" max="3073" width="17.85546875" style="158" customWidth="1"/>
    <col min="3074" max="3075" width="19.140625" style="158" customWidth="1"/>
    <col min="3076" max="3076" width="16.42578125" style="158" customWidth="1"/>
    <col min="3077" max="3325" width="9.140625" style="158"/>
    <col min="3326" max="3326" width="6.85546875" style="158" customWidth="1"/>
    <col min="3327" max="3327" width="20.5703125" style="158" customWidth="1"/>
    <col min="3328" max="3328" width="34.28515625" style="158" customWidth="1"/>
    <col min="3329" max="3329" width="17.85546875" style="158" customWidth="1"/>
    <col min="3330" max="3331" width="19.140625" style="158" customWidth="1"/>
    <col min="3332" max="3332" width="16.42578125" style="158" customWidth="1"/>
    <col min="3333" max="3581" width="9.140625" style="158"/>
    <col min="3582" max="3582" width="6.85546875" style="158" customWidth="1"/>
    <col min="3583" max="3583" width="20.5703125" style="158" customWidth="1"/>
    <col min="3584" max="3584" width="34.28515625" style="158" customWidth="1"/>
    <col min="3585" max="3585" width="17.85546875" style="158" customWidth="1"/>
    <col min="3586" max="3587" width="19.140625" style="158" customWidth="1"/>
    <col min="3588" max="3588" width="16.42578125" style="158" customWidth="1"/>
    <col min="3589" max="3837" width="9.140625" style="158"/>
    <col min="3838" max="3838" width="6.85546875" style="158" customWidth="1"/>
    <col min="3839" max="3839" width="20.5703125" style="158" customWidth="1"/>
    <col min="3840" max="3840" width="34.28515625" style="158" customWidth="1"/>
    <col min="3841" max="3841" width="17.85546875" style="158" customWidth="1"/>
    <col min="3842" max="3843" width="19.140625" style="158" customWidth="1"/>
    <col min="3844" max="3844" width="16.42578125" style="158" customWidth="1"/>
    <col min="3845" max="4093" width="9.140625" style="158"/>
    <col min="4094" max="4094" width="6.85546875" style="158" customWidth="1"/>
    <col min="4095" max="4095" width="20.5703125" style="158" customWidth="1"/>
    <col min="4096" max="4096" width="34.28515625" style="158" customWidth="1"/>
    <col min="4097" max="4097" width="17.85546875" style="158" customWidth="1"/>
    <col min="4098" max="4099" width="19.140625" style="158" customWidth="1"/>
    <col min="4100" max="4100" width="16.42578125" style="158" customWidth="1"/>
    <col min="4101" max="4349" width="9.140625" style="158"/>
    <col min="4350" max="4350" width="6.85546875" style="158" customWidth="1"/>
    <col min="4351" max="4351" width="20.5703125" style="158" customWidth="1"/>
    <col min="4352" max="4352" width="34.28515625" style="158" customWidth="1"/>
    <col min="4353" max="4353" width="17.85546875" style="158" customWidth="1"/>
    <col min="4354" max="4355" width="19.140625" style="158" customWidth="1"/>
    <col min="4356" max="4356" width="16.42578125" style="158" customWidth="1"/>
    <col min="4357" max="4605" width="9.140625" style="158"/>
    <col min="4606" max="4606" width="6.85546875" style="158" customWidth="1"/>
    <col min="4607" max="4607" width="20.5703125" style="158" customWidth="1"/>
    <col min="4608" max="4608" width="34.28515625" style="158" customWidth="1"/>
    <col min="4609" max="4609" width="17.85546875" style="158" customWidth="1"/>
    <col min="4610" max="4611" width="19.140625" style="158" customWidth="1"/>
    <col min="4612" max="4612" width="16.42578125" style="158" customWidth="1"/>
    <col min="4613" max="4861" width="9.140625" style="158"/>
    <col min="4862" max="4862" width="6.85546875" style="158" customWidth="1"/>
    <col min="4863" max="4863" width="20.5703125" style="158" customWidth="1"/>
    <col min="4864" max="4864" width="34.28515625" style="158" customWidth="1"/>
    <col min="4865" max="4865" width="17.85546875" style="158" customWidth="1"/>
    <col min="4866" max="4867" width="19.140625" style="158" customWidth="1"/>
    <col min="4868" max="4868" width="16.42578125" style="158" customWidth="1"/>
    <col min="4869" max="5117" width="9.140625" style="158"/>
    <col min="5118" max="5118" width="6.85546875" style="158" customWidth="1"/>
    <col min="5119" max="5119" width="20.5703125" style="158" customWidth="1"/>
    <col min="5120" max="5120" width="34.28515625" style="158" customWidth="1"/>
    <col min="5121" max="5121" width="17.85546875" style="158" customWidth="1"/>
    <col min="5122" max="5123" width="19.140625" style="158" customWidth="1"/>
    <col min="5124" max="5124" width="16.42578125" style="158" customWidth="1"/>
    <col min="5125" max="5373" width="9.140625" style="158"/>
    <col min="5374" max="5374" width="6.85546875" style="158" customWidth="1"/>
    <col min="5375" max="5375" width="20.5703125" style="158" customWidth="1"/>
    <col min="5376" max="5376" width="34.28515625" style="158" customWidth="1"/>
    <col min="5377" max="5377" width="17.85546875" style="158" customWidth="1"/>
    <col min="5378" max="5379" width="19.140625" style="158" customWidth="1"/>
    <col min="5380" max="5380" width="16.42578125" style="158" customWidth="1"/>
    <col min="5381" max="5629" width="9.140625" style="158"/>
    <col min="5630" max="5630" width="6.85546875" style="158" customWidth="1"/>
    <col min="5631" max="5631" width="20.5703125" style="158" customWidth="1"/>
    <col min="5632" max="5632" width="34.28515625" style="158" customWidth="1"/>
    <col min="5633" max="5633" width="17.85546875" style="158" customWidth="1"/>
    <col min="5634" max="5635" width="19.140625" style="158" customWidth="1"/>
    <col min="5636" max="5636" width="16.42578125" style="158" customWidth="1"/>
    <col min="5637" max="5885" width="9.140625" style="158"/>
    <col min="5886" max="5886" width="6.85546875" style="158" customWidth="1"/>
    <col min="5887" max="5887" width="20.5703125" style="158" customWidth="1"/>
    <col min="5888" max="5888" width="34.28515625" style="158" customWidth="1"/>
    <col min="5889" max="5889" width="17.85546875" style="158" customWidth="1"/>
    <col min="5890" max="5891" width="19.140625" style="158" customWidth="1"/>
    <col min="5892" max="5892" width="16.42578125" style="158" customWidth="1"/>
    <col min="5893" max="6141" width="9.140625" style="158"/>
    <col min="6142" max="6142" width="6.85546875" style="158" customWidth="1"/>
    <col min="6143" max="6143" width="20.5703125" style="158" customWidth="1"/>
    <col min="6144" max="6144" width="34.28515625" style="158" customWidth="1"/>
    <col min="6145" max="6145" width="17.85546875" style="158" customWidth="1"/>
    <col min="6146" max="6147" width="19.140625" style="158" customWidth="1"/>
    <col min="6148" max="6148" width="16.42578125" style="158" customWidth="1"/>
    <col min="6149" max="6397" width="9.140625" style="158"/>
    <col min="6398" max="6398" width="6.85546875" style="158" customWidth="1"/>
    <col min="6399" max="6399" width="20.5703125" style="158" customWidth="1"/>
    <col min="6400" max="6400" width="34.28515625" style="158" customWidth="1"/>
    <col min="6401" max="6401" width="17.85546875" style="158" customWidth="1"/>
    <col min="6402" max="6403" width="19.140625" style="158" customWidth="1"/>
    <col min="6404" max="6404" width="16.42578125" style="158" customWidth="1"/>
    <col min="6405" max="6653" width="9.140625" style="158"/>
    <col min="6654" max="6654" width="6.85546875" style="158" customWidth="1"/>
    <col min="6655" max="6655" width="20.5703125" style="158" customWidth="1"/>
    <col min="6656" max="6656" width="34.28515625" style="158" customWidth="1"/>
    <col min="6657" max="6657" width="17.85546875" style="158" customWidth="1"/>
    <col min="6658" max="6659" width="19.140625" style="158" customWidth="1"/>
    <col min="6660" max="6660" width="16.42578125" style="158" customWidth="1"/>
    <col min="6661" max="6909" width="9.140625" style="158"/>
    <col min="6910" max="6910" width="6.85546875" style="158" customWidth="1"/>
    <col min="6911" max="6911" width="20.5703125" style="158" customWidth="1"/>
    <col min="6912" max="6912" width="34.28515625" style="158" customWidth="1"/>
    <col min="6913" max="6913" width="17.85546875" style="158" customWidth="1"/>
    <col min="6914" max="6915" width="19.140625" style="158" customWidth="1"/>
    <col min="6916" max="6916" width="16.42578125" style="158" customWidth="1"/>
    <col min="6917" max="7165" width="9.140625" style="158"/>
    <col min="7166" max="7166" width="6.85546875" style="158" customWidth="1"/>
    <col min="7167" max="7167" width="20.5703125" style="158" customWidth="1"/>
    <col min="7168" max="7168" width="34.28515625" style="158" customWidth="1"/>
    <col min="7169" max="7169" width="17.85546875" style="158" customWidth="1"/>
    <col min="7170" max="7171" width="19.140625" style="158" customWidth="1"/>
    <col min="7172" max="7172" width="16.42578125" style="158" customWidth="1"/>
    <col min="7173" max="7421" width="9.140625" style="158"/>
    <col min="7422" max="7422" width="6.85546875" style="158" customWidth="1"/>
    <col min="7423" max="7423" width="20.5703125" style="158" customWidth="1"/>
    <col min="7424" max="7424" width="34.28515625" style="158" customWidth="1"/>
    <col min="7425" max="7425" width="17.85546875" style="158" customWidth="1"/>
    <col min="7426" max="7427" width="19.140625" style="158" customWidth="1"/>
    <col min="7428" max="7428" width="16.42578125" style="158" customWidth="1"/>
    <col min="7429" max="7677" width="9.140625" style="158"/>
    <col min="7678" max="7678" width="6.85546875" style="158" customWidth="1"/>
    <col min="7679" max="7679" width="20.5703125" style="158" customWidth="1"/>
    <col min="7680" max="7680" width="34.28515625" style="158" customWidth="1"/>
    <col min="7681" max="7681" width="17.85546875" style="158" customWidth="1"/>
    <col min="7682" max="7683" width="19.140625" style="158" customWidth="1"/>
    <col min="7684" max="7684" width="16.42578125" style="158" customWidth="1"/>
    <col min="7685" max="7933" width="9.140625" style="158"/>
    <col min="7934" max="7934" width="6.85546875" style="158" customWidth="1"/>
    <col min="7935" max="7935" width="20.5703125" style="158" customWidth="1"/>
    <col min="7936" max="7936" width="34.28515625" style="158" customWidth="1"/>
    <col min="7937" max="7937" width="17.85546875" style="158" customWidth="1"/>
    <col min="7938" max="7939" width="19.140625" style="158" customWidth="1"/>
    <col min="7940" max="7940" width="16.42578125" style="158" customWidth="1"/>
    <col min="7941" max="8189" width="9.140625" style="158"/>
    <col min="8190" max="8190" width="6.85546875" style="158" customWidth="1"/>
    <col min="8191" max="8191" width="20.5703125" style="158" customWidth="1"/>
    <col min="8192" max="8192" width="34.28515625" style="158" customWidth="1"/>
    <col min="8193" max="8193" width="17.85546875" style="158" customWidth="1"/>
    <col min="8194" max="8195" width="19.140625" style="158" customWidth="1"/>
    <col min="8196" max="8196" width="16.42578125" style="158" customWidth="1"/>
    <col min="8197" max="8445" width="9.140625" style="158"/>
    <col min="8446" max="8446" width="6.85546875" style="158" customWidth="1"/>
    <col min="8447" max="8447" width="20.5703125" style="158" customWidth="1"/>
    <col min="8448" max="8448" width="34.28515625" style="158" customWidth="1"/>
    <col min="8449" max="8449" width="17.85546875" style="158" customWidth="1"/>
    <col min="8450" max="8451" width="19.140625" style="158" customWidth="1"/>
    <col min="8452" max="8452" width="16.42578125" style="158" customWidth="1"/>
    <col min="8453" max="8701" width="9.140625" style="158"/>
    <col min="8702" max="8702" width="6.85546875" style="158" customWidth="1"/>
    <col min="8703" max="8703" width="20.5703125" style="158" customWidth="1"/>
    <col min="8704" max="8704" width="34.28515625" style="158" customWidth="1"/>
    <col min="8705" max="8705" width="17.85546875" style="158" customWidth="1"/>
    <col min="8706" max="8707" width="19.140625" style="158" customWidth="1"/>
    <col min="8708" max="8708" width="16.42578125" style="158" customWidth="1"/>
    <col min="8709" max="8957" width="9.140625" style="158"/>
    <col min="8958" max="8958" width="6.85546875" style="158" customWidth="1"/>
    <col min="8959" max="8959" width="20.5703125" style="158" customWidth="1"/>
    <col min="8960" max="8960" width="34.28515625" style="158" customWidth="1"/>
    <col min="8961" max="8961" width="17.85546875" style="158" customWidth="1"/>
    <col min="8962" max="8963" width="19.140625" style="158" customWidth="1"/>
    <col min="8964" max="8964" width="16.42578125" style="158" customWidth="1"/>
    <col min="8965" max="9213" width="9.140625" style="158"/>
    <col min="9214" max="9214" width="6.85546875" style="158" customWidth="1"/>
    <col min="9215" max="9215" width="20.5703125" style="158" customWidth="1"/>
    <col min="9216" max="9216" width="34.28515625" style="158" customWidth="1"/>
    <col min="9217" max="9217" width="17.85546875" style="158" customWidth="1"/>
    <col min="9218" max="9219" width="19.140625" style="158" customWidth="1"/>
    <col min="9220" max="9220" width="16.42578125" style="158" customWidth="1"/>
    <col min="9221" max="9469" width="9.140625" style="158"/>
    <col min="9470" max="9470" width="6.85546875" style="158" customWidth="1"/>
    <col min="9471" max="9471" width="20.5703125" style="158" customWidth="1"/>
    <col min="9472" max="9472" width="34.28515625" style="158" customWidth="1"/>
    <col min="9473" max="9473" width="17.85546875" style="158" customWidth="1"/>
    <col min="9474" max="9475" width="19.140625" style="158" customWidth="1"/>
    <col min="9476" max="9476" width="16.42578125" style="158" customWidth="1"/>
    <col min="9477" max="9725" width="9.140625" style="158"/>
    <col min="9726" max="9726" width="6.85546875" style="158" customWidth="1"/>
    <col min="9727" max="9727" width="20.5703125" style="158" customWidth="1"/>
    <col min="9728" max="9728" width="34.28515625" style="158" customWidth="1"/>
    <col min="9729" max="9729" width="17.85546875" style="158" customWidth="1"/>
    <col min="9730" max="9731" width="19.140625" style="158" customWidth="1"/>
    <col min="9732" max="9732" width="16.42578125" style="158" customWidth="1"/>
    <col min="9733" max="9981" width="9.140625" style="158"/>
    <col min="9982" max="9982" width="6.85546875" style="158" customWidth="1"/>
    <col min="9983" max="9983" width="20.5703125" style="158" customWidth="1"/>
    <col min="9984" max="9984" width="34.28515625" style="158" customWidth="1"/>
    <col min="9985" max="9985" width="17.85546875" style="158" customWidth="1"/>
    <col min="9986" max="9987" width="19.140625" style="158" customWidth="1"/>
    <col min="9988" max="9988" width="16.42578125" style="158" customWidth="1"/>
    <col min="9989" max="10237" width="9.140625" style="158"/>
    <col min="10238" max="10238" width="6.85546875" style="158" customWidth="1"/>
    <col min="10239" max="10239" width="20.5703125" style="158" customWidth="1"/>
    <col min="10240" max="10240" width="34.28515625" style="158" customWidth="1"/>
    <col min="10241" max="10241" width="17.85546875" style="158" customWidth="1"/>
    <col min="10242" max="10243" width="19.140625" style="158" customWidth="1"/>
    <col min="10244" max="10244" width="16.42578125" style="158" customWidth="1"/>
    <col min="10245" max="10493" width="9.140625" style="158"/>
    <col min="10494" max="10494" width="6.85546875" style="158" customWidth="1"/>
    <col min="10495" max="10495" width="20.5703125" style="158" customWidth="1"/>
    <col min="10496" max="10496" width="34.28515625" style="158" customWidth="1"/>
    <col min="10497" max="10497" width="17.85546875" style="158" customWidth="1"/>
    <col min="10498" max="10499" width="19.140625" style="158" customWidth="1"/>
    <col min="10500" max="10500" width="16.42578125" style="158" customWidth="1"/>
    <col min="10501" max="10749" width="9.140625" style="158"/>
    <col min="10750" max="10750" width="6.85546875" style="158" customWidth="1"/>
    <col min="10751" max="10751" width="20.5703125" style="158" customWidth="1"/>
    <col min="10752" max="10752" width="34.28515625" style="158" customWidth="1"/>
    <col min="10753" max="10753" width="17.85546875" style="158" customWidth="1"/>
    <col min="10754" max="10755" width="19.140625" style="158" customWidth="1"/>
    <col min="10756" max="10756" width="16.42578125" style="158" customWidth="1"/>
    <col min="10757" max="11005" width="9.140625" style="158"/>
    <col min="11006" max="11006" width="6.85546875" style="158" customWidth="1"/>
    <col min="11007" max="11007" width="20.5703125" style="158" customWidth="1"/>
    <col min="11008" max="11008" width="34.28515625" style="158" customWidth="1"/>
    <col min="11009" max="11009" width="17.85546875" style="158" customWidth="1"/>
    <col min="11010" max="11011" width="19.140625" style="158" customWidth="1"/>
    <col min="11012" max="11012" width="16.42578125" style="158" customWidth="1"/>
    <col min="11013" max="11261" width="9.140625" style="158"/>
    <col min="11262" max="11262" width="6.85546875" style="158" customWidth="1"/>
    <col min="11263" max="11263" width="20.5703125" style="158" customWidth="1"/>
    <col min="11264" max="11264" width="34.28515625" style="158" customWidth="1"/>
    <col min="11265" max="11265" width="17.85546875" style="158" customWidth="1"/>
    <col min="11266" max="11267" width="19.140625" style="158" customWidth="1"/>
    <col min="11268" max="11268" width="16.42578125" style="158" customWidth="1"/>
    <col min="11269" max="11517" width="9.140625" style="158"/>
    <col min="11518" max="11518" width="6.85546875" style="158" customWidth="1"/>
    <col min="11519" max="11519" width="20.5703125" style="158" customWidth="1"/>
    <col min="11520" max="11520" width="34.28515625" style="158" customWidth="1"/>
    <col min="11521" max="11521" width="17.85546875" style="158" customWidth="1"/>
    <col min="11522" max="11523" width="19.140625" style="158" customWidth="1"/>
    <col min="11524" max="11524" width="16.42578125" style="158" customWidth="1"/>
    <col min="11525" max="11773" width="9.140625" style="158"/>
    <col min="11774" max="11774" width="6.85546875" style="158" customWidth="1"/>
    <col min="11775" max="11775" width="20.5703125" style="158" customWidth="1"/>
    <col min="11776" max="11776" width="34.28515625" style="158" customWidth="1"/>
    <col min="11777" max="11777" width="17.85546875" style="158" customWidth="1"/>
    <col min="11778" max="11779" width="19.140625" style="158" customWidth="1"/>
    <col min="11780" max="11780" width="16.42578125" style="158" customWidth="1"/>
    <col min="11781" max="12029" width="9.140625" style="158"/>
    <col min="12030" max="12030" width="6.85546875" style="158" customWidth="1"/>
    <col min="12031" max="12031" width="20.5703125" style="158" customWidth="1"/>
    <col min="12032" max="12032" width="34.28515625" style="158" customWidth="1"/>
    <col min="12033" max="12033" width="17.85546875" style="158" customWidth="1"/>
    <col min="12034" max="12035" width="19.140625" style="158" customWidth="1"/>
    <col min="12036" max="12036" width="16.42578125" style="158" customWidth="1"/>
    <col min="12037" max="12285" width="9.140625" style="158"/>
    <col min="12286" max="12286" width="6.85546875" style="158" customWidth="1"/>
    <col min="12287" max="12287" width="20.5703125" style="158" customWidth="1"/>
    <col min="12288" max="12288" width="34.28515625" style="158" customWidth="1"/>
    <col min="12289" max="12289" width="17.85546875" style="158" customWidth="1"/>
    <col min="12290" max="12291" width="19.140625" style="158" customWidth="1"/>
    <col min="12292" max="12292" width="16.42578125" style="158" customWidth="1"/>
    <col min="12293" max="12541" width="9.140625" style="158"/>
    <col min="12542" max="12542" width="6.85546875" style="158" customWidth="1"/>
    <col min="12543" max="12543" width="20.5703125" style="158" customWidth="1"/>
    <col min="12544" max="12544" width="34.28515625" style="158" customWidth="1"/>
    <col min="12545" max="12545" width="17.85546875" style="158" customWidth="1"/>
    <col min="12546" max="12547" width="19.140625" style="158" customWidth="1"/>
    <col min="12548" max="12548" width="16.42578125" style="158" customWidth="1"/>
    <col min="12549" max="12797" width="9.140625" style="158"/>
    <col min="12798" max="12798" width="6.85546875" style="158" customWidth="1"/>
    <col min="12799" max="12799" width="20.5703125" style="158" customWidth="1"/>
    <col min="12800" max="12800" width="34.28515625" style="158" customWidth="1"/>
    <col min="12801" max="12801" width="17.85546875" style="158" customWidth="1"/>
    <col min="12802" max="12803" width="19.140625" style="158" customWidth="1"/>
    <col min="12804" max="12804" width="16.42578125" style="158" customWidth="1"/>
    <col min="12805" max="13053" width="9.140625" style="158"/>
    <col min="13054" max="13054" width="6.85546875" style="158" customWidth="1"/>
    <col min="13055" max="13055" width="20.5703125" style="158" customWidth="1"/>
    <col min="13056" max="13056" width="34.28515625" style="158" customWidth="1"/>
    <col min="13057" max="13057" width="17.85546875" style="158" customWidth="1"/>
    <col min="13058" max="13059" width="19.140625" style="158" customWidth="1"/>
    <col min="13060" max="13060" width="16.42578125" style="158" customWidth="1"/>
    <col min="13061" max="13309" width="9.140625" style="158"/>
    <col min="13310" max="13310" width="6.85546875" style="158" customWidth="1"/>
    <col min="13311" max="13311" width="20.5703125" style="158" customWidth="1"/>
    <col min="13312" max="13312" width="34.28515625" style="158" customWidth="1"/>
    <col min="13313" max="13313" width="17.85546875" style="158" customWidth="1"/>
    <col min="13314" max="13315" width="19.140625" style="158" customWidth="1"/>
    <col min="13316" max="13316" width="16.42578125" style="158" customWidth="1"/>
    <col min="13317" max="13565" width="9.140625" style="158"/>
    <col min="13566" max="13566" width="6.85546875" style="158" customWidth="1"/>
    <col min="13567" max="13567" width="20.5703125" style="158" customWidth="1"/>
    <col min="13568" max="13568" width="34.28515625" style="158" customWidth="1"/>
    <col min="13569" max="13569" width="17.85546875" style="158" customWidth="1"/>
    <col min="13570" max="13571" width="19.140625" style="158" customWidth="1"/>
    <col min="13572" max="13572" width="16.42578125" style="158" customWidth="1"/>
    <col min="13573" max="13821" width="9.140625" style="158"/>
    <col min="13822" max="13822" width="6.85546875" style="158" customWidth="1"/>
    <col min="13823" max="13823" width="20.5703125" style="158" customWidth="1"/>
    <col min="13824" max="13824" width="34.28515625" style="158" customWidth="1"/>
    <col min="13825" max="13825" width="17.85546875" style="158" customWidth="1"/>
    <col min="13826" max="13827" width="19.140625" style="158" customWidth="1"/>
    <col min="13828" max="13828" width="16.42578125" style="158" customWidth="1"/>
    <col min="13829" max="14077" width="9.140625" style="158"/>
    <col min="14078" max="14078" width="6.85546875" style="158" customWidth="1"/>
    <col min="14079" max="14079" width="20.5703125" style="158" customWidth="1"/>
    <col min="14080" max="14080" width="34.28515625" style="158" customWidth="1"/>
    <col min="14081" max="14081" width="17.85546875" style="158" customWidth="1"/>
    <col min="14082" max="14083" width="19.140625" style="158" customWidth="1"/>
    <col min="14084" max="14084" width="16.42578125" style="158" customWidth="1"/>
    <col min="14085" max="14333" width="9.140625" style="158"/>
    <col min="14334" max="14334" width="6.85546875" style="158" customWidth="1"/>
    <col min="14335" max="14335" width="20.5703125" style="158" customWidth="1"/>
    <col min="14336" max="14336" width="34.28515625" style="158" customWidth="1"/>
    <col min="14337" max="14337" width="17.85546875" style="158" customWidth="1"/>
    <col min="14338" max="14339" width="19.140625" style="158" customWidth="1"/>
    <col min="14340" max="14340" width="16.42578125" style="158" customWidth="1"/>
    <col min="14341" max="14589" width="9.140625" style="158"/>
    <col min="14590" max="14590" width="6.85546875" style="158" customWidth="1"/>
    <col min="14591" max="14591" width="20.5703125" style="158" customWidth="1"/>
    <col min="14592" max="14592" width="34.28515625" style="158" customWidth="1"/>
    <col min="14593" max="14593" width="17.85546875" style="158" customWidth="1"/>
    <col min="14594" max="14595" width="19.140625" style="158" customWidth="1"/>
    <col min="14596" max="14596" width="16.42578125" style="158" customWidth="1"/>
    <col min="14597" max="14845" width="9.140625" style="158"/>
    <col min="14846" max="14846" width="6.85546875" style="158" customWidth="1"/>
    <col min="14847" max="14847" width="20.5703125" style="158" customWidth="1"/>
    <col min="14848" max="14848" width="34.28515625" style="158" customWidth="1"/>
    <col min="14849" max="14849" width="17.85546875" style="158" customWidth="1"/>
    <col min="14850" max="14851" width="19.140625" style="158" customWidth="1"/>
    <col min="14852" max="14852" width="16.42578125" style="158" customWidth="1"/>
    <col min="14853" max="15101" width="9.140625" style="158"/>
    <col min="15102" max="15102" width="6.85546875" style="158" customWidth="1"/>
    <col min="15103" max="15103" width="20.5703125" style="158" customWidth="1"/>
    <col min="15104" max="15104" width="34.28515625" style="158" customWidth="1"/>
    <col min="15105" max="15105" width="17.85546875" style="158" customWidth="1"/>
    <col min="15106" max="15107" width="19.140625" style="158" customWidth="1"/>
    <col min="15108" max="15108" width="16.42578125" style="158" customWidth="1"/>
    <col min="15109" max="15357" width="9.140625" style="158"/>
    <col min="15358" max="15358" width="6.85546875" style="158" customWidth="1"/>
    <col min="15359" max="15359" width="20.5703125" style="158" customWidth="1"/>
    <col min="15360" max="15360" width="34.28515625" style="158" customWidth="1"/>
    <col min="15361" max="15361" width="17.85546875" style="158" customWidth="1"/>
    <col min="15362" max="15363" width="19.140625" style="158" customWidth="1"/>
    <col min="15364" max="15364" width="16.42578125" style="158" customWidth="1"/>
    <col min="15365" max="15613" width="9.140625" style="158"/>
    <col min="15614" max="15614" width="6.85546875" style="158" customWidth="1"/>
    <col min="15615" max="15615" width="20.5703125" style="158" customWidth="1"/>
    <col min="15616" max="15616" width="34.28515625" style="158" customWidth="1"/>
    <col min="15617" max="15617" width="17.85546875" style="158" customWidth="1"/>
    <col min="15618" max="15619" width="19.140625" style="158" customWidth="1"/>
    <col min="15620" max="15620" width="16.42578125" style="158" customWidth="1"/>
    <col min="15621" max="15869" width="9.140625" style="158"/>
    <col min="15870" max="15870" width="6.85546875" style="158" customWidth="1"/>
    <col min="15871" max="15871" width="20.5703125" style="158" customWidth="1"/>
    <col min="15872" max="15872" width="34.28515625" style="158" customWidth="1"/>
    <col min="15873" max="15873" width="17.85546875" style="158" customWidth="1"/>
    <col min="15874" max="15875" width="19.140625" style="158" customWidth="1"/>
    <col min="15876" max="15876" width="16.42578125" style="158" customWidth="1"/>
    <col min="15877" max="16125" width="9.140625" style="158"/>
    <col min="16126" max="16126" width="6.85546875" style="158" customWidth="1"/>
    <col min="16127" max="16127" width="20.5703125" style="158" customWidth="1"/>
    <col min="16128" max="16128" width="34.28515625" style="158" customWidth="1"/>
    <col min="16129" max="16129" width="17.85546875" style="158" customWidth="1"/>
    <col min="16130" max="16131" width="19.140625" style="158" customWidth="1"/>
    <col min="16132" max="16132" width="16.42578125" style="158" customWidth="1"/>
    <col min="16133" max="16384" width="9.140625" style="158"/>
  </cols>
  <sheetData>
    <row r="1" spans="1:8" x14ac:dyDescent="0.2">
      <c r="A1" s="250" t="s">
        <v>0</v>
      </c>
      <c r="B1" s="250"/>
      <c r="C1" s="250"/>
      <c r="D1" s="250"/>
      <c r="E1" s="250"/>
      <c r="F1" s="250"/>
      <c r="G1" s="250"/>
      <c r="H1" s="250"/>
    </row>
    <row r="2" spans="1:8" x14ac:dyDescent="0.2">
      <c r="A2" s="251" t="s">
        <v>780</v>
      </c>
      <c r="B2" s="252"/>
      <c r="C2" s="252"/>
      <c r="D2" s="252"/>
      <c r="E2" s="252"/>
      <c r="F2" s="252"/>
      <c r="G2" s="252"/>
      <c r="H2" s="253"/>
    </row>
    <row r="3" spans="1:8" x14ac:dyDescent="0.2">
      <c r="A3" s="250" t="s">
        <v>1015</v>
      </c>
      <c r="B3" s="250"/>
      <c r="C3" s="250"/>
      <c r="D3" s="250"/>
      <c r="E3" s="250"/>
      <c r="F3" s="250"/>
      <c r="G3" s="250"/>
      <c r="H3" s="250"/>
    </row>
    <row r="4" spans="1:8" ht="30" x14ac:dyDescent="0.2">
      <c r="A4" s="164" t="s">
        <v>2</v>
      </c>
      <c r="B4" s="164" t="s">
        <v>3</v>
      </c>
      <c r="C4" s="164" t="s">
        <v>4</v>
      </c>
      <c r="D4" s="164" t="s">
        <v>5</v>
      </c>
      <c r="E4" s="165" t="s">
        <v>6</v>
      </c>
      <c r="F4" s="165" t="s">
        <v>7</v>
      </c>
      <c r="G4" s="165" t="s">
        <v>8</v>
      </c>
      <c r="H4" s="161" t="s">
        <v>909</v>
      </c>
    </row>
    <row r="5" spans="1:8" x14ac:dyDescent="0.2">
      <c r="A5" s="129" t="s">
        <v>9</v>
      </c>
      <c r="B5" s="129" t="s">
        <v>9</v>
      </c>
      <c r="C5" s="88" t="s">
        <v>10</v>
      </c>
      <c r="D5" s="129" t="s">
        <v>9</v>
      </c>
      <c r="E5" s="129" t="s">
        <v>9</v>
      </c>
      <c r="F5" s="129" t="s">
        <v>9</v>
      </c>
      <c r="G5" s="129" t="s">
        <v>9</v>
      </c>
      <c r="H5" s="100"/>
    </row>
    <row r="6" spans="1:8" ht="25.5" x14ac:dyDescent="0.2">
      <c r="A6" s="129" t="s">
        <v>9</v>
      </c>
      <c r="B6" s="129" t="s">
        <v>9</v>
      </c>
      <c r="C6" s="88" t="s">
        <v>11</v>
      </c>
      <c r="D6" s="129" t="s">
        <v>9</v>
      </c>
      <c r="E6" s="129" t="s">
        <v>9</v>
      </c>
      <c r="F6" s="129" t="s">
        <v>9</v>
      </c>
      <c r="G6" s="129" t="s">
        <v>9</v>
      </c>
      <c r="H6" s="100"/>
    </row>
    <row r="7" spans="1:8" x14ac:dyDescent="0.2">
      <c r="A7" s="119">
        <v>1</v>
      </c>
      <c r="B7" s="84" t="s">
        <v>20</v>
      </c>
      <c r="C7" s="80" t="s">
        <v>21</v>
      </c>
      <c r="D7" s="84" t="s">
        <v>22</v>
      </c>
      <c r="E7" s="120">
        <v>985000</v>
      </c>
      <c r="F7" s="121">
        <v>5914.9250000000002</v>
      </c>
      <c r="G7" s="122">
        <v>6.4668840444099027E-2</v>
      </c>
      <c r="H7" s="100"/>
    </row>
    <row r="8" spans="1:8" x14ac:dyDescent="0.2">
      <c r="A8" s="119">
        <v>2</v>
      </c>
      <c r="B8" s="84" t="s">
        <v>15</v>
      </c>
      <c r="C8" s="80" t="s">
        <v>16</v>
      </c>
      <c r="D8" s="84" t="s">
        <v>17</v>
      </c>
      <c r="E8" s="120">
        <v>160750</v>
      </c>
      <c r="F8" s="121">
        <v>3206.1587500000001</v>
      </c>
      <c r="G8" s="122">
        <v>3.5053456914872459E-2</v>
      </c>
      <c r="H8" s="100"/>
    </row>
    <row r="9" spans="1:8" x14ac:dyDescent="0.2">
      <c r="A9" s="119">
        <v>3</v>
      </c>
      <c r="B9" s="84" t="s">
        <v>628</v>
      </c>
      <c r="C9" s="80" t="s">
        <v>629</v>
      </c>
      <c r="D9" s="84" t="s">
        <v>146</v>
      </c>
      <c r="E9" s="120">
        <v>150000</v>
      </c>
      <c r="F9" s="121">
        <v>2723.7</v>
      </c>
      <c r="G9" s="122">
        <v>2.9778656655425471E-2</v>
      </c>
      <c r="H9" s="100"/>
    </row>
    <row r="10" spans="1:8" x14ac:dyDescent="0.2">
      <c r="A10" s="119">
        <v>4</v>
      </c>
      <c r="B10" s="84" t="s">
        <v>393</v>
      </c>
      <c r="C10" s="80" t="s">
        <v>394</v>
      </c>
      <c r="D10" s="84" t="s">
        <v>151</v>
      </c>
      <c r="E10" s="120">
        <v>195000</v>
      </c>
      <c r="F10" s="121">
        <v>2640.9825000000001</v>
      </c>
      <c r="G10" s="122">
        <v>2.8874292726984326E-2</v>
      </c>
      <c r="H10" s="100"/>
    </row>
    <row r="11" spans="1:8" x14ac:dyDescent="0.2">
      <c r="A11" s="119">
        <v>5</v>
      </c>
      <c r="B11" s="84" t="s">
        <v>54</v>
      </c>
      <c r="C11" s="80" t="s">
        <v>55</v>
      </c>
      <c r="D11" s="84" t="s">
        <v>22</v>
      </c>
      <c r="E11" s="120">
        <v>184000</v>
      </c>
      <c r="F11" s="121">
        <v>2598.6320000000001</v>
      </c>
      <c r="G11" s="122">
        <v>2.8411267798142823E-2</v>
      </c>
      <c r="H11" s="100"/>
    </row>
    <row r="12" spans="1:8" x14ac:dyDescent="0.2">
      <c r="A12" s="119">
        <v>6</v>
      </c>
      <c r="B12" s="84" t="s">
        <v>29</v>
      </c>
      <c r="C12" s="80" t="s">
        <v>30</v>
      </c>
      <c r="D12" s="84" t="s">
        <v>31</v>
      </c>
      <c r="E12" s="120">
        <v>478691</v>
      </c>
      <c r="F12" s="121">
        <v>2569.3739424999999</v>
      </c>
      <c r="G12" s="122">
        <v>2.8091384680069175E-2</v>
      </c>
      <c r="H12" s="100"/>
    </row>
    <row r="13" spans="1:8" ht="25.5" x14ac:dyDescent="0.2">
      <c r="A13" s="119">
        <v>7</v>
      </c>
      <c r="B13" s="84" t="s">
        <v>395</v>
      </c>
      <c r="C13" s="80" t="s">
        <v>396</v>
      </c>
      <c r="D13" s="84" t="s">
        <v>156</v>
      </c>
      <c r="E13" s="120">
        <v>101500</v>
      </c>
      <c r="F13" s="121">
        <v>2456.4014999999999</v>
      </c>
      <c r="G13" s="122">
        <v>2.6856238527140329E-2</v>
      </c>
      <c r="H13" s="100"/>
    </row>
    <row r="14" spans="1:8" x14ac:dyDescent="0.2">
      <c r="A14" s="119">
        <v>8</v>
      </c>
      <c r="B14" s="80" t="s">
        <v>968</v>
      </c>
      <c r="C14" s="80" t="s">
        <v>969</v>
      </c>
      <c r="D14" s="80" t="s">
        <v>38</v>
      </c>
      <c r="E14" s="81">
        <v>738000</v>
      </c>
      <c r="F14" s="82">
        <v>2307.0617999999999</v>
      </c>
      <c r="G14" s="122">
        <v>2.5223483212192192E-2</v>
      </c>
      <c r="H14" s="100"/>
    </row>
    <row r="15" spans="1:8" x14ac:dyDescent="0.2">
      <c r="A15" s="119">
        <v>9</v>
      </c>
      <c r="B15" s="84" t="s">
        <v>409</v>
      </c>
      <c r="C15" s="80" t="s">
        <v>940</v>
      </c>
      <c r="D15" s="84" t="s">
        <v>151</v>
      </c>
      <c r="E15" s="120">
        <v>71006</v>
      </c>
      <c r="F15" s="121">
        <v>2155.4936389999998</v>
      </c>
      <c r="G15" s="122">
        <v>2.3566363769407284E-2</v>
      </c>
      <c r="H15" s="100"/>
    </row>
    <row r="16" spans="1:8" x14ac:dyDescent="0.2">
      <c r="A16" s="119">
        <v>10</v>
      </c>
      <c r="B16" s="84" t="s">
        <v>397</v>
      </c>
      <c r="C16" s="80" t="s">
        <v>398</v>
      </c>
      <c r="D16" s="84" t="s">
        <v>22</v>
      </c>
      <c r="E16" s="120">
        <v>300000</v>
      </c>
      <c r="F16" s="121">
        <v>2144.6999999999998</v>
      </c>
      <c r="G16" s="122">
        <v>2.3448355152509825E-2</v>
      </c>
      <c r="H16" s="100"/>
    </row>
    <row r="17" spans="1:8" x14ac:dyDescent="0.2">
      <c r="A17" s="119">
        <v>11</v>
      </c>
      <c r="B17" s="84" t="s">
        <v>399</v>
      </c>
      <c r="C17" s="80" t="s">
        <v>400</v>
      </c>
      <c r="D17" s="84" t="s">
        <v>22</v>
      </c>
      <c r="E17" s="120">
        <v>600000</v>
      </c>
      <c r="F17" s="121">
        <v>2121</v>
      </c>
      <c r="G17" s="122">
        <v>2.3189239184255767E-2</v>
      </c>
      <c r="H17" s="100"/>
    </row>
    <row r="18" spans="1:8" ht="25.5" x14ac:dyDescent="0.2">
      <c r="A18" s="119">
        <v>12</v>
      </c>
      <c r="B18" s="84" t="s">
        <v>617</v>
      </c>
      <c r="C18" s="80" t="s">
        <v>618</v>
      </c>
      <c r="D18" s="84" t="s">
        <v>73</v>
      </c>
      <c r="E18" s="120">
        <v>400000</v>
      </c>
      <c r="F18" s="121">
        <v>1645.8</v>
      </c>
      <c r="G18" s="122">
        <v>1.7993800023313595E-2</v>
      </c>
      <c r="H18" s="100"/>
    </row>
    <row r="19" spans="1:8" ht="25.5" x14ac:dyDescent="0.2">
      <c r="A19" s="119">
        <v>13</v>
      </c>
      <c r="B19" s="84" t="s">
        <v>480</v>
      </c>
      <c r="C19" s="80" t="s">
        <v>481</v>
      </c>
      <c r="D19" s="84" t="s">
        <v>73</v>
      </c>
      <c r="E19" s="120">
        <v>300000</v>
      </c>
      <c r="F19" s="121">
        <v>1558.65</v>
      </c>
      <c r="G19" s="122">
        <v>1.7040974848911011E-2</v>
      </c>
      <c r="H19" s="100"/>
    </row>
    <row r="20" spans="1:8" ht="25.5" x14ac:dyDescent="0.2">
      <c r="A20" s="119">
        <v>14</v>
      </c>
      <c r="B20" s="84" t="s">
        <v>415</v>
      </c>
      <c r="C20" s="80" t="s">
        <v>938</v>
      </c>
      <c r="D20" s="84" t="s">
        <v>73</v>
      </c>
      <c r="E20" s="120">
        <v>61050</v>
      </c>
      <c r="F20" s="121">
        <v>1436.964375</v>
      </c>
      <c r="G20" s="122">
        <v>1.5710566049566051E-2</v>
      </c>
      <c r="H20" s="100"/>
    </row>
    <row r="21" spans="1:8" x14ac:dyDescent="0.2">
      <c r="A21" s="119">
        <v>15</v>
      </c>
      <c r="B21" s="84" t="s">
        <v>45</v>
      </c>
      <c r="C21" s="80" t="s">
        <v>46</v>
      </c>
      <c r="D21" s="84" t="s">
        <v>47</v>
      </c>
      <c r="E21" s="120">
        <v>1197000</v>
      </c>
      <c r="F21" s="121">
        <v>1430.415</v>
      </c>
      <c r="G21" s="122">
        <v>1.5638960663718629E-2</v>
      </c>
      <c r="H21" s="100"/>
    </row>
    <row r="22" spans="1:8" ht="25.5" x14ac:dyDescent="0.2">
      <c r="A22" s="119">
        <v>16</v>
      </c>
      <c r="B22" s="84" t="s">
        <v>39</v>
      </c>
      <c r="C22" s="80" t="s">
        <v>941</v>
      </c>
      <c r="D22" s="84" t="s">
        <v>1001</v>
      </c>
      <c r="E22" s="120">
        <v>18750</v>
      </c>
      <c r="F22" s="121">
        <v>1177.3031249999999</v>
      </c>
      <c r="G22" s="122">
        <v>1.2871647222063538E-2</v>
      </c>
      <c r="H22" s="100"/>
    </row>
    <row r="23" spans="1:8" x14ac:dyDescent="0.2">
      <c r="A23" s="119">
        <v>17</v>
      </c>
      <c r="B23" s="84" t="s">
        <v>435</v>
      </c>
      <c r="C23" s="80" t="s">
        <v>942</v>
      </c>
      <c r="D23" s="84" t="s">
        <v>193</v>
      </c>
      <c r="E23" s="120">
        <v>22625</v>
      </c>
      <c r="F23" s="121">
        <v>1168.1513749999999</v>
      </c>
      <c r="G23" s="122">
        <v>1.2771589645588048E-2</v>
      </c>
      <c r="H23" s="100"/>
    </row>
    <row r="24" spans="1:8" x14ac:dyDescent="0.2">
      <c r="A24" s="119">
        <v>18</v>
      </c>
      <c r="B24" s="84" t="s">
        <v>12</v>
      </c>
      <c r="C24" s="80" t="s">
        <v>13</v>
      </c>
      <c r="D24" s="84" t="s">
        <v>14</v>
      </c>
      <c r="E24" s="120">
        <v>85500</v>
      </c>
      <c r="F24" s="121">
        <v>1146.08475</v>
      </c>
      <c r="G24" s="122">
        <v>1.2530331632804325E-2</v>
      </c>
      <c r="H24" s="100"/>
    </row>
    <row r="25" spans="1:8" x14ac:dyDescent="0.2">
      <c r="A25" s="119">
        <v>19</v>
      </c>
      <c r="B25" s="84" t="s">
        <v>144</v>
      </c>
      <c r="C25" s="80" t="s">
        <v>145</v>
      </c>
      <c r="D25" s="84" t="s">
        <v>146</v>
      </c>
      <c r="E25" s="120">
        <v>31600</v>
      </c>
      <c r="F25" s="121">
        <v>1083.3112000000001</v>
      </c>
      <c r="G25" s="122">
        <v>1.1844018164914255E-2</v>
      </c>
      <c r="H25" s="100"/>
    </row>
    <row r="26" spans="1:8" x14ac:dyDescent="0.2">
      <c r="A26" s="119">
        <v>20</v>
      </c>
      <c r="B26" s="84" t="s">
        <v>604</v>
      </c>
      <c r="C26" s="80" t="s">
        <v>605</v>
      </c>
      <c r="D26" s="84" t="s">
        <v>91</v>
      </c>
      <c r="E26" s="120">
        <v>24000</v>
      </c>
      <c r="F26" s="121">
        <v>920.1</v>
      </c>
      <c r="G26" s="122">
        <v>1.0059603476394969E-2</v>
      </c>
      <c r="H26" s="100"/>
    </row>
    <row r="27" spans="1:8" x14ac:dyDescent="0.2">
      <c r="A27" s="119">
        <v>21</v>
      </c>
      <c r="B27" s="84" t="s">
        <v>26</v>
      </c>
      <c r="C27" s="80" t="s">
        <v>27</v>
      </c>
      <c r="D27" s="84" t="s">
        <v>28</v>
      </c>
      <c r="E27" s="120">
        <v>100000</v>
      </c>
      <c r="F27" s="121">
        <v>915.9</v>
      </c>
      <c r="G27" s="122">
        <v>1.0013684190881592E-2</v>
      </c>
      <c r="H27" s="100"/>
    </row>
    <row r="28" spans="1:8" x14ac:dyDescent="0.2">
      <c r="A28" s="119">
        <v>22</v>
      </c>
      <c r="B28" s="84" t="s">
        <v>579</v>
      </c>
      <c r="C28" s="80" t="s">
        <v>580</v>
      </c>
      <c r="D28" s="84" t="s">
        <v>1009</v>
      </c>
      <c r="E28" s="120">
        <v>137200</v>
      </c>
      <c r="F28" s="121">
        <v>912.5172</v>
      </c>
      <c r="G28" s="122">
        <v>9.9766994863495304E-3</v>
      </c>
      <c r="H28" s="100"/>
    </row>
    <row r="29" spans="1:8" x14ac:dyDescent="0.2">
      <c r="A29" s="119">
        <v>23</v>
      </c>
      <c r="B29" s="84" t="s">
        <v>289</v>
      </c>
      <c r="C29" s="80" t="s">
        <v>290</v>
      </c>
      <c r="D29" s="84" t="s">
        <v>1009</v>
      </c>
      <c r="E29" s="120">
        <v>96000</v>
      </c>
      <c r="F29" s="121">
        <v>860.06399999999996</v>
      </c>
      <c r="G29" s="122">
        <v>9.4032200894708859E-3</v>
      </c>
      <c r="H29" s="100"/>
    </row>
    <row r="30" spans="1:8" x14ac:dyDescent="0.2">
      <c r="A30" s="119">
        <v>24</v>
      </c>
      <c r="B30" s="84" t="s">
        <v>69</v>
      </c>
      <c r="C30" s="80" t="s">
        <v>70</v>
      </c>
      <c r="D30" s="84" t="s">
        <v>17</v>
      </c>
      <c r="E30" s="120">
        <v>201000</v>
      </c>
      <c r="F30" s="121">
        <v>847.81799999999998</v>
      </c>
      <c r="G30" s="122">
        <v>9.2693325727097389E-3</v>
      </c>
      <c r="H30" s="100"/>
    </row>
    <row r="31" spans="1:8" x14ac:dyDescent="0.2">
      <c r="A31" s="119">
        <v>25</v>
      </c>
      <c r="B31" s="84" t="s">
        <v>423</v>
      </c>
      <c r="C31" s="80" t="s">
        <v>424</v>
      </c>
      <c r="D31" s="84" t="s">
        <v>22</v>
      </c>
      <c r="E31" s="120">
        <v>48100</v>
      </c>
      <c r="F31" s="121">
        <v>841.17280000000005</v>
      </c>
      <c r="G31" s="122">
        <v>9.1966795164970007E-3</v>
      </c>
      <c r="H31" s="100"/>
    </row>
    <row r="32" spans="1:8" x14ac:dyDescent="0.2">
      <c r="A32" s="119">
        <v>26</v>
      </c>
      <c r="B32" s="84" t="s">
        <v>301</v>
      </c>
      <c r="C32" s="80" t="s">
        <v>302</v>
      </c>
      <c r="D32" s="84" t="s">
        <v>58</v>
      </c>
      <c r="E32" s="120">
        <v>82000</v>
      </c>
      <c r="F32" s="121">
        <v>784.86300000000006</v>
      </c>
      <c r="G32" s="122">
        <v>8.5810352823538581E-3</v>
      </c>
      <c r="H32" s="100"/>
    </row>
    <row r="33" spans="1:8" x14ac:dyDescent="0.2">
      <c r="A33" s="119">
        <v>27</v>
      </c>
      <c r="B33" s="84" t="s">
        <v>401</v>
      </c>
      <c r="C33" s="80" t="s">
        <v>402</v>
      </c>
      <c r="D33" s="84" t="s">
        <v>91</v>
      </c>
      <c r="E33" s="120">
        <v>102000</v>
      </c>
      <c r="F33" s="121">
        <v>767.601</v>
      </c>
      <c r="G33" s="122">
        <v>8.3923070188938759E-3</v>
      </c>
      <c r="H33" s="100"/>
    </row>
    <row r="34" spans="1:8" x14ac:dyDescent="0.2">
      <c r="A34" s="119">
        <v>28</v>
      </c>
      <c r="B34" s="84" t="s">
        <v>311</v>
      </c>
      <c r="C34" s="80" t="s">
        <v>312</v>
      </c>
      <c r="D34" s="84" t="s">
        <v>313</v>
      </c>
      <c r="E34" s="120">
        <v>30000</v>
      </c>
      <c r="F34" s="121">
        <v>753.495</v>
      </c>
      <c r="G34" s="122">
        <v>8.2380838185482311E-3</v>
      </c>
      <c r="H34" s="100"/>
    </row>
    <row r="35" spans="1:8" ht="25.5" x14ac:dyDescent="0.2">
      <c r="A35" s="119">
        <v>29</v>
      </c>
      <c r="B35" s="84" t="s">
        <v>973</v>
      </c>
      <c r="C35" s="84" t="s">
        <v>1000</v>
      </c>
      <c r="D35" s="84" t="s">
        <v>1011</v>
      </c>
      <c r="E35" s="120">
        <v>750200</v>
      </c>
      <c r="F35" s="121">
        <v>750.19999999999993</v>
      </c>
      <c r="G35" s="122">
        <v>8.2020590457466645E-3</v>
      </c>
      <c r="H35" s="100"/>
    </row>
    <row r="36" spans="1:8" x14ac:dyDescent="0.2">
      <c r="A36" s="119">
        <v>30</v>
      </c>
      <c r="B36" s="84" t="s">
        <v>328</v>
      </c>
      <c r="C36" s="80" t="s">
        <v>953</v>
      </c>
      <c r="D36" s="84" t="s">
        <v>28</v>
      </c>
      <c r="E36" s="120">
        <v>14050</v>
      </c>
      <c r="F36" s="121">
        <v>735.29269999999997</v>
      </c>
      <c r="G36" s="122">
        <v>8.0390751017148602E-3</v>
      </c>
      <c r="H36" s="100"/>
    </row>
    <row r="37" spans="1:8" ht="25.5" x14ac:dyDescent="0.2">
      <c r="A37" s="119">
        <v>31</v>
      </c>
      <c r="B37" s="84" t="s">
        <v>324</v>
      </c>
      <c r="C37" s="80" t="s">
        <v>325</v>
      </c>
      <c r="D37" s="84" t="s">
        <v>58</v>
      </c>
      <c r="E37" s="120">
        <v>186000</v>
      </c>
      <c r="F37" s="121">
        <v>715.91399999999999</v>
      </c>
      <c r="G37" s="122">
        <v>7.8272046116724565E-3</v>
      </c>
      <c r="H37" s="100"/>
    </row>
    <row r="38" spans="1:8" x14ac:dyDescent="0.2">
      <c r="A38" s="119">
        <v>32</v>
      </c>
      <c r="B38" s="84" t="s">
        <v>494</v>
      </c>
      <c r="C38" s="80" t="s">
        <v>495</v>
      </c>
      <c r="D38" s="84" t="s">
        <v>151</v>
      </c>
      <c r="E38" s="120">
        <v>74200</v>
      </c>
      <c r="F38" s="121">
        <v>712.61680000000001</v>
      </c>
      <c r="G38" s="122">
        <v>7.7911557859118123E-3</v>
      </c>
      <c r="H38" s="100"/>
    </row>
    <row r="39" spans="1:8" ht="25.5" x14ac:dyDescent="0.2">
      <c r="A39" s="119">
        <v>33</v>
      </c>
      <c r="B39" s="84" t="s">
        <v>346</v>
      </c>
      <c r="C39" s="80" t="s">
        <v>939</v>
      </c>
      <c r="D39" s="84" t="s">
        <v>73</v>
      </c>
      <c r="E39" s="120">
        <v>103850</v>
      </c>
      <c r="F39" s="121">
        <v>695.27575000000002</v>
      </c>
      <c r="G39" s="122">
        <v>7.6015632558994886E-3</v>
      </c>
      <c r="H39" s="100"/>
    </row>
    <row r="40" spans="1:8" x14ac:dyDescent="0.2">
      <c r="A40" s="119">
        <v>34</v>
      </c>
      <c r="B40" s="84" t="s">
        <v>356</v>
      </c>
      <c r="C40" s="80" t="s">
        <v>357</v>
      </c>
      <c r="D40" s="84" t="s">
        <v>151</v>
      </c>
      <c r="E40" s="120">
        <v>77000</v>
      </c>
      <c r="F40" s="121">
        <v>692.19150000000002</v>
      </c>
      <c r="G40" s="122">
        <v>7.5678426472460042E-3</v>
      </c>
      <c r="H40" s="100"/>
    </row>
    <row r="41" spans="1:8" x14ac:dyDescent="0.2">
      <c r="A41" s="119">
        <v>35</v>
      </c>
      <c r="B41" s="84" t="s">
        <v>413</v>
      </c>
      <c r="C41" s="80" t="s">
        <v>414</v>
      </c>
      <c r="D41" s="84" t="s">
        <v>47</v>
      </c>
      <c r="E41" s="120">
        <v>60000</v>
      </c>
      <c r="F41" s="121">
        <v>620.4</v>
      </c>
      <c r="G41" s="122">
        <v>6.7829344601189421E-3</v>
      </c>
      <c r="H41" s="100"/>
    </row>
    <row r="42" spans="1:8" ht="25.5" x14ac:dyDescent="0.2">
      <c r="A42" s="119">
        <v>36</v>
      </c>
      <c r="B42" s="84" t="s">
        <v>419</v>
      </c>
      <c r="C42" s="80" t="s">
        <v>420</v>
      </c>
      <c r="D42" s="84" t="s">
        <v>1009</v>
      </c>
      <c r="E42" s="120">
        <v>40250</v>
      </c>
      <c r="F42" s="121">
        <v>569.13499999999999</v>
      </c>
      <c r="G42" s="122">
        <v>6.2224458477752971E-3</v>
      </c>
      <c r="H42" s="100"/>
    </row>
    <row r="43" spans="1:8" x14ac:dyDescent="0.2">
      <c r="A43" s="119">
        <v>37</v>
      </c>
      <c r="B43" s="84" t="s">
        <v>200</v>
      </c>
      <c r="C43" s="80" t="s">
        <v>201</v>
      </c>
      <c r="D43" s="84" t="s">
        <v>1003</v>
      </c>
      <c r="E43" s="120">
        <v>90000</v>
      </c>
      <c r="F43" s="121">
        <v>565.47</v>
      </c>
      <c r="G43" s="122">
        <v>6.1823758045832667E-3</v>
      </c>
      <c r="H43" s="100"/>
    </row>
    <row r="44" spans="1:8" x14ac:dyDescent="0.2">
      <c r="A44" s="119">
        <v>38</v>
      </c>
      <c r="B44" s="84" t="s">
        <v>76</v>
      </c>
      <c r="C44" s="80" t="s">
        <v>77</v>
      </c>
      <c r="D44" s="84" t="s">
        <v>78</v>
      </c>
      <c r="E44" s="120">
        <v>400000</v>
      </c>
      <c r="F44" s="121">
        <v>548.79999999999995</v>
      </c>
      <c r="G44" s="122">
        <v>6.0001199737480257E-3</v>
      </c>
      <c r="H44" s="100"/>
    </row>
    <row r="45" spans="1:8" ht="25.5" x14ac:dyDescent="0.2">
      <c r="A45" s="119">
        <v>39</v>
      </c>
      <c r="B45" s="84" t="s">
        <v>326</v>
      </c>
      <c r="C45" s="80" t="s">
        <v>327</v>
      </c>
      <c r="D45" s="84" t="s">
        <v>73</v>
      </c>
      <c r="E45" s="120">
        <v>55000</v>
      </c>
      <c r="F45" s="121">
        <v>522.80250000000001</v>
      </c>
      <c r="G45" s="122">
        <v>5.7158850630018273E-3</v>
      </c>
      <c r="H45" s="100"/>
    </row>
    <row r="46" spans="1:8" ht="25.5" x14ac:dyDescent="0.2">
      <c r="A46" s="119">
        <v>40</v>
      </c>
      <c r="B46" s="84" t="s">
        <v>18</v>
      </c>
      <c r="C46" s="80" t="s">
        <v>19</v>
      </c>
      <c r="D46" s="84" t="s">
        <v>1001</v>
      </c>
      <c r="E46" s="120">
        <v>47500</v>
      </c>
      <c r="F46" s="121">
        <v>468.11250000000001</v>
      </c>
      <c r="G46" s="122">
        <v>5.1179503666383443E-3</v>
      </c>
      <c r="H46" s="100"/>
    </row>
    <row r="47" spans="1:8" x14ac:dyDescent="0.2">
      <c r="A47" s="119">
        <v>41</v>
      </c>
      <c r="B47" s="84" t="s">
        <v>354</v>
      </c>
      <c r="C47" s="80" t="s">
        <v>355</v>
      </c>
      <c r="D47" s="84" t="s">
        <v>63</v>
      </c>
      <c r="E47" s="120">
        <v>78150</v>
      </c>
      <c r="F47" s="121">
        <v>461.00684999999999</v>
      </c>
      <c r="G47" s="122">
        <v>5.040263135422122E-3</v>
      </c>
      <c r="H47" s="100"/>
    </row>
    <row r="48" spans="1:8" x14ac:dyDescent="0.2">
      <c r="A48" s="119">
        <v>42</v>
      </c>
      <c r="B48" s="84" t="s">
        <v>407</v>
      </c>
      <c r="C48" s="80" t="s">
        <v>408</v>
      </c>
      <c r="D48" s="84" t="s">
        <v>193</v>
      </c>
      <c r="E48" s="120">
        <v>70000</v>
      </c>
      <c r="F48" s="121">
        <v>458.11500000000001</v>
      </c>
      <c r="G48" s="122">
        <v>5.0086460673716788E-3</v>
      </c>
      <c r="H48" s="100"/>
    </row>
    <row r="49" spans="1:8" x14ac:dyDescent="0.2">
      <c r="A49" s="119">
        <v>43</v>
      </c>
      <c r="B49" s="84" t="s">
        <v>320</v>
      </c>
      <c r="C49" s="80" t="s">
        <v>321</v>
      </c>
      <c r="D49" s="84" t="s">
        <v>47</v>
      </c>
      <c r="E49" s="120">
        <v>100000</v>
      </c>
      <c r="F49" s="121">
        <v>441.5</v>
      </c>
      <c r="G49" s="122">
        <v>4.8269915605133997E-3</v>
      </c>
      <c r="H49" s="100"/>
    </row>
    <row r="50" spans="1:8" ht="25.5" x14ac:dyDescent="0.2">
      <c r="A50" s="119">
        <v>44</v>
      </c>
      <c r="B50" s="84" t="s">
        <v>389</v>
      </c>
      <c r="C50" s="76" t="s">
        <v>1017</v>
      </c>
      <c r="D50" s="76" t="s">
        <v>272</v>
      </c>
      <c r="E50" s="120">
        <v>296750</v>
      </c>
      <c r="F50" s="121">
        <v>431.02937500000002</v>
      </c>
      <c r="G50" s="122">
        <v>4.7125145083994685E-3</v>
      </c>
      <c r="H50" s="100"/>
    </row>
    <row r="51" spans="1:8" x14ac:dyDescent="0.2">
      <c r="A51" s="119">
        <v>45</v>
      </c>
      <c r="B51" s="84" t="s">
        <v>367</v>
      </c>
      <c r="C51" s="80" t="s">
        <v>368</v>
      </c>
      <c r="D51" s="84" t="s">
        <v>22</v>
      </c>
      <c r="E51" s="120">
        <v>640000</v>
      </c>
      <c r="F51" s="121">
        <v>427.2</v>
      </c>
      <c r="G51" s="122">
        <v>4.6706473265035655E-3</v>
      </c>
      <c r="H51" s="100"/>
    </row>
    <row r="52" spans="1:8" x14ac:dyDescent="0.2">
      <c r="A52" s="119">
        <v>46</v>
      </c>
      <c r="B52" s="84" t="s">
        <v>417</v>
      </c>
      <c r="C52" s="80" t="s">
        <v>418</v>
      </c>
      <c r="D52" s="84" t="s">
        <v>193</v>
      </c>
      <c r="E52" s="120">
        <v>10200</v>
      </c>
      <c r="F52" s="121">
        <v>414.35969999999998</v>
      </c>
      <c r="G52" s="122">
        <v>4.5302622308422743E-3</v>
      </c>
      <c r="H52" s="100"/>
    </row>
    <row r="53" spans="1:8" x14ac:dyDescent="0.2">
      <c r="A53" s="119">
        <v>47</v>
      </c>
      <c r="B53" s="84" t="s">
        <v>382</v>
      </c>
      <c r="C53" s="80" t="s">
        <v>383</v>
      </c>
      <c r="D53" s="84" t="s">
        <v>1009</v>
      </c>
      <c r="E53" s="120">
        <v>3750</v>
      </c>
      <c r="F53" s="121">
        <v>414.06187499999999</v>
      </c>
      <c r="G53" s="122">
        <v>4.5270060615070313E-3</v>
      </c>
      <c r="H53" s="100"/>
    </row>
    <row r="54" spans="1:8" ht="25.5" x14ac:dyDescent="0.2">
      <c r="A54" s="119">
        <v>48</v>
      </c>
      <c r="B54" s="84" t="s">
        <v>421</v>
      </c>
      <c r="C54" s="80" t="s">
        <v>422</v>
      </c>
      <c r="D54" s="84" t="s">
        <v>73</v>
      </c>
      <c r="E54" s="120">
        <v>186400</v>
      </c>
      <c r="F54" s="121">
        <v>377.64640000000003</v>
      </c>
      <c r="G54" s="122">
        <v>4.1288697296903007E-3</v>
      </c>
      <c r="H54" s="100"/>
    </row>
    <row r="55" spans="1:8" x14ac:dyDescent="0.2">
      <c r="A55" s="119">
        <v>49</v>
      </c>
      <c r="B55" s="84" t="s">
        <v>235</v>
      </c>
      <c r="C55" s="80" t="s">
        <v>236</v>
      </c>
      <c r="D55" s="84" t="s">
        <v>1005</v>
      </c>
      <c r="E55" s="120">
        <v>86000</v>
      </c>
      <c r="F55" s="121">
        <v>375.94900000000001</v>
      </c>
      <c r="G55" s="122">
        <v>4.1103117784449649E-3</v>
      </c>
      <c r="H55" s="100"/>
    </row>
    <row r="56" spans="1:8" x14ac:dyDescent="0.2">
      <c r="A56" s="119">
        <v>50</v>
      </c>
      <c r="B56" s="84" t="s">
        <v>309</v>
      </c>
      <c r="C56" s="80" t="s">
        <v>310</v>
      </c>
      <c r="D56" s="84" t="s">
        <v>58</v>
      </c>
      <c r="E56" s="120">
        <v>15400</v>
      </c>
      <c r="F56" s="121">
        <v>342.10329999999999</v>
      </c>
      <c r="G56" s="122">
        <v>3.7402712161354102E-3</v>
      </c>
      <c r="H56" s="100"/>
    </row>
    <row r="57" spans="1:8" x14ac:dyDescent="0.2">
      <c r="A57" s="119">
        <v>51</v>
      </c>
      <c r="B57" s="84" t="s">
        <v>303</v>
      </c>
      <c r="C57" s="80" t="s">
        <v>304</v>
      </c>
      <c r="D57" s="84" t="s">
        <v>22</v>
      </c>
      <c r="E57" s="120">
        <v>34000</v>
      </c>
      <c r="F57" s="121">
        <v>341.46199999999999</v>
      </c>
      <c r="G57" s="122">
        <v>3.7332597785640462E-3</v>
      </c>
      <c r="H57" s="100"/>
    </row>
    <row r="58" spans="1:8" x14ac:dyDescent="0.2">
      <c r="A58" s="119">
        <v>52</v>
      </c>
      <c r="B58" s="84" t="s">
        <v>371</v>
      </c>
      <c r="C58" s="80" t="s">
        <v>372</v>
      </c>
      <c r="D58" s="84" t="s">
        <v>58</v>
      </c>
      <c r="E58" s="120">
        <v>551000</v>
      </c>
      <c r="F58" s="121">
        <v>330.04899999999998</v>
      </c>
      <c r="G58" s="122">
        <v>3.6084795867630508E-3</v>
      </c>
      <c r="H58" s="100"/>
    </row>
    <row r="59" spans="1:8" x14ac:dyDescent="0.2">
      <c r="A59" s="119">
        <v>53</v>
      </c>
      <c r="B59" s="84" t="s">
        <v>425</v>
      </c>
      <c r="C59" s="80" t="s">
        <v>426</v>
      </c>
      <c r="D59" s="84" t="s">
        <v>427</v>
      </c>
      <c r="E59" s="120">
        <v>90000</v>
      </c>
      <c r="F59" s="121">
        <v>327.96</v>
      </c>
      <c r="G59" s="122">
        <v>3.5856402088017543E-3</v>
      </c>
      <c r="H59" s="100"/>
    </row>
    <row r="60" spans="1:8" x14ac:dyDescent="0.2">
      <c r="A60" s="119">
        <v>54</v>
      </c>
      <c r="B60" s="84" t="s">
        <v>570</v>
      </c>
      <c r="C60" s="80" t="s">
        <v>571</v>
      </c>
      <c r="D60" s="84" t="s">
        <v>58</v>
      </c>
      <c r="E60" s="120">
        <v>30000</v>
      </c>
      <c r="F60" s="121">
        <v>323.41500000000002</v>
      </c>
      <c r="G60" s="122">
        <v>3.5359489819783495E-3</v>
      </c>
      <c r="H60" s="100"/>
    </row>
    <row r="61" spans="1:8" x14ac:dyDescent="0.2">
      <c r="A61" s="119">
        <v>55</v>
      </c>
      <c r="B61" s="84" t="s">
        <v>433</v>
      </c>
      <c r="C61" s="80" t="s">
        <v>434</v>
      </c>
      <c r="D61" s="84" t="s">
        <v>193</v>
      </c>
      <c r="E61" s="120">
        <v>35500</v>
      </c>
      <c r="F61" s="121">
        <v>323.17424999999997</v>
      </c>
      <c r="G61" s="122">
        <v>3.5333168229337427E-3</v>
      </c>
      <c r="H61" s="100"/>
    </row>
    <row r="62" spans="1:8" x14ac:dyDescent="0.2">
      <c r="A62" s="119">
        <v>56</v>
      </c>
      <c r="B62" s="84" t="s">
        <v>338</v>
      </c>
      <c r="C62" s="80" t="s">
        <v>339</v>
      </c>
      <c r="D62" s="84" t="s">
        <v>193</v>
      </c>
      <c r="E62" s="120">
        <v>11500</v>
      </c>
      <c r="F62" s="121">
        <v>319.87824999999998</v>
      </c>
      <c r="G62" s="122">
        <v>3.4972811169689589E-3</v>
      </c>
      <c r="H62" s="100"/>
    </row>
    <row r="63" spans="1:8" x14ac:dyDescent="0.2">
      <c r="A63" s="119">
        <v>57</v>
      </c>
      <c r="B63" s="84" t="s">
        <v>177</v>
      </c>
      <c r="C63" s="80" t="s">
        <v>178</v>
      </c>
      <c r="D63" s="84" t="s">
        <v>47</v>
      </c>
      <c r="E63" s="120">
        <v>28300</v>
      </c>
      <c r="F63" s="121">
        <v>298.76310000000001</v>
      </c>
      <c r="G63" s="122">
        <v>3.2664257356575786E-3</v>
      </c>
      <c r="H63" s="100"/>
    </row>
    <row r="64" spans="1:8" x14ac:dyDescent="0.2">
      <c r="A64" s="119">
        <v>58</v>
      </c>
      <c r="B64" s="84" t="s">
        <v>640</v>
      </c>
      <c r="C64" s="80" t="s">
        <v>641</v>
      </c>
      <c r="D64" s="84" t="s">
        <v>313</v>
      </c>
      <c r="E64" s="120">
        <v>44200</v>
      </c>
      <c r="F64" s="121">
        <v>268.24979999999999</v>
      </c>
      <c r="G64" s="122">
        <v>2.9328188464539237E-3</v>
      </c>
      <c r="H64" s="100"/>
    </row>
    <row r="65" spans="1:8" x14ac:dyDescent="0.2">
      <c r="A65" s="119">
        <v>59</v>
      </c>
      <c r="B65" s="84" t="s">
        <v>358</v>
      </c>
      <c r="C65" s="80" t="s">
        <v>359</v>
      </c>
      <c r="D65" s="84" t="s">
        <v>156</v>
      </c>
      <c r="E65" s="120">
        <v>22500</v>
      </c>
      <c r="F65" s="121">
        <v>253.65375</v>
      </c>
      <c r="G65" s="122">
        <v>2.7732378494735579E-3</v>
      </c>
      <c r="H65" s="100"/>
    </row>
    <row r="66" spans="1:8" x14ac:dyDescent="0.2">
      <c r="A66" s="119">
        <v>60</v>
      </c>
      <c r="B66" s="84" t="s">
        <v>344</v>
      </c>
      <c r="C66" s="80" t="s">
        <v>345</v>
      </c>
      <c r="D66" s="84" t="s">
        <v>1002</v>
      </c>
      <c r="E66" s="120">
        <v>191600</v>
      </c>
      <c r="F66" s="121">
        <v>252.43299999999999</v>
      </c>
      <c r="G66" s="122">
        <v>2.75989119047583E-3</v>
      </c>
      <c r="H66" s="100"/>
    </row>
    <row r="67" spans="1:8" x14ac:dyDescent="0.2">
      <c r="A67" s="119">
        <v>61</v>
      </c>
      <c r="B67" s="84" t="s">
        <v>241</v>
      </c>
      <c r="C67" s="80" t="s">
        <v>242</v>
      </c>
      <c r="D67" s="84" t="s">
        <v>163</v>
      </c>
      <c r="E67" s="120">
        <v>41000</v>
      </c>
      <c r="F67" s="121">
        <v>244.196</v>
      </c>
      <c r="G67" s="122">
        <v>2.6698347250535223E-3</v>
      </c>
      <c r="H67" s="100"/>
    </row>
    <row r="68" spans="1:8" x14ac:dyDescent="0.2">
      <c r="A68" s="119">
        <v>62</v>
      </c>
      <c r="B68" s="84" t="s">
        <v>307</v>
      </c>
      <c r="C68" s="80" t="s">
        <v>308</v>
      </c>
      <c r="D68" s="84" t="s">
        <v>193</v>
      </c>
      <c r="E68" s="120">
        <v>11000</v>
      </c>
      <c r="F68" s="121">
        <v>231.583</v>
      </c>
      <c r="G68" s="122">
        <v>2.5319347373915619E-3</v>
      </c>
      <c r="H68" s="100"/>
    </row>
    <row r="69" spans="1:8" ht="25.5" x14ac:dyDescent="0.2">
      <c r="A69" s="119">
        <v>63</v>
      </c>
      <c r="B69" s="84" t="s">
        <v>87</v>
      </c>
      <c r="C69" s="80" t="s">
        <v>88</v>
      </c>
      <c r="D69" s="84" t="s">
        <v>63</v>
      </c>
      <c r="E69" s="120">
        <v>30000</v>
      </c>
      <c r="F69" s="121">
        <v>219.01499999999999</v>
      </c>
      <c r="G69" s="122">
        <v>2.3945267420743877E-3</v>
      </c>
      <c r="H69" s="100"/>
    </row>
    <row r="70" spans="1:8" x14ac:dyDescent="0.2">
      <c r="A70" s="119">
        <v>64</v>
      </c>
      <c r="B70" s="84" t="s">
        <v>212</v>
      </c>
      <c r="C70" s="80" t="s">
        <v>213</v>
      </c>
      <c r="D70" s="84" t="s">
        <v>38</v>
      </c>
      <c r="E70" s="120">
        <v>20000</v>
      </c>
      <c r="F70" s="121">
        <v>143.38</v>
      </c>
      <c r="G70" s="122">
        <v>1.5675969421209768E-3</v>
      </c>
      <c r="H70" s="100"/>
    </row>
    <row r="71" spans="1:8" ht="25.5" x14ac:dyDescent="0.2">
      <c r="A71" s="119">
        <v>65</v>
      </c>
      <c r="B71" s="84" t="s">
        <v>287</v>
      </c>
      <c r="C71" s="80" t="s">
        <v>288</v>
      </c>
      <c r="D71" s="84" t="s">
        <v>156</v>
      </c>
      <c r="E71" s="120">
        <v>15000</v>
      </c>
      <c r="F71" s="121">
        <v>85.762500000000003</v>
      </c>
      <c r="G71" s="122">
        <v>9.3765541043834761E-4</v>
      </c>
      <c r="H71" s="100"/>
    </row>
    <row r="72" spans="1:8" x14ac:dyDescent="0.2">
      <c r="A72" s="129" t="s">
        <v>9</v>
      </c>
      <c r="B72" s="129" t="s">
        <v>9</v>
      </c>
      <c r="C72" s="88" t="s">
        <v>94</v>
      </c>
      <c r="D72" s="129" t="s">
        <v>9</v>
      </c>
      <c r="E72" s="129" t="s">
        <v>9</v>
      </c>
      <c r="F72" s="123">
        <f>SUM(F7:F71)</f>
        <v>64790.796856499983</v>
      </c>
      <c r="G72" s="124">
        <f>SUM(G7:G71)</f>
        <v>0.70836835702211465</v>
      </c>
      <c r="H72" s="100"/>
    </row>
    <row r="73" spans="1:8" x14ac:dyDescent="0.2">
      <c r="A73" s="129" t="s">
        <v>9</v>
      </c>
      <c r="B73" s="129" t="s">
        <v>9</v>
      </c>
      <c r="C73" s="125" t="s">
        <v>9</v>
      </c>
      <c r="D73" s="129" t="s">
        <v>9</v>
      </c>
      <c r="E73" s="129" t="s">
        <v>9</v>
      </c>
      <c r="F73" s="126" t="s">
        <v>9</v>
      </c>
      <c r="G73" s="126" t="s">
        <v>9</v>
      </c>
      <c r="H73" s="100"/>
    </row>
    <row r="74" spans="1:8" x14ac:dyDescent="0.2">
      <c r="A74" s="129" t="s">
        <v>9</v>
      </c>
      <c r="B74" s="129" t="s">
        <v>9</v>
      </c>
      <c r="C74" s="88" t="s">
        <v>95</v>
      </c>
      <c r="D74" s="129" t="s">
        <v>9</v>
      </c>
      <c r="E74" s="129" t="s">
        <v>9</v>
      </c>
      <c r="F74" s="129" t="s">
        <v>9</v>
      </c>
      <c r="G74" s="129" t="s">
        <v>9</v>
      </c>
      <c r="H74" s="100"/>
    </row>
    <row r="75" spans="1:8" x14ac:dyDescent="0.2">
      <c r="A75" s="129" t="s">
        <v>9</v>
      </c>
      <c r="B75" s="129" t="s">
        <v>9</v>
      </c>
      <c r="C75" s="88" t="s">
        <v>94</v>
      </c>
      <c r="D75" s="129" t="s">
        <v>9</v>
      </c>
      <c r="E75" s="129" t="s">
        <v>9</v>
      </c>
      <c r="F75" s="127">
        <v>0</v>
      </c>
      <c r="G75" s="128">
        <v>0</v>
      </c>
      <c r="H75" s="100"/>
    </row>
    <row r="76" spans="1:8" x14ac:dyDescent="0.2">
      <c r="A76" s="129" t="s">
        <v>9</v>
      </c>
      <c r="B76" s="129" t="s">
        <v>9</v>
      </c>
      <c r="C76" s="125" t="s">
        <v>9</v>
      </c>
      <c r="D76" s="129" t="s">
        <v>9</v>
      </c>
      <c r="E76" s="129" t="s">
        <v>9</v>
      </c>
      <c r="F76" s="126" t="s">
        <v>9</v>
      </c>
      <c r="G76" s="126" t="s">
        <v>9</v>
      </c>
      <c r="H76" s="100"/>
    </row>
    <row r="77" spans="1:8" x14ac:dyDescent="0.2">
      <c r="A77" s="129" t="s">
        <v>9</v>
      </c>
      <c r="B77" s="129" t="s">
        <v>9</v>
      </c>
      <c r="C77" s="88" t="s">
        <v>96</v>
      </c>
      <c r="D77" s="129" t="s">
        <v>9</v>
      </c>
      <c r="E77" s="129" t="s">
        <v>9</v>
      </c>
      <c r="F77" s="129" t="s">
        <v>9</v>
      </c>
      <c r="G77" s="129" t="s">
        <v>9</v>
      </c>
      <c r="H77" s="100"/>
    </row>
    <row r="78" spans="1:8" x14ac:dyDescent="0.2">
      <c r="A78" s="129" t="s">
        <v>9</v>
      </c>
      <c r="B78" s="129" t="s">
        <v>9</v>
      </c>
      <c r="C78" s="88" t="s">
        <v>94</v>
      </c>
      <c r="D78" s="129" t="s">
        <v>9</v>
      </c>
      <c r="E78" s="129" t="s">
        <v>9</v>
      </c>
      <c r="F78" s="127">
        <v>0</v>
      </c>
      <c r="G78" s="128">
        <v>0</v>
      </c>
      <c r="H78" s="100"/>
    </row>
    <row r="79" spans="1:8" x14ac:dyDescent="0.2">
      <c r="A79" s="129" t="s">
        <v>9</v>
      </c>
      <c r="B79" s="129" t="s">
        <v>9</v>
      </c>
      <c r="C79" s="125" t="s">
        <v>9</v>
      </c>
      <c r="D79" s="129" t="s">
        <v>9</v>
      </c>
      <c r="E79" s="129" t="s">
        <v>9</v>
      </c>
      <c r="F79" s="126" t="s">
        <v>9</v>
      </c>
      <c r="G79" s="126" t="s">
        <v>9</v>
      </c>
      <c r="H79" s="100"/>
    </row>
    <row r="80" spans="1:8" x14ac:dyDescent="0.2">
      <c r="A80" s="129" t="s">
        <v>9</v>
      </c>
      <c r="B80" s="129" t="s">
        <v>9</v>
      </c>
      <c r="C80" s="88" t="s">
        <v>100</v>
      </c>
      <c r="D80" s="129" t="s">
        <v>9</v>
      </c>
      <c r="E80" s="129" t="s">
        <v>9</v>
      </c>
      <c r="F80" s="129" t="s">
        <v>9</v>
      </c>
      <c r="G80" s="129" t="s">
        <v>9</v>
      </c>
      <c r="H80" s="100"/>
    </row>
    <row r="81" spans="1:8" x14ac:dyDescent="0.2">
      <c r="A81" s="129" t="s">
        <v>9</v>
      </c>
      <c r="B81" s="129" t="s">
        <v>9</v>
      </c>
      <c r="C81" s="88" t="s">
        <v>94</v>
      </c>
      <c r="D81" s="129" t="s">
        <v>9</v>
      </c>
      <c r="E81" s="129" t="s">
        <v>9</v>
      </c>
      <c r="F81" s="123">
        <v>0</v>
      </c>
      <c r="G81" s="124">
        <v>0</v>
      </c>
      <c r="H81" s="100"/>
    </row>
    <row r="82" spans="1:8" x14ac:dyDescent="0.2">
      <c r="A82" s="129" t="s">
        <v>9</v>
      </c>
      <c r="B82" s="129" t="s">
        <v>9</v>
      </c>
      <c r="C82" s="125" t="s">
        <v>9</v>
      </c>
      <c r="D82" s="129" t="s">
        <v>9</v>
      </c>
      <c r="E82" s="129" t="s">
        <v>9</v>
      </c>
      <c r="F82" s="126" t="s">
        <v>9</v>
      </c>
      <c r="G82" s="126" t="s">
        <v>9</v>
      </c>
      <c r="H82" s="100"/>
    </row>
    <row r="83" spans="1:8" x14ac:dyDescent="0.2">
      <c r="A83" s="129" t="s">
        <v>9</v>
      </c>
      <c r="B83" s="129" t="s">
        <v>9</v>
      </c>
      <c r="C83" s="88" t="s">
        <v>101</v>
      </c>
      <c r="D83" s="129" t="s">
        <v>9</v>
      </c>
      <c r="E83" s="129" t="s">
        <v>9</v>
      </c>
      <c r="F83" s="126" t="s">
        <v>9</v>
      </c>
      <c r="G83" s="126" t="s">
        <v>9</v>
      </c>
      <c r="H83" s="100"/>
    </row>
    <row r="84" spans="1:8" s="166" customFormat="1" ht="25.5" x14ac:dyDescent="0.2">
      <c r="A84" s="83">
        <v>1</v>
      </c>
      <c r="B84" s="80" t="s">
        <v>970</v>
      </c>
      <c r="C84" s="80" t="s">
        <v>971</v>
      </c>
      <c r="D84" s="80" t="s">
        <v>156</v>
      </c>
      <c r="E84" s="81">
        <v>2400</v>
      </c>
      <c r="F84" s="82">
        <v>17.666399999999999</v>
      </c>
      <c r="G84" s="122">
        <v>1.9314963466512779E-4</v>
      </c>
      <c r="H84" s="100"/>
    </row>
    <row r="85" spans="1:8" x14ac:dyDescent="0.2">
      <c r="A85" s="129" t="s">
        <v>9</v>
      </c>
      <c r="B85" s="129" t="s">
        <v>9</v>
      </c>
      <c r="C85" s="88" t="s">
        <v>94</v>
      </c>
      <c r="D85" s="129" t="s">
        <v>9</v>
      </c>
      <c r="E85" s="129" t="s">
        <v>9</v>
      </c>
      <c r="F85" s="127">
        <v>17.666399999999999</v>
      </c>
      <c r="G85" s="128">
        <v>1.9314963466512779E-4</v>
      </c>
      <c r="H85" s="100"/>
    </row>
    <row r="86" spans="1:8" x14ac:dyDescent="0.2">
      <c r="A86" s="129" t="s">
        <v>9</v>
      </c>
      <c r="B86" s="129" t="s">
        <v>9</v>
      </c>
      <c r="C86" s="125" t="s">
        <v>9</v>
      </c>
      <c r="D86" s="129" t="s">
        <v>9</v>
      </c>
      <c r="E86" s="129" t="s">
        <v>9</v>
      </c>
      <c r="F86" s="126" t="s">
        <v>9</v>
      </c>
      <c r="G86" s="126" t="s">
        <v>9</v>
      </c>
      <c r="H86" s="100"/>
    </row>
    <row r="87" spans="1:8" x14ac:dyDescent="0.2">
      <c r="A87" s="129" t="s">
        <v>9</v>
      </c>
      <c r="B87" s="129" t="s">
        <v>9</v>
      </c>
      <c r="C87" s="88" t="s">
        <v>102</v>
      </c>
      <c r="D87" s="129" t="s">
        <v>9</v>
      </c>
      <c r="E87" s="129" t="s">
        <v>9</v>
      </c>
      <c r="F87" s="126" t="s">
        <v>9</v>
      </c>
      <c r="G87" s="126" t="s">
        <v>9</v>
      </c>
      <c r="H87" s="100"/>
    </row>
    <row r="88" spans="1:8" x14ac:dyDescent="0.2">
      <c r="A88" s="119">
        <v>1</v>
      </c>
      <c r="B88" s="80"/>
      <c r="C88" s="84" t="s">
        <v>884</v>
      </c>
      <c r="D88" s="84" t="s">
        <v>103</v>
      </c>
      <c r="E88" s="120">
        <v>-22000</v>
      </c>
      <c r="F88" s="121">
        <v>-211.15600000000001</v>
      </c>
      <c r="G88" s="122">
        <v>-2.3086030123482841E-3</v>
      </c>
      <c r="H88" s="100"/>
    </row>
    <row r="89" spans="1:8" x14ac:dyDescent="0.2">
      <c r="A89" s="119">
        <v>2</v>
      </c>
      <c r="B89" s="80"/>
      <c r="C89" s="84" t="s">
        <v>885</v>
      </c>
      <c r="D89" s="84" t="s">
        <v>103</v>
      </c>
      <c r="E89" s="120">
        <v>-30000</v>
      </c>
      <c r="F89" s="121">
        <v>-220.53</v>
      </c>
      <c r="G89" s="122">
        <v>-2.4110904843488564E-3</v>
      </c>
      <c r="H89" s="100"/>
    </row>
    <row r="90" spans="1:8" ht="25.5" x14ac:dyDescent="0.2">
      <c r="A90" s="119">
        <v>3</v>
      </c>
      <c r="B90" s="80"/>
      <c r="C90" s="84" t="s">
        <v>1014</v>
      </c>
      <c r="D90" s="84" t="s">
        <v>103</v>
      </c>
      <c r="E90" s="120">
        <v>-33750</v>
      </c>
      <c r="F90" s="121">
        <v>-226.37812500000001</v>
      </c>
      <c r="G90" s="122">
        <v>-2.4750289894900283E-3</v>
      </c>
      <c r="H90" s="100"/>
    </row>
    <row r="91" spans="1:8" x14ac:dyDescent="0.2">
      <c r="A91" s="119">
        <v>4</v>
      </c>
      <c r="B91" s="80"/>
      <c r="C91" s="84" t="s">
        <v>886</v>
      </c>
      <c r="D91" s="84" t="s">
        <v>103</v>
      </c>
      <c r="E91" s="120">
        <v>-44200</v>
      </c>
      <c r="F91" s="121">
        <v>-269.86309999999997</v>
      </c>
      <c r="G91" s="122">
        <v>-2.9504573186726695E-3</v>
      </c>
      <c r="H91" s="100"/>
    </row>
    <row r="92" spans="1:8" ht="25.5" x14ac:dyDescent="0.2">
      <c r="A92" s="119">
        <v>5</v>
      </c>
      <c r="B92" s="80"/>
      <c r="C92" s="84" t="s">
        <v>887</v>
      </c>
      <c r="D92" s="84" t="s">
        <v>103</v>
      </c>
      <c r="E92" s="120">
        <v>-21250</v>
      </c>
      <c r="F92" s="121">
        <v>-302.04750000000001</v>
      </c>
      <c r="G92" s="122">
        <v>-3.3023346169290401E-3</v>
      </c>
      <c r="H92" s="100"/>
    </row>
    <row r="93" spans="1:8" x14ac:dyDescent="0.2">
      <c r="A93" s="119">
        <v>6</v>
      </c>
      <c r="B93" s="80"/>
      <c r="C93" s="84" t="s">
        <v>888</v>
      </c>
      <c r="D93" s="84" t="s">
        <v>103</v>
      </c>
      <c r="E93" s="120">
        <v>-23000</v>
      </c>
      <c r="F93" s="121">
        <v>-310.25850000000003</v>
      </c>
      <c r="G93" s="122">
        <v>-3.3921068201076938E-3</v>
      </c>
      <c r="H93" s="100"/>
    </row>
    <row r="94" spans="1:8" x14ac:dyDescent="0.2">
      <c r="A94" s="119">
        <v>7</v>
      </c>
      <c r="B94" s="80"/>
      <c r="C94" s="84" t="s">
        <v>880</v>
      </c>
      <c r="D94" s="84" t="s">
        <v>103</v>
      </c>
      <c r="E94" s="120">
        <v>-33600</v>
      </c>
      <c r="F94" s="121">
        <v>-324.20639999999997</v>
      </c>
      <c r="G94" s="122">
        <v>-3.5446014873486554E-3</v>
      </c>
      <c r="H94" s="100"/>
    </row>
    <row r="95" spans="1:8" x14ac:dyDescent="0.2">
      <c r="A95" s="119">
        <v>8</v>
      </c>
      <c r="B95" s="80"/>
      <c r="C95" s="84" t="s">
        <v>870</v>
      </c>
      <c r="D95" s="84" t="s">
        <v>103</v>
      </c>
      <c r="E95" s="120">
        <v>-74400</v>
      </c>
      <c r="F95" s="121">
        <v>-533.41079999999999</v>
      </c>
      <c r="G95" s="122">
        <v>-5.8318673383617233E-3</v>
      </c>
      <c r="H95" s="100"/>
    </row>
    <row r="96" spans="1:8" ht="25.5" x14ac:dyDescent="0.2">
      <c r="A96" s="119">
        <v>9</v>
      </c>
      <c r="B96" s="80"/>
      <c r="C96" s="84" t="s">
        <v>889</v>
      </c>
      <c r="D96" s="84" t="s">
        <v>103</v>
      </c>
      <c r="E96" s="120">
        <v>-100100</v>
      </c>
      <c r="F96" s="121">
        <v>-670.16949999999997</v>
      </c>
      <c r="G96" s="122">
        <v>-7.3270725268708599E-3</v>
      </c>
      <c r="H96" s="100"/>
    </row>
    <row r="97" spans="1:8" x14ac:dyDescent="0.2">
      <c r="A97" s="119">
        <v>10</v>
      </c>
      <c r="B97" s="80"/>
      <c r="C97" s="84" t="s">
        <v>890</v>
      </c>
      <c r="D97" s="84" t="s">
        <v>103</v>
      </c>
      <c r="E97" s="120">
        <v>-14000</v>
      </c>
      <c r="F97" s="121">
        <v>-727.31399999999996</v>
      </c>
      <c r="G97" s="122">
        <v>-7.9518426723516247E-3</v>
      </c>
      <c r="H97" s="100"/>
    </row>
    <row r="98" spans="1:8" ht="25.5" x14ac:dyDescent="0.2">
      <c r="A98" s="119">
        <v>11</v>
      </c>
      <c r="B98" s="80"/>
      <c r="C98" s="84" t="s">
        <v>882</v>
      </c>
      <c r="D98" s="84" t="s">
        <v>103</v>
      </c>
      <c r="E98" s="120">
        <v>-30000</v>
      </c>
      <c r="F98" s="121">
        <v>-730.57500000000005</v>
      </c>
      <c r="G98" s="122">
        <v>-7.9874957176037983E-3</v>
      </c>
      <c r="H98" s="100"/>
    </row>
    <row r="99" spans="1:8" x14ac:dyDescent="0.2">
      <c r="A99" s="119">
        <v>12</v>
      </c>
      <c r="B99" s="80"/>
      <c r="C99" s="84" t="s">
        <v>891</v>
      </c>
      <c r="D99" s="84" t="s">
        <v>103</v>
      </c>
      <c r="E99" s="120">
        <v>-210000</v>
      </c>
      <c r="F99" s="121">
        <v>-743.4</v>
      </c>
      <c r="G99" s="122">
        <v>-8.1277135358678622E-3</v>
      </c>
      <c r="H99" s="100"/>
    </row>
    <row r="100" spans="1:8" x14ac:dyDescent="0.2">
      <c r="A100" s="119">
        <v>13</v>
      </c>
      <c r="B100" s="80"/>
      <c r="C100" s="84" t="s">
        <v>874</v>
      </c>
      <c r="D100" s="84" t="s">
        <v>103</v>
      </c>
      <c r="E100" s="120">
        <v>-40000</v>
      </c>
      <c r="F100" s="121">
        <v>-802.24</v>
      </c>
      <c r="G100" s="122">
        <v>-8.7710208595838494E-3</v>
      </c>
      <c r="H100" s="100"/>
    </row>
    <row r="101" spans="1:8" x14ac:dyDescent="0.2">
      <c r="A101" s="119">
        <v>14</v>
      </c>
      <c r="B101" s="80"/>
      <c r="C101" s="84" t="s">
        <v>883</v>
      </c>
      <c r="D101" s="84" t="s">
        <v>103</v>
      </c>
      <c r="E101" s="120">
        <v>-36300</v>
      </c>
      <c r="F101" s="121">
        <v>-857.2971</v>
      </c>
      <c r="G101" s="122">
        <v>-9.372969120164467E-3</v>
      </c>
      <c r="H101" s="100"/>
    </row>
    <row r="102" spans="1:8" x14ac:dyDescent="0.2">
      <c r="A102" s="119">
        <v>15</v>
      </c>
      <c r="B102" s="80"/>
      <c r="C102" s="84" t="s">
        <v>873</v>
      </c>
      <c r="D102" s="84" t="s">
        <v>702</v>
      </c>
      <c r="E102" s="120">
        <v>-24000</v>
      </c>
      <c r="F102" s="121">
        <v>-923.47199999999998</v>
      </c>
      <c r="G102" s="122">
        <v>-1.0096470102764281E-2</v>
      </c>
      <c r="H102" s="100"/>
    </row>
    <row r="103" spans="1:8" x14ac:dyDescent="0.2">
      <c r="A103" s="119">
        <v>16</v>
      </c>
      <c r="B103" s="80"/>
      <c r="C103" s="84" t="s">
        <v>875</v>
      </c>
      <c r="D103" s="84" t="s">
        <v>103</v>
      </c>
      <c r="E103" s="120">
        <v>-33300</v>
      </c>
      <c r="F103" s="121">
        <v>-1016.4825</v>
      </c>
      <c r="G103" s="122">
        <v>-1.1113369080202858E-2</v>
      </c>
      <c r="H103" s="100"/>
    </row>
    <row r="104" spans="1:8" x14ac:dyDescent="0.2">
      <c r="A104" s="119">
        <v>17</v>
      </c>
      <c r="B104" s="80"/>
      <c r="C104" s="84" t="s">
        <v>892</v>
      </c>
      <c r="D104" s="84" t="s">
        <v>103</v>
      </c>
      <c r="E104" s="120">
        <v>-1197000</v>
      </c>
      <c r="F104" s="121">
        <v>-1439.991</v>
      </c>
      <c r="G104" s="122">
        <v>-1.5743656634689129E-2</v>
      </c>
      <c r="H104" s="100"/>
    </row>
    <row r="105" spans="1:8" x14ac:dyDescent="0.2">
      <c r="A105" s="119">
        <v>18</v>
      </c>
      <c r="B105" s="80"/>
      <c r="C105" s="84" t="s">
        <v>878</v>
      </c>
      <c r="D105" s="84" t="s">
        <v>103</v>
      </c>
      <c r="E105" s="120">
        <v>-283203</v>
      </c>
      <c r="F105" s="121">
        <v>-1527.4553805</v>
      </c>
      <c r="G105" s="122">
        <v>-1.6699918982410609E-2</v>
      </c>
      <c r="H105" s="100"/>
    </row>
    <row r="106" spans="1:8" x14ac:dyDescent="0.2">
      <c r="A106" s="119">
        <v>19</v>
      </c>
      <c r="B106" s="80"/>
      <c r="C106" s="84" t="s">
        <v>877</v>
      </c>
      <c r="D106" s="84" t="s">
        <v>103</v>
      </c>
      <c r="E106" s="120">
        <v>-300000</v>
      </c>
      <c r="F106" s="121">
        <v>-1566.75</v>
      </c>
      <c r="G106" s="122">
        <v>-1.7129533470972524E-2</v>
      </c>
      <c r="H106" s="100"/>
    </row>
    <row r="107" spans="1:8" x14ac:dyDescent="0.2">
      <c r="A107" s="119">
        <v>20</v>
      </c>
      <c r="B107" s="80"/>
      <c r="C107" s="84" t="s">
        <v>893</v>
      </c>
      <c r="D107" s="84" t="s">
        <v>103</v>
      </c>
      <c r="E107" s="120">
        <v>-400000</v>
      </c>
      <c r="F107" s="121">
        <v>-1653.8</v>
      </c>
      <c r="G107" s="122">
        <v>-1.8081265329053364E-2</v>
      </c>
      <c r="H107" s="100"/>
    </row>
    <row r="108" spans="1:8" x14ac:dyDescent="0.2">
      <c r="A108" s="119">
        <v>21</v>
      </c>
      <c r="B108" s="80"/>
      <c r="C108" s="84" t="s">
        <v>871</v>
      </c>
      <c r="D108" s="84" t="s">
        <v>103</v>
      </c>
      <c r="E108" s="120">
        <v>-150000</v>
      </c>
      <c r="F108" s="121">
        <v>-2739.45</v>
      </c>
      <c r="G108" s="122">
        <v>-2.9950853976100637E-2</v>
      </c>
      <c r="H108" s="100"/>
    </row>
    <row r="109" spans="1:8" x14ac:dyDescent="0.2">
      <c r="A109" s="119">
        <v>22</v>
      </c>
      <c r="B109" s="80"/>
      <c r="C109" s="84" t="s">
        <v>894</v>
      </c>
      <c r="D109" s="84" t="s">
        <v>702</v>
      </c>
      <c r="E109" s="120">
        <v>-19875</v>
      </c>
      <c r="F109" s="121">
        <v>-2919.7964999999999</v>
      </c>
      <c r="G109" s="122">
        <v>-3.1922611696300257E-2</v>
      </c>
      <c r="H109" s="100"/>
    </row>
    <row r="110" spans="1:8" x14ac:dyDescent="0.2">
      <c r="A110" s="119">
        <v>23</v>
      </c>
      <c r="B110" s="80"/>
      <c r="C110" s="84" t="s">
        <v>881</v>
      </c>
      <c r="D110" s="84" t="s">
        <v>103</v>
      </c>
      <c r="E110" s="120">
        <v>-532125</v>
      </c>
      <c r="F110" s="121">
        <v>-3209.2458750000001</v>
      </c>
      <c r="G110" s="122">
        <v>-3.5087208956370193E-2</v>
      </c>
      <c r="H110" s="100"/>
    </row>
    <row r="111" spans="1:8" x14ac:dyDescent="0.2">
      <c r="A111" s="129" t="s">
        <v>9</v>
      </c>
      <c r="B111" s="129" t="s">
        <v>9</v>
      </c>
      <c r="C111" s="88" t="s">
        <v>94</v>
      </c>
      <c r="D111" s="129" t="s">
        <v>9</v>
      </c>
      <c r="E111" s="129" t="s">
        <v>9</v>
      </c>
      <c r="F111" s="123">
        <v>-23925.289280500001</v>
      </c>
      <c r="G111" s="124">
        <v>-0.26157909272891328</v>
      </c>
      <c r="H111" s="100"/>
    </row>
    <row r="112" spans="1:8" x14ac:dyDescent="0.2">
      <c r="A112" s="129" t="s">
        <v>9</v>
      </c>
      <c r="B112" s="129" t="s">
        <v>9</v>
      </c>
      <c r="C112" s="125" t="s">
        <v>9</v>
      </c>
      <c r="D112" s="129" t="s">
        <v>9</v>
      </c>
      <c r="E112" s="129" t="s">
        <v>9</v>
      </c>
      <c r="F112" s="126" t="s">
        <v>9</v>
      </c>
      <c r="G112" s="126" t="s">
        <v>9</v>
      </c>
      <c r="H112" s="100"/>
    </row>
    <row r="113" spans="1:8" x14ac:dyDescent="0.2">
      <c r="A113" s="129" t="s">
        <v>9</v>
      </c>
      <c r="B113" s="129" t="s">
        <v>9</v>
      </c>
      <c r="C113" s="88" t="s">
        <v>104</v>
      </c>
      <c r="D113" s="129" t="s">
        <v>9</v>
      </c>
      <c r="E113" s="129" t="s">
        <v>9</v>
      </c>
      <c r="F113" s="123">
        <v>64808.463256499985</v>
      </c>
      <c r="G113" s="124">
        <v>0.70856150665677975</v>
      </c>
      <c r="H113" s="100"/>
    </row>
    <row r="114" spans="1:8" x14ac:dyDescent="0.2">
      <c r="A114" s="129" t="s">
        <v>9</v>
      </c>
      <c r="B114" s="129" t="s">
        <v>9</v>
      </c>
      <c r="C114" s="125" t="s">
        <v>9</v>
      </c>
      <c r="D114" s="129" t="s">
        <v>9</v>
      </c>
      <c r="E114" s="129" t="s">
        <v>9</v>
      </c>
      <c r="F114" s="126" t="s">
        <v>9</v>
      </c>
      <c r="G114" s="126" t="s">
        <v>9</v>
      </c>
      <c r="H114" s="100"/>
    </row>
    <row r="115" spans="1:8" x14ac:dyDescent="0.2">
      <c r="A115" s="129" t="s">
        <v>9</v>
      </c>
      <c r="B115" s="129" t="s">
        <v>9</v>
      </c>
      <c r="C115" s="88" t="s">
        <v>105</v>
      </c>
      <c r="D115" s="129" t="s">
        <v>9</v>
      </c>
      <c r="E115" s="129" t="s">
        <v>9</v>
      </c>
      <c r="F115" s="126" t="s">
        <v>9</v>
      </c>
      <c r="G115" s="126" t="s">
        <v>9</v>
      </c>
      <c r="H115" s="100"/>
    </row>
    <row r="116" spans="1:8" ht="25.5" x14ac:dyDescent="0.2">
      <c r="A116" s="129" t="s">
        <v>9</v>
      </c>
      <c r="B116" s="129" t="s">
        <v>9</v>
      </c>
      <c r="C116" s="88" t="s">
        <v>11</v>
      </c>
      <c r="D116" s="129" t="s">
        <v>9</v>
      </c>
      <c r="E116" s="129" t="s">
        <v>9</v>
      </c>
      <c r="F116" s="126" t="s">
        <v>9</v>
      </c>
      <c r="G116" s="126" t="s">
        <v>9</v>
      </c>
      <c r="H116" s="100"/>
    </row>
    <row r="117" spans="1:8" ht="25.5" x14ac:dyDescent="0.2">
      <c r="A117" s="119">
        <v>1</v>
      </c>
      <c r="B117" s="84" t="s">
        <v>793</v>
      </c>
      <c r="C117" s="84" t="s">
        <v>794</v>
      </c>
      <c r="D117" s="84" t="s">
        <v>963</v>
      </c>
      <c r="E117" s="120">
        <v>150</v>
      </c>
      <c r="F117" s="121">
        <v>1548.4965</v>
      </c>
      <c r="G117" s="122">
        <v>1.6929964976182418E-2</v>
      </c>
      <c r="H117" s="99">
        <v>4.835</v>
      </c>
    </row>
    <row r="118" spans="1:8" ht="25.5" x14ac:dyDescent="0.2">
      <c r="A118" s="119">
        <v>2</v>
      </c>
      <c r="B118" s="84" t="s">
        <v>795</v>
      </c>
      <c r="C118" s="84" t="s">
        <v>796</v>
      </c>
      <c r="D118" s="84" t="s">
        <v>705</v>
      </c>
      <c r="E118" s="120">
        <v>100</v>
      </c>
      <c r="F118" s="121">
        <v>1041.0509999999999</v>
      </c>
      <c r="G118" s="122">
        <v>1.138198050071129E-2</v>
      </c>
      <c r="H118" s="99">
        <v>4.78</v>
      </c>
    </row>
    <row r="119" spans="1:8" x14ac:dyDescent="0.2">
      <c r="A119" s="119">
        <v>3</v>
      </c>
      <c r="B119" s="84" t="s">
        <v>797</v>
      </c>
      <c r="C119" s="84" t="s">
        <v>798</v>
      </c>
      <c r="D119" s="84" t="s">
        <v>705</v>
      </c>
      <c r="E119" s="120">
        <v>100</v>
      </c>
      <c r="F119" s="121">
        <v>1038.9590000000001</v>
      </c>
      <c r="G119" s="122">
        <v>1.1359108323260344E-2</v>
      </c>
      <c r="H119" s="99">
        <v>4.8650000000000002</v>
      </c>
    </row>
    <row r="120" spans="1:8" ht="25.5" x14ac:dyDescent="0.2">
      <c r="A120" s="119">
        <v>4</v>
      </c>
      <c r="B120" s="84" t="s">
        <v>799</v>
      </c>
      <c r="C120" s="84" t="s">
        <v>800</v>
      </c>
      <c r="D120" s="84" t="s">
        <v>963</v>
      </c>
      <c r="E120" s="120">
        <v>100</v>
      </c>
      <c r="F120" s="121">
        <v>1037.095</v>
      </c>
      <c r="G120" s="122">
        <v>1.1338728907022977E-2</v>
      </c>
      <c r="H120" s="99">
        <v>4.6849999999999996</v>
      </c>
    </row>
    <row r="121" spans="1:8" ht="25.5" x14ac:dyDescent="0.2">
      <c r="A121" s="119">
        <v>5</v>
      </c>
      <c r="B121" s="84" t="s">
        <v>801</v>
      </c>
      <c r="C121" s="84" t="s">
        <v>802</v>
      </c>
      <c r="D121" s="84" t="s">
        <v>705</v>
      </c>
      <c r="E121" s="120">
        <v>100</v>
      </c>
      <c r="F121" s="121">
        <v>1036.6089999999999</v>
      </c>
      <c r="G121" s="122">
        <v>1.1333415389699284E-2</v>
      </c>
      <c r="H121" s="99">
        <v>4.79</v>
      </c>
    </row>
    <row r="122" spans="1:8" x14ac:dyDescent="0.2">
      <c r="A122" s="119">
        <v>6</v>
      </c>
      <c r="B122" s="84" t="s">
        <v>803</v>
      </c>
      <c r="C122" s="84" t="s">
        <v>804</v>
      </c>
      <c r="D122" s="84" t="s">
        <v>705</v>
      </c>
      <c r="E122" s="120">
        <v>100</v>
      </c>
      <c r="F122" s="121">
        <v>1015.245</v>
      </c>
      <c r="G122" s="122">
        <v>1.1099839290721237E-2</v>
      </c>
      <c r="H122" s="99">
        <v>4.9850000000000003</v>
      </c>
    </row>
    <row r="123" spans="1:8" ht="25.5" x14ac:dyDescent="0.2">
      <c r="A123" s="119">
        <v>7</v>
      </c>
      <c r="B123" s="84" t="s">
        <v>805</v>
      </c>
      <c r="C123" s="84" t="s">
        <v>806</v>
      </c>
      <c r="D123" s="84" t="s">
        <v>705</v>
      </c>
      <c r="E123" s="120">
        <v>100</v>
      </c>
      <c r="F123" s="121">
        <v>1005.881</v>
      </c>
      <c r="G123" s="122">
        <v>1.099746115035284E-2</v>
      </c>
      <c r="H123" s="99">
        <v>4.4749999999999996</v>
      </c>
    </row>
    <row r="124" spans="1:8" ht="25.5" x14ac:dyDescent="0.2">
      <c r="A124" s="119">
        <v>8</v>
      </c>
      <c r="B124" s="84" t="s">
        <v>807</v>
      </c>
      <c r="C124" s="84" t="s">
        <v>808</v>
      </c>
      <c r="D124" s="84" t="s">
        <v>705</v>
      </c>
      <c r="E124" s="120">
        <v>50</v>
      </c>
      <c r="F124" s="121">
        <v>530.57950000000005</v>
      </c>
      <c r="G124" s="122">
        <v>5.8009122733440983E-3</v>
      </c>
      <c r="H124" s="99">
        <v>4.5650000000000004</v>
      </c>
    </row>
    <row r="125" spans="1:8" ht="25.5" x14ac:dyDescent="0.2">
      <c r="A125" s="119">
        <v>9</v>
      </c>
      <c r="B125" s="84" t="s">
        <v>809</v>
      </c>
      <c r="C125" s="84" t="s">
        <v>810</v>
      </c>
      <c r="D125" s="84" t="s">
        <v>705</v>
      </c>
      <c r="E125" s="120">
        <v>50</v>
      </c>
      <c r="F125" s="121">
        <v>520.10749999999996</v>
      </c>
      <c r="G125" s="122">
        <v>5.6864201881307421E-3</v>
      </c>
      <c r="H125" s="99">
        <v>4.83</v>
      </c>
    </row>
    <row r="126" spans="1:8" x14ac:dyDescent="0.2">
      <c r="A126" s="119">
        <v>10</v>
      </c>
      <c r="B126" s="84" t="s">
        <v>811</v>
      </c>
      <c r="C126" s="84" t="s">
        <v>812</v>
      </c>
      <c r="D126" s="84" t="s">
        <v>705</v>
      </c>
      <c r="E126" s="120">
        <v>50</v>
      </c>
      <c r="F126" s="121">
        <v>518.94000000000005</v>
      </c>
      <c r="G126" s="122">
        <v>5.6736557200743462E-3</v>
      </c>
      <c r="H126" s="99">
        <v>4.585</v>
      </c>
    </row>
    <row r="127" spans="1:8" ht="25.5" x14ac:dyDescent="0.2">
      <c r="A127" s="119">
        <v>11</v>
      </c>
      <c r="B127" s="84" t="s">
        <v>813</v>
      </c>
      <c r="C127" s="84" t="s">
        <v>814</v>
      </c>
      <c r="D127" s="84" t="s">
        <v>705</v>
      </c>
      <c r="E127" s="120">
        <v>50</v>
      </c>
      <c r="F127" s="121">
        <v>518.62450000000001</v>
      </c>
      <c r="G127" s="122">
        <v>5.6702063070792341E-3</v>
      </c>
      <c r="H127" s="99">
        <v>4.5529999999999999</v>
      </c>
    </row>
    <row r="128" spans="1:8" ht="25.5" x14ac:dyDescent="0.2">
      <c r="A128" s="119">
        <v>12</v>
      </c>
      <c r="B128" s="84" t="s">
        <v>815</v>
      </c>
      <c r="C128" s="84" t="s">
        <v>816</v>
      </c>
      <c r="D128" s="84" t="s">
        <v>705</v>
      </c>
      <c r="E128" s="120">
        <v>50</v>
      </c>
      <c r="F128" s="121">
        <v>510.858</v>
      </c>
      <c r="G128" s="122">
        <v>5.5852938949507462E-3</v>
      </c>
      <c r="H128" s="99">
        <v>3.72</v>
      </c>
    </row>
    <row r="129" spans="1:8" ht="25.5" x14ac:dyDescent="0.2">
      <c r="A129" s="119">
        <v>13</v>
      </c>
      <c r="B129" s="84" t="s">
        <v>817</v>
      </c>
      <c r="C129" s="84" t="s">
        <v>818</v>
      </c>
      <c r="D129" s="84" t="s">
        <v>705</v>
      </c>
      <c r="E129" s="120">
        <v>50</v>
      </c>
      <c r="F129" s="121">
        <v>505.12049999999999</v>
      </c>
      <c r="G129" s="122">
        <v>5.5225648709905069E-3</v>
      </c>
      <c r="H129" s="99">
        <v>3.4</v>
      </c>
    </row>
    <row r="130" spans="1:8" x14ac:dyDescent="0.2">
      <c r="A130" s="129" t="s">
        <v>9</v>
      </c>
      <c r="B130" s="129" t="s">
        <v>9</v>
      </c>
      <c r="C130" s="88" t="s">
        <v>94</v>
      </c>
      <c r="D130" s="129" t="s">
        <v>9</v>
      </c>
      <c r="E130" s="129" t="s">
        <v>9</v>
      </c>
      <c r="F130" s="123">
        <v>10827.566500000001</v>
      </c>
      <c r="G130" s="124">
        <v>0.11837955179252008</v>
      </c>
      <c r="H130" s="100"/>
    </row>
    <row r="131" spans="1:8" x14ac:dyDescent="0.2">
      <c r="A131" s="129" t="s">
        <v>9</v>
      </c>
      <c r="B131" s="129" t="s">
        <v>9</v>
      </c>
      <c r="C131" s="125" t="s">
        <v>9</v>
      </c>
      <c r="D131" s="129" t="s">
        <v>9</v>
      </c>
      <c r="E131" s="129" t="s">
        <v>9</v>
      </c>
      <c r="F131" s="126" t="s">
        <v>9</v>
      </c>
      <c r="G131" s="126" t="s">
        <v>9</v>
      </c>
      <c r="H131" s="100"/>
    </row>
    <row r="132" spans="1:8" x14ac:dyDescent="0.2">
      <c r="A132" s="129" t="s">
        <v>9</v>
      </c>
      <c r="B132" s="129" t="s">
        <v>9</v>
      </c>
      <c r="C132" s="88" t="s">
        <v>106</v>
      </c>
      <c r="D132" s="129" t="s">
        <v>9</v>
      </c>
      <c r="E132" s="129" t="s">
        <v>9</v>
      </c>
      <c r="F132" s="129" t="s">
        <v>9</v>
      </c>
      <c r="G132" s="129" t="s">
        <v>9</v>
      </c>
      <c r="H132" s="100"/>
    </row>
    <row r="133" spans="1:8" x14ac:dyDescent="0.2">
      <c r="A133" s="129" t="s">
        <v>9</v>
      </c>
      <c r="B133" s="129" t="s">
        <v>9</v>
      </c>
      <c r="C133" s="88" t="s">
        <v>94</v>
      </c>
      <c r="D133" s="129" t="s">
        <v>9</v>
      </c>
      <c r="E133" s="129" t="s">
        <v>9</v>
      </c>
      <c r="F133" s="127">
        <v>0</v>
      </c>
      <c r="G133" s="128">
        <v>0</v>
      </c>
      <c r="H133" s="100"/>
    </row>
    <row r="134" spans="1:8" x14ac:dyDescent="0.2">
      <c r="A134" s="129" t="s">
        <v>9</v>
      </c>
      <c r="B134" s="129" t="s">
        <v>9</v>
      </c>
      <c r="C134" s="125" t="s">
        <v>9</v>
      </c>
      <c r="D134" s="129" t="s">
        <v>9</v>
      </c>
      <c r="E134" s="129" t="s">
        <v>9</v>
      </c>
      <c r="F134" s="126" t="s">
        <v>9</v>
      </c>
      <c r="G134" s="126" t="s">
        <v>9</v>
      </c>
      <c r="H134" s="100"/>
    </row>
    <row r="135" spans="1:8" x14ac:dyDescent="0.2">
      <c r="A135" s="129" t="s">
        <v>9</v>
      </c>
      <c r="B135" s="129" t="s">
        <v>9</v>
      </c>
      <c r="C135" s="88" t="s">
        <v>107</v>
      </c>
      <c r="D135" s="129" t="s">
        <v>9</v>
      </c>
      <c r="E135" s="129" t="s">
        <v>9</v>
      </c>
      <c r="F135" s="129" t="s">
        <v>9</v>
      </c>
      <c r="G135" s="129" t="s">
        <v>9</v>
      </c>
      <c r="H135" s="100"/>
    </row>
    <row r="136" spans="1:8" ht="25.5" x14ac:dyDescent="0.2">
      <c r="A136" s="119">
        <v>1</v>
      </c>
      <c r="B136" s="84" t="s">
        <v>710</v>
      </c>
      <c r="C136" s="84" t="s">
        <v>966</v>
      </c>
      <c r="D136" s="84" t="s">
        <v>711</v>
      </c>
      <c r="E136" s="120">
        <v>2000000</v>
      </c>
      <c r="F136" s="121">
        <v>2129.248</v>
      </c>
      <c r="G136" s="122">
        <v>2.3279415914473467E-2</v>
      </c>
      <c r="H136" s="99">
        <v>4.7729999999999997</v>
      </c>
    </row>
    <row r="137" spans="1:8" ht="25.5" x14ac:dyDescent="0.2">
      <c r="A137" s="119">
        <v>2</v>
      </c>
      <c r="B137" s="84" t="s">
        <v>819</v>
      </c>
      <c r="C137" s="84" t="s">
        <v>820</v>
      </c>
      <c r="D137" s="84" t="s">
        <v>711</v>
      </c>
      <c r="E137" s="120">
        <v>1000000</v>
      </c>
      <c r="F137" s="121">
        <v>1011.7190000000001</v>
      </c>
      <c r="G137" s="122">
        <v>1.1061288957216435E-2</v>
      </c>
      <c r="H137" s="99">
        <v>3.82</v>
      </c>
    </row>
    <row r="138" spans="1:8" x14ac:dyDescent="0.2">
      <c r="A138" s="129" t="s">
        <v>9</v>
      </c>
      <c r="B138" s="129" t="s">
        <v>9</v>
      </c>
      <c r="C138" s="88" t="s">
        <v>94</v>
      </c>
      <c r="D138" s="129" t="s">
        <v>9</v>
      </c>
      <c r="E138" s="129" t="s">
        <v>9</v>
      </c>
      <c r="F138" s="123">
        <v>3140.9670000000001</v>
      </c>
      <c r="G138" s="124">
        <v>3.43407048716899E-2</v>
      </c>
      <c r="H138" s="100"/>
    </row>
    <row r="139" spans="1:8" x14ac:dyDescent="0.2">
      <c r="A139" s="129" t="s">
        <v>9</v>
      </c>
      <c r="B139" s="129" t="s">
        <v>9</v>
      </c>
      <c r="C139" s="125" t="s">
        <v>9</v>
      </c>
      <c r="D139" s="129" t="s">
        <v>9</v>
      </c>
      <c r="E139" s="129" t="s">
        <v>9</v>
      </c>
      <c r="F139" s="126" t="s">
        <v>9</v>
      </c>
      <c r="G139" s="126" t="s">
        <v>9</v>
      </c>
      <c r="H139" s="100"/>
    </row>
    <row r="140" spans="1:8" x14ac:dyDescent="0.2">
      <c r="A140" s="129" t="s">
        <v>9</v>
      </c>
      <c r="B140" s="129" t="s">
        <v>9</v>
      </c>
      <c r="C140" s="88" t="s">
        <v>108</v>
      </c>
      <c r="D140" s="129" t="s">
        <v>9</v>
      </c>
      <c r="E140" s="129" t="s">
        <v>9</v>
      </c>
      <c r="F140" s="126" t="s">
        <v>9</v>
      </c>
      <c r="G140" s="126" t="s">
        <v>9</v>
      </c>
      <c r="H140" s="100"/>
    </row>
    <row r="141" spans="1:8" x14ac:dyDescent="0.2">
      <c r="A141" s="129" t="s">
        <v>9</v>
      </c>
      <c r="B141" s="129" t="s">
        <v>9</v>
      </c>
      <c r="C141" s="88" t="s">
        <v>94</v>
      </c>
      <c r="D141" s="129" t="s">
        <v>9</v>
      </c>
      <c r="E141" s="129" t="s">
        <v>9</v>
      </c>
      <c r="F141" s="127">
        <v>0</v>
      </c>
      <c r="G141" s="128">
        <v>0</v>
      </c>
      <c r="H141" s="100"/>
    </row>
    <row r="142" spans="1:8" x14ac:dyDescent="0.2">
      <c r="A142" s="129" t="s">
        <v>9</v>
      </c>
      <c r="B142" s="129" t="s">
        <v>9</v>
      </c>
      <c r="C142" s="125" t="s">
        <v>9</v>
      </c>
      <c r="D142" s="129" t="s">
        <v>9</v>
      </c>
      <c r="E142" s="129" t="s">
        <v>9</v>
      </c>
      <c r="F142" s="126" t="s">
        <v>9</v>
      </c>
      <c r="G142" s="126" t="s">
        <v>9</v>
      </c>
      <c r="H142" s="100"/>
    </row>
    <row r="143" spans="1:8" x14ac:dyDescent="0.2">
      <c r="A143" s="129" t="s">
        <v>9</v>
      </c>
      <c r="B143" s="129" t="s">
        <v>9</v>
      </c>
      <c r="C143" s="88" t="s">
        <v>109</v>
      </c>
      <c r="D143" s="129" t="s">
        <v>9</v>
      </c>
      <c r="E143" s="129" t="s">
        <v>9</v>
      </c>
      <c r="F143" s="123">
        <v>13968.533500000001</v>
      </c>
      <c r="G143" s="124">
        <v>0.15272025666420996</v>
      </c>
      <c r="H143" s="100"/>
    </row>
    <row r="144" spans="1:8" x14ac:dyDescent="0.2">
      <c r="A144" s="129" t="s">
        <v>9</v>
      </c>
      <c r="B144" s="129" t="s">
        <v>9</v>
      </c>
      <c r="C144" s="125" t="s">
        <v>9</v>
      </c>
      <c r="D144" s="129" t="s">
        <v>9</v>
      </c>
      <c r="E144" s="129" t="s">
        <v>9</v>
      </c>
      <c r="F144" s="126" t="s">
        <v>9</v>
      </c>
      <c r="G144" s="126" t="s">
        <v>9</v>
      </c>
      <c r="H144" s="100"/>
    </row>
    <row r="145" spans="1:8" x14ac:dyDescent="0.2">
      <c r="A145" s="129" t="s">
        <v>9</v>
      </c>
      <c r="B145" s="129" t="s">
        <v>9</v>
      </c>
      <c r="C145" s="88" t="s">
        <v>110</v>
      </c>
      <c r="D145" s="129" t="s">
        <v>9</v>
      </c>
      <c r="E145" s="129" t="s">
        <v>9</v>
      </c>
      <c r="F145" s="126" t="s">
        <v>9</v>
      </c>
      <c r="G145" s="126" t="s">
        <v>9</v>
      </c>
      <c r="H145" s="100"/>
    </row>
    <row r="146" spans="1:8" x14ac:dyDescent="0.2">
      <c r="A146" s="129" t="s">
        <v>9</v>
      </c>
      <c r="B146" s="129" t="s">
        <v>9</v>
      </c>
      <c r="C146" s="88" t="s">
        <v>111</v>
      </c>
      <c r="D146" s="129" t="s">
        <v>9</v>
      </c>
      <c r="E146" s="129" t="s">
        <v>9</v>
      </c>
      <c r="F146" s="126" t="s">
        <v>9</v>
      </c>
      <c r="G146" s="126" t="s">
        <v>9</v>
      </c>
      <c r="H146" s="100"/>
    </row>
    <row r="147" spans="1:8" x14ac:dyDescent="0.2">
      <c r="A147" s="129" t="s">
        <v>9</v>
      </c>
      <c r="B147" s="129" t="s">
        <v>9</v>
      </c>
      <c r="C147" s="88" t="s">
        <v>94</v>
      </c>
      <c r="D147" s="129" t="s">
        <v>9</v>
      </c>
      <c r="E147" s="129" t="s">
        <v>9</v>
      </c>
      <c r="F147" s="127">
        <v>0</v>
      </c>
      <c r="G147" s="128">
        <v>0</v>
      </c>
      <c r="H147" s="100"/>
    </row>
    <row r="148" spans="1:8" x14ac:dyDescent="0.2">
      <c r="A148" s="129" t="s">
        <v>9</v>
      </c>
      <c r="B148" s="129" t="s">
        <v>9</v>
      </c>
      <c r="C148" s="125" t="s">
        <v>9</v>
      </c>
      <c r="D148" s="129" t="s">
        <v>9</v>
      </c>
      <c r="E148" s="129" t="s">
        <v>9</v>
      </c>
      <c r="F148" s="126" t="s">
        <v>9</v>
      </c>
      <c r="G148" s="126" t="s">
        <v>9</v>
      </c>
      <c r="H148" s="100"/>
    </row>
    <row r="149" spans="1:8" x14ac:dyDescent="0.2">
      <c r="A149" s="129" t="s">
        <v>9</v>
      </c>
      <c r="B149" s="129" t="s">
        <v>9</v>
      </c>
      <c r="C149" s="88" t="s">
        <v>112</v>
      </c>
      <c r="D149" s="129" t="s">
        <v>9</v>
      </c>
      <c r="E149" s="129" t="s">
        <v>9</v>
      </c>
      <c r="F149" s="126" t="s">
        <v>9</v>
      </c>
      <c r="G149" s="126" t="s">
        <v>9</v>
      </c>
      <c r="H149" s="100"/>
    </row>
    <row r="150" spans="1:8" x14ac:dyDescent="0.2">
      <c r="A150" s="119">
        <v>1</v>
      </c>
      <c r="B150" s="84" t="s">
        <v>821</v>
      </c>
      <c r="C150" s="84" t="s">
        <v>822</v>
      </c>
      <c r="D150" s="84" t="s">
        <v>823</v>
      </c>
      <c r="E150" s="120">
        <v>300</v>
      </c>
      <c r="F150" s="121">
        <v>1454.79</v>
      </c>
      <c r="G150" s="122">
        <v>1.5905456517144482E-2</v>
      </c>
      <c r="H150" s="99">
        <v>3.9249999999999998</v>
      </c>
    </row>
    <row r="151" spans="1:8" x14ac:dyDescent="0.2">
      <c r="A151" s="129" t="s">
        <v>9</v>
      </c>
      <c r="B151" s="129" t="s">
        <v>9</v>
      </c>
      <c r="C151" s="88" t="s">
        <v>94</v>
      </c>
      <c r="D151" s="129" t="s">
        <v>9</v>
      </c>
      <c r="E151" s="129" t="s">
        <v>9</v>
      </c>
      <c r="F151" s="123">
        <v>1454.79</v>
      </c>
      <c r="G151" s="124">
        <v>1.5905456517144482E-2</v>
      </c>
      <c r="H151" s="100"/>
    </row>
    <row r="152" spans="1:8" x14ac:dyDescent="0.2">
      <c r="A152" s="129" t="s">
        <v>9</v>
      </c>
      <c r="B152" s="129" t="s">
        <v>9</v>
      </c>
      <c r="C152" s="125" t="s">
        <v>9</v>
      </c>
      <c r="D152" s="129" t="s">
        <v>9</v>
      </c>
      <c r="E152" s="129" t="s">
        <v>9</v>
      </c>
      <c r="F152" s="126" t="s">
        <v>9</v>
      </c>
      <c r="G152" s="126" t="s">
        <v>9</v>
      </c>
      <c r="H152" s="100"/>
    </row>
    <row r="153" spans="1:8" x14ac:dyDescent="0.2">
      <c r="A153" s="129" t="s">
        <v>9</v>
      </c>
      <c r="B153" s="129" t="s">
        <v>9</v>
      </c>
      <c r="C153" s="88" t="s">
        <v>113</v>
      </c>
      <c r="D153" s="129" t="s">
        <v>9</v>
      </c>
      <c r="E153" s="129" t="s">
        <v>9</v>
      </c>
      <c r="F153" s="126" t="s">
        <v>9</v>
      </c>
      <c r="G153" s="126" t="s">
        <v>9</v>
      </c>
      <c r="H153" s="100"/>
    </row>
    <row r="154" spans="1:8" x14ac:dyDescent="0.2">
      <c r="A154" s="129" t="s">
        <v>9</v>
      </c>
      <c r="B154" s="129" t="s">
        <v>9</v>
      </c>
      <c r="C154" s="88" t="s">
        <v>94</v>
      </c>
      <c r="D154" s="129" t="s">
        <v>9</v>
      </c>
      <c r="E154" s="129" t="s">
        <v>9</v>
      </c>
      <c r="F154" s="127">
        <v>0</v>
      </c>
      <c r="G154" s="128">
        <v>0</v>
      </c>
      <c r="H154" s="100"/>
    </row>
    <row r="155" spans="1:8" x14ac:dyDescent="0.2">
      <c r="A155" s="129" t="s">
        <v>9</v>
      </c>
      <c r="B155" s="129" t="s">
        <v>9</v>
      </c>
      <c r="C155" s="125" t="s">
        <v>9</v>
      </c>
      <c r="D155" s="129" t="s">
        <v>9</v>
      </c>
      <c r="E155" s="129" t="s">
        <v>9</v>
      </c>
      <c r="F155" s="126" t="s">
        <v>9</v>
      </c>
      <c r="G155" s="126" t="s">
        <v>9</v>
      </c>
      <c r="H155" s="100"/>
    </row>
    <row r="156" spans="1:8" x14ac:dyDescent="0.2">
      <c r="A156" s="129" t="s">
        <v>9</v>
      </c>
      <c r="B156" s="129" t="s">
        <v>9</v>
      </c>
      <c r="C156" s="88" t="s">
        <v>114</v>
      </c>
      <c r="D156" s="129" t="s">
        <v>9</v>
      </c>
      <c r="E156" s="129" t="s">
        <v>9</v>
      </c>
      <c r="F156" s="126" t="s">
        <v>9</v>
      </c>
      <c r="G156" s="126" t="s">
        <v>9</v>
      </c>
      <c r="H156" s="100"/>
    </row>
    <row r="157" spans="1:8" x14ac:dyDescent="0.2">
      <c r="A157" s="119">
        <v>1</v>
      </c>
      <c r="B157" s="84"/>
      <c r="C157" s="84" t="s">
        <v>115</v>
      </c>
      <c r="D157" s="84"/>
      <c r="E157" s="129" t="s">
        <v>9</v>
      </c>
      <c r="F157" s="121">
        <v>1615.0712553999999</v>
      </c>
      <c r="G157" s="122">
        <v>1.765783764313382E-2</v>
      </c>
      <c r="H157" s="99">
        <v>3.2516689338443991</v>
      </c>
    </row>
    <row r="158" spans="1:8" x14ac:dyDescent="0.2">
      <c r="A158" s="119">
        <v>2</v>
      </c>
      <c r="B158" s="84"/>
      <c r="C158" s="84" t="s">
        <v>116</v>
      </c>
      <c r="D158" s="84"/>
      <c r="E158" s="129" t="s">
        <v>9</v>
      </c>
      <c r="F158" s="121">
        <v>221.27954360000001</v>
      </c>
      <c r="G158" s="122">
        <v>2.4192853668662672E-3</v>
      </c>
      <c r="H158" s="100">
        <v>3.350000000000001</v>
      </c>
    </row>
    <row r="159" spans="1:8" x14ac:dyDescent="0.2">
      <c r="A159" s="129" t="s">
        <v>9</v>
      </c>
      <c r="B159" s="129" t="s">
        <v>9</v>
      </c>
      <c r="C159" s="88" t="s">
        <v>94</v>
      </c>
      <c r="D159" s="129" t="s">
        <v>9</v>
      </c>
      <c r="E159" s="129" t="s">
        <v>9</v>
      </c>
      <c r="F159" s="123">
        <v>1836.3507990000001</v>
      </c>
      <c r="G159" s="124">
        <v>2.0077123010000086E-2</v>
      </c>
      <c r="H159" s="100"/>
    </row>
    <row r="160" spans="1:8" x14ac:dyDescent="0.2">
      <c r="A160" s="129" t="s">
        <v>9</v>
      </c>
      <c r="B160" s="129" t="s">
        <v>9</v>
      </c>
      <c r="C160" s="125" t="s">
        <v>9</v>
      </c>
      <c r="D160" s="129" t="s">
        <v>9</v>
      </c>
      <c r="E160" s="129" t="s">
        <v>9</v>
      </c>
      <c r="F160" s="126" t="s">
        <v>9</v>
      </c>
      <c r="G160" s="126" t="s">
        <v>9</v>
      </c>
      <c r="H160" s="100"/>
    </row>
    <row r="161" spans="1:8" x14ac:dyDescent="0.2">
      <c r="A161" s="129" t="s">
        <v>9</v>
      </c>
      <c r="B161" s="129" t="s">
        <v>9</v>
      </c>
      <c r="C161" s="88" t="s">
        <v>117</v>
      </c>
      <c r="D161" s="129" t="s">
        <v>9</v>
      </c>
      <c r="E161" s="129" t="s">
        <v>9</v>
      </c>
      <c r="F161" s="123">
        <v>3291.1407989999998</v>
      </c>
      <c r="G161" s="124">
        <v>3.5982579527144565E-2</v>
      </c>
      <c r="H161" s="100"/>
    </row>
    <row r="162" spans="1:8" x14ac:dyDescent="0.2">
      <c r="A162" s="129" t="s">
        <v>9</v>
      </c>
      <c r="B162" s="129" t="s">
        <v>9</v>
      </c>
      <c r="C162" s="126" t="s">
        <v>9</v>
      </c>
      <c r="D162" s="129" t="s">
        <v>9</v>
      </c>
      <c r="E162" s="129" t="s">
        <v>9</v>
      </c>
      <c r="F162" s="129" t="s">
        <v>9</v>
      </c>
      <c r="G162" s="129" t="s">
        <v>9</v>
      </c>
      <c r="H162" s="100"/>
    </row>
    <row r="163" spans="1:8" x14ac:dyDescent="0.2">
      <c r="A163" s="129" t="s">
        <v>9</v>
      </c>
      <c r="B163" s="129" t="s">
        <v>9</v>
      </c>
      <c r="C163" s="88" t="s">
        <v>118</v>
      </c>
      <c r="D163" s="129" t="s">
        <v>9</v>
      </c>
      <c r="E163" s="129" t="s">
        <v>9</v>
      </c>
      <c r="F163" s="129" t="s">
        <v>9</v>
      </c>
      <c r="G163" s="129" t="s">
        <v>9</v>
      </c>
      <c r="H163" s="100"/>
    </row>
    <row r="164" spans="1:8" x14ac:dyDescent="0.2">
      <c r="A164" s="129" t="s">
        <v>9</v>
      </c>
      <c r="B164" s="129" t="s">
        <v>9</v>
      </c>
      <c r="C164" s="88" t="s">
        <v>119</v>
      </c>
      <c r="D164" s="129" t="s">
        <v>9</v>
      </c>
      <c r="E164" s="129" t="s">
        <v>9</v>
      </c>
      <c r="F164" s="129" t="s">
        <v>9</v>
      </c>
      <c r="G164" s="129" t="s">
        <v>9</v>
      </c>
      <c r="H164" s="100"/>
    </row>
    <row r="165" spans="1:8" x14ac:dyDescent="0.2">
      <c r="A165" s="129" t="s">
        <v>9</v>
      </c>
      <c r="B165" s="129" t="s">
        <v>9</v>
      </c>
      <c r="C165" s="88" t="s">
        <v>94</v>
      </c>
      <c r="D165" s="129" t="s">
        <v>9</v>
      </c>
      <c r="E165" s="129" t="s">
        <v>9</v>
      </c>
      <c r="F165" s="127">
        <v>0</v>
      </c>
      <c r="G165" s="128">
        <v>0</v>
      </c>
      <c r="H165" s="100"/>
    </row>
    <row r="166" spans="1:8" x14ac:dyDescent="0.2">
      <c r="A166" s="129" t="s">
        <v>9</v>
      </c>
      <c r="B166" s="129" t="s">
        <v>9</v>
      </c>
      <c r="C166" s="125" t="s">
        <v>9</v>
      </c>
      <c r="D166" s="129" t="s">
        <v>9</v>
      </c>
      <c r="E166" s="129" t="s">
        <v>9</v>
      </c>
      <c r="F166" s="126" t="s">
        <v>9</v>
      </c>
      <c r="G166" s="126" t="s">
        <v>9</v>
      </c>
      <c r="H166" s="100"/>
    </row>
    <row r="167" spans="1:8" x14ac:dyDescent="0.2">
      <c r="A167" s="129" t="s">
        <v>9</v>
      </c>
      <c r="B167" s="129" t="s">
        <v>9</v>
      </c>
      <c r="C167" s="88" t="s">
        <v>120</v>
      </c>
      <c r="D167" s="129" t="s">
        <v>9</v>
      </c>
      <c r="E167" s="129" t="s">
        <v>9</v>
      </c>
      <c r="F167" s="129" t="s">
        <v>9</v>
      </c>
      <c r="G167" s="129" t="s">
        <v>9</v>
      </c>
      <c r="H167" s="100"/>
    </row>
    <row r="168" spans="1:8" x14ac:dyDescent="0.2">
      <c r="A168" s="129" t="s">
        <v>9</v>
      </c>
      <c r="B168" s="129" t="s">
        <v>9</v>
      </c>
      <c r="C168" s="88" t="s">
        <v>121</v>
      </c>
      <c r="D168" s="129" t="s">
        <v>9</v>
      </c>
      <c r="E168" s="129" t="s">
        <v>9</v>
      </c>
      <c r="F168" s="129" t="s">
        <v>9</v>
      </c>
      <c r="G168" s="129" t="s">
        <v>9</v>
      </c>
      <c r="H168" s="100"/>
    </row>
    <row r="169" spans="1:8" x14ac:dyDescent="0.2">
      <c r="A169" s="129" t="s">
        <v>9</v>
      </c>
      <c r="B169" s="129" t="s">
        <v>9</v>
      </c>
      <c r="C169" s="88" t="s">
        <v>94</v>
      </c>
      <c r="D169" s="129" t="s">
        <v>9</v>
      </c>
      <c r="E169" s="129" t="s">
        <v>9</v>
      </c>
      <c r="F169" s="127">
        <v>0</v>
      </c>
      <c r="G169" s="128">
        <v>0</v>
      </c>
      <c r="H169" s="100"/>
    </row>
    <row r="170" spans="1:8" x14ac:dyDescent="0.2">
      <c r="A170" s="129" t="s">
        <v>9</v>
      </c>
      <c r="B170" s="129" t="s">
        <v>9</v>
      </c>
      <c r="C170" s="125" t="s">
        <v>9</v>
      </c>
      <c r="D170" s="129" t="s">
        <v>9</v>
      </c>
      <c r="E170" s="129" t="s">
        <v>9</v>
      </c>
      <c r="F170" s="126" t="s">
        <v>9</v>
      </c>
      <c r="G170" s="126" t="s">
        <v>9</v>
      </c>
      <c r="H170" s="100"/>
    </row>
    <row r="171" spans="1:8" ht="25.5" x14ac:dyDescent="0.2">
      <c r="A171" s="129" t="s">
        <v>9</v>
      </c>
      <c r="B171" s="129" t="s">
        <v>9</v>
      </c>
      <c r="C171" s="88" t="s">
        <v>122</v>
      </c>
      <c r="D171" s="129" t="s">
        <v>9</v>
      </c>
      <c r="E171" s="129" t="s">
        <v>9</v>
      </c>
      <c r="F171" s="126" t="s">
        <v>9</v>
      </c>
      <c r="G171" s="126" t="s">
        <v>9</v>
      </c>
      <c r="H171" s="100"/>
    </row>
    <row r="172" spans="1:8" x14ac:dyDescent="0.2">
      <c r="A172" s="129" t="s">
        <v>9</v>
      </c>
      <c r="B172" s="129" t="s">
        <v>9</v>
      </c>
      <c r="C172" s="88" t="s">
        <v>94</v>
      </c>
      <c r="D172" s="129" t="s">
        <v>9</v>
      </c>
      <c r="E172" s="129" t="s">
        <v>9</v>
      </c>
      <c r="F172" s="127">
        <v>0</v>
      </c>
      <c r="G172" s="128">
        <v>0</v>
      </c>
      <c r="H172" s="100"/>
    </row>
    <row r="173" spans="1:8" x14ac:dyDescent="0.2">
      <c r="A173" s="129" t="s">
        <v>9</v>
      </c>
      <c r="B173" s="129" t="s">
        <v>9</v>
      </c>
      <c r="C173" s="125" t="s">
        <v>9</v>
      </c>
      <c r="D173" s="129" t="s">
        <v>9</v>
      </c>
      <c r="E173" s="129" t="s">
        <v>9</v>
      </c>
      <c r="F173" s="126" t="s">
        <v>9</v>
      </c>
      <c r="G173" s="126" t="s">
        <v>9</v>
      </c>
      <c r="H173" s="100"/>
    </row>
    <row r="174" spans="1:8" x14ac:dyDescent="0.2">
      <c r="A174" s="129" t="s">
        <v>9</v>
      </c>
      <c r="B174" s="84" t="s">
        <v>9</v>
      </c>
      <c r="C174" s="84" t="s">
        <v>123</v>
      </c>
      <c r="D174" s="84" t="s">
        <v>9</v>
      </c>
      <c r="E174" s="129" t="s">
        <v>9</v>
      </c>
      <c r="F174" s="121">
        <v>8071.6238542000001</v>
      </c>
      <c r="G174" s="122">
        <v>8.8248381028000089E-2</v>
      </c>
      <c r="H174" s="100"/>
    </row>
    <row r="175" spans="1:8" x14ac:dyDescent="0.2">
      <c r="A175" s="129" t="s">
        <v>9</v>
      </c>
      <c r="B175" s="84" t="s">
        <v>9</v>
      </c>
      <c r="C175" s="84" t="s">
        <v>824</v>
      </c>
      <c r="D175" s="84" t="s">
        <v>9</v>
      </c>
      <c r="E175" s="129" t="s">
        <v>9</v>
      </c>
      <c r="F175" s="121">
        <v>1325.0763604000304</v>
      </c>
      <c r="G175" s="122">
        <v>1.4487276123865817E-2</v>
      </c>
      <c r="H175" s="100"/>
    </row>
    <row r="176" spans="1:8" x14ac:dyDescent="0.2">
      <c r="A176" s="125" t="s">
        <v>9</v>
      </c>
      <c r="B176" s="125" t="s">
        <v>9</v>
      </c>
      <c r="C176" s="88" t="s">
        <v>125</v>
      </c>
      <c r="D176" s="126" t="s">
        <v>9</v>
      </c>
      <c r="E176" s="126" t="s">
        <v>9</v>
      </c>
      <c r="F176" s="123">
        <v>91464.837770100014</v>
      </c>
      <c r="G176" s="124">
        <v>1.0000000000000002</v>
      </c>
      <c r="H176" s="100"/>
    </row>
    <row r="177" spans="1:8" x14ac:dyDescent="0.2">
      <c r="A177" s="130" t="s">
        <v>9</v>
      </c>
      <c r="B177" s="130" t="s">
        <v>9</v>
      </c>
      <c r="C177" s="130" t="s">
        <v>9</v>
      </c>
      <c r="D177" s="131" t="s">
        <v>9</v>
      </c>
      <c r="E177" s="131" t="s">
        <v>9</v>
      </c>
      <c r="F177" s="131" t="s">
        <v>9</v>
      </c>
      <c r="G177" s="131" t="s">
        <v>9</v>
      </c>
      <c r="H177" s="147"/>
    </row>
    <row r="178" spans="1:8" x14ac:dyDescent="0.2">
      <c r="A178" s="132" t="s">
        <v>9</v>
      </c>
      <c r="B178" s="262" t="s">
        <v>825</v>
      </c>
      <c r="C178" s="262"/>
      <c r="D178" s="262"/>
      <c r="E178" s="262"/>
      <c r="F178" s="262"/>
      <c r="G178" s="133" t="s">
        <v>9</v>
      </c>
      <c r="H178" s="147"/>
    </row>
    <row r="179" spans="1:8" x14ac:dyDescent="0.2">
      <c r="A179" s="132" t="s">
        <v>9</v>
      </c>
      <c r="B179" s="262" t="s">
        <v>826</v>
      </c>
      <c r="C179" s="262"/>
      <c r="D179" s="262"/>
      <c r="E179" s="262"/>
      <c r="F179" s="262"/>
      <c r="G179" s="133" t="s">
        <v>9</v>
      </c>
      <c r="H179" s="147"/>
    </row>
    <row r="180" spans="1:8" x14ac:dyDescent="0.2">
      <c r="A180" s="132" t="s">
        <v>9</v>
      </c>
      <c r="B180" s="262" t="s">
        <v>9</v>
      </c>
      <c r="C180" s="262"/>
      <c r="D180" s="262"/>
      <c r="E180" s="262"/>
      <c r="F180" s="262"/>
      <c r="G180" s="133" t="s">
        <v>9</v>
      </c>
      <c r="H180" s="147"/>
    </row>
    <row r="181" spans="1:8" x14ac:dyDescent="0.2">
      <c r="A181" s="132" t="s">
        <v>9</v>
      </c>
      <c r="B181" s="132" t="s">
        <v>9</v>
      </c>
      <c r="C181" s="132" t="s">
        <v>9</v>
      </c>
      <c r="D181" s="133" t="s">
        <v>9</v>
      </c>
      <c r="E181" s="133" t="s">
        <v>9</v>
      </c>
      <c r="F181" s="133" t="s">
        <v>9</v>
      </c>
      <c r="G181" s="133" t="s">
        <v>9</v>
      </c>
      <c r="H181" s="147"/>
    </row>
    <row r="182" spans="1:8" x14ac:dyDescent="0.2">
      <c r="A182" s="132" t="s">
        <v>9</v>
      </c>
      <c r="B182" s="263" t="s">
        <v>127</v>
      </c>
      <c r="C182" s="264"/>
      <c r="D182" s="265"/>
      <c r="E182" s="134" t="s">
        <v>9</v>
      </c>
      <c r="F182" s="133" t="s">
        <v>9</v>
      </c>
      <c r="G182" s="133" t="s">
        <v>9</v>
      </c>
      <c r="H182" s="147"/>
    </row>
    <row r="183" spans="1:8" s="155" customFormat="1" ht="28.5" customHeight="1" x14ac:dyDescent="0.2">
      <c r="A183" s="19" t="s">
        <v>9</v>
      </c>
      <c r="B183" s="242" t="s">
        <v>128</v>
      </c>
      <c r="C183" s="243"/>
      <c r="D183" s="3" t="s">
        <v>129</v>
      </c>
      <c r="E183" s="21" t="s">
        <v>9</v>
      </c>
      <c r="F183" s="20" t="s">
        <v>9</v>
      </c>
      <c r="G183" s="20" t="s">
        <v>9</v>
      </c>
      <c r="H183" s="142"/>
    </row>
    <row r="184" spans="1:8" x14ac:dyDescent="0.2">
      <c r="A184" s="132" t="s">
        <v>9</v>
      </c>
      <c r="B184" s="260" t="s">
        <v>130</v>
      </c>
      <c r="C184" s="261"/>
      <c r="D184" s="137" t="s">
        <v>129</v>
      </c>
      <c r="E184" s="134" t="s">
        <v>9</v>
      </c>
      <c r="F184" s="133" t="s">
        <v>9</v>
      </c>
      <c r="G184" s="133" t="s">
        <v>9</v>
      </c>
      <c r="H184" s="147"/>
    </row>
    <row r="185" spans="1:8" x14ac:dyDescent="0.2">
      <c r="A185" s="132" t="s">
        <v>9</v>
      </c>
      <c r="B185" s="260" t="s">
        <v>131</v>
      </c>
      <c r="C185" s="261"/>
      <c r="D185" s="194" t="s">
        <v>9</v>
      </c>
      <c r="E185" s="134" t="s">
        <v>9</v>
      </c>
      <c r="F185" s="133" t="s">
        <v>9</v>
      </c>
      <c r="G185" s="133" t="s">
        <v>9</v>
      </c>
      <c r="H185" s="147"/>
    </row>
    <row r="186" spans="1:8" ht="25.5" x14ac:dyDescent="0.2">
      <c r="A186" s="139" t="s">
        <v>9</v>
      </c>
      <c r="B186" s="136" t="s">
        <v>9</v>
      </c>
      <c r="C186" s="136" t="s">
        <v>132</v>
      </c>
      <c r="D186" s="136" t="s">
        <v>133</v>
      </c>
      <c r="E186" s="139" t="s">
        <v>9</v>
      </c>
      <c r="F186" s="139" t="s">
        <v>9</v>
      </c>
      <c r="G186" s="139" t="s">
        <v>9</v>
      </c>
      <c r="H186" s="147"/>
    </row>
    <row r="187" spans="1:8" x14ac:dyDescent="0.2">
      <c r="A187" s="139" t="s">
        <v>9</v>
      </c>
      <c r="B187" s="137" t="s">
        <v>134</v>
      </c>
      <c r="C187" s="136" t="s">
        <v>135</v>
      </c>
      <c r="D187" s="136" t="s">
        <v>136</v>
      </c>
      <c r="E187" s="139" t="s">
        <v>9</v>
      </c>
      <c r="F187" s="139" t="s">
        <v>9</v>
      </c>
      <c r="G187" s="139" t="s">
        <v>9</v>
      </c>
      <c r="H187" s="147"/>
    </row>
    <row r="188" spans="1:8" x14ac:dyDescent="0.2">
      <c r="A188" s="139" t="s">
        <v>9</v>
      </c>
      <c r="B188" s="195" t="s">
        <v>137</v>
      </c>
      <c r="C188" s="196">
        <v>13.428900000000001</v>
      </c>
      <c r="D188" s="196">
        <v>13.415900000000001</v>
      </c>
      <c r="E188" s="139" t="s">
        <v>9</v>
      </c>
      <c r="F188" s="138" t="s">
        <v>9</v>
      </c>
      <c r="G188" s="139" t="s">
        <v>9</v>
      </c>
      <c r="H188" s="147"/>
    </row>
    <row r="189" spans="1:8" x14ac:dyDescent="0.2">
      <c r="A189" s="139" t="s">
        <v>9</v>
      </c>
      <c r="B189" s="195" t="s">
        <v>921</v>
      </c>
      <c r="C189" s="196">
        <v>13.428900000000001</v>
      </c>
      <c r="D189" s="196">
        <v>13.416700000000001</v>
      </c>
      <c r="E189" s="139" t="s">
        <v>9</v>
      </c>
      <c r="F189" s="138" t="s">
        <v>9</v>
      </c>
      <c r="G189" s="139" t="s">
        <v>9</v>
      </c>
      <c r="H189" s="147"/>
    </row>
    <row r="190" spans="1:8" x14ac:dyDescent="0.2">
      <c r="A190" s="139" t="s">
        <v>9</v>
      </c>
      <c r="B190" s="195" t="s">
        <v>138</v>
      </c>
      <c r="C190" s="196">
        <v>13.156599999999999</v>
      </c>
      <c r="D190" s="196">
        <v>13.123799999999999</v>
      </c>
      <c r="E190" s="139" t="s">
        <v>9</v>
      </c>
      <c r="F190" s="138" t="s">
        <v>9</v>
      </c>
      <c r="G190" s="139" t="s">
        <v>9</v>
      </c>
      <c r="H190" s="147"/>
    </row>
    <row r="191" spans="1:8" x14ac:dyDescent="0.2">
      <c r="A191" s="139" t="s">
        <v>9</v>
      </c>
      <c r="B191" s="195" t="s">
        <v>922</v>
      </c>
      <c r="C191" s="196">
        <v>13.1562</v>
      </c>
      <c r="D191" s="196">
        <v>13.123699999999999</v>
      </c>
      <c r="E191" s="139" t="s">
        <v>9</v>
      </c>
      <c r="F191" s="138" t="s">
        <v>9</v>
      </c>
      <c r="G191" s="139" t="s">
        <v>9</v>
      </c>
      <c r="H191" s="147"/>
    </row>
    <row r="192" spans="1:8" x14ac:dyDescent="0.2">
      <c r="A192" s="139" t="s">
        <v>9</v>
      </c>
      <c r="B192" s="135" t="s">
        <v>9</v>
      </c>
      <c r="C192" s="135" t="s">
        <v>9</v>
      </c>
      <c r="D192" s="135" t="s">
        <v>9</v>
      </c>
      <c r="E192" s="139" t="s">
        <v>9</v>
      </c>
      <c r="F192" s="139" t="s">
        <v>9</v>
      </c>
      <c r="G192" s="139" t="s">
        <v>9</v>
      </c>
      <c r="H192" s="147"/>
    </row>
    <row r="193" spans="1:8" x14ac:dyDescent="0.2">
      <c r="A193" s="139" t="s">
        <v>9</v>
      </c>
      <c r="B193" s="260" t="s">
        <v>1012</v>
      </c>
      <c r="C193" s="261"/>
      <c r="D193" s="137" t="s">
        <v>129</v>
      </c>
      <c r="E193" s="139" t="s">
        <v>9</v>
      </c>
      <c r="F193" s="139" t="s">
        <v>9</v>
      </c>
      <c r="G193" s="139" t="s">
        <v>9</v>
      </c>
      <c r="H193" s="147"/>
    </row>
    <row r="194" spans="1:8" x14ac:dyDescent="0.2">
      <c r="A194" s="139" t="s">
        <v>9</v>
      </c>
      <c r="B194" s="140"/>
      <c r="C194" s="140"/>
      <c r="D194" s="140"/>
      <c r="E194" s="139" t="s">
        <v>9</v>
      </c>
      <c r="F194" s="139" t="s">
        <v>9</v>
      </c>
      <c r="G194" s="139" t="s">
        <v>9</v>
      </c>
      <c r="H194" s="147"/>
    </row>
    <row r="195" spans="1:8" s="238" customFormat="1" ht="12.75" x14ac:dyDescent="0.2">
      <c r="B195" s="246" t="s">
        <v>923</v>
      </c>
      <c r="C195" s="246"/>
      <c r="D195" s="246"/>
      <c r="E195" s="246"/>
      <c r="F195" s="246"/>
    </row>
    <row r="196" spans="1:8" x14ac:dyDescent="0.2">
      <c r="A196" s="139" t="s">
        <v>9</v>
      </c>
      <c r="B196" s="197" t="s">
        <v>9</v>
      </c>
      <c r="C196" s="197" t="s">
        <v>9</v>
      </c>
      <c r="D196" s="135" t="s">
        <v>9</v>
      </c>
      <c r="E196" s="139" t="s">
        <v>9</v>
      </c>
      <c r="F196" s="139" t="s">
        <v>9</v>
      </c>
      <c r="G196" s="139" t="s">
        <v>9</v>
      </c>
      <c r="H196" s="147"/>
    </row>
    <row r="197" spans="1:8" x14ac:dyDescent="0.2">
      <c r="A197" s="139" t="s">
        <v>9</v>
      </c>
      <c r="B197" s="260" t="s">
        <v>139</v>
      </c>
      <c r="C197" s="261"/>
      <c r="D197" s="177" t="s">
        <v>990</v>
      </c>
      <c r="E197" s="148" t="s">
        <v>9</v>
      </c>
      <c r="F197" s="139" t="s">
        <v>9</v>
      </c>
      <c r="G197" s="139" t="s">
        <v>9</v>
      </c>
      <c r="H197" s="147"/>
    </row>
    <row r="198" spans="1:8" x14ac:dyDescent="0.2">
      <c r="A198" s="139" t="s">
        <v>9</v>
      </c>
      <c r="B198" s="260" t="s">
        <v>140</v>
      </c>
      <c r="C198" s="261"/>
      <c r="D198" s="137" t="s">
        <v>129</v>
      </c>
      <c r="E198" s="148" t="s">
        <v>9</v>
      </c>
      <c r="F198" s="139" t="s">
        <v>9</v>
      </c>
      <c r="G198" s="139" t="s">
        <v>9</v>
      </c>
      <c r="H198" s="147"/>
    </row>
    <row r="199" spans="1:8" x14ac:dyDescent="0.2">
      <c r="A199" s="139" t="s">
        <v>9</v>
      </c>
      <c r="B199" s="240" t="s">
        <v>991</v>
      </c>
      <c r="C199" s="241"/>
      <c r="D199" s="198">
        <v>1.5742481515269535</v>
      </c>
      <c r="E199" s="148" t="s">
        <v>9</v>
      </c>
      <c r="F199" s="139" t="s">
        <v>9</v>
      </c>
      <c r="G199" s="139" t="s">
        <v>9</v>
      </c>
      <c r="H199" s="147"/>
    </row>
    <row r="200" spans="1:8" x14ac:dyDescent="0.2">
      <c r="A200" s="139" t="s">
        <v>9</v>
      </c>
      <c r="B200" s="240" t="s">
        <v>992</v>
      </c>
      <c r="C200" s="241"/>
      <c r="D200" s="198">
        <v>1.4828130452375101</v>
      </c>
      <c r="E200" s="148" t="s">
        <v>9</v>
      </c>
      <c r="F200" s="139" t="s">
        <v>9</v>
      </c>
      <c r="G200" s="139" t="s">
        <v>9</v>
      </c>
      <c r="H200" s="147"/>
    </row>
    <row r="201" spans="1:8" x14ac:dyDescent="0.2">
      <c r="A201" s="139" t="s">
        <v>9</v>
      </c>
      <c r="B201" s="260" t="s">
        <v>993</v>
      </c>
      <c r="C201" s="261"/>
      <c r="D201" s="199">
        <v>3.3194699495937372</v>
      </c>
      <c r="E201" s="139" t="s">
        <v>9</v>
      </c>
      <c r="F201" s="138" t="s">
        <v>9</v>
      </c>
      <c r="G201" s="139" t="s">
        <v>9</v>
      </c>
      <c r="H201" s="147"/>
    </row>
    <row r="202" spans="1:8" x14ac:dyDescent="0.2">
      <c r="A202" s="139" t="s">
        <v>9</v>
      </c>
      <c r="B202" s="260" t="s">
        <v>994</v>
      </c>
      <c r="C202" s="261"/>
      <c r="D202" s="137" t="s">
        <v>129</v>
      </c>
      <c r="E202" s="148" t="s">
        <v>9</v>
      </c>
      <c r="F202" s="139" t="s">
        <v>9</v>
      </c>
      <c r="G202" s="139" t="s">
        <v>9</v>
      </c>
      <c r="H202" s="147"/>
    </row>
  </sheetData>
  <mergeCells count="18">
    <mergeCell ref="B198:C198"/>
    <mergeCell ref="B199:C199"/>
    <mergeCell ref="B200:C200"/>
    <mergeCell ref="B202:C202"/>
    <mergeCell ref="B201:C201"/>
    <mergeCell ref="A1:H1"/>
    <mergeCell ref="A2:H2"/>
    <mergeCell ref="A3:H3"/>
    <mergeCell ref="B197:C197"/>
    <mergeCell ref="B178:F178"/>
    <mergeCell ref="B179:F179"/>
    <mergeCell ref="B180:F180"/>
    <mergeCell ref="B182:D182"/>
    <mergeCell ref="B183:C183"/>
    <mergeCell ref="B184:C184"/>
    <mergeCell ref="B185:C185"/>
    <mergeCell ref="B193:C193"/>
    <mergeCell ref="B195:F195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643FD-F5C5-402D-86C7-367FD261146C}">
  <sheetPr codeName="Sheet36">
    <outlinePr summaryBelow="0" summaryRight="0"/>
  </sheetPr>
  <dimension ref="A1:H173"/>
  <sheetViews>
    <sheetView showGridLines="0" zoomScaleNormal="100" workbookViewId="0">
      <selection activeCell="J1" sqref="J1"/>
    </sheetView>
  </sheetViews>
  <sheetFormatPr defaultRowHeight="15" x14ac:dyDescent="0.2"/>
  <cols>
    <col min="1" max="1" width="6.85546875" style="157" customWidth="1"/>
    <col min="2" max="2" width="20.5703125" style="157" customWidth="1"/>
    <col min="3" max="3" width="34.28515625" style="157" customWidth="1"/>
    <col min="4" max="4" width="17.85546875" style="157" customWidth="1"/>
    <col min="5" max="6" width="19.140625" style="157" customWidth="1"/>
    <col min="7" max="7" width="16.42578125" style="157" customWidth="1"/>
    <col min="8" max="253" width="9.140625" style="157"/>
    <col min="254" max="254" width="6.85546875" style="157" customWidth="1"/>
    <col min="255" max="255" width="20.5703125" style="157" customWidth="1"/>
    <col min="256" max="256" width="34.28515625" style="157" customWidth="1"/>
    <col min="257" max="257" width="17.85546875" style="157" customWidth="1"/>
    <col min="258" max="259" width="19.140625" style="157" customWidth="1"/>
    <col min="260" max="260" width="16.42578125" style="157" customWidth="1"/>
    <col min="261" max="509" width="9.140625" style="157"/>
    <col min="510" max="510" width="6.85546875" style="157" customWidth="1"/>
    <col min="511" max="511" width="20.5703125" style="157" customWidth="1"/>
    <col min="512" max="512" width="34.28515625" style="157" customWidth="1"/>
    <col min="513" max="513" width="17.85546875" style="157" customWidth="1"/>
    <col min="514" max="515" width="19.140625" style="157" customWidth="1"/>
    <col min="516" max="516" width="16.42578125" style="157" customWidth="1"/>
    <col min="517" max="765" width="9.140625" style="157"/>
    <col min="766" max="766" width="6.85546875" style="157" customWidth="1"/>
    <col min="767" max="767" width="20.5703125" style="157" customWidth="1"/>
    <col min="768" max="768" width="34.28515625" style="157" customWidth="1"/>
    <col min="769" max="769" width="17.85546875" style="157" customWidth="1"/>
    <col min="770" max="771" width="19.140625" style="157" customWidth="1"/>
    <col min="772" max="772" width="16.42578125" style="157" customWidth="1"/>
    <col min="773" max="1021" width="9.140625" style="157"/>
    <col min="1022" max="1022" width="6.85546875" style="157" customWidth="1"/>
    <col min="1023" max="1023" width="20.5703125" style="157" customWidth="1"/>
    <col min="1024" max="1024" width="34.28515625" style="157" customWidth="1"/>
    <col min="1025" max="1025" width="17.85546875" style="157" customWidth="1"/>
    <col min="1026" max="1027" width="19.140625" style="157" customWidth="1"/>
    <col min="1028" max="1028" width="16.42578125" style="157" customWidth="1"/>
    <col min="1029" max="1277" width="9.140625" style="157"/>
    <col min="1278" max="1278" width="6.85546875" style="157" customWidth="1"/>
    <col min="1279" max="1279" width="20.5703125" style="157" customWidth="1"/>
    <col min="1280" max="1280" width="34.28515625" style="157" customWidth="1"/>
    <col min="1281" max="1281" width="17.85546875" style="157" customWidth="1"/>
    <col min="1282" max="1283" width="19.140625" style="157" customWidth="1"/>
    <col min="1284" max="1284" width="16.42578125" style="157" customWidth="1"/>
    <col min="1285" max="1533" width="9.140625" style="157"/>
    <col min="1534" max="1534" width="6.85546875" style="157" customWidth="1"/>
    <col min="1535" max="1535" width="20.5703125" style="157" customWidth="1"/>
    <col min="1536" max="1536" width="34.28515625" style="157" customWidth="1"/>
    <col min="1537" max="1537" width="17.85546875" style="157" customWidth="1"/>
    <col min="1538" max="1539" width="19.140625" style="157" customWidth="1"/>
    <col min="1540" max="1540" width="16.42578125" style="157" customWidth="1"/>
    <col min="1541" max="1789" width="9.140625" style="157"/>
    <col min="1790" max="1790" width="6.85546875" style="157" customWidth="1"/>
    <col min="1791" max="1791" width="20.5703125" style="157" customWidth="1"/>
    <col min="1792" max="1792" width="34.28515625" style="157" customWidth="1"/>
    <col min="1793" max="1793" width="17.85546875" style="157" customWidth="1"/>
    <col min="1794" max="1795" width="19.140625" style="157" customWidth="1"/>
    <col min="1796" max="1796" width="16.42578125" style="157" customWidth="1"/>
    <col min="1797" max="2045" width="9.140625" style="157"/>
    <col min="2046" max="2046" width="6.85546875" style="157" customWidth="1"/>
    <col min="2047" max="2047" width="20.5703125" style="157" customWidth="1"/>
    <col min="2048" max="2048" width="34.28515625" style="157" customWidth="1"/>
    <col min="2049" max="2049" width="17.85546875" style="157" customWidth="1"/>
    <col min="2050" max="2051" width="19.140625" style="157" customWidth="1"/>
    <col min="2052" max="2052" width="16.42578125" style="157" customWidth="1"/>
    <col min="2053" max="2301" width="9.140625" style="157"/>
    <col min="2302" max="2302" width="6.85546875" style="157" customWidth="1"/>
    <col min="2303" max="2303" width="20.5703125" style="157" customWidth="1"/>
    <col min="2304" max="2304" width="34.28515625" style="157" customWidth="1"/>
    <col min="2305" max="2305" width="17.85546875" style="157" customWidth="1"/>
    <col min="2306" max="2307" width="19.140625" style="157" customWidth="1"/>
    <col min="2308" max="2308" width="16.42578125" style="157" customWidth="1"/>
    <col min="2309" max="2557" width="9.140625" style="157"/>
    <col min="2558" max="2558" width="6.85546875" style="157" customWidth="1"/>
    <col min="2559" max="2559" width="20.5703125" style="157" customWidth="1"/>
    <col min="2560" max="2560" width="34.28515625" style="157" customWidth="1"/>
    <col min="2561" max="2561" width="17.85546875" style="157" customWidth="1"/>
    <col min="2562" max="2563" width="19.140625" style="157" customWidth="1"/>
    <col min="2564" max="2564" width="16.42578125" style="157" customWidth="1"/>
    <col min="2565" max="2813" width="9.140625" style="157"/>
    <col min="2814" max="2814" width="6.85546875" style="157" customWidth="1"/>
    <col min="2815" max="2815" width="20.5703125" style="157" customWidth="1"/>
    <col min="2816" max="2816" width="34.28515625" style="157" customWidth="1"/>
    <col min="2817" max="2817" width="17.85546875" style="157" customWidth="1"/>
    <col min="2818" max="2819" width="19.140625" style="157" customWidth="1"/>
    <col min="2820" max="2820" width="16.42578125" style="157" customWidth="1"/>
    <col min="2821" max="3069" width="9.140625" style="157"/>
    <col min="3070" max="3070" width="6.85546875" style="157" customWidth="1"/>
    <col min="3071" max="3071" width="20.5703125" style="157" customWidth="1"/>
    <col min="3072" max="3072" width="34.28515625" style="157" customWidth="1"/>
    <col min="3073" max="3073" width="17.85546875" style="157" customWidth="1"/>
    <col min="3074" max="3075" width="19.140625" style="157" customWidth="1"/>
    <col min="3076" max="3076" width="16.42578125" style="157" customWidth="1"/>
    <col min="3077" max="3325" width="9.140625" style="157"/>
    <col min="3326" max="3326" width="6.85546875" style="157" customWidth="1"/>
    <col min="3327" max="3327" width="20.5703125" style="157" customWidth="1"/>
    <col min="3328" max="3328" width="34.28515625" style="157" customWidth="1"/>
    <col min="3329" max="3329" width="17.85546875" style="157" customWidth="1"/>
    <col min="3330" max="3331" width="19.140625" style="157" customWidth="1"/>
    <col min="3332" max="3332" width="16.42578125" style="157" customWidth="1"/>
    <col min="3333" max="3581" width="9.140625" style="157"/>
    <col min="3582" max="3582" width="6.85546875" style="157" customWidth="1"/>
    <col min="3583" max="3583" width="20.5703125" style="157" customWidth="1"/>
    <col min="3584" max="3584" width="34.28515625" style="157" customWidth="1"/>
    <col min="3585" max="3585" width="17.85546875" style="157" customWidth="1"/>
    <col min="3586" max="3587" width="19.140625" style="157" customWidth="1"/>
    <col min="3588" max="3588" width="16.42578125" style="157" customWidth="1"/>
    <col min="3589" max="3837" width="9.140625" style="157"/>
    <col min="3838" max="3838" width="6.85546875" style="157" customWidth="1"/>
    <col min="3839" max="3839" width="20.5703125" style="157" customWidth="1"/>
    <col min="3840" max="3840" width="34.28515625" style="157" customWidth="1"/>
    <col min="3841" max="3841" width="17.85546875" style="157" customWidth="1"/>
    <col min="3842" max="3843" width="19.140625" style="157" customWidth="1"/>
    <col min="3844" max="3844" width="16.42578125" style="157" customWidth="1"/>
    <col min="3845" max="4093" width="9.140625" style="157"/>
    <col min="4094" max="4094" width="6.85546875" style="157" customWidth="1"/>
    <col min="4095" max="4095" width="20.5703125" style="157" customWidth="1"/>
    <col min="4096" max="4096" width="34.28515625" style="157" customWidth="1"/>
    <col min="4097" max="4097" width="17.85546875" style="157" customWidth="1"/>
    <col min="4098" max="4099" width="19.140625" style="157" customWidth="1"/>
    <col min="4100" max="4100" width="16.42578125" style="157" customWidth="1"/>
    <col min="4101" max="4349" width="9.140625" style="157"/>
    <col min="4350" max="4350" width="6.85546875" style="157" customWidth="1"/>
    <col min="4351" max="4351" width="20.5703125" style="157" customWidth="1"/>
    <col min="4352" max="4352" width="34.28515625" style="157" customWidth="1"/>
    <col min="4353" max="4353" width="17.85546875" style="157" customWidth="1"/>
    <col min="4354" max="4355" width="19.140625" style="157" customWidth="1"/>
    <col min="4356" max="4356" width="16.42578125" style="157" customWidth="1"/>
    <col min="4357" max="4605" width="9.140625" style="157"/>
    <col min="4606" max="4606" width="6.85546875" style="157" customWidth="1"/>
    <col min="4607" max="4607" width="20.5703125" style="157" customWidth="1"/>
    <col min="4608" max="4608" width="34.28515625" style="157" customWidth="1"/>
    <col min="4609" max="4609" width="17.85546875" style="157" customWidth="1"/>
    <col min="4610" max="4611" width="19.140625" style="157" customWidth="1"/>
    <col min="4612" max="4612" width="16.42578125" style="157" customWidth="1"/>
    <col min="4613" max="4861" width="9.140625" style="157"/>
    <col min="4862" max="4862" width="6.85546875" style="157" customWidth="1"/>
    <col min="4863" max="4863" width="20.5703125" style="157" customWidth="1"/>
    <col min="4864" max="4864" width="34.28515625" style="157" customWidth="1"/>
    <col min="4865" max="4865" width="17.85546875" style="157" customWidth="1"/>
    <col min="4866" max="4867" width="19.140625" style="157" customWidth="1"/>
    <col min="4868" max="4868" width="16.42578125" style="157" customWidth="1"/>
    <col min="4869" max="5117" width="9.140625" style="157"/>
    <col min="5118" max="5118" width="6.85546875" style="157" customWidth="1"/>
    <col min="5119" max="5119" width="20.5703125" style="157" customWidth="1"/>
    <col min="5120" max="5120" width="34.28515625" style="157" customWidth="1"/>
    <col min="5121" max="5121" width="17.85546875" style="157" customWidth="1"/>
    <col min="5122" max="5123" width="19.140625" style="157" customWidth="1"/>
    <col min="5124" max="5124" width="16.42578125" style="157" customWidth="1"/>
    <col min="5125" max="5373" width="9.140625" style="157"/>
    <col min="5374" max="5374" width="6.85546875" style="157" customWidth="1"/>
    <col min="5375" max="5375" width="20.5703125" style="157" customWidth="1"/>
    <col min="5376" max="5376" width="34.28515625" style="157" customWidth="1"/>
    <col min="5377" max="5377" width="17.85546875" style="157" customWidth="1"/>
    <col min="5378" max="5379" width="19.140625" style="157" customWidth="1"/>
    <col min="5380" max="5380" width="16.42578125" style="157" customWidth="1"/>
    <col min="5381" max="5629" width="9.140625" style="157"/>
    <col min="5630" max="5630" width="6.85546875" style="157" customWidth="1"/>
    <col min="5631" max="5631" width="20.5703125" style="157" customWidth="1"/>
    <col min="5632" max="5632" width="34.28515625" style="157" customWidth="1"/>
    <col min="5633" max="5633" width="17.85546875" style="157" customWidth="1"/>
    <col min="5634" max="5635" width="19.140625" style="157" customWidth="1"/>
    <col min="5636" max="5636" width="16.42578125" style="157" customWidth="1"/>
    <col min="5637" max="5885" width="9.140625" style="157"/>
    <col min="5886" max="5886" width="6.85546875" style="157" customWidth="1"/>
    <col min="5887" max="5887" width="20.5703125" style="157" customWidth="1"/>
    <col min="5888" max="5888" width="34.28515625" style="157" customWidth="1"/>
    <col min="5889" max="5889" width="17.85546875" style="157" customWidth="1"/>
    <col min="5890" max="5891" width="19.140625" style="157" customWidth="1"/>
    <col min="5892" max="5892" width="16.42578125" style="157" customWidth="1"/>
    <col min="5893" max="6141" width="9.140625" style="157"/>
    <col min="6142" max="6142" width="6.85546875" style="157" customWidth="1"/>
    <col min="6143" max="6143" width="20.5703125" style="157" customWidth="1"/>
    <col min="6144" max="6144" width="34.28515625" style="157" customWidth="1"/>
    <col min="6145" max="6145" width="17.85546875" style="157" customWidth="1"/>
    <col min="6146" max="6147" width="19.140625" style="157" customWidth="1"/>
    <col min="6148" max="6148" width="16.42578125" style="157" customWidth="1"/>
    <col min="6149" max="6397" width="9.140625" style="157"/>
    <col min="6398" max="6398" width="6.85546875" style="157" customWidth="1"/>
    <col min="6399" max="6399" width="20.5703125" style="157" customWidth="1"/>
    <col min="6400" max="6400" width="34.28515625" style="157" customWidth="1"/>
    <col min="6401" max="6401" width="17.85546875" style="157" customWidth="1"/>
    <col min="6402" max="6403" width="19.140625" style="157" customWidth="1"/>
    <col min="6404" max="6404" width="16.42578125" style="157" customWidth="1"/>
    <col min="6405" max="6653" width="9.140625" style="157"/>
    <col min="6654" max="6654" width="6.85546875" style="157" customWidth="1"/>
    <col min="6655" max="6655" width="20.5703125" style="157" customWidth="1"/>
    <col min="6656" max="6656" width="34.28515625" style="157" customWidth="1"/>
    <col min="6657" max="6657" width="17.85546875" style="157" customWidth="1"/>
    <col min="6658" max="6659" width="19.140625" style="157" customWidth="1"/>
    <col min="6660" max="6660" width="16.42578125" style="157" customWidth="1"/>
    <col min="6661" max="6909" width="9.140625" style="157"/>
    <col min="6910" max="6910" width="6.85546875" style="157" customWidth="1"/>
    <col min="6911" max="6911" width="20.5703125" style="157" customWidth="1"/>
    <col min="6912" max="6912" width="34.28515625" style="157" customWidth="1"/>
    <col min="6913" max="6913" width="17.85546875" style="157" customWidth="1"/>
    <col min="6914" max="6915" width="19.140625" style="157" customWidth="1"/>
    <col min="6916" max="6916" width="16.42578125" style="157" customWidth="1"/>
    <col min="6917" max="7165" width="9.140625" style="157"/>
    <col min="7166" max="7166" width="6.85546875" style="157" customWidth="1"/>
    <col min="7167" max="7167" width="20.5703125" style="157" customWidth="1"/>
    <col min="7168" max="7168" width="34.28515625" style="157" customWidth="1"/>
    <col min="7169" max="7169" width="17.85546875" style="157" customWidth="1"/>
    <col min="7170" max="7171" width="19.140625" style="157" customWidth="1"/>
    <col min="7172" max="7172" width="16.42578125" style="157" customWidth="1"/>
    <col min="7173" max="7421" width="9.140625" style="157"/>
    <col min="7422" max="7422" width="6.85546875" style="157" customWidth="1"/>
    <col min="7423" max="7423" width="20.5703125" style="157" customWidth="1"/>
    <col min="7424" max="7424" width="34.28515625" style="157" customWidth="1"/>
    <col min="7425" max="7425" width="17.85546875" style="157" customWidth="1"/>
    <col min="7426" max="7427" width="19.140625" style="157" customWidth="1"/>
    <col min="7428" max="7428" width="16.42578125" style="157" customWidth="1"/>
    <col min="7429" max="7677" width="9.140625" style="157"/>
    <col min="7678" max="7678" width="6.85546875" style="157" customWidth="1"/>
    <col min="7679" max="7679" width="20.5703125" style="157" customWidth="1"/>
    <col min="7680" max="7680" width="34.28515625" style="157" customWidth="1"/>
    <col min="7681" max="7681" width="17.85546875" style="157" customWidth="1"/>
    <col min="7682" max="7683" width="19.140625" style="157" customWidth="1"/>
    <col min="7684" max="7684" width="16.42578125" style="157" customWidth="1"/>
    <col min="7685" max="7933" width="9.140625" style="157"/>
    <col min="7934" max="7934" width="6.85546875" style="157" customWidth="1"/>
    <col min="7935" max="7935" width="20.5703125" style="157" customWidth="1"/>
    <col min="7936" max="7936" width="34.28515625" style="157" customWidth="1"/>
    <col min="7937" max="7937" width="17.85546875" style="157" customWidth="1"/>
    <col min="7938" max="7939" width="19.140625" style="157" customWidth="1"/>
    <col min="7940" max="7940" width="16.42578125" style="157" customWidth="1"/>
    <col min="7941" max="8189" width="9.140625" style="157"/>
    <col min="8190" max="8190" width="6.85546875" style="157" customWidth="1"/>
    <col min="8191" max="8191" width="20.5703125" style="157" customWidth="1"/>
    <col min="8192" max="8192" width="34.28515625" style="157" customWidth="1"/>
    <col min="8193" max="8193" width="17.85546875" style="157" customWidth="1"/>
    <col min="8194" max="8195" width="19.140625" style="157" customWidth="1"/>
    <col min="8196" max="8196" width="16.42578125" style="157" customWidth="1"/>
    <col min="8197" max="8445" width="9.140625" style="157"/>
    <col min="8446" max="8446" width="6.85546875" style="157" customWidth="1"/>
    <col min="8447" max="8447" width="20.5703125" style="157" customWidth="1"/>
    <col min="8448" max="8448" width="34.28515625" style="157" customWidth="1"/>
    <col min="8449" max="8449" width="17.85546875" style="157" customWidth="1"/>
    <col min="8450" max="8451" width="19.140625" style="157" customWidth="1"/>
    <col min="8452" max="8452" width="16.42578125" style="157" customWidth="1"/>
    <col min="8453" max="8701" width="9.140625" style="157"/>
    <col min="8702" max="8702" width="6.85546875" style="157" customWidth="1"/>
    <col min="8703" max="8703" width="20.5703125" style="157" customWidth="1"/>
    <col min="8704" max="8704" width="34.28515625" style="157" customWidth="1"/>
    <col min="8705" max="8705" width="17.85546875" style="157" customWidth="1"/>
    <col min="8706" max="8707" width="19.140625" style="157" customWidth="1"/>
    <col min="8708" max="8708" width="16.42578125" style="157" customWidth="1"/>
    <col min="8709" max="8957" width="9.140625" style="157"/>
    <col min="8958" max="8958" width="6.85546875" style="157" customWidth="1"/>
    <col min="8959" max="8959" width="20.5703125" style="157" customWidth="1"/>
    <col min="8960" max="8960" width="34.28515625" style="157" customWidth="1"/>
    <col min="8961" max="8961" width="17.85546875" style="157" customWidth="1"/>
    <col min="8962" max="8963" width="19.140625" style="157" customWidth="1"/>
    <col min="8964" max="8964" width="16.42578125" style="157" customWidth="1"/>
    <col min="8965" max="9213" width="9.140625" style="157"/>
    <col min="9214" max="9214" width="6.85546875" style="157" customWidth="1"/>
    <col min="9215" max="9215" width="20.5703125" style="157" customWidth="1"/>
    <col min="9216" max="9216" width="34.28515625" style="157" customWidth="1"/>
    <col min="9217" max="9217" width="17.85546875" style="157" customWidth="1"/>
    <col min="9218" max="9219" width="19.140625" style="157" customWidth="1"/>
    <col min="9220" max="9220" width="16.42578125" style="157" customWidth="1"/>
    <col min="9221" max="9469" width="9.140625" style="157"/>
    <col min="9470" max="9470" width="6.85546875" style="157" customWidth="1"/>
    <col min="9471" max="9471" width="20.5703125" style="157" customWidth="1"/>
    <col min="9472" max="9472" width="34.28515625" style="157" customWidth="1"/>
    <col min="9473" max="9473" width="17.85546875" style="157" customWidth="1"/>
    <col min="9474" max="9475" width="19.140625" style="157" customWidth="1"/>
    <col min="9476" max="9476" width="16.42578125" style="157" customWidth="1"/>
    <col min="9477" max="9725" width="9.140625" style="157"/>
    <col min="9726" max="9726" width="6.85546875" style="157" customWidth="1"/>
    <col min="9727" max="9727" width="20.5703125" style="157" customWidth="1"/>
    <col min="9728" max="9728" width="34.28515625" style="157" customWidth="1"/>
    <col min="9729" max="9729" width="17.85546875" style="157" customWidth="1"/>
    <col min="9730" max="9731" width="19.140625" style="157" customWidth="1"/>
    <col min="9732" max="9732" width="16.42578125" style="157" customWidth="1"/>
    <col min="9733" max="9981" width="9.140625" style="157"/>
    <col min="9982" max="9982" width="6.85546875" style="157" customWidth="1"/>
    <col min="9983" max="9983" width="20.5703125" style="157" customWidth="1"/>
    <col min="9984" max="9984" width="34.28515625" style="157" customWidth="1"/>
    <col min="9985" max="9985" width="17.85546875" style="157" customWidth="1"/>
    <col min="9986" max="9987" width="19.140625" style="157" customWidth="1"/>
    <col min="9988" max="9988" width="16.42578125" style="157" customWidth="1"/>
    <col min="9989" max="10237" width="9.140625" style="157"/>
    <col min="10238" max="10238" width="6.85546875" style="157" customWidth="1"/>
    <col min="10239" max="10239" width="20.5703125" style="157" customWidth="1"/>
    <col min="10240" max="10240" width="34.28515625" style="157" customWidth="1"/>
    <col min="10241" max="10241" width="17.85546875" style="157" customWidth="1"/>
    <col min="10242" max="10243" width="19.140625" style="157" customWidth="1"/>
    <col min="10244" max="10244" width="16.42578125" style="157" customWidth="1"/>
    <col min="10245" max="10493" width="9.140625" style="157"/>
    <col min="10494" max="10494" width="6.85546875" style="157" customWidth="1"/>
    <col min="10495" max="10495" width="20.5703125" style="157" customWidth="1"/>
    <col min="10496" max="10496" width="34.28515625" style="157" customWidth="1"/>
    <col min="10497" max="10497" width="17.85546875" style="157" customWidth="1"/>
    <col min="10498" max="10499" width="19.140625" style="157" customWidth="1"/>
    <col min="10500" max="10500" width="16.42578125" style="157" customWidth="1"/>
    <col min="10501" max="10749" width="9.140625" style="157"/>
    <col min="10750" max="10750" width="6.85546875" style="157" customWidth="1"/>
    <col min="10751" max="10751" width="20.5703125" style="157" customWidth="1"/>
    <col min="10752" max="10752" width="34.28515625" style="157" customWidth="1"/>
    <col min="10753" max="10753" width="17.85546875" style="157" customWidth="1"/>
    <col min="10754" max="10755" width="19.140625" style="157" customWidth="1"/>
    <col min="10756" max="10756" width="16.42578125" style="157" customWidth="1"/>
    <col min="10757" max="11005" width="9.140625" style="157"/>
    <col min="11006" max="11006" width="6.85546875" style="157" customWidth="1"/>
    <col min="11007" max="11007" width="20.5703125" style="157" customWidth="1"/>
    <col min="11008" max="11008" width="34.28515625" style="157" customWidth="1"/>
    <col min="11009" max="11009" width="17.85546875" style="157" customWidth="1"/>
    <col min="11010" max="11011" width="19.140625" style="157" customWidth="1"/>
    <col min="11012" max="11012" width="16.42578125" style="157" customWidth="1"/>
    <col min="11013" max="11261" width="9.140625" style="157"/>
    <col min="11262" max="11262" width="6.85546875" style="157" customWidth="1"/>
    <col min="11263" max="11263" width="20.5703125" style="157" customWidth="1"/>
    <col min="11264" max="11264" width="34.28515625" style="157" customWidth="1"/>
    <col min="11265" max="11265" width="17.85546875" style="157" customWidth="1"/>
    <col min="11266" max="11267" width="19.140625" style="157" customWidth="1"/>
    <col min="11268" max="11268" width="16.42578125" style="157" customWidth="1"/>
    <col min="11269" max="11517" width="9.140625" style="157"/>
    <col min="11518" max="11518" width="6.85546875" style="157" customWidth="1"/>
    <col min="11519" max="11519" width="20.5703125" style="157" customWidth="1"/>
    <col min="11520" max="11520" width="34.28515625" style="157" customWidth="1"/>
    <col min="11521" max="11521" width="17.85546875" style="157" customWidth="1"/>
    <col min="11522" max="11523" width="19.140625" style="157" customWidth="1"/>
    <col min="11524" max="11524" width="16.42578125" style="157" customWidth="1"/>
    <col min="11525" max="11773" width="9.140625" style="157"/>
    <col min="11774" max="11774" width="6.85546875" style="157" customWidth="1"/>
    <col min="11775" max="11775" width="20.5703125" style="157" customWidth="1"/>
    <col min="11776" max="11776" width="34.28515625" style="157" customWidth="1"/>
    <col min="11777" max="11777" width="17.85546875" style="157" customWidth="1"/>
    <col min="11778" max="11779" width="19.140625" style="157" customWidth="1"/>
    <col min="11780" max="11780" width="16.42578125" style="157" customWidth="1"/>
    <col min="11781" max="12029" width="9.140625" style="157"/>
    <col min="12030" max="12030" width="6.85546875" style="157" customWidth="1"/>
    <col min="12031" max="12031" width="20.5703125" style="157" customWidth="1"/>
    <col min="12032" max="12032" width="34.28515625" style="157" customWidth="1"/>
    <col min="12033" max="12033" width="17.85546875" style="157" customWidth="1"/>
    <col min="12034" max="12035" width="19.140625" style="157" customWidth="1"/>
    <col min="12036" max="12036" width="16.42578125" style="157" customWidth="1"/>
    <col min="12037" max="12285" width="9.140625" style="157"/>
    <col min="12286" max="12286" width="6.85546875" style="157" customWidth="1"/>
    <col min="12287" max="12287" width="20.5703125" style="157" customWidth="1"/>
    <col min="12288" max="12288" width="34.28515625" style="157" customWidth="1"/>
    <col min="12289" max="12289" width="17.85546875" style="157" customWidth="1"/>
    <col min="12290" max="12291" width="19.140625" style="157" customWidth="1"/>
    <col min="12292" max="12292" width="16.42578125" style="157" customWidth="1"/>
    <col min="12293" max="12541" width="9.140625" style="157"/>
    <col min="12542" max="12542" width="6.85546875" style="157" customWidth="1"/>
    <col min="12543" max="12543" width="20.5703125" style="157" customWidth="1"/>
    <col min="12544" max="12544" width="34.28515625" style="157" customWidth="1"/>
    <col min="12545" max="12545" width="17.85546875" style="157" customWidth="1"/>
    <col min="12546" max="12547" width="19.140625" style="157" customWidth="1"/>
    <col min="12548" max="12548" width="16.42578125" style="157" customWidth="1"/>
    <col min="12549" max="12797" width="9.140625" style="157"/>
    <col min="12798" max="12798" width="6.85546875" style="157" customWidth="1"/>
    <col min="12799" max="12799" width="20.5703125" style="157" customWidth="1"/>
    <col min="12800" max="12800" width="34.28515625" style="157" customWidth="1"/>
    <col min="12801" max="12801" width="17.85546875" style="157" customWidth="1"/>
    <col min="12802" max="12803" width="19.140625" style="157" customWidth="1"/>
    <col min="12804" max="12804" width="16.42578125" style="157" customWidth="1"/>
    <col min="12805" max="13053" width="9.140625" style="157"/>
    <col min="13054" max="13054" width="6.85546875" style="157" customWidth="1"/>
    <col min="13055" max="13055" width="20.5703125" style="157" customWidth="1"/>
    <col min="13056" max="13056" width="34.28515625" style="157" customWidth="1"/>
    <col min="13057" max="13057" width="17.85546875" style="157" customWidth="1"/>
    <col min="13058" max="13059" width="19.140625" style="157" customWidth="1"/>
    <col min="13060" max="13060" width="16.42578125" style="157" customWidth="1"/>
    <col min="13061" max="13309" width="9.140625" style="157"/>
    <col min="13310" max="13310" width="6.85546875" style="157" customWidth="1"/>
    <col min="13311" max="13311" width="20.5703125" style="157" customWidth="1"/>
    <col min="13312" max="13312" width="34.28515625" style="157" customWidth="1"/>
    <col min="13313" max="13313" width="17.85546875" style="157" customWidth="1"/>
    <col min="13314" max="13315" width="19.140625" style="157" customWidth="1"/>
    <col min="13316" max="13316" width="16.42578125" style="157" customWidth="1"/>
    <col min="13317" max="13565" width="9.140625" style="157"/>
    <col min="13566" max="13566" width="6.85546875" style="157" customWidth="1"/>
    <col min="13567" max="13567" width="20.5703125" style="157" customWidth="1"/>
    <col min="13568" max="13568" width="34.28515625" style="157" customWidth="1"/>
    <col min="13569" max="13569" width="17.85546875" style="157" customWidth="1"/>
    <col min="13570" max="13571" width="19.140625" style="157" customWidth="1"/>
    <col min="13572" max="13572" width="16.42578125" style="157" customWidth="1"/>
    <col min="13573" max="13821" width="9.140625" style="157"/>
    <col min="13822" max="13822" width="6.85546875" style="157" customWidth="1"/>
    <col min="13823" max="13823" width="20.5703125" style="157" customWidth="1"/>
    <col min="13824" max="13824" width="34.28515625" style="157" customWidth="1"/>
    <col min="13825" max="13825" width="17.85546875" style="157" customWidth="1"/>
    <col min="13826" max="13827" width="19.140625" style="157" customWidth="1"/>
    <col min="13828" max="13828" width="16.42578125" style="157" customWidth="1"/>
    <col min="13829" max="14077" width="9.140625" style="157"/>
    <col min="14078" max="14078" width="6.85546875" style="157" customWidth="1"/>
    <col min="14079" max="14079" width="20.5703125" style="157" customWidth="1"/>
    <col min="14080" max="14080" width="34.28515625" style="157" customWidth="1"/>
    <col min="14081" max="14081" width="17.85546875" style="157" customWidth="1"/>
    <col min="14082" max="14083" width="19.140625" style="157" customWidth="1"/>
    <col min="14084" max="14084" width="16.42578125" style="157" customWidth="1"/>
    <col min="14085" max="14333" width="9.140625" style="157"/>
    <col min="14334" max="14334" width="6.85546875" style="157" customWidth="1"/>
    <col min="14335" max="14335" width="20.5703125" style="157" customWidth="1"/>
    <col min="14336" max="14336" width="34.28515625" style="157" customWidth="1"/>
    <col min="14337" max="14337" width="17.85546875" style="157" customWidth="1"/>
    <col min="14338" max="14339" width="19.140625" style="157" customWidth="1"/>
    <col min="14340" max="14340" width="16.42578125" style="157" customWidth="1"/>
    <col min="14341" max="14589" width="9.140625" style="157"/>
    <col min="14590" max="14590" width="6.85546875" style="157" customWidth="1"/>
    <col min="14591" max="14591" width="20.5703125" style="157" customWidth="1"/>
    <col min="14592" max="14592" width="34.28515625" style="157" customWidth="1"/>
    <col min="14593" max="14593" width="17.85546875" style="157" customWidth="1"/>
    <col min="14594" max="14595" width="19.140625" style="157" customWidth="1"/>
    <col min="14596" max="14596" width="16.42578125" style="157" customWidth="1"/>
    <col min="14597" max="14845" width="9.140625" style="157"/>
    <col min="14846" max="14846" width="6.85546875" style="157" customWidth="1"/>
    <col min="14847" max="14847" width="20.5703125" style="157" customWidth="1"/>
    <col min="14848" max="14848" width="34.28515625" style="157" customWidth="1"/>
    <col min="14849" max="14849" width="17.85546875" style="157" customWidth="1"/>
    <col min="14850" max="14851" width="19.140625" style="157" customWidth="1"/>
    <col min="14852" max="14852" width="16.42578125" style="157" customWidth="1"/>
    <col min="14853" max="15101" width="9.140625" style="157"/>
    <col min="15102" max="15102" width="6.85546875" style="157" customWidth="1"/>
    <col min="15103" max="15103" width="20.5703125" style="157" customWidth="1"/>
    <col min="15104" max="15104" width="34.28515625" style="157" customWidth="1"/>
    <col min="15105" max="15105" width="17.85546875" style="157" customWidth="1"/>
    <col min="15106" max="15107" width="19.140625" style="157" customWidth="1"/>
    <col min="15108" max="15108" width="16.42578125" style="157" customWidth="1"/>
    <col min="15109" max="15357" width="9.140625" style="157"/>
    <col min="15358" max="15358" width="6.85546875" style="157" customWidth="1"/>
    <col min="15359" max="15359" width="20.5703125" style="157" customWidth="1"/>
    <col min="15360" max="15360" width="34.28515625" style="157" customWidth="1"/>
    <col min="15361" max="15361" width="17.85546875" style="157" customWidth="1"/>
    <col min="15362" max="15363" width="19.140625" style="157" customWidth="1"/>
    <col min="15364" max="15364" width="16.42578125" style="157" customWidth="1"/>
    <col min="15365" max="15613" width="9.140625" style="157"/>
    <col min="15614" max="15614" width="6.85546875" style="157" customWidth="1"/>
    <col min="15615" max="15615" width="20.5703125" style="157" customWidth="1"/>
    <col min="15616" max="15616" width="34.28515625" style="157" customWidth="1"/>
    <col min="15617" max="15617" width="17.85546875" style="157" customWidth="1"/>
    <col min="15618" max="15619" width="19.140625" style="157" customWidth="1"/>
    <col min="15620" max="15620" width="16.42578125" style="157" customWidth="1"/>
    <col min="15621" max="15869" width="9.140625" style="157"/>
    <col min="15870" max="15870" width="6.85546875" style="157" customWidth="1"/>
    <col min="15871" max="15871" width="20.5703125" style="157" customWidth="1"/>
    <col min="15872" max="15872" width="34.28515625" style="157" customWidth="1"/>
    <col min="15873" max="15873" width="17.85546875" style="157" customWidth="1"/>
    <col min="15874" max="15875" width="19.140625" style="157" customWidth="1"/>
    <col min="15876" max="15876" width="16.42578125" style="157" customWidth="1"/>
    <col min="15877" max="16125" width="9.140625" style="157"/>
    <col min="16126" max="16126" width="6.85546875" style="157" customWidth="1"/>
    <col min="16127" max="16127" width="20.5703125" style="157" customWidth="1"/>
    <col min="16128" max="16128" width="34.28515625" style="157" customWidth="1"/>
    <col min="16129" max="16129" width="17.85546875" style="157" customWidth="1"/>
    <col min="16130" max="16131" width="19.140625" style="157" customWidth="1"/>
    <col min="16132" max="16132" width="16.42578125" style="157" customWidth="1"/>
    <col min="16133" max="16384" width="9.140625" style="157"/>
  </cols>
  <sheetData>
    <row r="1" spans="1:8" x14ac:dyDescent="0.2">
      <c r="A1" s="250" t="s">
        <v>0</v>
      </c>
      <c r="B1" s="250"/>
      <c r="C1" s="250"/>
      <c r="D1" s="250"/>
      <c r="E1" s="250"/>
      <c r="F1" s="250"/>
      <c r="G1" s="250"/>
      <c r="H1" s="250"/>
    </row>
    <row r="2" spans="1:8" x14ac:dyDescent="0.2">
      <c r="A2" s="251" t="s">
        <v>782</v>
      </c>
      <c r="B2" s="252"/>
      <c r="C2" s="252"/>
      <c r="D2" s="252"/>
      <c r="E2" s="252"/>
      <c r="F2" s="252"/>
      <c r="G2" s="252"/>
      <c r="H2" s="253"/>
    </row>
    <row r="3" spans="1:8" x14ac:dyDescent="0.2">
      <c r="A3" s="250" t="s">
        <v>1015</v>
      </c>
      <c r="B3" s="250"/>
      <c r="C3" s="250"/>
      <c r="D3" s="250"/>
      <c r="E3" s="250"/>
      <c r="F3" s="250"/>
      <c r="G3" s="250"/>
      <c r="H3" s="250"/>
    </row>
    <row r="4" spans="1:8" ht="30" x14ac:dyDescent="0.2">
      <c r="A4" s="162" t="s">
        <v>2</v>
      </c>
      <c r="B4" s="162" t="s">
        <v>3</v>
      </c>
      <c r="C4" s="162" t="s">
        <v>4</v>
      </c>
      <c r="D4" s="162" t="s">
        <v>5</v>
      </c>
      <c r="E4" s="163" t="s">
        <v>6</v>
      </c>
      <c r="F4" s="163" t="s">
        <v>7</v>
      </c>
      <c r="G4" s="163" t="s">
        <v>8</v>
      </c>
      <c r="H4" s="161" t="s">
        <v>909</v>
      </c>
    </row>
    <row r="5" spans="1:8" x14ac:dyDescent="0.2">
      <c r="A5" s="112" t="s">
        <v>9</v>
      </c>
      <c r="B5" s="112" t="s">
        <v>9</v>
      </c>
      <c r="C5" s="101" t="s">
        <v>10</v>
      </c>
      <c r="D5" s="112" t="s">
        <v>9</v>
      </c>
      <c r="E5" s="112" t="s">
        <v>9</v>
      </c>
      <c r="F5" s="112" t="s">
        <v>9</v>
      </c>
      <c r="G5" s="112" t="s">
        <v>9</v>
      </c>
      <c r="H5" s="100"/>
    </row>
    <row r="6" spans="1:8" ht="25.5" x14ac:dyDescent="0.2">
      <c r="A6" s="112" t="s">
        <v>9</v>
      </c>
      <c r="B6" s="112" t="s">
        <v>9</v>
      </c>
      <c r="C6" s="101" t="s">
        <v>11</v>
      </c>
      <c r="D6" s="112" t="s">
        <v>9</v>
      </c>
      <c r="E6" s="112" t="s">
        <v>9</v>
      </c>
      <c r="F6" s="112" t="s">
        <v>9</v>
      </c>
      <c r="G6" s="112" t="s">
        <v>9</v>
      </c>
      <c r="H6" s="100"/>
    </row>
    <row r="7" spans="1:8" x14ac:dyDescent="0.2">
      <c r="A7" s="102">
        <v>1</v>
      </c>
      <c r="B7" s="75" t="s">
        <v>393</v>
      </c>
      <c r="C7" s="5" t="s">
        <v>394</v>
      </c>
      <c r="D7" s="75" t="s">
        <v>151</v>
      </c>
      <c r="E7" s="103">
        <v>704290</v>
      </c>
      <c r="F7" s="104">
        <v>9538.5516150000003</v>
      </c>
      <c r="G7" s="105">
        <v>5.7372881000000001E-2</v>
      </c>
      <c r="H7" s="100"/>
    </row>
    <row r="8" spans="1:8" x14ac:dyDescent="0.2">
      <c r="A8" s="102">
        <v>2</v>
      </c>
      <c r="B8" s="75" t="s">
        <v>54</v>
      </c>
      <c r="C8" s="5" t="s">
        <v>55</v>
      </c>
      <c r="D8" s="75" t="s">
        <v>22</v>
      </c>
      <c r="E8" s="103">
        <v>637828</v>
      </c>
      <c r="F8" s="104">
        <v>9008.044844</v>
      </c>
      <c r="G8" s="105">
        <v>5.4181966999999998E-2</v>
      </c>
      <c r="H8" s="100"/>
    </row>
    <row r="9" spans="1:8" x14ac:dyDescent="0.2">
      <c r="A9" s="102">
        <v>3</v>
      </c>
      <c r="B9" s="75" t="s">
        <v>20</v>
      </c>
      <c r="C9" s="5" t="s">
        <v>21</v>
      </c>
      <c r="D9" s="75" t="s">
        <v>22</v>
      </c>
      <c r="E9" s="103">
        <v>1429074</v>
      </c>
      <c r="F9" s="104">
        <v>8581.5893699999997</v>
      </c>
      <c r="G9" s="105">
        <v>5.1616903999999998E-2</v>
      </c>
      <c r="H9" s="100"/>
    </row>
    <row r="10" spans="1:8" x14ac:dyDescent="0.2">
      <c r="A10" s="102">
        <v>4</v>
      </c>
      <c r="B10" s="75" t="s">
        <v>29</v>
      </c>
      <c r="C10" s="5" t="s">
        <v>30</v>
      </c>
      <c r="D10" s="75" t="s">
        <v>31</v>
      </c>
      <c r="E10" s="103">
        <v>1475527</v>
      </c>
      <c r="F10" s="104">
        <v>7919.8911724999998</v>
      </c>
      <c r="G10" s="105">
        <v>4.7636893999999999E-2</v>
      </c>
      <c r="H10" s="100"/>
    </row>
    <row r="11" spans="1:8" x14ac:dyDescent="0.2">
      <c r="A11" s="102">
        <v>5</v>
      </c>
      <c r="B11" s="75" t="s">
        <v>15</v>
      </c>
      <c r="C11" s="5" t="s">
        <v>16</v>
      </c>
      <c r="D11" s="75" t="s">
        <v>17</v>
      </c>
      <c r="E11" s="103">
        <v>259557</v>
      </c>
      <c r="F11" s="104">
        <v>5176.8643650000004</v>
      </c>
      <c r="G11" s="105">
        <v>3.1138020999999998E-2</v>
      </c>
      <c r="H11" s="100"/>
    </row>
    <row r="12" spans="1:8" x14ac:dyDescent="0.2">
      <c r="A12" s="102">
        <v>6</v>
      </c>
      <c r="B12" s="75" t="s">
        <v>12</v>
      </c>
      <c r="C12" s="5" t="s">
        <v>13</v>
      </c>
      <c r="D12" s="75" t="s">
        <v>14</v>
      </c>
      <c r="E12" s="103">
        <v>369779</v>
      </c>
      <c r="F12" s="104">
        <v>4956.7026054999997</v>
      </c>
      <c r="G12" s="105">
        <v>2.9813783E-2</v>
      </c>
      <c r="H12" s="100"/>
    </row>
    <row r="13" spans="1:8" x14ac:dyDescent="0.2">
      <c r="A13" s="102">
        <v>7</v>
      </c>
      <c r="B13" s="75" t="s">
        <v>432</v>
      </c>
      <c r="C13" s="5" t="s">
        <v>956</v>
      </c>
      <c r="D13" s="75" t="s">
        <v>28</v>
      </c>
      <c r="E13" s="103">
        <v>298548</v>
      </c>
      <c r="F13" s="104">
        <v>4714.5207419999997</v>
      </c>
      <c r="G13" s="105">
        <v>2.8357098000000001E-2</v>
      </c>
      <c r="H13" s="100"/>
    </row>
    <row r="14" spans="1:8" ht="25.5" x14ac:dyDescent="0.2">
      <c r="A14" s="102">
        <v>8</v>
      </c>
      <c r="B14" s="75" t="s">
        <v>395</v>
      </c>
      <c r="C14" s="5" t="s">
        <v>396</v>
      </c>
      <c r="D14" s="75" t="s">
        <v>156</v>
      </c>
      <c r="E14" s="103">
        <v>185482</v>
      </c>
      <c r="F14" s="104">
        <v>4488.8498820000004</v>
      </c>
      <c r="G14" s="105">
        <v>2.6999723E-2</v>
      </c>
      <c r="H14" s="100"/>
    </row>
    <row r="15" spans="1:8" x14ac:dyDescent="0.2">
      <c r="A15" s="102">
        <v>9</v>
      </c>
      <c r="B15" s="75" t="s">
        <v>409</v>
      </c>
      <c r="C15" s="5" t="s">
        <v>940</v>
      </c>
      <c r="D15" s="75" t="s">
        <v>151</v>
      </c>
      <c r="E15" s="103">
        <v>139203</v>
      </c>
      <c r="F15" s="104">
        <v>4225.7158694999998</v>
      </c>
      <c r="G15" s="105">
        <v>2.5417012999999999E-2</v>
      </c>
      <c r="H15" s="100"/>
    </row>
    <row r="16" spans="1:8" x14ac:dyDescent="0.2">
      <c r="A16" s="102">
        <v>10</v>
      </c>
      <c r="B16" s="75" t="s">
        <v>528</v>
      </c>
      <c r="C16" s="5" t="s">
        <v>529</v>
      </c>
      <c r="D16" s="75" t="s">
        <v>22</v>
      </c>
      <c r="E16" s="103">
        <v>1583382</v>
      </c>
      <c r="F16" s="104">
        <v>4089.0840149999999</v>
      </c>
      <c r="G16" s="105">
        <v>2.4595194000000001E-2</v>
      </c>
      <c r="H16" s="100"/>
    </row>
    <row r="17" spans="1:8" x14ac:dyDescent="0.2">
      <c r="A17" s="102">
        <v>11</v>
      </c>
      <c r="B17" s="75" t="s">
        <v>69</v>
      </c>
      <c r="C17" s="5" t="s">
        <v>70</v>
      </c>
      <c r="D17" s="75" t="s">
        <v>17</v>
      </c>
      <c r="E17" s="103">
        <v>867538</v>
      </c>
      <c r="F17" s="104">
        <v>3659.2752839999998</v>
      </c>
      <c r="G17" s="105">
        <v>2.2009963E-2</v>
      </c>
      <c r="H17" s="100"/>
    </row>
    <row r="18" spans="1:8" ht="25.5" x14ac:dyDescent="0.2">
      <c r="A18" s="102">
        <v>12</v>
      </c>
      <c r="B18" s="75" t="s">
        <v>480</v>
      </c>
      <c r="C18" s="5" t="s">
        <v>481</v>
      </c>
      <c r="D18" s="75" t="s">
        <v>73</v>
      </c>
      <c r="E18" s="103">
        <v>567883</v>
      </c>
      <c r="F18" s="104">
        <v>2950.4361264999998</v>
      </c>
      <c r="G18" s="105">
        <v>1.7746406999999999E-2</v>
      </c>
      <c r="H18" s="100"/>
    </row>
    <row r="19" spans="1:8" x14ac:dyDescent="0.2">
      <c r="A19" s="102">
        <v>13</v>
      </c>
      <c r="B19" s="75" t="s">
        <v>397</v>
      </c>
      <c r="C19" s="5" t="s">
        <v>398</v>
      </c>
      <c r="D19" s="75" t="s">
        <v>22</v>
      </c>
      <c r="E19" s="103">
        <v>405935</v>
      </c>
      <c r="F19" s="104">
        <v>2902.0293150000002</v>
      </c>
      <c r="G19" s="105">
        <v>1.7455248E-2</v>
      </c>
      <c r="H19" s="100"/>
    </row>
    <row r="20" spans="1:8" ht="25.5" x14ac:dyDescent="0.2">
      <c r="A20" s="102">
        <v>14</v>
      </c>
      <c r="B20" s="75" t="s">
        <v>326</v>
      </c>
      <c r="C20" s="5" t="s">
        <v>327</v>
      </c>
      <c r="D20" s="75" t="s">
        <v>73</v>
      </c>
      <c r="E20" s="103">
        <v>292553</v>
      </c>
      <c r="F20" s="104">
        <v>2780.8625415000001</v>
      </c>
      <c r="G20" s="105">
        <v>1.6726449000000001E-2</v>
      </c>
      <c r="H20" s="100"/>
    </row>
    <row r="21" spans="1:8" ht="25.5" x14ac:dyDescent="0.2">
      <c r="A21" s="102">
        <v>15</v>
      </c>
      <c r="B21" s="75" t="s">
        <v>479</v>
      </c>
      <c r="C21" s="5" t="s">
        <v>958</v>
      </c>
      <c r="D21" s="75" t="s">
        <v>73</v>
      </c>
      <c r="E21" s="103">
        <v>20441</v>
      </c>
      <c r="F21" s="104">
        <v>2769.4488849999998</v>
      </c>
      <c r="G21" s="105">
        <v>1.6657798000000001E-2</v>
      </c>
      <c r="H21" s="100"/>
    </row>
    <row r="22" spans="1:8" x14ac:dyDescent="0.2">
      <c r="A22" s="102">
        <v>16</v>
      </c>
      <c r="B22" s="75" t="s">
        <v>322</v>
      </c>
      <c r="C22" s="5" t="s">
        <v>323</v>
      </c>
      <c r="D22" s="75" t="s">
        <v>78</v>
      </c>
      <c r="E22" s="103">
        <v>543670</v>
      </c>
      <c r="F22" s="104">
        <v>2767.0084649999999</v>
      </c>
      <c r="G22" s="105">
        <v>1.6643119000000001E-2</v>
      </c>
      <c r="H22" s="100"/>
    </row>
    <row r="23" spans="1:8" x14ac:dyDescent="0.2">
      <c r="A23" s="102">
        <v>17</v>
      </c>
      <c r="B23" s="75" t="s">
        <v>356</v>
      </c>
      <c r="C23" s="5" t="s">
        <v>357</v>
      </c>
      <c r="D23" s="75" t="s">
        <v>151</v>
      </c>
      <c r="E23" s="103">
        <v>307173</v>
      </c>
      <c r="F23" s="104">
        <v>2761.3316835000001</v>
      </c>
      <c r="G23" s="105">
        <v>1.6608973999999999E-2</v>
      </c>
      <c r="H23" s="100"/>
    </row>
    <row r="24" spans="1:8" x14ac:dyDescent="0.2">
      <c r="A24" s="102">
        <v>18</v>
      </c>
      <c r="B24" s="75" t="s">
        <v>413</v>
      </c>
      <c r="C24" s="5" t="s">
        <v>414</v>
      </c>
      <c r="D24" s="75" t="s">
        <v>47</v>
      </c>
      <c r="E24" s="103">
        <v>264807</v>
      </c>
      <c r="F24" s="104">
        <v>2738.1043800000002</v>
      </c>
      <c r="G24" s="105">
        <v>1.6469265E-2</v>
      </c>
      <c r="H24" s="100"/>
    </row>
    <row r="25" spans="1:8" x14ac:dyDescent="0.2">
      <c r="A25" s="102">
        <v>19</v>
      </c>
      <c r="B25" s="75" t="s">
        <v>342</v>
      </c>
      <c r="C25" s="5" t="s">
        <v>343</v>
      </c>
      <c r="D25" s="75" t="s">
        <v>58</v>
      </c>
      <c r="E25" s="103">
        <v>62720</v>
      </c>
      <c r="F25" s="104">
        <v>2635.3689599999998</v>
      </c>
      <c r="G25" s="105">
        <v>1.5851328000000001E-2</v>
      </c>
      <c r="H25" s="100"/>
    </row>
    <row r="26" spans="1:8" x14ac:dyDescent="0.2">
      <c r="A26" s="102">
        <v>20</v>
      </c>
      <c r="B26" s="75" t="s">
        <v>407</v>
      </c>
      <c r="C26" s="5" t="s">
        <v>408</v>
      </c>
      <c r="D26" s="75" t="s">
        <v>193</v>
      </c>
      <c r="E26" s="103">
        <v>366711</v>
      </c>
      <c r="F26" s="104">
        <v>2399.9401395</v>
      </c>
      <c r="G26" s="105">
        <v>1.4435261E-2</v>
      </c>
      <c r="H26" s="100"/>
    </row>
    <row r="27" spans="1:8" x14ac:dyDescent="0.2">
      <c r="A27" s="102">
        <v>21</v>
      </c>
      <c r="B27" s="75" t="s">
        <v>200</v>
      </c>
      <c r="C27" s="5" t="s">
        <v>201</v>
      </c>
      <c r="D27" s="75" t="s">
        <v>1003</v>
      </c>
      <c r="E27" s="103">
        <v>357219</v>
      </c>
      <c r="F27" s="104">
        <v>2244.4069770000001</v>
      </c>
      <c r="G27" s="105">
        <v>1.3499753E-2</v>
      </c>
      <c r="H27" s="100"/>
    </row>
    <row r="28" spans="1:8" x14ac:dyDescent="0.2">
      <c r="A28" s="102">
        <v>22</v>
      </c>
      <c r="B28" s="75" t="s">
        <v>399</v>
      </c>
      <c r="C28" s="5" t="s">
        <v>400</v>
      </c>
      <c r="D28" s="75" t="s">
        <v>22</v>
      </c>
      <c r="E28" s="103">
        <v>618111</v>
      </c>
      <c r="F28" s="104">
        <v>2185.0223850000002</v>
      </c>
      <c r="G28" s="105">
        <v>1.3142564000000001E-2</v>
      </c>
      <c r="H28" s="100"/>
    </row>
    <row r="29" spans="1:8" ht="25.5" x14ac:dyDescent="0.2">
      <c r="A29" s="102">
        <v>23</v>
      </c>
      <c r="B29" s="75" t="s">
        <v>39</v>
      </c>
      <c r="C29" s="5" t="s">
        <v>941</v>
      </c>
      <c r="D29" s="75" t="s">
        <v>1001</v>
      </c>
      <c r="E29" s="103">
        <v>31126</v>
      </c>
      <c r="F29" s="104">
        <v>1954.3859769999999</v>
      </c>
      <c r="G29" s="105">
        <v>1.1755323E-2</v>
      </c>
      <c r="H29" s="100"/>
    </row>
    <row r="30" spans="1:8" x14ac:dyDescent="0.2">
      <c r="A30" s="102">
        <v>24</v>
      </c>
      <c r="B30" s="75" t="s">
        <v>212</v>
      </c>
      <c r="C30" s="5" t="s">
        <v>213</v>
      </c>
      <c r="D30" s="75" t="s">
        <v>38</v>
      </c>
      <c r="E30" s="103">
        <v>266282</v>
      </c>
      <c r="F30" s="104">
        <v>1908.9756580000001</v>
      </c>
      <c r="G30" s="105">
        <v>1.1482187E-2</v>
      </c>
      <c r="H30" s="100"/>
    </row>
    <row r="31" spans="1:8" x14ac:dyDescent="0.2">
      <c r="A31" s="102">
        <v>25</v>
      </c>
      <c r="B31" s="75" t="s">
        <v>336</v>
      </c>
      <c r="C31" s="5" t="s">
        <v>337</v>
      </c>
      <c r="D31" s="75" t="s">
        <v>146</v>
      </c>
      <c r="E31" s="103">
        <v>118112</v>
      </c>
      <c r="F31" s="104">
        <v>1895.520432</v>
      </c>
      <c r="G31" s="105">
        <v>1.1401256E-2</v>
      </c>
      <c r="H31" s="100"/>
    </row>
    <row r="32" spans="1:8" x14ac:dyDescent="0.2">
      <c r="A32" s="102">
        <v>26</v>
      </c>
      <c r="B32" s="75" t="s">
        <v>231</v>
      </c>
      <c r="C32" s="5" t="s">
        <v>935</v>
      </c>
      <c r="D32" s="75" t="s">
        <v>156</v>
      </c>
      <c r="E32" s="103">
        <v>369300</v>
      </c>
      <c r="F32" s="104">
        <v>1838.0061000000001</v>
      </c>
      <c r="G32" s="105">
        <v>1.1055316000000001E-2</v>
      </c>
      <c r="H32" s="100"/>
    </row>
    <row r="33" spans="1:8" ht="25.5" x14ac:dyDescent="0.2">
      <c r="A33" s="102">
        <v>27</v>
      </c>
      <c r="B33" s="75" t="s">
        <v>346</v>
      </c>
      <c r="C33" s="5" t="s">
        <v>939</v>
      </c>
      <c r="D33" s="75" t="s">
        <v>73</v>
      </c>
      <c r="E33" s="103">
        <v>270522</v>
      </c>
      <c r="F33" s="104">
        <v>1811.1447900000001</v>
      </c>
      <c r="G33" s="105">
        <v>1.0893750000000001E-2</v>
      </c>
      <c r="H33" s="100"/>
    </row>
    <row r="34" spans="1:8" x14ac:dyDescent="0.2">
      <c r="A34" s="102">
        <v>28</v>
      </c>
      <c r="B34" s="75" t="s">
        <v>401</v>
      </c>
      <c r="C34" s="5" t="s">
        <v>402</v>
      </c>
      <c r="D34" s="75" t="s">
        <v>91</v>
      </c>
      <c r="E34" s="103">
        <v>231115</v>
      </c>
      <c r="F34" s="104">
        <v>1739.2559325</v>
      </c>
      <c r="G34" s="105">
        <v>1.0461349999999999E-2</v>
      </c>
      <c r="H34" s="100"/>
    </row>
    <row r="35" spans="1:8" x14ac:dyDescent="0.2">
      <c r="A35" s="102">
        <v>29</v>
      </c>
      <c r="B35" s="75" t="s">
        <v>235</v>
      </c>
      <c r="C35" s="5" t="s">
        <v>236</v>
      </c>
      <c r="D35" s="75" t="s">
        <v>1005</v>
      </c>
      <c r="E35" s="103">
        <v>388313</v>
      </c>
      <c r="F35" s="104">
        <v>1697.5102795</v>
      </c>
      <c r="G35" s="105">
        <v>1.0210255999999999E-2</v>
      </c>
      <c r="H35" s="100"/>
    </row>
    <row r="36" spans="1:8" x14ac:dyDescent="0.2">
      <c r="A36" s="102">
        <v>30</v>
      </c>
      <c r="B36" s="75" t="s">
        <v>311</v>
      </c>
      <c r="C36" s="5" t="s">
        <v>312</v>
      </c>
      <c r="D36" s="75" t="s">
        <v>313</v>
      </c>
      <c r="E36" s="103">
        <v>63959</v>
      </c>
      <c r="F36" s="104">
        <v>1606.4262235000001</v>
      </c>
      <c r="G36" s="105">
        <v>9.6623999999999998E-3</v>
      </c>
      <c r="H36" s="100"/>
    </row>
    <row r="37" spans="1:8" x14ac:dyDescent="0.2">
      <c r="A37" s="102">
        <v>31</v>
      </c>
      <c r="B37" s="75" t="s">
        <v>164</v>
      </c>
      <c r="C37" s="5" t="s">
        <v>947</v>
      </c>
      <c r="D37" s="75" t="s">
        <v>151</v>
      </c>
      <c r="E37" s="103">
        <v>221232</v>
      </c>
      <c r="F37" s="104">
        <v>1602.715224</v>
      </c>
      <c r="G37" s="105">
        <v>9.6400789999999993E-3</v>
      </c>
      <c r="H37" s="100"/>
    </row>
    <row r="38" spans="1:8" x14ac:dyDescent="0.2">
      <c r="A38" s="102">
        <v>32</v>
      </c>
      <c r="B38" s="75" t="s">
        <v>334</v>
      </c>
      <c r="C38" s="5" t="s">
        <v>335</v>
      </c>
      <c r="D38" s="75" t="s">
        <v>156</v>
      </c>
      <c r="E38" s="103">
        <v>373414</v>
      </c>
      <c r="F38" s="104">
        <v>1514.9405979999999</v>
      </c>
      <c r="G38" s="105">
        <v>9.1121280000000006E-3</v>
      </c>
      <c r="H38" s="100"/>
    </row>
    <row r="39" spans="1:8" x14ac:dyDescent="0.2">
      <c r="A39" s="102">
        <v>33</v>
      </c>
      <c r="B39" s="75" t="s">
        <v>827</v>
      </c>
      <c r="C39" s="5" t="s">
        <v>828</v>
      </c>
      <c r="D39" s="75" t="s">
        <v>38</v>
      </c>
      <c r="E39" s="103">
        <v>543806</v>
      </c>
      <c r="F39" s="104">
        <v>1478.3366109999999</v>
      </c>
      <c r="G39" s="105">
        <v>8.8919610000000003E-3</v>
      </c>
      <c r="H39" s="100"/>
    </row>
    <row r="40" spans="1:8" x14ac:dyDescent="0.2">
      <c r="A40" s="102">
        <v>34</v>
      </c>
      <c r="B40" s="75" t="s">
        <v>382</v>
      </c>
      <c r="C40" s="5" t="s">
        <v>383</v>
      </c>
      <c r="D40" s="75" t="s">
        <v>1009</v>
      </c>
      <c r="E40" s="103">
        <v>12331</v>
      </c>
      <c r="F40" s="104">
        <v>1361.5458615</v>
      </c>
      <c r="G40" s="105">
        <v>8.1894829999999991E-3</v>
      </c>
      <c r="H40" s="100"/>
    </row>
    <row r="41" spans="1:8" x14ac:dyDescent="0.2">
      <c r="A41" s="102">
        <v>35</v>
      </c>
      <c r="B41" s="75" t="s">
        <v>338</v>
      </c>
      <c r="C41" s="5" t="s">
        <v>339</v>
      </c>
      <c r="D41" s="75" t="s">
        <v>193</v>
      </c>
      <c r="E41" s="103">
        <v>46707</v>
      </c>
      <c r="F41" s="104">
        <v>1299.1785585</v>
      </c>
      <c r="G41" s="105">
        <v>7.8143540000000008E-3</v>
      </c>
      <c r="H41" s="100"/>
    </row>
    <row r="42" spans="1:8" x14ac:dyDescent="0.2">
      <c r="A42" s="102">
        <v>36</v>
      </c>
      <c r="B42" s="75" t="s">
        <v>89</v>
      </c>
      <c r="C42" s="5" t="s">
        <v>90</v>
      </c>
      <c r="D42" s="75" t="s">
        <v>91</v>
      </c>
      <c r="E42" s="103">
        <v>940000</v>
      </c>
      <c r="F42" s="104">
        <v>1059.3800000000001</v>
      </c>
      <c r="G42" s="105">
        <v>6.3720030000000002E-3</v>
      </c>
      <c r="H42" s="100"/>
    </row>
    <row r="43" spans="1:8" x14ac:dyDescent="0.2">
      <c r="A43" s="102">
        <v>37</v>
      </c>
      <c r="B43" s="75" t="s">
        <v>41</v>
      </c>
      <c r="C43" s="5" t="s">
        <v>42</v>
      </c>
      <c r="D43" s="75" t="s">
        <v>28</v>
      </c>
      <c r="E43" s="103">
        <v>68815</v>
      </c>
      <c r="F43" s="104">
        <v>1009.5504575</v>
      </c>
      <c r="G43" s="105">
        <v>6.072287E-3</v>
      </c>
      <c r="H43" s="100"/>
    </row>
    <row r="44" spans="1:8" x14ac:dyDescent="0.2">
      <c r="A44" s="102">
        <v>38</v>
      </c>
      <c r="B44" s="75" t="s">
        <v>157</v>
      </c>
      <c r="C44" s="5" t="s">
        <v>158</v>
      </c>
      <c r="D44" s="75" t="s">
        <v>28</v>
      </c>
      <c r="E44" s="103">
        <v>187458</v>
      </c>
      <c r="F44" s="104">
        <v>976.46872199999996</v>
      </c>
      <c r="G44" s="105">
        <v>5.8733049999999997E-3</v>
      </c>
      <c r="H44" s="100"/>
    </row>
    <row r="45" spans="1:8" x14ac:dyDescent="0.2">
      <c r="A45" s="102">
        <v>39</v>
      </c>
      <c r="B45" s="75" t="s">
        <v>425</v>
      </c>
      <c r="C45" s="5" t="s">
        <v>426</v>
      </c>
      <c r="D45" s="75" t="s">
        <v>427</v>
      </c>
      <c r="E45" s="103">
        <v>265470</v>
      </c>
      <c r="F45" s="104">
        <v>967.37267999999995</v>
      </c>
      <c r="G45" s="105">
        <v>5.8185939999999998E-3</v>
      </c>
      <c r="H45" s="100"/>
    </row>
    <row r="46" spans="1:8" ht="25.5" x14ac:dyDescent="0.2">
      <c r="A46" s="102">
        <v>40</v>
      </c>
      <c r="B46" s="75" t="s">
        <v>415</v>
      </c>
      <c r="C46" s="5" t="s">
        <v>938</v>
      </c>
      <c r="D46" s="75" t="s">
        <v>73</v>
      </c>
      <c r="E46" s="103">
        <v>35088</v>
      </c>
      <c r="F46" s="104">
        <v>825.88379999999995</v>
      </c>
      <c r="G46" s="105">
        <v>4.9675609999999997E-3</v>
      </c>
      <c r="H46" s="100"/>
    </row>
    <row r="47" spans="1:8" ht="25.5" x14ac:dyDescent="0.2">
      <c r="A47" s="102">
        <v>41</v>
      </c>
      <c r="B47" s="75" t="s">
        <v>87</v>
      </c>
      <c r="C47" s="5" t="s">
        <v>88</v>
      </c>
      <c r="D47" s="75" t="s">
        <v>63</v>
      </c>
      <c r="E47" s="103">
        <v>109708</v>
      </c>
      <c r="F47" s="104">
        <v>800.92325400000004</v>
      </c>
      <c r="G47" s="105">
        <v>4.817427E-3</v>
      </c>
      <c r="H47" s="100"/>
    </row>
    <row r="48" spans="1:8" ht="25.5" x14ac:dyDescent="0.2">
      <c r="A48" s="102">
        <v>42</v>
      </c>
      <c r="B48" s="75" t="s">
        <v>324</v>
      </c>
      <c r="C48" s="5" t="s">
        <v>325</v>
      </c>
      <c r="D48" s="75" t="s">
        <v>58</v>
      </c>
      <c r="E48" s="103">
        <v>205452</v>
      </c>
      <c r="F48" s="104">
        <v>790.78474800000004</v>
      </c>
      <c r="G48" s="105">
        <v>4.7564449999999998E-3</v>
      </c>
      <c r="H48" s="100"/>
    </row>
    <row r="49" spans="1:8" x14ac:dyDescent="0.2">
      <c r="A49" s="102">
        <v>43</v>
      </c>
      <c r="B49" s="75" t="s">
        <v>295</v>
      </c>
      <c r="C49" s="5" t="s">
        <v>296</v>
      </c>
      <c r="D49" s="75" t="s">
        <v>151</v>
      </c>
      <c r="E49" s="103">
        <v>33018</v>
      </c>
      <c r="F49" s="104">
        <v>695.35907999999995</v>
      </c>
      <c r="G49" s="105">
        <v>4.1824749999999997E-3</v>
      </c>
      <c r="H49" s="100"/>
    </row>
    <row r="50" spans="1:8" x14ac:dyDescent="0.2">
      <c r="A50" s="102">
        <v>44</v>
      </c>
      <c r="B50" s="75" t="s">
        <v>433</v>
      </c>
      <c r="C50" s="5" t="s">
        <v>434</v>
      </c>
      <c r="D50" s="75" t="s">
        <v>193</v>
      </c>
      <c r="E50" s="103">
        <v>75252</v>
      </c>
      <c r="F50" s="104">
        <v>685.05658200000005</v>
      </c>
      <c r="G50" s="105">
        <v>4.1205069999999998E-3</v>
      </c>
      <c r="H50" s="100"/>
    </row>
    <row r="51" spans="1:8" x14ac:dyDescent="0.2">
      <c r="A51" s="102">
        <v>45</v>
      </c>
      <c r="B51" s="75" t="s">
        <v>620</v>
      </c>
      <c r="C51" s="5" t="s">
        <v>621</v>
      </c>
      <c r="D51" s="75" t="s">
        <v>193</v>
      </c>
      <c r="E51" s="103">
        <v>22381</v>
      </c>
      <c r="F51" s="104">
        <v>617.50298050000004</v>
      </c>
      <c r="G51" s="105">
        <v>3.7141829999999998E-3</v>
      </c>
      <c r="H51" s="100"/>
    </row>
    <row r="52" spans="1:8" x14ac:dyDescent="0.2">
      <c r="A52" s="102">
        <v>46</v>
      </c>
      <c r="B52" s="75" t="s">
        <v>268</v>
      </c>
      <c r="C52" s="5" t="s">
        <v>269</v>
      </c>
      <c r="D52" s="75" t="s">
        <v>1005</v>
      </c>
      <c r="E52" s="103">
        <v>1566650</v>
      </c>
      <c r="F52" s="104">
        <v>554.59410000000003</v>
      </c>
      <c r="G52" s="105">
        <v>3.3357959999999998E-3</v>
      </c>
      <c r="H52" s="100"/>
    </row>
    <row r="53" spans="1:8" x14ac:dyDescent="0.2">
      <c r="A53" s="102">
        <v>47</v>
      </c>
      <c r="B53" s="75" t="s">
        <v>581</v>
      </c>
      <c r="C53" s="5" t="s">
        <v>582</v>
      </c>
      <c r="D53" s="75" t="s">
        <v>172</v>
      </c>
      <c r="E53" s="103">
        <v>19603</v>
      </c>
      <c r="F53" s="104">
        <v>469.50165149999998</v>
      </c>
      <c r="G53" s="105">
        <v>2.823978E-3</v>
      </c>
      <c r="H53" s="100"/>
    </row>
    <row r="54" spans="1:8" x14ac:dyDescent="0.2">
      <c r="A54" s="102">
        <v>48</v>
      </c>
      <c r="B54" s="75" t="s">
        <v>373</v>
      </c>
      <c r="C54" s="5" t="s">
        <v>374</v>
      </c>
      <c r="D54" s="75" t="s">
        <v>375</v>
      </c>
      <c r="E54" s="103">
        <v>129600</v>
      </c>
      <c r="F54" s="104">
        <v>468.43920000000003</v>
      </c>
      <c r="G54" s="105">
        <v>2.8175880000000002E-3</v>
      </c>
      <c r="H54" s="100"/>
    </row>
    <row r="55" spans="1:8" x14ac:dyDescent="0.2">
      <c r="A55" s="102">
        <v>49</v>
      </c>
      <c r="B55" s="75" t="s">
        <v>487</v>
      </c>
      <c r="C55" s="5" t="s">
        <v>488</v>
      </c>
      <c r="D55" s="75" t="s">
        <v>91</v>
      </c>
      <c r="E55" s="103">
        <v>5824</v>
      </c>
      <c r="F55" s="104">
        <v>375.977056</v>
      </c>
      <c r="G55" s="105">
        <v>2.2614430000000001E-3</v>
      </c>
      <c r="H55" s="100"/>
    </row>
    <row r="56" spans="1:8" ht="25.5" x14ac:dyDescent="0.2">
      <c r="A56" s="102">
        <v>50</v>
      </c>
      <c r="B56" s="75" t="s">
        <v>419</v>
      </c>
      <c r="C56" s="5" t="s">
        <v>420</v>
      </c>
      <c r="D56" s="75" t="s">
        <v>1009</v>
      </c>
      <c r="E56" s="103">
        <v>22791</v>
      </c>
      <c r="F56" s="104">
        <v>322.26474000000002</v>
      </c>
      <c r="G56" s="105">
        <v>1.9383720000000001E-3</v>
      </c>
      <c r="H56" s="100"/>
    </row>
    <row r="57" spans="1:8" x14ac:dyDescent="0.2">
      <c r="A57" s="112" t="s">
        <v>9</v>
      </c>
      <c r="B57" s="112" t="s">
        <v>9</v>
      </c>
      <c r="C57" s="101" t="s">
        <v>94</v>
      </c>
      <c r="D57" s="112" t="s">
        <v>9</v>
      </c>
      <c r="E57" s="112" t="s">
        <v>9</v>
      </c>
      <c r="F57" s="106">
        <v>127820.0509195</v>
      </c>
      <c r="G57" s="107">
        <v>0.76881741400000003</v>
      </c>
      <c r="H57" s="100"/>
    </row>
    <row r="58" spans="1:8" x14ac:dyDescent="0.2">
      <c r="A58" s="112" t="s">
        <v>9</v>
      </c>
      <c r="B58" s="112" t="s">
        <v>9</v>
      </c>
      <c r="C58" s="108" t="s">
        <v>9</v>
      </c>
      <c r="D58" s="112" t="s">
        <v>9</v>
      </c>
      <c r="E58" s="112" t="s">
        <v>9</v>
      </c>
      <c r="F58" s="109" t="s">
        <v>9</v>
      </c>
      <c r="G58" s="109" t="s">
        <v>9</v>
      </c>
      <c r="H58" s="100"/>
    </row>
    <row r="59" spans="1:8" x14ac:dyDescent="0.2">
      <c r="A59" s="112" t="s">
        <v>9</v>
      </c>
      <c r="B59" s="112" t="s">
        <v>9</v>
      </c>
      <c r="C59" s="101" t="s">
        <v>95</v>
      </c>
      <c r="D59" s="112" t="s">
        <v>9</v>
      </c>
      <c r="E59" s="112" t="s">
        <v>9</v>
      </c>
      <c r="F59" s="112" t="s">
        <v>9</v>
      </c>
      <c r="G59" s="112" t="s">
        <v>9</v>
      </c>
      <c r="H59" s="100"/>
    </row>
    <row r="60" spans="1:8" x14ac:dyDescent="0.2">
      <c r="A60" s="112" t="s">
        <v>9</v>
      </c>
      <c r="B60" s="112" t="s">
        <v>9</v>
      </c>
      <c r="C60" s="101" t="s">
        <v>94</v>
      </c>
      <c r="D60" s="112" t="s">
        <v>9</v>
      </c>
      <c r="E60" s="112" t="s">
        <v>9</v>
      </c>
      <c r="F60" s="110">
        <v>0</v>
      </c>
      <c r="G60" s="111">
        <v>0</v>
      </c>
      <c r="H60" s="100"/>
    </row>
    <row r="61" spans="1:8" x14ac:dyDescent="0.2">
      <c r="A61" s="112" t="s">
        <v>9</v>
      </c>
      <c r="B61" s="112" t="s">
        <v>9</v>
      </c>
      <c r="C61" s="108" t="s">
        <v>9</v>
      </c>
      <c r="D61" s="112" t="s">
        <v>9</v>
      </c>
      <c r="E61" s="112" t="s">
        <v>9</v>
      </c>
      <c r="F61" s="109" t="s">
        <v>9</v>
      </c>
      <c r="G61" s="109" t="s">
        <v>9</v>
      </c>
      <c r="H61" s="100"/>
    </row>
    <row r="62" spans="1:8" x14ac:dyDescent="0.2">
      <c r="A62" s="112" t="s">
        <v>9</v>
      </c>
      <c r="B62" s="112" t="s">
        <v>9</v>
      </c>
      <c r="C62" s="101" t="s">
        <v>96</v>
      </c>
      <c r="D62" s="112" t="s">
        <v>9</v>
      </c>
      <c r="E62" s="112" t="s">
        <v>9</v>
      </c>
      <c r="F62" s="112" t="s">
        <v>9</v>
      </c>
      <c r="G62" s="112" t="s">
        <v>9</v>
      </c>
      <c r="H62" s="100"/>
    </row>
    <row r="63" spans="1:8" x14ac:dyDescent="0.2">
      <c r="A63" s="112" t="s">
        <v>9</v>
      </c>
      <c r="B63" s="112" t="s">
        <v>9</v>
      </c>
      <c r="C63" s="101" t="s">
        <v>94</v>
      </c>
      <c r="D63" s="112" t="s">
        <v>9</v>
      </c>
      <c r="E63" s="112" t="s">
        <v>9</v>
      </c>
      <c r="F63" s="110">
        <v>0</v>
      </c>
      <c r="G63" s="111">
        <v>0</v>
      </c>
      <c r="H63" s="100"/>
    </row>
    <row r="64" spans="1:8" x14ac:dyDescent="0.2">
      <c r="A64" s="112" t="s">
        <v>9</v>
      </c>
      <c r="B64" s="112" t="s">
        <v>9</v>
      </c>
      <c r="C64" s="108" t="s">
        <v>9</v>
      </c>
      <c r="D64" s="112" t="s">
        <v>9</v>
      </c>
      <c r="E64" s="112" t="s">
        <v>9</v>
      </c>
      <c r="F64" s="109" t="s">
        <v>9</v>
      </c>
      <c r="G64" s="109" t="s">
        <v>9</v>
      </c>
      <c r="H64" s="100"/>
    </row>
    <row r="65" spans="1:8" x14ac:dyDescent="0.2">
      <c r="A65" s="112" t="s">
        <v>9</v>
      </c>
      <c r="B65" s="112" t="s">
        <v>9</v>
      </c>
      <c r="C65" s="101" t="s">
        <v>100</v>
      </c>
      <c r="D65" s="112" t="s">
        <v>9</v>
      </c>
      <c r="E65" s="112" t="s">
        <v>9</v>
      </c>
      <c r="F65" s="112" t="s">
        <v>9</v>
      </c>
      <c r="G65" s="112" t="s">
        <v>9</v>
      </c>
      <c r="H65" s="100"/>
    </row>
    <row r="66" spans="1:8" x14ac:dyDescent="0.2">
      <c r="A66" s="112" t="s">
        <v>9</v>
      </c>
      <c r="B66" s="112" t="s">
        <v>9</v>
      </c>
      <c r="C66" s="101" t="s">
        <v>94</v>
      </c>
      <c r="D66" s="112" t="s">
        <v>9</v>
      </c>
      <c r="E66" s="112" t="s">
        <v>9</v>
      </c>
      <c r="F66" s="110">
        <v>0</v>
      </c>
      <c r="G66" s="111">
        <v>0</v>
      </c>
      <c r="H66" s="100"/>
    </row>
    <row r="67" spans="1:8" x14ac:dyDescent="0.2">
      <c r="A67" s="112" t="s">
        <v>9</v>
      </c>
      <c r="B67" s="112" t="s">
        <v>9</v>
      </c>
      <c r="C67" s="108" t="s">
        <v>9</v>
      </c>
      <c r="D67" s="112" t="s">
        <v>9</v>
      </c>
      <c r="E67" s="112" t="s">
        <v>9</v>
      </c>
      <c r="F67" s="109" t="s">
        <v>9</v>
      </c>
      <c r="G67" s="109" t="s">
        <v>9</v>
      </c>
      <c r="H67" s="100"/>
    </row>
    <row r="68" spans="1:8" x14ac:dyDescent="0.2">
      <c r="A68" s="112" t="s">
        <v>9</v>
      </c>
      <c r="B68" s="112" t="s">
        <v>9</v>
      </c>
      <c r="C68" s="101" t="s">
        <v>101</v>
      </c>
      <c r="D68" s="112" t="s">
        <v>9</v>
      </c>
      <c r="E68" s="112" t="s">
        <v>9</v>
      </c>
      <c r="F68" s="109" t="s">
        <v>9</v>
      </c>
      <c r="G68" s="109" t="s">
        <v>9</v>
      </c>
      <c r="H68" s="100"/>
    </row>
    <row r="69" spans="1:8" x14ac:dyDescent="0.2">
      <c r="A69" s="112" t="s">
        <v>9</v>
      </c>
      <c r="B69" s="112" t="s">
        <v>9</v>
      </c>
      <c r="C69" s="101" t="s">
        <v>94</v>
      </c>
      <c r="D69" s="112" t="s">
        <v>9</v>
      </c>
      <c r="E69" s="112" t="s">
        <v>9</v>
      </c>
      <c r="F69" s="110">
        <v>0</v>
      </c>
      <c r="G69" s="111">
        <v>0</v>
      </c>
      <c r="H69" s="100"/>
    </row>
    <row r="70" spans="1:8" x14ac:dyDescent="0.2">
      <c r="A70" s="112" t="s">
        <v>9</v>
      </c>
      <c r="B70" s="112" t="s">
        <v>9</v>
      </c>
      <c r="C70" s="108" t="s">
        <v>9</v>
      </c>
      <c r="D70" s="112" t="s">
        <v>9</v>
      </c>
      <c r="E70" s="112" t="s">
        <v>9</v>
      </c>
      <c r="F70" s="109" t="s">
        <v>9</v>
      </c>
      <c r="G70" s="109" t="s">
        <v>9</v>
      </c>
      <c r="H70" s="100"/>
    </row>
    <row r="71" spans="1:8" x14ac:dyDescent="0.2">
      <c r="A71" s="112" t="s">
        <v>9</v>
      </c>
      <c r="B71" s="112" t="s">
        <v>9</v>
      </c>
      <c r="C71" s="101" t="s">
        <v>102</v>
      </c>
      <c r="D71" s="112" t="s">
        <v>9</v>
      </c>
      <c r="E71" s="112" t="s">
        <v>9</v>
      </c>
      <c r="F71" s="109" t="s">
        <v>9</v>
      </c>
      <c r="G71" s="109" t="s">
        <v>9</v>
      </c>
      <c r="H71" s="100"/>
    </row>
    <row r="72" spans="1:8" x14ac:dyDescent="0.2">
      <c r="A72" s="112" t="s">
        <v>9</v>
      </c>
      <c r="B72" s="112" t="s">
        <v>9</v>
      </c>
      <c r="C72" s="101" t="s">
        <v>94</v>
      </c>
      <c r="D72" s="112" t="s">
        <v>9</v>
      </c>
      <c r="E72" s="112" t="s">
        <v>9</v>
      </c>
      <c r="F72" s="110">
        <v>0</v>
      </c>
      <c r="G72" s="111">
        <v>0</v>
      </c>
      <c r="H72" s="100"/>
    </row>
    <row r="73" spans="1:8" x14ac:dyDescent="0.2">
      <c r="A73" s="112" t="s">
        <v>9</v>
      </c>
      <c r="B73" s="112" t="s">
        <v>9</v>
      </c>
      <c r="C73" s="108" t="s">
        <v>9</v>
      </c>
      <c r="D73" s="112" t="s">
        <v>9</v>
      </c>
      <c r="E73" s="112" t="s">
        <v>9</v>
      </c>
      <c r="F73" s="109" t="s">
        <v>9</v>
      </c>
      <c r="G73" s="109" t="s">
        <v>9</v>
      </c>
      <c r="H73" s="100"/>
    </row>
    <row r="74" spans="1:8" x14ac:dyDescent="0.2">
      <c r="A74" s="112" t="s">
        <v>9</v>
      </c>
      <c r="B74" s="112" t="s">
        <v>9</v>
      </c>
      <c r="C74" s="101" t="s">
        <v>104</v>
      </c>
      <c r="D74" s="112" t="s">
        <v>9</v>
      </c>
      <c r="E74" s="112" t="s">
        <v>9</v>
      </c>
      <c r="F74" s="106">
        <v>127820.0509195</v>
      </c>
      <c r="G74" s="107">
        <v>0.76881741400000003</v>
      </c>
      <c r="H74" s="100"/>
    </row>
    <row r="75" spans="1:8" x14ac:dyDescent="0.2">
      <c r="A75" s="112" t="s">
        <v>9</v>
      </c>
      <c r="B75" s="112" t="s">
        <v>9</v>
      </c>
      <c r="C75" s="108" t="s">
        <v>9</v>
      </c>
      <c r="D75" s="112" t="s">
        <v>9</v>
      </c>
      <c r="E75" s="112" t="s">
        <v>9</v>
      </c>
      <c r="F75" s="109" t="s">
        <v>9</v>
      </c>
      <c r="G75" s="109" t="s">
        <v>9</v>
      </c>
      <c r="H75" s="100"/>
    </row>
    <row r="76" spans="1:8" x14ac:dyDescent="0.2">
      <c r="A76" s="112" t="s">
        <v>9</v>
      </c>
      <c r="B76" s="112" t="s">
        <v>9</v>
      </c>
      <c r="C76" s="101" t="s">
        <v>105</v>
      </c>
      <c r="D76" s="112" t="s">
        <v>9</v>
      </c>
      <c r="E76" s="112" t="s">
        <v>9</v>
      </c>
      <c r="F76" s="109" t="s">
        <v>9</v>
      </c>
      <c r="G76" s="109" t="s">
        <v>9</v>
      </c>
      <c r="H76" s="100"/>
    </row>
    <row r="77" spans="1:8" ht="25.5" x14ac:dyDescent="0.2">
      <c r="A77" s="112" t="s">
        <v>9</v>
      </c>
      <c r="B77" s="112" t="s">
        <v>9</v>
      </c>
      <c r="C77" s="101" t="s">
        <v>11</v>
      </c>
      <c r="D77" s="112" t="s">
        <v>9</v>
      </c>
      <c r="E77" s="112" t="s">
        <v>9</v>
      </c>
      <c r="F77" s="109" t="s">
        <v>9</v>
      </c>
      <c r="G77" s="109" t="s">
        <v>9</v>
      </c>
      <c r="H77" s="100"/>
    </row>
    <row r="78" spans="1:8" ht="25.5" x14ac:dyDescent="0.2">
      <c r="A78" s="102">
        <v>1</v>
      </c>
      <c r="B78" s="75" t="s">
        <v>829</v>
      </c>
      <c r="C78" s="75" t="s">
        <v>830</v>
      </c>
      <c r="D78" s="75" t="s">
        <v>705</v>
      </c>
      <c r="E78" s="103">
        <v>250</v>
      </c>
      <c r="F78" s="104">
        <v>2597.8225000000002</v>
      </c>
      <c r="G78" s="105">
        <v>1.5625492000000001E-2</v>
      </c>
      <c r="H78" s="99">
        <v>4.6900000000000004</v>
      </c>
    </row>
    <row r="79" spans="1:8" ht="25.5" x14ac:dyDescent="0.2">
      <c r="A79" s="102">
        <v>2</v>
      </c>
      <c r="B79" s="75" t="s">
        <v>831</v>
      </c>
      <c r="C79" s="75" t="s">
        <v>832</v>
      </c>
      <c r="D79" s="75" t="s">
        <v>705</v>
      </c>
      <c r="E79" s="103">
        <v>250</v>
      </c>
      <c r="F79" s="104">
        <v>2592.2674999999999</v>
      </c>
      <c r="G79" s="105">
        <v>1.5592079999999999E-2</v>
      </c>
      <c r="H79" s="99">
        <v>4.83</v>
      </c>
    </row>
    <row r="80" spans="1:8" ht="38.25" x14ac:dyDescent="0.2">
      <c r="A80" s="102">
        <v>3</v>
      </c>
      <c r="B80" s="75" t="s">
        <v>833</v>
      </c>
      <c r="C80" s="75" t="s">
        <v>1021</v>
      </c>
      <c r="D80" s="75" t="s">
        <v>834</v>
      </c>
      <c r="E80" s="103">
        <v>250</v>
      </c>
      <c r="F80" s="104">
        <v>2541.46</v>
      </c>
      <c r="G80" s="105">
        <v>1.528648E-2</v>
      </c>
      <c r="H80" s="99">
        <v>7.9</v>
      </c>
    </row>
    <row r="81" spans="1:8" ht="25.5" x14ac:dyDescent="0.2">
      <c r="A81" s="102">
        <v>4</v>
      </c>
      <c r="B81" s="75" t="s">
        <v>835</v>
      </c>
      <c r="C81" s="75" t="s">
        <v>836</v>
      </c>
      <c r="D81" s="75" t="s">
        <v>963</v>
      </c>
      <c r="E81" s="103">
        <v>250</v>
      </c>
      <c r="F81" s="104">
        <v>2506.9299999999998</v>
      </c>
      <c r="G81" s="105">
        <v>1.5078787999999999E-2</v>
      </c>
      <c r="H81" s="99">
        <v>4.37</v>
      </c>
    </row>
    <row r="82" spans="1:8" ht="38.25" x14ac:dyDescent="0.2">
      <c r="A82" s="102">
        <v>5</v>
      </c>
      <c r="B82" s="75" t="s">
        <v>837</v>
      </c>
      <c r="C82" s="75" t="s">
        <v>1019</v>
      </c>
      <c r="D82" s="75" t="s">
        <v>834</v>
      </c>
      <c r="E82" s="103">
        <v>230</v>
      </c>
      <c r="F82" s="104">
        <v>2371.1343999999999</v>
      </c>
      <c r="G82" s="105">
        <v>1.4261998999999999E-2</v>
      </c>
      <c r="H82" s="99">
        <v>8.3829999999999991</v>
      </c>
    </row>
    <row r="83" spans="1:8" ht="38.25" x14ac:dyDescent="0.2">
      <c r="A83" s="102">
        <v>6</v>
      </c>
      <c r="B83" s="75" t="s">
        <v>838</v>
      </c>
      <c r="C83" s="75" t="s">
        <v>1024</v>
      </c>
      <c r="D83" s="75" t="s">
        <v>834</v>
      </c>
      <c r="E83" s="103">
        <v>200</v>
      </c>
      <c r="F83" s="104">
        <v>2044.318</v>
      </c>
      <c r="G83" s="105">
        <v>1.229625E-2</v>
      </c>
      <c r="H83" s="99">
        <v>8.2669999999999995</v>
      </c>
    </row>
    <row r="84" spans="1:8" ht="38.25" x14ac:dyDescent="0.2">
      <c r="A84" s="102">
        <v>7</v>
      </c>
      <c r="B84" s="75" t="s">
        <v>839</v>
      </c>
      <c r="C84" s="75" t="s">
        <v>1020</v>
      </c>
      <c r="D84" s="75" t="s">
        <v>834</v>
      </c>
      <c r="E84" s="103">
        <v>200</v>
      </c>
      <c r="F84" s="104">
        <v>2024.08</v>
      </c>
      <c r="G84" s="105">
        <v>1.2174521000000001E-2</v>
      </c>
      <c r="H84" s="99">
        <v>8.2029999999999994</v>
      </c>
    </row>
    <row r="85" spans="1:8" x14ac:dyDescent="0.2">
      <c r="A85" s="102">
        <v>8</v>
      </c>
      <c r="B85" s="75" t="s">
        <v>840</v>
      </c>
      <c r="C85" s="75" t="s">
        <v>841</v>
      </c>
      <c r="D85" s="75" t="s">
        <v>842</v>
      </c>
      <c r="E85" s="103">
        <v>150</v>
      </c>
      <c r="F85" s="104">
        <v>1589.4314999999999</v>
      </c>
      <c r="G85" s="105">
        <v>9.5601790000000002E-3</v>
      </c>
      <c r="H85" s="99">
        <v>7.5030000000000001</v>
      </c>
    </row>
    <row r="86" spans="1:8" ht="25.5" x14ac:dyDescent="0.2">
      <c r="A86" s="102">
        <v>9</v>
      </c>
      <c r="B86" s="75" t="s">
        <v>843</v>
      </c>
      <c r="C86" s="75" t="s">
        <v>844</v>
      </c>
      <c r="D86" s="75" t="s">
        <v>705</v>
      </c>
      <c r="E86" s="103">
        <v>150</v>
      </c>
      <c r="F86" s="104">
        <v>1589.1420000000001</v>
      </c>
      <c r="G86" s="105">
        <v>9.5584380000000007E-3</v>
      </c>
      <c r="H86" s="99">
        <v>5.2</v>
      </c>
    </row>
    <row r="87" spans="1:8" ht="38.25" x14ac:dyDescent="0.2">
      <c r="A87" s="102">
        <v>10</v>
      </c>
      <c r="B87" s="75" t="s">
        <v>845</v>
      </c>
      <c r="C87" s="75" t="s">
        <v>1018</v>
      </c>
      <c r="D87" s="75" t="s">
        <v>834</v>
      </c>
      <c r="E87" s="103">
        <v>150</v>
      </c>
      <c r="F87" s="104">
        <v>1521.2429999999999</v>
      </c>
      <c r="G87" s="105">
        <v>9.1500360000000003E-3</v>
      </c>
      <c r="H87" s="99">
        <v>8.4290000000000003</v>
      </c>
    </row>
    <row r="88" spans="1:8" ht="25.5" x14ac:dyDescent="0.2">
      <c r="A88" s="102">
        <v>11</v>
      </c>
      <c r="B88" s="75" t="s">
        <v>846</v>
      </c>
      <c r="C88" s="75" t="s">
        <v>847</v>
      </c>
      <c r="D88" s="75" t="s">
        <v>848</v>
      </c>
      <c r="E88" s="103">
        <v>150</v>
      </c>
      <c r="F88" s="104">
        <v>1506.6015</v>
      </c>
      <c r="G88" s="105">
        <v>9.0619700000000008E-3</v>
      </c>
      <c r="H88" s="99">
        <v>4.0250000000000004</v>
      </c>
    </row>
    <row r="89" spans="1:8" ht="25.5" x14ac:dyDescent="0.2">
      <c r="A89" s="102">
        <v>12</v>
      </c>
      <c r="B89" s="75" t="s">
        <v>849</v>
      </c>
      <c r="C89" s="75" t="s">
        <v>850</v>
      </c>
      <c r="D89" s="75" t="s">
        <v>705</v>
      </c>
      <c r="E89" s="103">
        <v>100</v>
      </c>
      <c r="F89" s="104">
        <v>1074.4110000000001</v>
      </c>
      <c r="G89" s="105">
        <v>6.4624119999999998E-3</v>
      </c>
      <c r="H89" s="99">
        <v>5.4160000000000004</v>
      </c>
    </row>
    <row r="90" spans="1:8" ht="25.5" x14ac:dyDescent="0.2">
      <c r="A90" s="102">
        <v>13</v>
      </c>
      <c r="B90" s="75" t="s">
        <v>851</v>
      </c>
      <c r="C90" s="75" t="s">
        <v>852</v>
      </c>
      <c r="D90" s="75" t="s">
        <v>705</v>
      </c>
      <c r="E90" s="103">
        <v>100</v>
      </c>
      <c r="F90" s="104">
        <v>1067.924</v>
      </c>
      <c r="G90" s="105">
        <v>6.4233939999999998E-3</v>
      </c>
      <c r="H90" s="99">
        <v>5.2370000000000001</v>
      </c>
    </row>
    <row r="91" spans="1:8" ht="25.5" x14ac:dyDescent="0.2">
      <c r="A91" s="102">
        <v>14</v>
      </c>
      <c r="B91" s="75" t="s">
        <v>853</v>
      </c>
      <c r="C91" s="75" t="s">
        <v>854</v>
      </c>
      <c r="D91" s="75" t="s">
        <v>705</v>
      </c>
      <c r="E91" s="103">
        <v>100</v>
      </c>
      <c r="F91" s="104">
        <v>1040.9970000000001</v>
      </c>
      <c r="G91" s="105">
        <v>6.2614330000000003E-3</v>
      </c>
      <c r="H91" s="99">
        <v>4.8570000000000002</v>
      </c>
    </row>
    <row r="92" spans="1:8" ht="38.25" x14ac:dyDescent="0.2">
      <c r="A92" s="102">
        <v>15</v>
      </c>
      <c r="B92" s="75" t="s">
        <v>855</v>
      </c>
      <c r="C92" s="75" t="s">
        <v>1022</v>
      </c>
      <c r="D92" s="75" t="s">
        <v>964</v>
      </c>
      <c r="E92" s="103">
        <v>100</v>
      </c>
      <c r="F92" s="104">
        <v>1030.404</v>
      </c>
      <c r="G92" s="105">
        <v>6.1977170000000002E-3</v>
      </c>
      <c r="H92" s="99">
        <v>8.7319999999999993</v>
      </c>
    </row>
    <row r="93" spans="1:8" ht="38.25" x14ac:dyDescent="0.2">
      <c r="A93" s="102">
        <v>16</v>
      </c>
      <c r="B93" s="75" t="s">
        <v>856</v>
      </c>
      <c r="C93" s="75" t="s">
        <v>1023</v>
      </c>
      <c r="D93" s="75" t="s">
        <v>834</v>
      </c>
      <c r="E93" s="103">
        <v>100</v>
      </c>
      <c r="F93" s="104">
        <v>1025.4059999999999</v>
      </c>
      <c r="G93" s="105">
        <v>6.1676550000000002E-3</v>
      </c>
      <c r="H93" s="99">
        <v>8.3620000000000001</v>
      </c>
    </row>
    <row r="94" spans="1:8" x14ac:dyDescent="0.2">
      <c r="A94" s="102">
        <v>17</v>
      </c>
      <c r="B94" s="75" t="s">
        <v>857</v>
      </c>
      <c r="C94" s="75" t="s">
        <v>858</v>
      </c>
      <c r="D94" s="75" t="s">
        <v>705</v>
      </c>
      <c r="E94" s="103">
        <v>50</v>
      </c>
      <c r="F94" s="104">
        <v>515.24350000000004</v>
      </c>
      <c r="G94" s="105">
        <v>3.0991080000000002E-3</v>
      </c>
      <c r="H94" s="99">
        <v>3.73</v>
      </c>
    </row>
    <row r="95" spans="1:8" ht="25.5" x14ac:dyDescent="0.2">
      <c r="A95" s="102">
        <v>18</v>
      </c>
      <c r="B95" s="75" t="s">
        <v>859</v>
      </c>
      <c r="C95" s="75" t="s">
        <v>860</v>
      </c>
      <c r="D95" s="75" t="s">
        <v>705</v>
      </c>
      <c r="E95" s="103">
        <v>50</v>
      </c>
      <c r="F95" s="104">
        <v>508.35899999999998</v>
      </c>
      <c r="G95" s="105">
        <v>3.0576990000000001E-3</v>
      </c>
      <c r="H95" s="99">
        <v>3.875</v>
      </c>
    </row>
    <row r="96" spans="1:8" x14ac:dyDescent="0.2">
      <c r="A96" s="102">
        <v>19</v>
      </c>
      <c r="B96" s="75" t="s">
        <v>861</v>
      </c>
      <c r="C96" s="75" t="s">
        <v>862</v>
      </c>
      <c r="D96" s="75" t="s">
        <v>965</v>
      </c>
      <c r="E96" s="103">
        <v>20</v>
      </c>
      <c r="F96" s="104">
        <v>174.36420000000001</v>
      </c>
      <c r="G96" s="105">
        <v>1.048773E-3</v>
      </c>
      <c r="H96" s="99">
        <v>20.465</v>
      </c>
    </row>
    <row r="97" spans="1:8" x14ac:dyDescent="0.2">
      <c r="A97" s="112" t="s">
        <v>9</v>
      </c>
      <c r="B97" s="112" t="s">
        <v>9</v>
      </c>
      <c r="C97" s="101" t="s">
        <v>94</v>
      </c>
      <c r="D97" s="112" t="s">
        <v>9</v>
      </c>
      <c r="E97" s="112" t="s">
        <v>9</v>
      </c>
      <c r="F97" s="106">
        <v>29321.539100000002</v>
      </c>
      <c r="G97" s="107">
        <v>0.17636442399999999</v>
      </c>
      <c r="H97" s="100"/>
    </row>
    <row r="98" spans="1:8" x14ac:dyDescent="0.2">
      <c r="A98" s="112" t="s">
        <v>9</v>
      </c>
      <c r="B98" s="112" t="s">
        <v>9</v>
      </c>
      <c r="C98" s="108" t="s">
        <v>9</v>
      </c>
      <c r="D98" s="112" t="s">
        <v>9</v>
      </c>
      <c r="E98" s="112" t="s">
        <v>9</v>
      </c>
      <c r="F98" s="109" t="s">
        <v>9</v>
      </c>
      <c r="G98" s="109" t="s">
        <v>9</v>
      </c>
      <c r="H98" s="100"/>
    </row>
    <row r="99" spans="1:8" x14ac:dyDescent="0.2">
      <c r="A99" s="112" t="s">
        <v>9</v>
      </c>
      <c r="B99" s="112" t="s">
        <v>9</v>
      </c>
      <c r="C99" s="101" t="s">
        <v>106</v>
      </c>
      <c r="D99" s="112" t="s">
        <v>9</v>
      </c>
      <c r="E99" s="112" t="s">
        <v>9</v>
      </c>
      <c r="F99" s="112" t="s">
        <v>9</v>
      </c>
      <c r="G99" s="112" t="s">
        <v>9</v>
      </c>
      <c r="H99" s="100"/>
    </row>
    <row r="100" spans="1:8" x14ac:dyDescent="0.2">
      <c r="A100" s="102">
        <v>1</v>
      </c>
      <c r="B100" s="75" t="s">
        <v>863</v>
      </c>
      <c r="C100" s="75" t="s">
        <v>864</v>
      </c>
      <c r="D100" s="75" t="s">
        <v>705</v>
      </c>
      <c r="E100" s="103">
        <v>50</v>
      </c>
      <c r="F100" s="104">
        <v>544.27449999999999</v>
      </c>
      <c r="G100" s="105">
        <v>3.2737249999999999E-3</v>
      </c>
      <c r="H100" s="99">
        <v>6.1150000000000002</v>
      </c>
    </row>
    <row r="101" spans="1:8" x14ac:dyDescent="0.2">
      <c r="A101" s="112" t="s">
        <v>9</v>
      </c>
      <c r="B101" s="112" t="s">
        <v>9</v>
      </c>
      <c r="C101" s="101" t="s">
        <v>94</v>
      </c>
      <c r="D101" s="112" t="s">
        <v>9</v>
      </c>
      <c r="E101" s="112" t="s">
        <v>9</v>
      </c>
      <c r="F101" s="106">
        <v>544.27449999999999</v>
      </c>
      <c r="G101" s="107">
        <v>3.2737249999999999E-3</v>
      </c>
      <c r="H101" s="100"/>
    </row>
    <row r="102" spans="1:8" x14ac:dyDescent="0.2">
      <c r="A102" s="112" t="s">
        <v>9</v>
      </c>
      <c r="B102" s="112" t="s">
        <v>9</v>
      </c>
      <c r="C102" s="108" t="s">
        <v>9</v>
      </c>
      <c r="D102" s="112" t="s">
        <v>9</v>
      </c>
      <c r="E102" s="112" t="s">
        <v>9</v>
      </c>
      <c r="F102" s="109" t="s">
        <v>9</v>
      </c>
      <c r="G102" s="109" t="s">
        <v>9</v>
      </c>
      <c r="H102" s="100"/>
    </row>
    <row r="103" spans="1:8" x14ac:dyDescent="0.2">
      <c r="A103" s="112" t="s">
        <v>9</v>
      </c>
      <c r="B103" s="112" t="s">
        <v>9</v>
      </c>
      <c r="C103" s="101" t="s">
        <v>107</v>
      </c>
      <c r="D103" s="112" t="s">
        <v>9</v>
      </c>
      <c r="E103" s="112" t="s">
        <v>9</v>
      </c>
      <c r="F103" s="112" t="s">
        <v>9</v>
      </c>
      <c r="G103" s="112" t="s">
        <v>9</v>
      </c>
      <c r="H103" s="100"/>
    </row>
    <row r="104" spans="1:8" ht="25.5" x14ac:dyDescent="0.2">
      <c r="A104" s="102">
        <v>1</v>
      </c>
      <c r="B104" s="75" t="s">
        <v>710</v>
      </c>
      <c r="C104" s="75" t="s">
        <v>966</v>
      </c>
      <c r="D104" s="75" t="s">
        <v>711</v>
      </c>
      <c r="E104" s="103">
        <v>1800000</v>
      </c>
      <c r="F104" s="104">
        <v>1916.3232</v>
      </c>
      <c r="G104" s="105">
        <v>1.1526381E-2</v>
      </c>
      <c r="H104" s="99">
        <v>4.7729999999999997</v>
      </c>
    </row>
    <row r="105" spans="1:8" ht="25.5" x14ac:dyDescent="0.2">
      <c r="A105" s="102">
        <v>2</v>
      </c>
      <c r="B105" s="75" t="s">
        <v>865</v>
      </c>
      <c r="C105" s="75" t="s">
        <v>967</v>
      </c>
      <c r="D105" s="75" t="s">
        <v>711</v>
      </c>
      <c r="E105" s="103">
        <v>1500000</v>
      </c>
      <c r="F105" s="104">
        <v>1578.405</v>
      </c>
      <c r="G105" s="105">
        <v>9.4938569999999996E-3</v>
      </c>
      <c r="H105" s="99">
        <v>4.4649999999999999</v>
      </c>
    </row>
    <row r="106" spans="1:8" x14ac:dyDescent="0.2">
      <c r="A106" s="112" t="s">
        <v>9</v>
      </c>
      <c r="B106" s="112" t="s">
        <v>9</v>
      </c>
      <c r="C106" s="101" t="s">
        <v>94</v>
      </c>
      <c r="D106" s="112" t="s">
        <v>9</v>
      </c>
      <c r="E106" s="112" t="s">
        <v>9</v>
      </c>
      <c r="F106" s="106">
        <v>3494.7282</v>
      </c>
      <c r="G106" s="107">
        <v>2.1020238E-2</v>
      </c>
      <c r="H106" s="100"/>
    </row>
    <row r="107" spans="1:8" x14ac:dyDescent="0.2">
      <c r="A107" s="112" t="s">
        <v>9</v>
      </c>
      <c r="B107" s="112" t="s">
        <v>9</v>
      </c>
      <c r="C107" s="108" t="s">
        <v>9</v>
      </c>
      <c r="D107" s="112" t="s">
        <v>9</v>
      </c>
      <c r="E107" s="112" t="s">
        <v>9</v>
      </c>
      <c r="F107" s="109" t="s">
        <v>9</v>
      </c>
      <c r="G107" s="109" t="s">
        <v>9</v>
      </c>
      <c r="H107" s="100"/>
    </row>
    <row r="108" spans="1:8" x14ac:dyDescent="0.2">
      <c r="A108" s="112" t="s">
        <v>9</v>
      </c>
      <c r="B108" s="112" t="s">
        <v>9</v>
      </c>
      <c r="C108" s="101" t="s">
        <v>108</v>
      </c>
      <c r="D108" s="112" t="s">
        <v>9</v>
      </c>
      <c r="E108" s="112" t="s">
        <v>9</v>
      </c>
      <c r="F108" s="109" t="s">
        <v>9</v>
      </c>
      <c r="G108" s="109" t="s">
        <v>9</v>
      </c>
      <c r="H108" s="100"/>
    </row>
    <row r="109" spans="1:8" x14ac:dyDescent="0.2">
      <c r="A109" s="112" t="s">
        <v>9</v>
      </c>
      <c r="B109" s="112" t="s">
        <v>9</v>
      </c>
      <c r="C109" s="101" t="s">
        <v>94</v>
      </c>
      <c r="D109" s="112" t="s">
        <v>9</v>
      </c>
      <c r="E109" s="112" t="s">
        <v>9</v>
      </c>
      <c r="F109" s="110">
        <v>0</v>
      </c>
      <c r="G109" s="111">
        <v>0</v>
      </c>
      <c r="H109" s="100"/>
    </row>
    <row r="110" spans="1:8" x14ac:dyDescent="0.2">
      <c r="A110" s="112" t="s">
        <v>9</v>
      </c>
      <c r="B110" s="112" t="s">
        <v>9</v>
      </c>
      <c r="C110" s="108" t="s">
        <v>9</v>
      </c>
      <c r="D110" s="112" t="s">
        <v>9</v>
      </c>
      <c r="E110" s="112" t="s">
        <v>9</v>
      </c>
      <c r="F110" s="109" t="s">
        <v>9</v>
      </c>
      <c r="G110" s="109" t="s">
        <v>9</v>
      </c>
      <c r="H110" s="100"/>
    </row>
    <row r="111" spans="1:8" x14ac:dyDescent="0.2">
      <c r="A111" s="112" t="s">
        <v>9</v>
      </c>
      <c r="B111" s="112" t="s">
        <v>9</v>
      </c>
      <c r="C111" s="101" t="s">
        <v>109</v>
      </c>
      <c r="D111" s="112" t="s">
        <v>9</v>
      </c>
      <c r="E111" s="112" t="s">
        <v>9</v>
      </c>
      <c r="F111" s="106">
        <v>33360.541799999999</v>
      </c>
      <c r="G111" s="107">
        <v>0.20065838699999999</v>
      </c>
      <c r="H111" s="100"/>
    </row>
    <row r="112" spans="1:8" x14ac:dyDescent="0.2">
      <c r="A112" s="112" t="s">
        <v>9</v>
      </c>
      <c r="B112" s="112" t="s">
        <v>9</v>
      </c>
      <c r="C112" s="108" t="s">
        <v>9</v>
      </c>
      <c r="D112" s="112" t="s">
        <v>9</v>
      </c>
      <c r="E112" s="112" t="s">
        <v>9</v>
      </c>
      <c r="F112" s="109" t="s">
        <v>9</v>
      </c>
      <c r="G112" s="109" t="s">
        <v>9</v>
      </c>
      <c r="H112" s="100"/>
    </row>
    <row r="113" spans="1:8" x14ac:dyDescent="0.2">
      <c r="A113" s="112" t="s">
        <v>9</v>
      </c>
      <c r="B113" s="112" t="s">
        <v>9</v>
      </c>
      <c r="C113" s="101" t="s">
        <v>110</v>
      </c>
      <c r="D113" s="112" t="s">
        <v>9</v>
      </c>
      <c r="E113" s="112" t="s">
        <v>9</v>
      </c>
      <c r="F113" s="109" t="s">
        <v>9</v>
      </c>
      <c r="G113" s="109" t="s">
        <v>9</v>
      </c>
      <c r="H113" s="100"/>
    </row>
    <row r="114" spans="1:8" x14ac:dyDescent="0.2">
      <c r="A114" s="112" t="s">
        <v>9</v>
      </c>
      <c r="B114" s="112" t="s">
        <v>9</v>
      </c>
      <c r="C114" s="101" t="s">
        <v>111</v>
      </c>
      <c r="D114" s="112" t="s">
        <v>9</v>
      </c>
      <c r="E114" s="112" t="s">
        <v>9</v>
      </c>
      <c r="F114" s="109" t="s">
        <v>9</v>
      </c>
      <c r="G114" s="109" t="s">
        <v>9</v>
      </c>
      <c r="H114" s="100"/>
    </row>
    <row r="115" spans="1:8" x14ac:dyDescent="0.2">
      <c r="A115" s="112" t="s">
        <v>9</v>
      </c>
      <c r="B115" s="112" t="s">
        <v>9</v>
      </c>
      <c r="C115" s="101" t="s">
        <v>94</v>
      </c>
      <c r="D115" s="112" t="s">
        <v>9</v>
      </c>
      <c r="E115" s="112" t="s">
        <v>9</v>
      </c>
      <c r="F115" s="110">
        <v>0</v>
      </c>
      <c r="G115" s="111">
        <v>0</v>
      </c>
      <c r="H115" s="100"/>
    </row>
    <row r="116" spans="1:8" x14ac:dyDescent="0.2">
      <c r="A116" s="112" t="s">
        <v>9</v>
      </c>
      <c r="B116" s="112" t="s">
        <v>9</v>
      </c>
      <c r="C116" s="108" t="s">
        <v>9</v>
      </c>
      <c r="D116" s="112" t="s">
        <v>9</v>
      </c>
      <c r="E116" s="112" t="s">
        <v>9</v>
      </c>
      <c r="F116" s="109" t="s">
        <v>9</v>
      </c>
      <c r="G116" s="109" t="s">
        <v>9</v>
      </c>
      <c r="H116" s="100"/>
    </row>
    <row r="117" spans="1:8" x14ac:dyDescent="0.2">
      <c r="A117" s="112" t="s">
        <v>9</v>
      </c>
      <c r="B117" s="112" t="s">
        <v>9</v>
      </c>
      <c r="C117" s="101" t="s">
        <v>112</v>
      </c>
      <c r="D117" s="112" t="s">
        <v>9</v>
      </c>
      <c r="E117" s="112" t="s">
        <v>9</v>
      </c>
      <c r="F117" s="109" t="s">
        <v>9</v>
      </c>
      <c r="G117" s="109" t="s">
        <v>9</v>
      </c>
      <c r="H117" s="100"/>
    </row>
    <row r="118" spans="1:8" x14ac:dyDescent="0.2">
      <c r="A118" s="112" t="s">
        <v>9</v>
      </c>
      <c r="B118" s="112" t="s">
        <v>9</v>
      </c>
      <c r="C118" s="101" t="s">
        <v>94</v>
      </c>
      <c r="D118" s="112" t="s">
        <v>9</v>
      </c>
      <c r="E118" s="112" t="s">
        <v>9</v>
      </c>
      <c r="F118" s="110">
        <v>0</v>
      </c>
      <c r="G118" s="111">
        <v>0</v>
      </c>
      <c r="H118" s="100"/>
    </row>
    <row r="119" spans="1:8" x14ac:dyDescent="0.2">
      <c r="A119" s="112" t="s">
        <v>9</v>
      </c>
      <c r="B119" s="112" t="s">
        <v>9</v>
      </c>
      <c r="C119" s="108" t="s">
        <v>9</v>
      </c>
      <c r="D119" s="112" t="s">
        <v>9</v>
      </c>
      <c r="E119" s="112" t="s">
        <v>9</v>
      </c>
      <c r="F119" s="109" t="s">
        <v>9</v>
      </c>
      <c r="G119" s="109" t="s">
        <v>9</v>
      </c>
      <c r="H119" s="100"/>
    </row>
    <row r="120" spans="1:8" x14ac:dyDescent="0.2">
      <c r="A120" s="112" t="s">
        <v>9</v>
      </c>
      <c r="B120" s="112" t="s">
        <v>9</v>
      </c>
      <c r="C120" s="101" t="s">
        <v>113</v>
      </c>
      <c r="D120" s="112" t="s">
        <v>9</v>
      </c>
      <c r="E120" s="112" t="s">
        <v>9</v>
      </c>
      <c r="F120" s="109" t="s">
        <v>9</v>
      </c>
      <c r="G120" s="109" t="s">
        <v>9</v>
      </c>
      <c r="H120" s="100"/>
    </row>
    <row r="121" spans="1:8" x14ac:dyDescent="0.2">
      <c r="A121" s="102">
        <v>1</v>
      </c>
      <c r="B121" s="75" t="s">
        <v>866</v>
      </c>
      <c r="C121" s="75" t="s">
        <v>972</v>
      </c>
      <c r="D121" s="75" t="s">
        <v>711</v>
      </c>
      <c r="E121" s="103">
        <v>2500000</v>
      </c>
      <c r="F121" s="104">
        <v>2489.5825</v>
      </c>
      <c r="G121" s="105">
        <v>1.4974444999999999E-2</v>
      </c>
      <c r="H121" s="99">
        <v>3.25</v>
      </c>
    </row>
    <row r="122" spans="1:8" x14ac:dyDescent="0.2">
      <c r="A122" s="112" t="s">
        <v>9</v>
      </c>
      <c r="B122" s="112" t="s">
        <v>9</v>
      </c>
      <c r="C122" s="101" t="s">
        <v>94</v>
      </c>
      <c r="D122" s="112" t="s">
        <v>9</v>
      </c>
      <c r="E122" s="112" t="s">
        <v>9</v>
      </c>
      <c r="F122" s="106">
        <v>2489.5825</v>
      </c>
      <c r="G122" s="107">
        <v>1.4974444999999999E-2</v>
      </c>
      <c r="H122" s="100"/>
    </row>
    <row r="123" spans="1:8" x14ac:dyDescent="0.2">
      <c r="A123" s="112" t="s">
        <v>9</v>
      </c>
      <c r="B123" s="112" t="s">
        <v>9</v>
      </c>
      <c r="C123" s="108" t="s">
        <v>9</v>
      </c>
      <c r="D123" s="112" t="s">
        <v>9</v>
      </c>
      <c r="E123" s="112" t="s">
        <v>9</v>
      </c>
      <c r="F123" s="109" t="s">
        <v>9</v>
      </c>
      <c r="G123" s="109" t="s">
        <v>9</v>
      </c>
      <c r="H123" s="100"/>
    </row>
    <row r="124" spans="1:8" x14ac:dyDescent="0.2">
      <c r="A124" s="112" t="s">
        <v>9</v>
      </c>
      <c r="B124" s="112" t="s">
        <v>9</v>
      </c>
      <c r="C124" s="101" t="s">
        <v>114</v>
      </c>
      <c r="D124" s="112" t="s">
        <v>9</v>
      </c>
      <c r="E124" s="112" t="s">
        <v>9</v>
      </c>
      <c r="F124" s="109" t="s">
        <v>9</v>
      </c>
      <c r="G124" s="109" t="s">
        <v>9</v>
      </c>
      <c r="H124" s="100"/>
    </row>
    <row r="125" spans="1:8" x14ac:dyDescent="0.2">
      <c r="A125" s="102">
        <v>1</v>
      </c>
      <c r="B125" s="75"/>
      <c r="C125" s="75" t="s">
        <v>115</v>
      </c>
      <c r="D125" s="75"/>
      <c r="E125" s="112" t="s">
        <v>9</v>
      </c>
      <c r="F125" s="104">
        <v>587.42970330000003</v>
      </c>
      <c r="G125" s="105">
        <v>3.5332969999999999E-3</v>
      </c>
      <c r="H125" s="99">
        <v>3.2516689338443991</v>
      </c>
    </row>
    <row r="126" spans="1:8" x14ac:dyDescent="0.2">
      <c r="A126" s="102">
        <v>2</v>
      </c>
      <c r="B126" s="75"/>
      <c r="C126" s="75" t="s">
        <v>116</v>
      </c>
      <c r="D126" s="75"/>
      <c r="E126" s="112" t="s">
        <v>9</v>
      </c>
      <c r="F126" s="104">
        <v>80.483252399999998</v>
      </c>
      <c r="G126" s="105">
        <v>4.8409400000000002E-4</v>
      </c>
      <c r="H126" s="100">
        <v>3.350000000000001</v>
      </c>
    </row>
    <row r="127" spans="1:8" x14ac:dyDescent="0.2">
      <c r="A127" s="112" t="s">
        <v>9</v>
      </c>
      <c r="B127" s="112" t="s">
        <v>9</v>
      </c>
      <c r="C127" s="101" t="s">
        <v>94</v>
      </c>
      <c r="D127" s="112" t="s">
        <v>9</v>
      </c>
      <c r="E127" s="112" t="s">
        <v>9</v>
      </c>
      <c r="F127" s="106">
        <v>667.9129557</v>
      </c>
      <c r="G127" s="107">
        <v>4.0173910000000004E-3</v>
      </c>
      <c r="H127" s="100"/>
    </row>
    <row r="128" spans="1:8" x14ac:dyDescent="0.2">
      <c r="A128" s="112" t="s">
        <v>9</v>
      </c>
      <c r="B128" s="112" t="s">
        <v>9</v>
      </c>
      <c r="C128" s="108" t="s">
        <v>9</v>
      </c>
      <c r="D128" s="112" t="s">
        <v>9</v>
      </c>
      <c r="E128" s="112" t="s">
        <v>9</v>
      </c>
      <c r="F128" s="109" t="s">
        <v>9</v>
      </c>
      <c r="G128" s="109" t="s">
        <v>9</v>
      </c>
      <c r="H128" s="100"/>
    </row>
    <row r="129" spans="1:8" x14ac:dyDescent="0.2">
      <c r="A129" s="112" t="s">
        <v>9</v>
      </c>
      <c r="B129" s="112" t="s">
        <v>9</v>
      </c>
      <c r="C129" s="101" t="s">
        <v>117</v>
      </c>
      <c r="D129" s="112" t="s">
        <v>9</v>
      </c>
      <c r="E129" s="112" t="s">
        <v>9</v>
      </c>
      <c r="F129" s="106">
        <v>3157.4954557000001</v>
      </c>
      <c r="G129" s="107">
        <v>1.8991836000000002E-2</v>
      </c>
      <c r="H129" s="100"/>
    </row>
    <row r="130" spans="1:8" x14ac:dyDescent="0.2">
      <c r="A130" s="112" t="s">
        <v>9</v>
      </c>
      <c r="B130" s="112" t="s">
        <v>9</v>
      </c>
      <c r="C130" s="109" t="s">
        <v>9</v>
      </c>
      <c r="D130" s="112" t="s">
        <v>9</v>
      </c>
      <c r="E130" s="112" t="s">
        <v>9</v>
      </c>
      <c r="F130" s="112" t="s">
        <v>9</v>
      </c>
      <c r="G130" s="112" t="s">
        <v>9</v>
      </c>
      <c r="H130" s="100"/>
    </row>
    <row r="131" spans="1:8" x14ac:dyDescent="0.2">
      <c r="A131" s="112" t="s">
        <v>9</v>
      </c>
      <c r="B131" s="112" t="s">
        <v>9</v>
      </c>
      <c r="C131" s="101" t="s">
        <v>118</v>
      </c>
      <c r="D131" s="112" t="s">
        <v>9</v>
      </c>
      <c r="E131" s="112" t="s">
        <v>9</v>
      </c>
      <c r="F131" s="112" t="s">
        <v>9</v>
      </c>
      <c r="G131" s="112" t="s">
        <v>9</v>
      </c>
      <c r="H131" s="100"/>
    </row>
    <row r="132" spans="1:8" x14ac:dyDescent="0.2">
      <c r="A132" s="112" t="s">
        <v>9</v>
      </c>
      <c r="B132" s="112" t="s">
        <v>9</v>
      </c>
      <c r="C132" s="101" t="s">
        <v>119</v>
      </c>
      <c r="D132" s="112" t="s">
        <v>9</v>
      </c>
      <c r="E132" s="112" t="s">
        <v>9</v>
      </c>
      <c r="F132" s="112" t="s">
        <v>9</v>
      </c>
      <c r="G132" s="112" t="s">
        <v>9</v>
      </c>
      <c r="H132" s="100"/>
    </row>
    <row r="133" spans="1:8" x14ac:dyDescent="0.2">
      <c r="A133" s="112" t="s">
        <v>9</v>
      </c>
      <c r="B133" s="112" t="s">
        <v>9</v>
      </c>
      <c r="C133" s="101" t="s">
        <v>94</v>
      </c>
      <c r="D133" s="112" t="s">
        <v>9</v>
      </c>
      <c r="E133" s="112" t="s">
        <v>9</v>
      </c>
      <c r="F133" s="110">
        <v>0</v>
      </c>
      <c r="G133" s="111">
        <v>0</v>
      </c>
      <c r="H133" s="100"/>
    </row>
    <row r="134" spans="1:8" x14ac:dyDescent="0.2">
      <c r="A134" s="112" t="s">
        <v>9</v>
      </c>
      <c r="B134" s="112" t="s">
        <v>9</v>
      </c>
      <c r="C134" s="108" t="s">
        <v>9</v>
      </c>
      <c r="D134" s="112" t="s">
        <v>9</v>
      </c>
      <c r="E134" s="112" t="s">
        <v>9</v>
      </c>
      <c r="F134" s="109" t="s">
        <v>9</v>
      </c>
      <c r="G134" s="109" t="s">
        <v>9</v>
      </c>
      <c r="H134" s="100"/>
    </row>
    <row r="135" spans="1:8" x14ac:dyDescent="0.2">
      <c r="A135" s="112" t="s">
        <v>9</v>
      </c>
      <c r="B135" s="112" t="s">
        <v>9</v>
      </c>
      <c r="C135" s="101" t="s">
        <v>120</v>
      </c>
      <c r="D135" s="112" t="s">
        <v>9</v>
      </c>
      <c r="E135" s="112" t="s">
        <v>9</v>
      </c>
      <c r="F135" s="112" t="s">
        <v>9</v>
      </c>
      <c r="G135" s="112" t="s">
        <v>9</v>
      </c>
      <c r="H135" s="100"/>
    </row>
    <row r="136" spans="1:8" x14ac:dyDescent="0.2">
      <c r="A136" s="112" t="s">
        <v>9</v>
      </c>
      <c r="B136" s="112" t="s">
        <v>9</v>
      </c>
      <c r="C136" s="101" t="s">
        <v>121</v>
      </c>
      <c r="D136" s="112" t="s">
        <v>9</v>
      </c>
      <c r="E136" s="112" t="s">
        <v>9</v>
      </c>
      <c r="F136" s="112" t="s">
        <v>9</v>
      </c>
      <c r="G136" s="112" t="s">
        <v>9</v>
      </c>
      <c r="H136" s="100"/>
    </row>
    <row r="137" spans="1:8" x14ac:dyDescent="0.2">
      <c r="A137" s="112" t="s">
        <v>9</v>
      </c>
      <c r="B137" s="112" t="s">
        <v>9</v>
      </c>
      <c r="C137" s="101" t="s">
        <v>94</v>
      </c>
      <c r="D137" s="112" t="s">
        <v>9</v>
      </c>
      <c r="E137" s="112" t="s">
        <v>9</v>
      </c>
      <c r="F137" s="110">
        <v>0</v>
      </c>
      <c r="G137" s="111">
        <v>0</v>
      </c>
      <c r="H137" s="100"/>
    </row>
    <row r="138" spans="1:8" x14ac:dyDescent="0.2">
      <c r="A138" s="112" t="s">
        <v>9</v>
      </c>
      <c r="B138" s="112" t="s">
        <v>9</v>
      </c>
      <c r="C138" s="108" t="s">
        <v>9</v>
      </c>
      <c r="D138" s="112" t="s">
        <v>9</v>
      </c>
      <c r="E138" s="112" t="s">
        <v>9</v>
      </c>
      <c r="F138" s="109" t="s">
        <v>9</v>
      </c>
      <c r="G138" s="109" t="s">
        <v>9</v>
      </c>
      <c r="H138" s="100"/>
    </row>
    <row r="139" spans="1:8" ht="25.5" x14ac:dyDescent="0.2">
      <c r="A139" s="112" t="s">
        <v>9</v>
      </c>
      <c r="B139" s="112" t="s">
        <v>9</v>
      </c>
      <c r="C139" s="101" t="s">
        <v>122</v>
      </c>
      <c r="D139" s="112" t="s">
        <v>9</v>
      </c>
      <c r="E139" s="112" t="s">
        <v>9</v>
      </c>
      <c r="F139" s="109" t="s">
        <v>9</v>
      </c>
      <c r="G139" s="109" t="s">
        <v>9</v>
      </c>
      <c r="H139" s="100"/>
    </row>
    <row r="140" spans="1:8" x14ac:dyDescent="0.2">
      <c r="A140" s="112" t="s">
        <v>9</v>
      </c>
      <c r="B140" s="112" t="s">
        <v>9</v>
      </c>
      <c r="C140" s="101" t="s">
        <v>94</v>
      </c>
      <c r="D140" s="112" t="s">
        <v>9</v>
      </c>
      <c r="E140" s="112" t="s">
        <v>9</v>
      </c>
      <c r="F140" s="110">
        <v>0</v>
      </c>
      <c r="G140" s="111">
        <v>0</v>
      </c>
      <c r="H140" s="100"/>
    </row>
    <row r="141" spans="1:8" x14ac:dyDescent="0.2">
      <c r="A141" s="112" t="s">
        <v>9</v>
      </c>
      <c r="B141" s="112" t="s">
        <v>9</v>
      </c>
      <c r="C141" s="108" t="s">
        <v>9</v>
      </c>
      <c r="D141" s="112" t="s">
        <v>9</v>
      </c>
      <c r="E141" s="112" t="s">
        <v>9</v>
      </c>
      <c r="F141" s="109" t="s">
        <v>9</v>
      </c>
      <c r="G141" s="109" t="s">
        <v>9</v>
      </c>
      <c r="H141" s="100"/>
    </row>
    <row r="142" spans="1:8" x14ac:dyDescent="0.2">
      <c r="A142" s="112" t="s">
        <v>9</v>
      </c>
      <c r="B142" s="75" t="s">
        <v>9</v>
      </c>
      <c r="C142" s="75" t="s">
        <v>9</v>
      </c>
      <c r="D142" s="101" t="s">
        <v>9</v>
      </c>
      <c r="E142" s="112" t="s">
        <v>9</v>
      </c>
      <c r="F142" s="75" t="s">
        <v>9</v>
      </c>
      <c r="G142" s="112" t="s">
        <v>9</v>
      </c>
      <c r="H142" s="100"/>
    </row>
    <row r="143" spans="1:8" x14ac:dyDescent="0.2">
      <c r="A143" s="112" t="s">
        <v>9</v>
      </c>
      <c r="B143" s="75" t="s">
        <v>9</v>
      </c>
      <c r="C143" s="75" t="s">
        <v>824</v>
      </c>
      <c r="D143" s="75" t="s">
        <v>9</v>
      </c>
      <c r="E143" s="112" t="s">
        <v>9</v>
      </c>
      <c r="F143" s="104">
        <v>1917.3170267</v>
      </c>
      <c r="G143" s="105">
        <v>1.1532359000000001E-2</v>
      </c>
      <c r="H143" s="100"/>
    </row>
    <row r="144" spans="1:8" x14ac:dyDescent="0.2">
      <c r="A144" s="108" t="s">
        <v>9</v>
      </c>
      <c r="B144" s="108" t="s">
        <v>9</v>
      </c>
      <c r="C144" s="101" t="s">
        <v>125</v>
      </c>
      <c r="D144" s="109" t="s">
        <v>9</v>
      </c>
      <c r="E144" s="109" t="s">
        <v>9</v>
      </c>
      <c r="F144" s="106">
        <v>166255.40520189999</v>
      </c>
      <c r="G144" s="107">
        <v>0.999999996</v>
      </c>
      <c r="H144" s="100"/>
    </row>
    <row r="145" spans="1:8" x14ac:dyDescent="0.2">
      <c r="A145" s="113" t="s">
        <v>9</v>
      </c>
      <c r="B145" s="113" t="s">
        <v>9</v>
      </c>
      <c r="C145" s="113" t="s">
        <v>9</v>
      </c>
      <c r="D145" s="114" t="s">
        <v>9</v>
      </c>
      <c r="E145" s="114" t="s">
        <v>9</v>
      </c>
      <c r="F145" s="114" t="s">
        <v>9</v>
      </c>
      <c r="G145" s="114" t="s">
        <v>9</v>
      </c>
      <c r="H145" s="145"/>
    </row>
    <row r="146" spans="1:8" x14ac:dyDescent="0.2">
      <c r="A146" s="94" t="s">
        <v>9</v>
      </c>
      <c r="B146" s="268" t="s">
        <v>825</v>
      </c>
      <c r="C146" s="268"/>
      <c r="D146" s="268"/>
      <c r="E146" s="268"/>
      <c r="F146" s="268"/>
      <c r="G146" s="96" t="s">
        <v>9</v>
      </c>
      <c r="H146" s="145"/>
    </row>
    <row r="147" spans="1:8" x14ac:dyDescent="0.2">
      <c r="A147" s="94" t="s">
        <v>9</v>
      </c>
      <c r="B147" s="268" t="s">
        <v>826</v>
      </c>
      <c r="C147" s="268"/>
      <c r="D147" s="268"/>
      <c r="E147" s="268"/>
      <c r="F147" s="268"/>
      <c r="G147" s="96" t="s">
        <v>9</v>
      </c>
      <c r="H147" s="145"/>
    </row>
    <row r="148" spans="1:8" x14ac:dyDescent="0.2">
      <c r="A148" s="94" t="s">
        <v>9</v>
      </c>
      <c r="B148" s="268" t="s">
        <v>9</v>
      </c>
      <c r="C148" s="268"/>
      <c r="D148" s="268"/>
      <c r="E148" s="268"/>
      <c r="F148" s="268"/>
      <c r="G148" s="96" t="s">
        <v>9</v>
      </c>
      <c r="H148" s="145"/>
    </row>
    <row r="149" spans="1:8" x14ac:dyDescent="0.2">
      <c r="A149" s="94" t="s">
        <v>9</v>
      </c>
      <c r="B149" s="94" t="s">
        <v>9</v>
      </c>
      <c r="C149" s="94" t="s">
        <v>9</v>
      </c>
      <c r="D149" s="96" t="s">
        <v>9</v>
      </c>
      <c r="E149" s="96" t="s">
        <v>9</v>
      </c>
      <c r="F149" s="96" t="s">
        <v>9</v>
      </c>
      <c r="G149" s="96" t="s">
        <v>9</v>
      </c>
      <c r="H149" s="145"/>
    </row>
    <row r="150" spans="1:8" x14ac:dyDescent="0.2">
      <c r="A150" s="94" t="s">
        <v>9</v>
      </c>
      <c r="B150" s="269" t="s">
        <v>127</v>
      </c>
      <c r="C150" s="270"/>
      <c r="D150" s="271"/>
      <c r="E150" s="115" t="s">
        <v>9</v>
      </c>
      <c r="F150" s="96" t="s">
        <v>9</v>
      </c>
      <c r="G150" s="96" t="s">
        <v>9</v>
      </c>
      <c r="H150" s="145"/>
    </row>
    <row r="151" spans="1:8" ht="24.75" customHeight="1" x14ac:dyDescent="0.2">
      <c r="A151" s="94" t="s">
        <v>9</v>
      </c>
      <c r="B151" s="266" t="s">
        <v>128</v>
      </c>
      <c r="C151" s="267"/>
      <c r="D151" s="236" t="s">
        <v>1013</v>
      </c>
      <c r="E151" s="115" t="s">
        <v>9</v>
      </c>
      <c r="F151" s="96" t="s">
        <v>9</v>
      </c>
      <c r="G151" s="96" t="s">
        <v>9</v>
      </c>
      <c r="H151" s="145"/>
    </row>
    <row r="152" spans="1:8" x14ac:dyDescent="0.2">
      <c r="A152" s="94" t="s">
        <v>9</v>
      </c>
      <c r="B152" s="266" t="s">
        <v>130</v>
      </c>
      <c r="C152" s="267"/>
      <c r="D152" s="117" t="s">
        <v>129</v>
      </c>
      <c r="E152" s="115" t="s">
        <v>9</v>
      </c>
      <c r="F152" s="96" t="s">
        <v>9</v>
      </c>
      <c r="G152" s="96" t="s">
        <v>9</v>
      </c>
      <c r="H152" s="145"/>
    </row>
    <row r="153" spans="1:8" x14ac:dyDescent="0.2">
      <c r="A153" s="94" t="s">
        <v>9</v>
      </c>
      <c r="B153" s="266" t="s">
        <v>131</v>
      </c>
      <c r="C153" s="267"/>
      <c r="D153" s="200" t="s">
        <v>9</v>
      </c>
      <c r="E153" s="115" t="s">
        <v>9</v>
      </c>
      <c r="F153" s="96" t="s">
        <v>9</v>
      </c>
      <c r="G153" s="96" t="s">
        <v>9</v>
      </c>
      <c r="H153" s="145"/>
    </row>
    <row r="154" spans="1:8" ht="25.5" x14ac:dyDescent="0.2">
      <c r="A154" s="118" t="s">
        <v>9</v>
      </c>
      <c r="B154" s="116" t="s">
        <v>9</v>
      </c>
      <c r="C154" s="116" t="s">
        <v>132</v>
      </c>
      <c r="D154" s="116" t="s">
        <v>133</v>
      </c>
      <c r="E154" s="118" t="s">
        <v>9</v>
      </c>
      <c r="F154" s="118" t="s">
        <v>9</v>
      </c>
      <c r="G154" s="118" t="s">
        <v>9</v>
      </c>
      <c r="H154" s="145"/>
    </row>
    <row r="155" spans="1:8" x14ac:dyDescent="0.2">
      <c r="A155" s="118" t="s">
        <v>9</v>
      </c>
      <c r="B155" s="117" t="s">
        <v>134</v>
      </c>
      <c r="C155" s="116" t="s">
        <v>135</v>
      </c>
      <c r="D155" s="116" t="s">
        <v>136</v>
      </c>
      <c r="E155" s="118" t="s">
        <v>9</v>
      </c>
      <c r="F155" s="118" t="s">
        <v>9</v>
      </c>
      <c r="G155" s="118" t="s">
        <v>9</v>
      </c>
      <c r="H155" s="145"/>
    </row>
    <row r="156" spans="1:8" x14ac:dyDescent="0.2">
      <c r="A156" s="118" t="s">
        <v>9</v>
      </c>
      <c r="B156" s="192" t="s">
        <v>137</v>
      </c>
      <c r="C156" s="201">
        <v>119.991</v>
      </c>
      <c r="D156" s="201">
        <v>120.5493</v>
      </c>
      <c r="E156" s="118" t="s">
        <v>9</v>
      </c>
      <c r="F156" s="95" t="s">
        <v>9</v>
      </c>
      <c r="G156" s="118" t="s">
        <v>9</v>
      </c>
      <c r="H156" s="145"/>
    </row>
    <row r="157" spans="1:8" x14ac:dyDescent="0.2">
      <c r="A157" s="118" t="s">
        <v>9</v>
      </c>
      <c r="B157" s="192" t="s">
        <v>921</v>
      </c>
      <c r="C157" s="201">
        <v>16.575099999999999</v>
      </c>
      <c r="D157" s="201">
        <v>16.4986</v>
      </c>
      <c r="E157" s="118" t="s">
        <v>9</v>
      </c>
      <c r="F157" s="95" t="s">
        <v>9</v>
      </c>
      <c r="G157" s="118" t="s">
        <v>9</v>
      </c>
      <c r="H157" s="145"/>
    </row>
    <row r="158" spans="1:8" x14ac:dyDescent="0.2">
      <c r="A158" s="118" t="s">
        <v>9</v>
      </c>
      <c r="B158" s="192" t="s">
        <v>138</v>
      </c>
      <c r="C158" s="201">
        <v>111.8984</v>
      </c>
      <c r="D158" s="201">
        <v>112.301</v>
      </c>
      <c r="E158" s="118" t="s">
        <v>9</v>
      </c>
      <c r="F158" s="95" t="s">
        <v>9</v>
      </c>
      <c r="G158" s="118" t="s">
        <v>9</v>
      </c>
      <c r="H158" s="145"/>
    </row>
    <row r="159" spans="1:8" x14ac:dyDescent="0.2">
      <c r="A159" s="118" t="s">
        <v>9</v>
      </c>
      <c r="B159" s="192" t="s">
        <v>922</v>
      </c>
      <c r="C159" s="201">
        <v>14.709899999999999</v>
      </c>
      <c r="D159" s="201">
        <v>14.6265</v>
      </c>
      <c r="E159" s="118" t="s">
        <v>9</v>
      </c>
      <c r="F159" s="95" t="s">
        <v>9</v>
      </c>
      <c r="G159" s="118" t="s">
        <v>9</v>
      </c>
      <c r="H159" s="145"/>
    </row>
    <row r="160" spans="1:8" x14ac:dyDescent="0.2">
      <c r="A160" s="118" t="s">
        <v>9</v>
      </c>
      <c r="B160" s="92" t="s">
        <v>9</v>
      </c>
      <c r="C160" s="92" t="s">
        <v>9</v>
      </c>
      <c r="D160" s="92" t="s">
        <v>9</v>
      </c>
      <c r="E160" s="118" t="s">
        <v>9</v>
      </c>
      <c r="F160" s="118" t="s">
        <v>9</v>
      </c>
      <c r="G160" s="118" t="s">
        <v>9</v>
      </c>
      <c r="H160" s="145"/>
    </row>
    <row r="161" spans="1:8" x14ac:dyDescent="0.2">
      <c r="A161" s="118" t="s">
        <v>9</v>
      </c>
      <c r="B161" s="266" t="s">
        <v>1012</v>
      </c>
      <c r="C161" s="267"/>
      <c r="D161" s="117"/>
      <c r="E161" s="118" t="s">
        <v>9</v>
      </c>
      <c r="F161" s="118" t="s">
        <v>9</v>
      </c>
      <c r="G161" s="118" t="s">
        <v>9</v>
      </c>
      <c r="H161" s="145"/>
    </row>
    <row r="162" spans="1:8" x14ac:dyDescent="0.2">
      <c r="A162" s="118" t="s">
        <v>9</v>
      </c>
      <c r="B162" s="191" t="s">
        <v>134</v>
      </c>
      <c r="C162" s="191" t="s">
        <v>867</v>
      </c>
      <c r="D162" s="191" t="s">
        <v>868</v>
      </c>
      <c r="E162" s="118" t="s">
        <v>9</v>
      </c>
      <c r="F162" s="118" t="s">
        <v>9</v>
      </c>
      <c r="G162" s="118" t="s">
        <v>9</v>
      </c>
      <c r="H162" s="145"/>
    </row>
    <row r="163" spans="1:8" x14ac:dyDescent="0.2">
      <c r="A163" s="118" t="s">
        <v>9</v>
      </c>
      <c r="B163" s="192" t="s">
        <v>921</v>
      </c>
      <c r="C163" s="193">
        <v>0.151</v>
      </c>
      <c r="D163" s="193">
        <v>0.151</v>
      </c>
      <c r="E163" s="118" t="s">
        <v>9</v>
      </c>
      <c r="F163" s="95" t="s">
        <v>9</v>
      </c>
      <c r="G163" s="118" t="s">
        <v>9</v>
      </c>
      <c r="H163" s="145"/>
    </row>
    <row r="164" spans="1:8" x14ac:dyDescent="0.2">
      <c r="A164" s="118" t="s">
        <v>9</v>
      </c>
      <c r="B164" s="192" t="s">
        <v>922</v>
      </c>
      <c r="C164" s="193">
        <v>0.13400000000000001</v>
      </c>
      <c r="D164" s="193">
        <v>0.13400000000000001</v>
      </c>
      <c r="E164" s="118" t="s">
        <v>9</v>
      </c>
      <c r="F164" s="95" t="s">
        <v>9</v>
      </c>
      <c r="G164" s="118" t="s">
        <v>9</v>
      </c>
      <c r="H164" s="145"/>
    </row>
    <row r="165" spans="1:8" x14ac:dyDescent="0.2">
      <c r="A165" s="118" t="s">
        <v>9</v>
      </c>
      <c r="B165" s="202" t="s">
        <v>9</v>
      </c>
      <c r="C165" s="202" t="s">
        <v>9</v>
      </c>
      <c r="D165" s="203" t="s">
        <v>9</v>
      </c>
      <c r="E165" s="118" t="s">
        <v>9</v>
      </c>
      <c r="F165" s="95" t="s">
        <v>9</v>
      </c>
      <c r="G165" s="118" t="s">
        <v>9</v>
      </c>
      <c r="H165" s="145"/>
    </row>
    <row r="166" spans="1:8" customFormat="1" ht="18" customHeight="1" x14ac:dyDescent="0.2">
      <c r="A166" s="234"/>
      <c r="B166" s="259" t="s">
        <v>923</v>
      </c>
      <c r="C166" s="259"/>
      <c r="D166" s="259"/>
      <c r="E166" s="259"/>
      <c r="F166" s="259"/>
      <c r="G166" s="234"/>
    </row>
    <row r="167" spans="1:8" x14ac:dyDescent="0.2">
      <c r="A167" s="118" t="s">
        <v>9</v>
      </c>
      <c r="B167" s="204" t="s">
        <v>9</v>
      </c>
      <c r="C167" s="204" t="s">
        <v>9</v>
      </c>
      <c r="D167" s="92" t="s">
        <v>9</v>
      </c>
      <c r="E167" s="118" t="s">
        <v>9</v>
      </c>
      <c r="F167" s="118" t="s">
        <v>9</v>
      </c>
      <c r="G167" s="118" t="s">
        <v>9</v>
      </c>
      <c r="H167" s="145"/>
    </row>
    <row r="168" spans="1:8" x14ac:dyDescent="0.2">
      <c r="A168" s="118" t="s">
        <v>9</v>
      </c>
      <c r="B168" s="266" t="s">
        <v>139</v>
      </c>
      <c r="C168" s="267"/>
      <c r="D168" s="117" t="s">
        <v>129</v>
      </c>
      <c r="E168" s="146" t="s">
        <v>9</v>
      </c>
      <c r="F168" s="118" t="s">
        <v>9</v>
      </c>
      <c r="G168" s="118" t="s">
        <v>9</v>
      </c>
      <c r="H168" s="145"/>
    </row>
    <row r="169" spans="1:8" x14ac:dyDescent="0.2">
      <c r="A169" s="118" t="s">
        <v>9</v>
      </c>
      <c r="B169" s="266" t="s">
        <v>140</v>
      </c>
      <c r="C169" s="267"/>
      <c r="D169" s="117" t="s">
        <v>129</v>
      </c>
      <c r="E169" s="146" t="s">
        <v>9</v>
      </c>
      <c r="F169" s="118" t="s">
        <v>9</v>
      </c>
      <c r="G169" s="118" t="s">
        <v>9</v>
      </c>
      <c r="H169" s="145"/>
    </row>
    <row r="170" spans="1:8" x14ac:dyDescent="0.2">
      <c r="A170" s="118" t="s">
        <v>9</v>
      </c>
      <c r="B170" s="240" t="s">
        <v>991</v>
      </c>
      <c r="C170" s="241"/>
      <c r="D170" s="187">
        <v>4.9500853371081543</v>
      </c>
      <c r="E170" s="146" t="s">
        <v>9</v>
      </c>
      <c r="F170" s="118" t="s">
        <v>9</v>
      </c>
      <c r="G170" s="118" t="s">
        <v>9</v>
      </c>
      <c r="H170" s="145"/>
    </row>
    <row r="171" spans="1:8" x14ac:dyDescent="0.2">
      <c r="A171" s="118" t="s">
        <v>9</v>
      </c>
      <c r="B171" s="240" t="s">
        <v>992</v>
      </c>
      <c r="C171" s="241"/>
      <c r="D171" s="187">
        <v>3.6508645623172082</v>
      </c>
      <c r="E171" s="146" t="s">
        <v>9</v>
      </c>
      <c r="F171" s="118" t="s">
        <v>9</v>
      </c>
      <c r="G171" s="118" t="s">
        <v>9</v>
      </c>
      <c r="H171" s="145"/>
    </row>
    <row r="172" spans="1:8" x14ac:dyDescent="0.2">
      <c r="A172" s="118" t="s">
        <v>9</v>
      </c>
      <c r="B172" s="266" t="s">
        <v>993</v>
      </c>
      <c r="C172" s="267"/>
      <c r="D172" s="205">
        <v>0.91283066676566871</v>
      </c>
      <c r="E172" s="118" t="s">
        <v>9</v>
      </c>
      <c r="F172" s="95" t="s">
        <v>9</v>
      </c>
      <c r="G172" s="118" t="s">
        <v>9</v>
      </c>
      <c r="H172" s="145"/>
    </row>
    <row r="173" spans="1:8" x14ac:dyDescent="0.2">
      <c r="A173" s="118" t="s">
        <v>9</v>
      </c>
      <c r="B173" s="266" t="s">
        <v>994</v>
      </c>
      <c r="C173" s="267"/>
      <c r="D173" s="117" t="s">
        <v>129</v>
      </c>
      <c r="E173" s="146" t="s">
        <v>9</v>
      </c>
      <c r="F173" s="118" t="s">
        <v>9</v>
      </c>
      <c r="G173" s="118" t="s">
        <v>9</v>
      </c>
      <c r="H173" s="145"/>
    </row>
  </sheetData>
  <mergeCells count="18">
    <mergeCell ref="B169:C169"/>
    <mergeCell ref="B170:C170"/>
    <mergeCell ref="B171:C171"/>
    <mergeCell ref="B173:C173"/>
    <mergeCell ref="B172:C172"/>
    <mergeCell ref="A1:H1"/>
    <mergeCell ref="A2:H2"/>
    <mergeCell ref="A3:H3"/>
    <mergeCell ref="B168:C168"/>
    <mergeCell ref="B146:F146"/>
    <mergeCell ref="B147:F147"/>
    <mergeCell ref="B148:F148"/>
    <mergeCell ref="B150:D150"/>
    <mergeCell ref="B151:C151"/>
    <mergeCell ref="B152:C152"/>
    <mergeCell ref="B153:C153"/>
    <mergeCell ref="B161:C161"/>
    <mergeCell ref="B166:F166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7">
    <outlinePr summaryBelow="0" summaryRight="0"/>
  </sheetPr>
  <dimension ref="A1:H142"/>
  <sheetViews>
    <sheetView showGridLines="0" workbookViewId="0">
      <selection activeCell="J1" sqref="J1"/>
    </sheetView>
  </sheetViews>
  <sheetFormatPr defaultRowHeight="15" x14ac:dyDescent="0.2"/>
  <cols>
    <col min="1" max="1" width="6.85546875" style="155" customWidth="1"/>
    <col min="2" max="2" width="20.5703125" style="155" customWidth="1"/>
    <col min="3" max="3" width="34.28515625" style="155" customWidth="1"/>
    <col min="4" max="4" width="17.85546875" style="155" customWidth="1"/>
    <col min="5" max="6" width="19.140625" style="155" customWidth="1"/>
    <col min="7" max="7" width="16.42578125" style="155" customWidth="1"/>
    <col min="8" max="16384" width="9.140625" style="155"/>
  </cols>
  <sheetData>
    <row r="1" spans="1:8" x14ac:dyDescent="0.2">
      <c r="A1" s="250" t="s">
        <v>0</v>
      </c>
      <c r="B1" s="250"/>
      <c r="C1" s="250"/>
      <c r="D1" s="250"/>
      <c r="E1" s="250"/>
      <c r="F1" s="250"/>
      <c r="G1" s="250"/>
      <c r="H1" s="250"/>
    </row>
    <row r="2" spans="1:8" x14ac:dyDescent="0.2">
      <c r="A2" s="251" t="s">
        <v>691</v>
      </c>
      <c r="B2" s="252"/>
      <c r="C2" s="252"/>
      <c r="D2" s="252"/>
      <c r="E2" s="252"/>
      <c r="F2" s="252"/>
      <c r="G2" s="252"/>
      <c r="H2" s="253"/>
    </row>
    <row r="3" spans="1:8" x14ac:dyDescent="0.2">
      <c r="A3" s="250" t="s">
        <v>1015</v>
      </c>
      <c r="B3" s="250"/>
      <c r="C3" s="250"/>
      <c r="D3" s="250"/>
      <c r="E3" s="250"/>
      <c r="F3" s="250"/>
      <c r="G3" s="250"/>
      <c r="H3" s="250"/>
    </row>
    <row r="4" spans="1:8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60" t="s">
        <v>6</v>
      </c>
      <c r="F4" s="160" t="s">
        <v>7</v>
      </c>
      <c r="G4" s="160" t="s">
        <v>8</v>
      </c>
      <c r="H4" s="161" t="s">
        <v>909</v>
      </c>
    </row>
    <row r="5" spans="1:8" x14ac:dyDescent="0.2">
      <c r="A5" s="15" t="s">
        <v>9</v>
      </c>
      <c r="B5" s="15" t="s">
        <v>9</v>
      </c>
      <c r="C5" s="3" t="s">
        <v>10</v>
      </c>
      <c r="D5" s="15" t="s">
        <v>9</v>
      </c>
      <c r="E5" s="15" t="s">
        <v>9</v>
      </c>
      <c r="F5" s="15" t="s">
        <v>9</v>
      </c>
      <c r="G5" s="15" t="s">
        <v>9</v>
      </c>
      <c r="H5" s="100"/>
    </row>
    <row r="6" spans="1:8" ht="25.5" x14ac:dyDescent="0.2">
      <c r="A6" s="15" t="s">
        <v>9</v>
      </c>
      <c r="B6" s="15" t="s">
        <v>9</v>
      </c>
      <c r="C6" s="3" t="s">
        <v>11</v>
      </c>
      <c r="D6" s="15" t="s">
        <v>9</v>
      </c>
      <c r="E6" s="15" t="s">
        <v>9</v>
      </c>
      <c r="F6" s="15" t="s">
        <v>9</v>
      </c>
      <c r="G6" s="15" t="s">
        <v>9</v>
      </c>
      <c r="H6" s="100"/>
    </row>
    <row r="7" spans="1:8" x14ac:dyDescent="0.2">
      <c r="A7" s="4">
        <v>1</v>
      </c>
      <c r="B7" s="5" t="s">
        <v>393</v>
      </c>
      <c r="C7" s="5" t="s">
        <v>394</v>
      </c>
      <c r="D7" s="5" t="s">
        <v>151</v>
      </c>
      <c r="E7" s="6">
        <v>577633</v>
      </c>
      <c r="F7" s="7">
        <v>7823.1725354999999</v>
      </c>
      <c r="G7" s="8">
        <v>7.8650362000000001E-2</v>
      </c>
      <c r="H7" s="100"/>
    </row>
    <row r="8" spans="1:8" x14ac:dyDescent="0.2">
      <c r="A8" s="4">
        <v>2</v>
      </c>
      <c r="B8" s="5" t="s">
        <v>20</v>
      </c>
      <c r="C8" s="5" t="s">
        <v>21</v>
      </c>
      <c r="D8" s="5" t="s">
        <v>22</v>
      </c>
      <c r="E8" s="6">
        <v>1267715</v>
      </c>
      <c r="F8" s="7">
        <v>7612.6285749999997</v>
      </c>
      <c r="G8" s="8">
        <v>7.6533656000000005E-2</v>
      </c>
      <c r="H8" s="100"/>
    </row>
    <row r="9" spans="1:8" x14ac:dyDescent="0.2">
      <c r="A9" s="4">
        <v>3</v>
      </c>
      <c r="B9" s="5" t="s">
        <v>54</v>
      </c>
      <c r="C9" s="5" t="s">
        <v>55</v>
      </c>
      <c r="D9" s="5" t="s">
        <v>22</v>
      </c>
      <c r="E9" s="6">
        <v>492852</v>
      </c>
      <c r="F9" s="7">
        <v>6960.548796</v>
      </c>
      <c r="G9" s="8">
        <v>6.9977963000000004E-2</v>
      </c>
      <c r="H9" s="100"/>
    </row>
    <row r="10" spans="1:8" x14ac:dyDescent="0.2">
      <c r="A10" s="4">
        <v>4</v>
      </c>
      <c r="B10" s="5" t="s">
        <v>15</v>
      </c>
      <c r="C10" s="5" t="s">
        <v>16</v>
      </c>
      <c r="D10" s="5" t="s">
        <v>17</v>
      </c>
      <c r="E10" s="6">
        <v>340589</v>
      </c>
      <c r="F10" s="7">
        <v>6793.0476049999997</v>
      </c>
      <c r="G10" s="8">
        <v>6.8293988E-2</v>
      </c>
      <c r="H10" s="100"/>
    </row>
    <row r="11" spans="1:8" ht="25.5" x14ac:dyDescent="0.2">
      <c r="A11" s="4">
        <v>5</v>
      </c>
      <c r="B11" s="5" t="s">
        <v>395</v>
      </c>
      <c r="C11" s="5" t="s">
        <v>396</v>
      </c>
      <c r="D11" s="5" t="s">
        <v>156</v>
      </c>
      <c r="E11" s="6">
        <v>188177</v>
      </c>
      <c r="F11" s="7">
        <v>4554.0715769999997</v>
      </c>
      <c r="G11" s="8">
        <v>4.5784415000000002E-2</v>
      </c>
      <c r="H11" s="100"/>
    </row>
    <row r="12" spans="1:8" x14ac:dyDescent="0.2">
      <c r="A12" s="4">
        <v>6</v>
      </c>
      <c r="B12" s="5" t="s">
        <v>409</v>
      </c>
      <c r="C12" s="5" t="s">
        <v>940</v>
      </c>
      <c r="D12" s="5" t="s">
        <v>151</v>
      </c>
      <c r="E12" s="6">
        <v>142864</v>
      </c>
      <c r="F12" s="7">
        <v>4336.8510159999996</v>
      </c>
      <c r="G12" s="8">
        <v>4.3600584999999997E-2</v>
      </c>
      <c r="H12" s="100"/>
    </row>
    <row r="13" spans="1:8" x14ac:dyDescent="0.2">
      <c r="A13" s="4">
        <v>7</v>
      </c>
      <c r="B13" s="5" t="s">
        <v>397</v>
      </c>
      <c r="C13" s="5" t="s">
        <v>398</v>
      </c>
      <c r="D13" s="5" t="s">
        <v>22</v>
      </c>
      <c r="E13" s="6">
        <v>523701</v>
      </c>
      <c r="F13" s="7">
        <v>3743.9384490000002</v>
      </c>
      <c r="G13" s="8">
        <v>3.7639732000000002E-2</v>
      </c>
      <c r="H13" s="100"/>
    </row>
    <row r="14" spans="1:8" x14ac:dyDescent="0.2">
      <c r="A14" s="4">
        <v>8</v>
      </c>
      <c r="B14" s="5" t="s">
        <v>12</v>
      </c>
      <c r="C14" s="5" t="s">
        <v>13</v>
      </c>
      <c r="D14" s="5" t="s">
        <v>14</v>
      </c>
      <c r="E14" s="6">
        <v>277602</v>
      </c>
      <c r="F14" s="7">
        <v>3721.1160089999998</v>
      </c>
      <c r="G14" s="8">
        <v>3.7410286000000001E-2</v>
      </c>
      <c r="H14" s="100"/>
    </row>
    <row r="15" spans="1:8" x14ac:dyDescent="0.2">
      <c r="A15" s="4">
        <v>9</v>
      </c>
      <c r="B15" s="5" t="s">
        <v>399</v>
      </c>
      <c r="C15" s="5" t="s">
        <v>400</v>
      </c>
      <c r="D15" s="5" t="s">
        <v>22</v>
      </c>
      <c r="E15" s="6">
        <v>1029136</v>
      </c>
      <c r="F15" s="7">
        <v>3637.9957599999998</v>
      </c>
      <c r="G15" s="8">
        <v>3.6574635000000001E-2</v>
      </c>
      <c r="H15" s="100"/>
    </row>
    <row r="16" spans="1:8" x14ac:dyDescent="0.2">
      <c r="A16" s="4">
        <v>10</v>
      </c>
      <c r="B16" s="5" t="s">
        <v>29</v>
      </c>
      <c r="C16" s="5" t="s">
        <v>30</v>
      </c>
      <c r="D16" s="5" t="s">
        <v>31</v>
      </c>
      <c r="E16" s="6">
        <v>659170</v>
      </c>
      <c r="F16" s="7">
        <v>3538.094975</v>
      </c>
      <c r="G16" s="8">
        <v>3.5570282000000002E-2</v>
      </c>
      <c r="H16" s="100"/>
    </row>
    <row r="17" spans="1:8" x14ac:dyDescent="0.2">
      <c r="A17" s="4">
        <v>11</v>
      </c>
      <c r="B17" s="5" t="s">
        <v>413</v>
      </c>
      <c r="C17" s="5" t="s">
        <v>414</v>
      </c>
      <c r="D17" s="5" t="s">
        <v>47</v>
      </c>
      <c r="E17" s="6">
        <v>282628</v>
      </c>
      <c r="F17" s="7">
        <v>2922.3735200000001</v>
      </c>
      <c r="G17" s="8">
        <v>2.9380118E-2</v>
      </c>
      <c r="H17" s="100"/>
    </row>
    <row r="18" spans="1:8" x14ac:dyDescent="0.2">
      <c r="A18" s="4">
        <v>12</v>
      </c>
      <c r="B18" s="5" t="s">
        <v>356</v>
      </c>
      <c r="C18" s="5" t="s">
        <v>357</v>
      </c>
      <c r="D18" s="5" t="s">
        <v>151</v>
      </c>
      <c r="E18" s="6">
        <v>263510</v>
      </c>
      <c r="F18" s="7">
        <v>2368.8231449999998</v>
      </c>
      <c r="G18" s="8">
        <v>2.3814993E-2</v>
      </c>
      <c r="H18" s="100"/>
    </row>
    <row r="19" spans="1:8" x14ac:dyDescent="0.2">
      <c r="A19" s="4">
        <v>13</v>
      </c>
      <c r="B19" s="5" t="s">
        <v>69</v>
      </c>
      <c r="C19" s="5" t="s">
        <v>70</v>
      </c>
      <c r="D19" s="5" t="s">
        <v>17</v>
      </c>
      <c r="E19" s="6">
        <v>487530</v>
      </c>
      <c r="F19" s="7">
        <v>2056.4015399999998</v>
      </c>
      <c r="G19" s="8">
        <v>2.0674057999999999E-2</v>
      </c>
      <c r="H19" s="100"/>
    </row>
    <row r="20" spans="1:8" ht="25.5" x14ac:dyDescent="0.2">
      <c r="A20" s="4">
        <v>14</v>
      </c>
      <c r="B20" s="5" t="s">
        <v>479</v>
      </c>
      <c r="C20" s="5" t="s">
        <v>958</v>
      </c>
      <c r="D20" s="5" t="s">
        <v>73</v>
      </c>
      <c r="E20" s="6">
        <v>14892</v>
      </c>
      <c r="F20" s="7">
        <v>2017.6426200000001</v>
      </c>
      <c r="G20" s="8">
        <v>2.0284395E-2</v>
      </c>
      <c r="H20" s="100"/>
    </row>
    <row r="21" spans="1:8" x14ac:dyDescent="0.2">
      <c r="A21" s="4">
        <v>15</v>
      </c>
      <c r="B21" s="5" t="s">
        <v>338</v>
      </c>
      <c r="C21" s="5" t="s">
        <v>339</v>
      </c>
      <c r="D21" s="5" t="s">
        <v>193</v>
      </c>
      <c r="E21" s="6">
        <v>71231</v>
      </c>
      <c r="F21" s="7">
        <v>1981.3258805</v>
      </c>
      <c r="G21" s="8">
        <v>1.9919283999999999E-2</v>
      </c>
      <c r="H21" s="100"/>
    </row>
    <row r="22" spans="1:8" ht="25.5" x14ac:dyDescent="0.2">
      <c r="A22" s="4">
        <v>16</v>
      </c>
      <c r="B22" s="5" t="s">
        <v>415</v>
      </c>
      <c r="C22" s="5" t="s">
        <v>938</v>
      </c>
      <c r="D22" s="5" t="s">
        <v>73</v>
      </c>
      <c r="E22" s="6">
        <v>78561</v>
      </c>
      <c r="F22" s="7">
        <v>1849.1295375</v>
      </c>
      <c r="G22" s="8">
        <v>1.8590247000000001E-2</v>
      </c>
      <c r="H22" s="100"/>
    </row>
    <row r="23" spans="1:8" x14ac:dyDescent="0.2">
      <c r="A23" s="4">
        <v>17</v>
      </c>
      <c r="B23" s="5" t="s">
        <v>295</v>
      </c>
      <c r="C23" s="5" t="s">
        <v>296</v>
      </c>
      <c r="D23" s="5" t="s">
        <v>151</v>
      </c>
      <c r="E23" s="6">
        <v>85561</v>
      </c>
      <c r="F23" s="7">
        <v>1801.9146599999999</v>
      </c>
      <c r="G23" s="8">
        <v>1.8115571E-2</v>
      </c>
      <c r="H23" s="100"/>
    </row>
    <row r="24" spans="1:8" ht="25.5" x14ac:dyDescent="0.2">
      <c r="A24" s="4">
        <v>18</v>
      </c>
      <c r="B24" s="5" t="s">
        <v>613</v>
      </c>
      <c r="C24" s="5" t="s">
        <v>614</v>
      </c>
      <c r="D24" s="5" t="s">
        <v>1001</v>
      </c>
      <c r="E24" s="6">
        <v>511927</v>
      </c>
      <c r="F24" s="7">
        <v>1582.1103935000001</v>
      </c>
      <c r="G24" s="8">
        <v>1.5905765999999998E-2</v>
      </c>
      <c r="H24" s="100"/>
    </row>
    <row r="25" spans="1:8" x14ac:dyDescent="0.2">
      <c r="A25" s="4">
        <v>19</v>
      </c>
      <c r="B25" s="5" t="s">
        <v>322</v>
      </c>
      <c r="C25" s="5" t="s">
        <v>323</v>
      </c>
      <c r="D25" s="5" t="s">
        <v>78</v>
      </c>
      <c r="E25" s="6">
        <v>299733</v>
      </c>
      <c r="F25" s="7">
        <v>1525.4911035</v>
      </c>
      <c r="G25" s="8">
        <v>1.5336544000000001E-2</v>
      </c>
      <c r="H25" s="100"/>
    </row>
    <row r="26" spans="1:8" x14ac:dyDescent="0.2">
      <c r="A26" s="4">
        <v>20</v>
      </c>
      <c r="B26" s="5" t="s">
        <v>382</v>
      </c>
      <c r="C26" s="5" t="s">
        <v>383</v>
      </c>
      <c r="D26" s="5" t="s">
        <v>1009</v>
      </c>
      <c r="E26" s="6">
        <v>13401</v>
      </c>
      <c r="F26" s="7">
        <v>1479.6915165</v>
      </c>
      <c r="G26" s="8">
        <v>1.4876097E-2</v>
      </c>
      <c r="H26" s="100"/>
    </row>
    <row r="27" spans="1:8" x14ac:dyDescent="0.2">
      <c r="A27" s="4">
        <v>21</v>
      </c>
      <c r="B27" s="5" t="s">
        <v>309</v>
      </c>
      <c r="C27" s="5" t="s">
        <v>310</v>
      </c>
      <c r="D27" s="5" t="s">
        <v>58</v>
      </c>
      <c r="E27" s="6">
        <v>66561</v>
      </c>
      <c r="F27" s="7">
        <v>1478.6193344999999</v>
      </c>
      <c r="G27" s="8">
        <v>1.4865318000000001E-2</v>
      </c>
      <c r="H27" s="100"/>
    </row>
    <row r="28" spans="1:8" x14ac:dyDescent="0.2">
      <c r="A28" s="4">
        <v>22</v>
      </c>
      <c r="B28" s="5" t="s">
        <v>432</v>
      </c>
      <c r="C28" s="5" t="s">
        <v>956</v>
      </c>
      <c r="D28" s="5" t="s">
        <v>28</v>
      </c>
      <c r="E28" s="6">
        <v>93108</v>
      </c>
      <c r="F28" s="7">
        <v>1470.3149820000001</v>
      </c>
      <c r="G28" s="8">
        <v>1.4781829999999999E-2</v>
      </c>
      <c r="H28" s="100"/>
    </row>
    <row r="29" spans="1:8" x14ac:dyDescent="0.2">
      <c r="A29" s="4">
        <v>23</v>
      </c>
      <c r="B29" s="5" t="s">
        <v>401</v>
      </c>
      <c r="C29" s="5" t="s">
        <v>402</v>
      </c>
      <c r="D29" s="5" t="s">
        <v>91</v>
      </c>
      <c r="E29" s="6">
        <v>175163</v>
      </c>
      <c r="F29" s="7">
        <v>1318.1891565000001</v>
      </c>
      <c r="G29" s="8">
        <v>1.3252431E-2</v>
      </c>
      <c r="H29" s="100"/>
    </row>
    <row r="30" spans="1:8" ht="25.5" x14ac:dyDescent="0.2">
      <c r="A30" s="4">
        <v>24</v>
      </c>
      <c r="B30" s="5" t="s">
        <v>39</v>
      </c>
      <c r="C30" s="5" t="s">
        <v>941</v>
      </c>
      <c r="D30" s="5" t="s">
        <v>1001</v>
      </c>
      <c r="E30" s="6">
        <v>20916</v>
      </c>
      <c r="F30" s="7">
        <v>1313.3051820000001</v>
      </c>
      <c r="G30" s="8">
        <v>1.3203329999999999E-2</v>
      </c>
      <c r="H30" s="100"/>
    </row>
    <row r="31" spans="1:8" x14ac:dyDescent="0.2">
      <c r="A31" s="4">
        <v>25</v>
      </c>
      <c r="B31" s="5" t="s">
        <v>423</v>
      </c>
      <c r="C31" s="5" t="s">
        <v>424</v>
      </c>
      <c r="D31" s="5" t="s">
        <v>22</v>
      </c>
      <c r="E31" s="6">
        <v>73099</v>
      </c>
      <c r="F31" s="7">
        <v>1278.3553119999999</v>
      </c>
      <c r="G31" s="8">
        <v>1.2851961E-2</v>
      </c>
      <c r="H31" s="100"/>
    </row>
    <row r="32" spans="1:8" x14ac:dyDescent="0.2">
      <c r="A32" s="4">
        <v>26</v>
      </c>
      <c r="B32" s="5" t="s">
        <v>407</v>
      </c>
      <c r="C32" s="5" t="s">
        <v>408</v>
      </c>
      <c r="D32" s="5" t="s">
        <v>193</v>
      </c>
      <c r="E32" s="6">
        <v>190664</v>
      </c>
      <c r="F32" s="7">
        <v>1247.8005479999999</v>
      </c>
      <c r="G32" s="8">
        <v>1.2544777999999999E-2</v>
      </c>
      <c r="H32" s="100"/>
    </row>
    <row r="33" spans="1:8" x14ac:dyDescent="0.2">
      <c r="A33" s="4">
        <v>27</v>
      </c>
      <c r="B33" s="5" t="s">
        <v>425</v>
      </c>
      <c r="C33" s="5" t="s">
        <v>426</v>
      </c>
      <c r="D33" s="5" t="s">
        <v>427</v>
      </c>
      <c r="E33" s="6">
        <v>319113</v>
      </c>
      <c r="F33" s="7">
        <v>1162.8477720000001</v>
      </c>
      <c r="G33" s="8">
        <v>1.1690704E-2</v>
      </c>
      <c r="H33" s="100"/>
    </row>
    <row r="34" spans="1:8" ht="25.5" x14ac:dyDescent="0.2">
      <c r="A34" s="4">
        <v>28</v>
      </c>
      <c r="B34" s="5" t="s">
        <v>346</v>
      </c>
      <c r="C34" s="5" t="s">
        <v>939</v>
      </c>
      <c r="D34" s="5" t="s">
        <v>73</v>
      </c>
      <c r="E34" s="6">
        <v>167408</v>
      </c>
      <c r="F34" s="7">
        <v>1120.79656</v>
      </c>
      <c r="G34" s="8">
        <v>1.1267942E-2</v>
      </c>
      <c r="H34" s="100"/>
    </row>
    <row r="35" spans="1:8" x14ac:dyDescent="0.2">
      <c r="A35" s="4">
        <v>29</v>
      </c>
      <c r="B35" s="5" t="s">
        <v>664</v>
      </c>
      <c r="C35" s="5" t="s">
        <v>665</v>
      </c>
      <c r="D35" s="5" t="s">
        <v>22</v>
      </c>
      <c r="E35" s="6">
        <v>115885</v>
      </c>
      <c r="F35" s="7">
        <v>1083.4668075</v>
      </c>
      <c r="G35" s="8">
        <v>1.0892647E-2</v>
      </c>
      <c r="H35" s="100"/>
    </row>
    <row r="36" spans="1:8" x14ac:dyDescent="0.2">
      <c r="A36" s="4">
        <v>30</v>
      </c>
      <c r="B36" s="5" t="s">
        <v>692</v>
      </c>
      <c r="C36" s="5" t="s">
        <v>936</v>
      </c>
      <c r="D36" s="5" t="s">
        <v>156</v>
      </c>
      <c r="E36" s="6">
        <v>79598</v>
      </c>
      <c r="F36" s="7">
        <v>1070.632899</v>
      </c>
      <c r="G36" s="8">
        <v>1.0763620999999999E-2</v>
      </c>
      <c r="H36" s="100"/>
    </row>
    <row r="37" spans="1:8" ht="25.5" x14ac:dyDescent="0.2">
      <c r="A37" s="4">
        <v>31</v>
      </c>
      <c r="B37" s="5" t="s">
        <v>87</v>
      </c>
      <c r="C37" s="5" t="s">
        <v>88</v>
      </c>
      <c r="D37" s="5" t="s">
        <v>63</v>
      </c>
      <c r="E37" s="6">
        <v>139388</v>
      </c>
      <c r="F37" s="7">
        <v>1017.602094</v>
      </c>
      <c r="G37" s="8">
        <v>1.0230474999999999E-2</v>
      </c>
      <c r="H37" s="100"/>
    </row>
    <row r="38" spans="1:8" ht="25.5" x14ac:dyDescent="0.2">
      <c r="A38" s="4">
        <v>32</v>
      </c>
      <c r="B38" s="5" t="s">
        <v>421</v>
      </c>
      <c r="C38" s="5" t="s">
        <v>422</v>
      </c>
      <c r="D38" s="5" t="s">
        <v>73</v>
      </c>
      <c r="E38" s="6">
        <v>494980</v>
      </c>
      <c r="F38" s="7">
        <v>1002.82948</v>
      </c>
      <c r="G38" s="8">
        <v>1.0081959E-2</v>
      </c>
      <c r="H38" s="100"/>
    </row>
    <row r="39" spans="1:8" x14ac:dyDescent="0.2">
      <c r="A39" s="4">
        <v>33</v>
      </c>
      <c r="B39" s="5" t="s">
        <v>311</v>
      </c>
      <c r="C39" s="5" t="s">
        <v>312</v>
      </c>
      <c r="D39" s="5" t="s">
        <v>313</v>
      </c>
      <c r="E39" s="6">
        <v>38682</v>
      </c>
      <c r="F39" s="7">
        <v>971.55645300000003</v>
      </c>
      <c r="G39" s="8">
        <v>9.7675550000000007E-3</v>
      </c>
      <c r="H39" s="100"/>
    </row>
    <row r="40" spans="1:8" ht="25.5" x14ac:dyDescent="0.2">
      <c r="A40" s="4">
        <v>34</v>
      </c>
      <c r="B40" s="5" t="s">
        <v>622</v>
      </c>
      <c r="C40" s="5" t="s">
        <v>623</v>
      </c>
      <c r="D40" s="5" t="s">
        <v>73</v>
      </c>
      <c r="E40" s="6">
        <v>177914</v>
      </c>
      <c r="F40" s="7">
        <v>957.26627699999995</v>
      </c>
      <c r="G40" s="8">
        <v>9.6238880000000006E-3</v>
      </c>
      <c r="H40" s="100"/>
    </row>
    <row r="41" spans="1:8" x14ac:dyDescent="0.2">
      <c r="A41" s="4">
        <v>35</v>
      </c>
      <c r="B41" s="5" t="s">
        <v>581</v>
      </c>
      <c r="C41" s="5" t="s">
        <v>582</v>
      </c>
      <c r="D41" s="5" t="s">
        <v>172</v>
      </c>
      <c r="E41" s="6">
        <v>38618</v>
      </c>
      <c r="F41" s="7">
        <v>924.92040899999995</v>
      </c>
      <c r="G41" s="8">
        <v>9.2986990000000005E-3</v>
      </c>
      <c r="H41" s="100"/>
    </row>
    <row r="42" spans="1:8" x14ac:dyDescent="0.2">
      <c r="A42" s="4">
        <v>36</v>
      </c>
      <c r="B42" s="5" t="s">
        <v>487</v>
      </c>
      <c r="C42" s="5" t="s">
        <v>488</v>
      </c>
      <c r="D42" s="5" t="s">
        <v>91</v>
      </c>
      <c r="E42" s="6">
        <v>13588</v>
      </c>
      <c r="F42" s="7">
        <v>877.19372199999998</v>
      </c>
      <c r="G42" s="8">
        <v>8.8188780000000005E-3</v>
      </c>
      <c r="H42" s="100"/>
    </row>
    <row r="43" spans="1:8" x14ac:dyDescent="0.2">
      <c r="A43" s="4">
        <v>37</v>
      </c>
      <c r="B43" s="5" t="s">
        <v>89</v>
      </c>
      <c r="C43" s="5" t="s">
        <v>90</v>
      </c>
      <c r="D43" s="5" t="s">
        <v>91</v>
      </c>
      <c r="E43" s="6">
        <v>745213</v>
      </c>
      <c r="F43" s="7">
        <v>839.855051</v>
      </c>
      <c r="G43" s="8">
        <v>8.4434929999999998E-3</v>
      </c>
      <c r="H43" s="100"/>
    </row>
    <row r="44" spans="1:8" ht="25.5" x14ac:dyDescent="0.2">
      <c r="A44" s="4">
        <v>38</v>
      </c>
      <c r="B44" s="5" t="s">
        <v>480</v>
      </c>
      <c r="C44" s="5" t="s">
        <v>481</v>
      </c>
      <c r="D44" s="5" t="s">
        <v>73</v>
      </c>
      <c r="E44" s="6">
        <v>160850</v>
      </c>
      <c r="F44" s="7">
        <v>835.69617500000004</v>
      </c>
      <c r="G44" s="8">
        <v>8.4016820000000006E-3</v>
      </c>
      <c r="H44" s="100"/>
    </row>
    <row r="45" spans="1:8" x14ac:dyDescent="0.2">
      <c r="A45" s="4">
        <v>39</v>
      </c>
      <c r="B45" s="5" t="s">
        <v>433</v>
      </c>
      <c r="C45" s="5" t="s">
        <v>434</v>
      </c>
      <c r="D45" s="5" t="s">
        <v>193</v>
      </c>
      <c r="E45" s="6">
        <v>91288</v>
      </c>
      <c r="F45" s="7">
        <v>831.04030799999998</v>
      </c>
      <c r="G45" s="8">
        <v>8.354874E-3</v>
      </c>
      <c r="H45" s="100"/>
    </row>
    <row r="46" spans="1:8" x14ac:dyDescent="0.2">
      <c r="A46" s="4">
        <v>40</v>
      </c>
      <c r="B46" s="5" t="s">
        <v>212</v>
      </c>
      <c r="C46" s="5" t="s">
        <v>213</v>
      </c>
      <c r="D46" s="5" t="s">
        <v>38</v>
      </c>
      <c r="E46" s="6">
        <v>101997</v>
      </c>
      <c r="F46" s="7">
        <v>731.21649300000001</v>
      </c>
      <c r="G46" s="8">
        <v>7.3512940000000004E-3</v>
      </c>
      <c r="H46" s="100"/>
    </row>
    <row r="47" spans="1:8" x14ac:dyDescent="0.2">
      <c r="A47" s="4">
        <v>41</v>
      </c>
      <c r="B47" s="5" t="s">
        <v>566</v>
      </c>
      <c r="C47" s="5" t="s">
        <v>567</v>
      </c>
      <c r="D47" s="5" t="s">
        <v>156</v>
      </c>
      <c r="E47" s="6">
        <v>11390</v>
      </c>
      <c r="F47" s="7">
        <v>620.97140999999999</v>
      </c>
      <c r="G47" s="8">
        <v>6.2429440000000003E-3</v>
      </c>
      <c r="H47" s="100"/>
    </row>
    <row r="48" spans="1:8" ht="25.5" x14ac:dyDescent="0.2">
      <c r="A48" s="4">
        <v>42</v>
      </c>
      <c r="B48" s="5" t="s">
        <v>326</v>
      </c>
      <c r="C48" s="5" t="s">
        <v>327</v>
      </c>
      <c r="D48" s="5" t="s">
        <v>73</v>
      </c>
      <c r="E48" s="6">
        <v>63351</v>
      </c>
      <c r="F48" s="7">
        <v>602.1829305</v>
      </c>
      <c r="G48" s="8">
        <v>6.0540539999999997E-3</v>
      </c>
      <c r="H48" s="100"/>
    </row>
    <row r="49" spans="1:8" ht="25.5" x14ac:dyDescent="0.2">
      <c r="A49" s="4">
        <v>43</v>
      </c>
      <c r="B49" s="5" t="s">
        <v>419</v>
      </c>
      <c r="C49" s="5" t="s">
        <v>420</v>
      </c>
      <c r="D49" s="5" t="s">
        <v>1009</v>
      </c>
      <c r="E49" s="6">
        <v>40310</v>
      </c>
      <c r="F49" s="7">
        <v>569.98339999999996</v>
      </c>
      <c r="G49" s="8">
        <v>5.7303349999999996E-3</v>
      </c>
      <c r="H49" s="100"/>
    </row>
    <row r="50" spans="1:8" x14ac:dyDescent="0.2">
      <c r="A50" s="4">
        <v>44</v>
      </c>
      <c r="B50" s="5" t="s">
        <v>297</v>
      </c>
      <c r="C50" s="5" t="s">
        <v>928</v>
      </c>
      <c r="D50" s="5" t="s">
        <v>22</v>
      </c>
      <c r="E50" s="6">
        <v>695867</v>
      </c>
      <c r="F50" s="7">
        <v>557.38946699999997</v>
      </c>
      <c r="G50" s="8">
        <v>5.6037220000000002E-3</v>
      </c>
      <c r="H50" s="100"/>
    </row>
    <row r="51" spans="1:8" x14ac:dyDescent="0.2">
      <c r="A51" s="4">
        <v>45</v>
      </c>
      <c r="B51" s="5" t="s">
        <v>572</v>
      </c>
      <c r="C51" s="5" t="s">
        <v>573</v>
      </c>
      <c r="D51" s="5" t="s">
        <v>58</v>
      </c>
      <c r="E51" s="6">
        <v>37350</v>
      </c>
      <c r="F51" s="7">
        <v>557.13127499999996</v>
      </c>
      <c r="G51" s="8">
        <v>5.6011259999999997E-3</v>
      </c>
      <c r="H51" s="100"/>
    </row>
    <row r="52" spans="1:8" x14ac:dyDescent="0.2">
      <c r="A52" s="4">
        <v>46</v>
      </c>
      <c r="B52" s="5" t="s">
        <v>579</v>
      </c>
      <c r="C52" s="5" t="s">
        <v>580</v>
      </c>
      <c r="D52" s="5" t="s">
        <v>1009</v>
      </c>
      <c r="E52" s="6">
        <v>82057</v>
      </c>
      <c r="F52" s="7">
        <v>545.76110700000004</v>
      </c>
      <c r="G52" s="8">
        <v>5.4868160000000003E-3</v>
      </c>
      <c r="H52" s="100"/>
    </row>
    <row r="53" spans="1:8" x14ac:dyDescent="0.2">
      <c r="A53" s="4">
        <v>47</v>
      </c>
      <c r="B53" s="5" t="s">
        <v>620</v>
      </c>
      <c r="C53" s="5" t="s">
        <v>621</v>
      </c>
      <c r="D53" s="5" t="s">
        <v>193</v>
      </c>
      <c r="E53" s="6">
        <v>18001</v>
      </c>
      <c r="F53" s="7">
        <v>496.65659049999999</v>
      </c>
      <c r="G53" s="8">
        <v>4.9931430000000002E-3</v>
      </c>
      <c r="H53" s="100"/>
    </row>
    <row r="54" spans="1:8" x14ac:dyDescent="0.2">
      <c r="A54" s="15" t="s">
        <v>9</v>
      </c>
      <c r="B54" s="15" t="s">
        <v>9</v>
      </c>
      <c r="C54" s="3" t="s">
        <v>94</v>
      </c>
      <c r="D54" s="15" t="s">
        <v>9</v>
      </c>
      <c r="E54" s="15" t="s">
        <v>9</v>
      </c>
      <c r="F54" s="9">
        <v>97789.950409500001</v>
      </c>
      <c r="G54" s="10">
        <v>0.98313247599999998</v>
      </c>
      <c r="H54" s="100"/>
    </row>
    <row r="55" spans="1:8" x14ac:dyDescent="0.2">
      <c r="A55" s="15" t="s">
        <v>9</v>
      </c>
      <c r="B55" s="15" t="s">
        <v>9</v>
      </c>
      <c r="C55" s="11" t="s">
        <v>9</v>
      </c>
      <c r="D55" s="15" t="s">
        <v>9</v>
      </c>
      <c r="E55" s="15" t="s">
        <v>9</v>
      </c>
      <c r="F55" s="12" t="s">
        <v>9</v>
      </c>
      <c r="G55" s="12" t="s">
        <v>9</v>
      </c>
      <c r="H55" s="100"/>
    </row>
    <row r="56" spans="1:8" x14ac:dyDescent="0.2">
      <c r="A56" s="15" t="s">
        <v>9</v>
      </c>
      <c r="B56" s="15" t="s">
        <v>9</v>
      </c>
      <c r="C56" s="3" t="s">
        <v>95</v>
      </c>
      <c r="D56" s="15" t="s">
        <v>9</v>
      </c>
      <c r="E56" s="15" t="s">
        <v>9</v>
      </c>
      <c r="F56" s="15" t="s">
        <v>9</v>
      </c>
      <c r="G56" s="15" t="s">
        <v>9</v>
      </c>
      <c r="H56" s="100"/>
    </row>
    <row r="57" spans="1:8" x14ac:dyDescent="0.2">
      <c r="A57" s="15" t="s">
        <v>9</v>
      </c>
      <c r="B57" s="15" t="s">
        <v>9</v>
      </c>
      <c r="C57" s="3" t="s">
        <v>94</v>
      </c>
      <c r="D57" s="15" t="s">
        <v>9</v>
      </c>
      <c r="E57" s="15" t="s">
        <v>9</v>
      </c>
      <c r="F57" s="13">
        <v>0</v>
      </c>
      <c r="G57" s="14">
        <v>0</v>
      </c>
      <c r="H57" s="100"/>
    </row>
    <row r="58" spans="1:8" x14ac:dyDescent="0.2">
      <c r="A58" s="15" t="s">
        <v>9</v>
      </c>
      <c r="B58" s="15" t="s">
        <v>9</v>
      </c>
      <c r="C58" s="11" t="s">
        <v>9</v>
      </c>
      <c r="D58" s="15" t="s">
        <v>9</v>
      </c>
      <c r="E58" s="15" t="s">
        <v>9</v>
      </c>
      <c r="F58" s="12" t="s">
        <v>9</v>
      </c>
      <c r="G58" s="12" t="s">
        <v>9</v>
      </c>
      <c r="H58" s="100"/>
    </row>
    <row r="59" spans="1:8" x14ac:dyDescent="0.2">
      <c r="A59" s="15" t="s">
        <v>9</v>
      </c>
      <c r="B59" s="15" t="s">
        <v>9</v>
      </c>
      <c r="C59" s="3" t="s">
        <v>96</v>
      </c>
      <c r="D59" s="15" t="s">
        <v>9</v>
      </c>
      <c r="E59" s="15" t="s">
        <v>9</v>
      </c>
      <c r="F59" s="15" t="s">
        <v>9</v>
      </c>
      <c r="G59" s="15" t="s">
        <v>9</v>
      </c>
      <c r="H59" s="100"/>
    </row>
    <row r="60" spans="1:8" x14ac:dyDescent="0.2">
      <c r="A60" s="15" t="s">
        <v>9</v>
      </c>
      <c r="B60" s="15" t="s">
        <v>9</v>
      </c>
      <c r="C60" s="3" t="s">
        <v>94</v>
      </c>
      <c r="D60" s="15" t="s">
        <v>9</v>
      </c>
      <c r="E60" s="15" t="s">
        <v>9</v>
      </c>
      <c r="F60" s="13">
        <v>0</v>
      </c>
      <c r="G60" s="14">
        <v>0</v>
      </c>
      <c r="H60" s="100"/>
    </row>
    <row r="61" spans="1:8" x14ac:dyDescent="0.2">
      <c r="A61" s="15" t="s">
        <v>9</v>
      </c>
      <c r="B61" s="15" t="s">
        <v>9</v>
      </c>
      <c r="C61" s="11" t="s">
        <v>9</v>
      </c>
      <c r="D61" s="15" t="s">
        <v>9</v>
      </c>
      <c r="E61" s="15" t="s">
        <v>9</v>
      </c>
      <c r="F61" s="12" t="s">
        <v>9</v>
      </c>
      <c r="G61" s="12" t="s">
        <v>9</v>
      </c>
      <c r="H61" s="100"/>
    </row>
    <row r="62" spans="1:8" x14ac:dyDescent="0.2">
      <c r="A62" s="15" t="s">
        <v>9</v>
      </c>
      <c r="B62" s="15" t="s">
        <v>9</v>
      </c>
      <c r="C62" s="3" t="s">
        <v>100</v>
      </c>
      <c r="D62" s="15" t="s">
        <v>9</v>
      </c>
      <c r="E62" s="15" t="s">
        <v>9</v>
      </c>
      <c r="F62" s="15" t="s">
        <v>9</v>
      </c>
      <c r="G62" s="15" t="s">
        <v>9</v>
      </c>
      <c r="H62" s="100"/>
    </row>
    <row r="63" spans="1:8" x14ac:dyDescent="0.2">
      <c r="A63" s="15" t="s">
        <v>9</v>
      </c>
      <c r="B63" s="15" t="s">
        <v>9</v>
      </c>
      <c r="C63" s="3" t="s">
        <v>94</v>
      </c>
      <c r="D63" s="15" t="s">
        <v>9</v>
      </c>
      <c r="E63" s="15" t="s">
        <v>9</v>
      </c>
      <c r="F63" s="13">
        <v>0</v>
      </c>
      <c r="G63" s="14">
        <v>0</v>
      </c>
      <c r="H63" s="100"/>
    </row>
    <row r="64" spans="1:8" x14ac:dyDescent="0.2">
      <c r="A64" s="15" t="s">
        <v>9</v>
      </c>
      <c r="B64" s="15" t="s">
        <v>9</v>
      </c>
      <c r="C64" s="11" t="s">
        <v>9</v>
      </c>
      <c r="D64" s="15" t="s">
        <v>9</v>
      </c>
      <c r="E64" s="15" t="s">
        <v>9</v>
      </c>
      <c r="F64" s="12" t="s">
        <v>9</v>
      </c>
      <c r="G64" s="12" t="s">
        <v>9</v>
      </c>
      <c r="H64" s="100"/>
    </row>
    <row r="65" spans="1:8" x14ac:dyDescent="0.2">
      <c r="A65" s="15" t="s">
        <v>9</v>
      </c>
      <c r="B65" s="15" t="s">
        <v>9</v>
      </c>
      <c r="C65" s="3" t="s">
        <v>101</v>
      </c>
      <c r="D65" s="15" t="s">
        <v>9</v>
      </c>
      <c r="E65" s="15" t="s">
        <v>9</v>
      </c>
      <c r="F65" s="12" t="s">
        <v>9</v>
      </c>
      <c r="G65" s="12" t="s">
        <v>9</v>
      </c>
      <c r="H65" s="100"/>
    </row>
    <row r="66" spans="1:8" x14ac:dyDescent="0.2">
      <c r="A66" s="15" t="s">
        <v>9</v>
      </c>
      <c r="B66" s="15" t="s">
        <v>9</v>
      </c>
      <c r="C66" s="3" t="s">
        <v>94</v>
      </c>
      <c r="D66" s="15" t="s">
        <v>9</v>
      </c>
      <c r="E66" s="15" t="s">
        <v>9</v>
      </c>
      <c r="F66" s="13">
        <v>0</v>
      </c>
      <c r="G66" s="14">
        <v>0</v>
      </c>
      <c r="H66" s="100"/>
    </row>
    <row r="67" spans="1:8" x14ac:dyDescent="0.2">
      <c r="A67" s="15" t="s">
        <v>9</v>
      </c>
      <c r="B67" s="15" t="s">
        <v>9</v>
      </c>
      <c r="C67" s="11" t="s">
        <v>9</v>
      </c>
      <c r="D67" s="15" t="s">
        <v>9</v>
      </c>
      <c r="E67" s="15" t="s">
        <v>9</v>
      </c>
      <c r="F67" s="12" t="s">
        <v>9</v>
      </c>
      <c r="G67" s="12" t="s">
        <v>9</v>
      </c>
      <c r="H67" s="100"/>
    </row>
    <row r="68" spans="1:8" x14ac:dyDescent="0.2">
      <c r="A68" s="15" t="s">
        <v>9</v>
      </c>
      <c r="B68" s="15" t="s">
        <v>9</v>
      </c>
      <c r="C68" s="3" t="s">
        <v>102</v>
      </c>
      <c r="D68" s="15" t="s">
        <v>9</v>
      </c>
      <c r="E68" s="15" t="s">
        <v>9</v>
      </c>
      <c r="F68" s="12" t="s">
        <v>9</v>
      </c>
      <c r="G68" s="12" t="s">
        <v>9</v>
      </c>
      <c r="H68" s="100"/>
    </row>
    <row r="69" spans="1:8" x14ac:dyDescent="0.2">
      <c r="A69" s="15" t="s">
        <v>9</v>
      </c>
      <c r="B69" s="15" t="s">
        <v>9</v>
      </c>
      <c r="C69" s="3" t="s">
        <v>94</v>
      </c>
      <c r="D69" s="15" t="s">
        <v>9</v>
      </c>
      <c r="E69" s="15" t="s">
        <v>9</v>
      </c>
      <c r="F69" s="13">
        <v>0</v>
      </c>
      <c r="G69" s="14">
        <v>0</v>
      </c>
      <c r="H69" s="100"/>
    </row>
    <row r="70" spans="1:8" x14ac:dyDescent="0.2">
      <c r="A70" s="15" t="s">
        <v>9</v>
      </c>
      <c r="B70" s="15" t="s">
        <v>9</v>
      </c>
      <c r="C70" s="11" t="s">
        <v>9</v>
      </c>
      <c r="D70" s="15" t="s">
        <v>9</v>
      </c>
      <c r="E70" s="15" t="s">
        <v>9</v>
      </c>
      <c r="F70" s="12" t="s">
        <v>9</v>
      </c>
      <c r="G70" s="12" t="s">
        <v>9</v>
      </c>
      <c r="H70" s="100"/>
    </row>
    <row r="71" spans="1:8" x14ac:dyDescent="0.2">
      <c r="A71" s="15" t="s">
        <v>9</v>
      </c>
      <c r="B71" s="15" t="s">
        <v>9</v>
      </c>
      <c r="C71" s="3" t="s">
        <v>104</v>
      </c>
      <c r="D71" s="15" t="s">
        <v>9</v>
      </c>
      <c r="E71" s="15" t="s">
        <v>9</v>
      </c>
      <c r="F71" s="9">
        <v>97789.950409500001</v>
      </c>
      <c r="G71" s="10">
        <v>0.98313247599999998</v>
      </c>
      <c r="H71" s="100"/>
    </row>
    <row r="72" spans="1:8" x14ac:dyDescent="0.2">
      <c r="A72" s="15" t="s">
        <v>9</v>
      </c>
      <c r="B72" s="15" t="s">
        <v>9</v>
      </c>
      <c r="C72" s="11" t="s">
        <v>9</v>
      </c>
      <c r="D72" s="15" t="s">
        <v>9</v>
      </c>
      <c r="E72" s="15" t="s">
        <v>9</v>
      </c>
      <c r="F72" s="12" t="s">
        <v>9</v>
      </c>
      <c r="G72" s="12" t="s">
        <v>9</v>
      </c>
      <c r="H72" s="100"/>
    </row>
    <row r="73" spans="1:8" x14ac:dyDescent="0.2">
      <c r="A73" s="15" t="s">
        <v>9</v>
      </c>
      <c r="B73" s="15" t="s">
        <v>9</v>
      </c>
      <c r="C73" s="3" t="s">
        <v>105</v>
      </c>
      <c r="D73" s="15" t="s">
        <v>9</v>
      </c>
      <c r="E73" s="15" t="s">
        <v>9</v>
      </c>
      <c r="F73" s="12" t="s">
        <v>9</v>
      </c>
      <c r="G73" s="12" t="s">
        <v>9</v>
      </c>
      <c r="H73" s="100"/>
    </row>
    <row r="74" spans="1:8" ht="25.5" x14ac:dyDescent="0.2">
      <c r="A74" s="15" t="s">
        <v>9</v>
      </c>
      <c r="B74" s="15" t="s">
        <v>9</v>
      </c>
      <c r="C74" s="3" t="s">
        <v>11</v>
      </c>
      <c r="D74" s="15" t="s">
        <v>9</v>
      </c>
      <c r="E74" s="15" t="s">
        <v>9</v>
      </c>
      <c r="F74" s="12" t="s">
        <v>9</v>
      </c>
      <c r="G74" s="12" t="s">
        <v>9</v>
      </c>
      <c r="H74" s="100"/>
    </row>
    <row r="75" spans="1:8" x14ac:dyDescent="0.2">
      <c r="A75" s="15" t="s">
        <v>9</v>
      </c>
      <c r="B75" s="15" t="s">
        <v>9</v>
      </c>
      <c r="C75" s="3" t="s">
        <v>94</v>
      </c>
      <c r="D75" s="15" t="s">
        <v>9</v>
      </c>
      <c r="E75" s="15" t="s">
        <v>9</v>
      </c>
      <c r="F75" s="13">
        <v>0</v>
      </c>
      <c r="G75" s="14">
        <v>0</v>
      </c>
      <c r="H75" s="100"/>
    </row>
    <row r="76" spans="1:8" x14ac:dyDescent="0.2">
      <c r="A76" s="15" t="s">
        <v>9</v>
      </c>
      <c r="B76" s="15" t="s">
        <v>9</v>
      </c>
      <c r="C76" s="11" t="s">
        <v>9</v>
      </c>
      <c r="D76" s="15" t="s">
        <v>9</v>
      </c>
      <c r="E76" s="15" t="s">
        <v>9</v>
      </c>
      <c r="F76" s="12" t="s">
        <v>9</v>
      </c>
      <c r="G76" s="12" t="s">
        <v>9</v>
      </c>
      <c r="H76" s="100"/>
    </row>
    <row r="77" spans="1:8" x14ac:dyDescent="0.2">
      <c r="A77" s="15" t="s">
        <v>9</v>
      </c>
      <c r="B77" s="15" t="s">
        <v>9</v>
      </c>
      <c r="C77" s="3" t="s">
        <v>106</v>
      </c>
      <c r="D77" s="15" t="s">
        <v>9</v>
      </c>
      <c r="E77" s="15" t="s">
        <v>9</v>
      </c>
      <c r="F77" s="15" t="s">
        <v>9</v>
      </c>
      <c r="G77" s="15" t="s">
        <v>9</v>
      </c>
      <c r="H77" s="100"/>
    </row>
    <row r="78" spans="1:8" x14ac:dyDescent="0.2">
      <c r="A78" s="15" t="s">
        <v>9</v>
      </c>
      <c r="B78" s="15" t="s">
        <v>9</v>
      </c>
      <c r="C78" s="3" t="s">
        <v>94</v>
      </c>
      <c r="D78" s="15" t="s">
        <v>9</v>
      </c>
      <c r="E78" s="15" t="s">
        <v>9</v>
      </c>
      <c r="F78" s="13">
        <v>0</v>
      </c>
      <c r="G78" s="14">
        <v>0</v>
      </c>
      <c r="H78" s="100"/>
    </row>
    <row r="79" spans="1:8" x14ac:dyDescent="0.2">
      <c r="A79" s="15" t="s">
        <v>9</v>
      </c>
      <c r="B79" s="15" t="s">
        <v>9</v>
      </c>
      <c r="C79" s="11" t="s">
        <v>9</v>
      </c>
      <c r="D79" s="15" t="s">
        <v>9</v>
      </c>
      <c r="E79" s="15" t="s">
        <v>9</v>
      </c>
      <c r="F79" s="12" t="s">
        <v>9</v>
      </c>
      <c r="G79" s="12" t="s">
        <v>9</v>
      </c>
      <c r="H79" s="100"/>
    </row>
    <row r="80" spans="1:8" x14ac:dyDescent="0.2">
      <c r="A80" s="15" t="s">
        <v>9</v>
      </c>
      <c r="B80" s="15" t="s">
        <v>9</v>
      </c>
      <c r="C80" s="3" t="s">
        <v>107</v>
      </c>
      <c r="D80" s="15" t="s">
        <v>9</v>
      </c>
      <c r="E80" s="15" t="s">
        <v>9</v>
      </c>
      <c r="F80" s="15" t="s">
        <v>9</v>
      </c>
      <c r="G80" s="15" t="s">
        <v>9</v>
      </c>
      <c r="H80" s="100"/>
    </row>
    <row r="81" spans="1:8" x14ac:dyDescent="0.2">
      <c r="A81" s="15" t="s">
        <v>9</v>
      </c>
      <c r="B81" s="15" t="s">
        <v>9</v>
      </c>
      <c r="C81" s="3" t="s">
        <v>94</v>
      </c>
      <c r="D81" s="15" t="s">
        <v>9</v>
      </c>
      <c r="E81" s="15" t="s">
        <v>9</v>
      </c>
      <c r="F81" s="13">
        <v>0</v>
      </c>
      <c r="G81" s="14">
        <v>0</v>
      </c>
      <c r="H81" s="100"/>
    </row>
    <row r="82" spans="1:8" x14ac:dyDescent="0.2">
      <c r="A82" s="15" t="s">
        <v>9</v>
      </c>
      <c r="B82" s="15" t="s">
        <v>9</v>
      </c>
      <c r="C82" s="11" t="s">
        <v>9</v>
      </c>
      <c r="D82" s="15" t="s">
        <v>9</v>
      </c>
      <c r="E82" s="15" t="s">
        <v>9</v>
      </c>
      <c r="F82" s="12" t="s">
        <v>9</v>
      </c>
      <c r="G82" s="12" t="s">
        <v>9</v>
      </c>
      <c r="H82" s="100"/>
    </row>
    <row r="83" spans="1:8" x14ac:dyDescent="0.2">
      <c r="A83" s="15" t="s">
        <v>9</v>
      </c>
      <c r="B83" s="15" t="s">
        <v>9</v>
      </c>
      <c r="C83" s="3" t="s">
        <v>108</v>
      </c>
      <c r="D83" s="15" t="s">
        <v>9</v>
      </c>
      <c r="E83" s="15" t="s">
        <v>9</v>
      </c>
      <c r="F83" s="12" t="s">
        <v>9</v>
      </c>
      <c r="G83" s="12" t="s">
        <v>9</v>
      </c>
      <c r="H83" s="100"/>
    </row>
    <row r="84" spans="1:8" x14ac:dyDescent="0.2">
      <c r="A84" s="15" t="s">
        <v>9</v>
      </c>
      <c r="B84" s="15" t="s">
        <v>9</v>
      </c>
      <c r="C84" s="3" t="s">
        <v>94</v>
      </c>
      <c r="D84" s="15" t="s">
        <v>9</v>
      </c>
      <c r="E84" s="15" t="s">
        <v>9</v>
      </c>
      <c r="F84" s="13">
        <v>0</v>
      </c>
      <c r="G84" s="14">
        <v>0</v>
      </c>
      <c r="H84" s="100"/>
    </row>
    <row r="85" spans="1:8" x14ac:dyDescent="0.2">
      <c r="A85" s="15" t="s">
        <v>9</v>
      </c>
      <c r="B85" s="15" t="s">
        <v>9</v>
      </c>
      <c r="C85" s="11" t="s">
        <v>9</v>
      </c>
      <c r="D85" s="15" t="s">
        <v>9</v>
      </c>
      <c r="E85" s="15" t="s">
        <v>9</v>
      </c>
      <c r="F85" s="12" t="s">
        <v>9</v>
      </c>
      <c r="G85" s="12" t="s">
        <v>9</v>
      </c>
      <c r="H85" s="100"/>
    </row>
    <row r="86" spans="1:8" x14ac:dyDescent="0.2">
      <c r="A86" s="15" t="s">
        <v>9</v>
      </c>
      <c r="B86" s="15" t="s">
        <v>9</v>
      </c>
      <c r="C86" s="3" t="s">
        <v>109</v>
      </c>
      <c r="D86" s="15" t="s">
        <v>9</v>
      </c>
      <c r="E86" s="15" t="s">
        <v>9</v>
      </c>
      <c r="F86" s="9">
        <v>0</v>
      </c>
      <c r="G86" s="10">
        <v>0</v>
      </c>
      <c r="H86" s="100"/>
    </row>
    <row r="87" spans="1:8" x14ac:dyDescent="0.2">
      <c r="A87" s="15" t="s">
        <v>9</v>
      </c>
      <c r="B87" s="15" t="s">
        <v>9</v>
      </c>
      <c r="C87" s="11" t="s">
        <v>9</v>
      </c>
      <c r="D87" s="15" t="s">
        <v>9</v>
      </c>
      <c r="E87" s="15" t="s">
        <v>9</v>
      </c>
      <c r="F87" s="12" t="s">
        <v>9</v>
      </c>
      <c r="G87" s="12" t="s">
        <v>9</v>
      </c>
      <c r="H87" s="100"/>
    </row>
    <row r="88" spans="1:8" x14ac:dyDescent="0.2">
      <c r="A88" s="15" t="s">
        <v>9</v>
      </c>
      <c r="B88" s="15" t="s">
        <v>9</v>
      </c>
      <c r="C88" s="3" t="s">
        <v>110</v>
      </c>
      <c r="D88" s="15" t="s">
        <v>9</v>
      </c>
      <c r="E88" s="15" t="s">
        <v>9</v>
      </c>
      <c r="F88" s="12" t="s">
        <v>9</v>
      </c>
      <c r="G88" s="12" t="s">
        <v>9</v>
      </c>
      <c r="H88" s="100"/>
    </row>
    <row r="89" spans="1:8" x14ac:dyDescent="0.2">
      <c r="A89" s="15" t="s">
        <v>9</v>
      </c>
      <c r="B89" s="15" t="s">
        <v>9</v>
      </c>
      <c r="C89" s="3" t="s">
        <v>111</v>
      </c>
      <c r="D89" s="15" t="s">
        <v>9</v>
      </c>
      <c r="E89" s="15" t="s">
        <v>9</v>
      </c>
      <c r="F89" s="12" t="s">
        <v>9</v>
      </c>
      <c r="G89" s="12" t="s">
        <v>9</v>
      </c>
      <c r="H89" s="100"/>
    </row>
    <row r="90" spans="1:8" x14ac:dyDescent="0.2">
      <c r="A90" s="15" t="s">
        <v>9</v>
      </c>
      <c r="B90" s="15" t="s">
        <v>9</v>
      </c>
      <c r="C90" s="3" t="s">
        <v>94</v>
      </c>
      <c r="D90" s="15" t="s">
        <v>9</v>
      </c>
      <c r="E90" s="15" t="s">
        <v>9</v>
      </c>
      <c r="F90" s="13">
        <v>0</v>
      </c>
      <c r="G90" s="14">
        <v>0</v>
      </c>
      <c r="H90" s="100"/>
    </row>
    <row r="91" spans="1:8" x14ac:dyDescent="0.2">
      <c r="A91" s="15" t="s">
        <v>9</v>
      </c>
      <c r="B91" s="15" t="s">
        <v>9</v>
      </c>
      <c r="C91" s="11" t="s">
        <v>9</v>
      </c>
      <c r="D91" s="15" t="s">
        <v>9</v>
      </c>
      <c r="E91" s="15" t="s">
        <v>9</v>
      </c>
      <c r="F91" s="12" t="s">
        <v>9</v>
      </c>
      <c r="G91" s="12" t="s">
        <v>9</v>
      </c>
      <c r="H91" s="100"/>
    </row>
    <row r="92" spans="1:8" x14ac:dyDescent="0.2">
      <c r="A92" s="15" t="s">
        <v>9</v>
      </c>
      <c r="B92" s="15" t="s">
        <v>9</v>
      </c>
      <c r="C92" s="3" t="s">
        <v>112</v>
      </c>
      <c r="D92" s="15" t="s">
        <v>9</v>
      </c>
      <c r="E92" s="15" t="s">
        <v>9</v>
      </c>
      <c r="F92" s="12" t="s">
        <v>9</v>
      </c>
      <c r="G92" s="12" t="s">
        <v>9</v>
      </c>
      <c r="H92" s="100"/>
    </row>
    <row r="93" spans="1:8" x14ac:dyDescent="0.2">
      <c r="A93" s="15" t="s">
        <v>9</v>
      </c>
      <c r="B93" s="15" t="s">
        <v>9</v>
      </c>
      <c r="C93" s="3" t="s">
        <v>94</v>
      </c>
      <c r="D93" s="15" t="s">
        <v>9</v>
      </c>
      <c r="E93" s="15" t="s">
        <v>9</v>
      </c>
      <c r="F93" s="13">
        <v>0</v>
      </c>
      <c r="G93" s="14">
        <v>0</v>
      </c>
      <c r="H93" s="100"/>
    </row>
    <row r="94" spans="1:8" x14ac:dyDescent="0.2">
      <c r="A94" s="15" t="s">
        <v>9</v>
      </c>
      <c r="B94" s="15" t="s">
        <v>9</v>
      </c>
      <c r="C94" s="11" t="s">
        <v>9</v>
      </c>
      <c r="D94" s="15" t="s">
        <v>9</v>
      </c>
      <c r="E94" s="15" t="s">
        <v>9</v>
      </c>
      <c r="F94" s="12" t="s">
        <v>9</v>
      </c>
      <c r="G94" s="12" t="s">
        <v>9</v>
      </c>
      <c r="H94" s="100"/>
    </row>
    <row r="95" spans="1:8" x14ac:dyDescent="0.2">
      <c r="A95" s="15" t="s">
        <v>9</v>
      </c>
      <c r="B95" s="15" t="s">
        <v>9</v>
      </c>
      <c r="C95" s="3" t="s">
        <v>113</v>
      </c>
      <c r="D95" s="15" t="s">
        <v>9</v>
      </c>
      <c r="E95" s="15" t="s">
        <v>9</v>
      </c>
      <c r="F95" s="12" t="s">
        <v>9</v>
      </c>
      <c r="G95" s="12" t="s">
        <v>9</v>
      </c>
      <c r="H95" s="100"/>
    </row>
    <row r="96" spans="1:8" x14ac:dyDescent="0.2">
      <c r="A96" s="15" t="s">
        <v>9</v>
      </c>
      <c r="B96" s="15" t="s">
        <v>9</v>
      </c>
      <c r="C96" s="3" t="s">
        <v>94</v>
      </c>
      <c r="D96" s="15" t="s">
        <v>9</v>
      </c>
      <c r="E96" s="15" t="s">
        <v>9</v>
      </c>
      <c r="F96" s="13">
        <v>0</v>
      </c>
      <c r="G96" s="14">
        <v>0</v>
      </c>
      <c r="H96" s="100"/>
    </row>
    <row r="97" spans="1:8" x14ac:dyDescent="0.2">
      <c r="A97" s="15" t="s">
        <v>9</v>
      </c>
      <c r="B97" s="15" t="s">
        <v>9</v>
      </c>
      <c r="C97" s="11" t="s">
        <v>9</v>
      </c>
      <c r="D97" s="15" t="s">
        <v>9</v>
      </c>
      <c r="E97" s="15" t="s">
        <v>9</v>
      </c>
      <c r="F97" s="12" t="s">
        <v>9</v>
      </c>
      <c r="G97" s="12" t="s">
        <v>9</v>
      </c>
      <c r="H97" s="100"/>
    </row>
    <row r="98" spans="1:8" x14ac:dyDescent="0.2">
      <c r="A98" s="15" t="s">
        <v>9</v>
      </c>
      <c r="B98" s="15" t="s">
        <v>9</v>
      </c>
      <c r="C98" s="3" t="s">
        <v>114</v>
      </c>
      <c r="D98" s="15" t="s">
        <v>9</v>
      </c>
      <c r="E98" s="15" t="s">
        <v>9</v>
      </c>
      <c r="F98" s="12" t="s">
        <v>9</v>
      </c>
      <c r="G98" s="12" t="s">
        <v>9</v>
      </c>
      <c r="H98" s="100"/>
    </row>
    <row r="99" spans="1:8" x14ac:dyDescent="0.2">
      <c r="A99" s="4">
        <v>1</v>
      </c>
      <c r="B99" s="5"/>
      <c r="C99" s="5" t="s">
        <v>115</v>
      </c>
      <c r="D99" s="5"/>
      <c r="E99" s="15" t="s">
        <v>9</v>
      </c>
      <c r="F99" s="7">
        <v>465.37712320000003</v>
      </c>
      <c r="G99" s="8">
        <v>4.6786750000000002E-3</v>
      </c>
      <c r="H99" s="99">
        <v>3.2516689338443991</v>
      </c>
    </row>
    <row r="100" spans="1:8" x14ac:dyDescent="0.2">
      <c r="A100" s="4">
        <v>2</v>
      </c>
      <c r="B100" s="5"/>
      <c r="C100" s="5" t="s">
        <v>116</v>
      </c>
      <c r="D100" s="5"/>
      <c r="E100" s="15" t="s">
        <v>9</v>
      </c>
      <c r="F100" s="7">
        <v>63.760928999999997</v>
      </c>
      <c r="G100" s="8">
        <v>6.4102099999999997E-4</v>
      </c>
      <c r="H100" s="100">
        <v>3.350000000000001</v>
      </c>
    </row>
    <row r="101" spans="1:8" x14ac:dyDescent="0.2">
      <c r="A101" s="15" t="s">
        <v>9</v>
      </c>
      <c r="B101" s="15" t="s">
        <v>9</v>
      </c>
      <c r="C101" s="3" t="s">
        <v>94</v>
      </c>
      <c r="D101" s="15" t="s">
        <v>9</v>
      </c>
      <c r="E101" s="15" t="s">
        <v>9</v>
      </c>
      <c r="F101" s="9">
        <v>529.13805219999995</v>
      </c>
      <c r="G101" s="10">
        <v>5.3196959999999996E-3</v>
      </c>
      <c r="H101" s="100"/>
    </row>
    <row r="102" spans="1:8" x14ac:dyDescent="0.2">
      <c r="A102" s="15" t="s">
        <v>9</v>
      </c>
      <c r="B102" s="15" t="s">
        <v>9</v>
      </c>
      <c r="C102" s="11" t="s">
        <v>9</v>
      </c>
      <c r="D102" s="15" t="s">
        <v>9</v>
      </c>
      <c r="E102" s="15" t="s">
        <v>9</v>
      </c>
      <c r="F102" s="12" t="s">
        <v>9</v>
      </c>
      <c r="G102" s="12" t="s">
        <v>9</v>
      </c>
      <c r="H102" s="100"/>
    </row>
    <row r="103" spans="1:8" x14ac:dyDescent="0.2">
      <c r="A103" s="15" t="s">
        <v>9</v>
      </c>
      <c r="B103" s="15" t="s">
        <v>9</v>
      </c>
      <c r="C103" s="3" t="s">
        <v>117</v>
      </c>
      <c r="D103" s="15" t="s">
        <v>9</v>
      </c>
      <c r="E103" s="15" t="s">
        <v>9</v>
      </c>
      <c r="F103" s="9">
        <v>529.13805219999995</v>
      </c>
      <c r="G103" s="10">
        <v>5.3196959999999996E-3</v>
      </c>
      <c r="H103" s="100"/>
    </row>
    <row r="104" spans="1:8" x14ac:dyDescent="0.2">
      <c r="A104" s="15" t="s">
        <v>9</v>
      </c>
      <c r="B104" s="15" t="s">
        <v>9</v>
      </c>
      <c r="C104" s="12" t="s">
        <v>9</v>
      </c>
      <c r="D104" s="15" t="s">
        <v>9</v>
      </c>
      <c r="E104" s="15" t="s">
        <v>9</v>
      </c>
      <c r="F104" s="15" t="s">
        <v>9</v>
      </c>
      <c r="G104" s="15" t="s">
        <v>9</v>
      </c>
      <c r="H104" s="100"/>
    </row>
    <row r="105" spans="1:8" x14ac:dyDescent="0.2">
      <c r="A105" s="15" t="s">
        <v>9</v>
      </c>
      <c r="B105" s="15" t="s">
        <v>9</v>
      </c>
      <c r="C105" s="3" t="s">
        <v>118</v>
      </c>
      <c r="D105" s="15" t="s">
        <v>9</v>
      </c>
      <c r="E105" s="15" t="s">
        <v>9</v>
      </c>
      <c r="F105" s="15" t="s">
        <v>9</v>
      </c>
      <c r="G105" s="15" t="s">
        <v>9</v>
      </c>
      <c r="H105" s="100"/>
    </row>
    <row r="106" spans="1:8" x14ac:dyDescent="0.2">
      <c r="A106" s="15" t="s">
        <v>9</v>
      </c>
      <c r="B106" s="15" t="s">
        <v>9</v>
      </c>
      <c r="C106" s="3" t="s">
        <v>119</v>
      </c>
      <c r="D106" s="15" t="s">
        <v>9</v>
      </c>
      <c r="E106" s="15" t="s">
        <v>9</v>
      </c>
      <c r="F106" s="15" t="s">
        <v>9</v>
      </c>
      <c r="G106" s="15" t="s">
        <v>9</v>
      </c>
      <c r="H106" s="100"/>
    </row>
    <row r="107" spans="1:8" x14ac:dyDescent="0.2">
      <c r="A107" s="15" t="s">
        <v>9</v>
      </c>
      <c r="B107" s="15" t="s">
        <v>9</v>
      </c>
      <c r="C107" s="3" t="s">
        <v>94</v>
      </c>
      <c r="D107" s="15" t="s">
        <v>9</v>
      </c>
      <c r="E107" s="15" t="s">
        <v>9</v>
      </c>
      <c r="F107" s="13">
        <v>0</v>
      </c>
      <c r="G107" s="14">
        <v>0</v>
      </c>
      <c r="H107" s="100"/>
    </row>
    <row r="108" spans="1:8" x14ac:dyDescent="0.2">
      <c r="A108" s="15" t="s">
        <v>9</v>
      </c>
      <c r="B108" s="15" t="s">
        <v>9</v>
      </c>
      <c r="C108" s="11" t="s">
        <v>9</v>
      </c>
      <c r="D108" s="15" t="s">
        <v>9</v>
      </c>
      <c r="E108" s="15" t="s">
        <v>9</v>
      </c>
      <c r="F108" s="12" t="s">
        <v>9</v>
      </c>
      <c r="G108" s="12" t="s">
        <v>9</v>
      </c>
      <c r="H108" s="100"/>
    </row>
    <row r="109" spans="1:8" x14ac:dyDescent="0.2">
      <c r="A109" s="15" t="s">
        <v>9</v>
      </c>
      <c r="B109" s="15" t="s">
        <v>9</v>
      </c>
      <c r="C109" s="3" t="s">
        <v>120</v>
      </c>
      <c r="D109" s="15" t="s">
        <v>9</v>
      </c>
      <c r="E109" s="15" t="s">
        <v>9</v>
      </c>
      <c r="F109" s="15" t="s">
        <v>9</v>
      </c>
      <c r="G109" s="15" t="s">
        <v>9</v>
      </c>
      <c r="H109" s="100"/>
    </row>
    <row r="110" spans="1:8" x14ac:dyDescent="0.2">
      <c r="A110" s="15" t="s">
        <v>9</v>
      </c>
      <c r="B110" s="15" t="s">
        <v>9</v>
      </c>
      <c r="C110" s="3" t="s">
        <v>121</v>
      </c>
      <c r="D110" s="15" t="s">
        <v>9</v>
      </c>
      <c r="E110" s="15" t="s">
        <v>9</v>
      </c>
      <c r="F110" s="15" t="s">
        <v>9</v>
      </c>
      <c r="G110" s="15" t="s">
        <v>9</v>
      </c>
      <c r="H110" s="100"/>
    </row>
    <row r="111" spans="1:8" x14ac:dyDescent="0.2">
      <c r="A111" s="15" t="s">
        <v>9</v>
      </c>
      <c r="B111" s="15" t="s">
        <v>9</v>
      </c>
      <c r="C111" s="3" t="s">
        <v>94</v>
      </c>
      <c r="D111" s="15" t="s">
        <v>9</v>
      </c>
      <c r="E111" s="15" t="s">
        <v>9</v>
      </c>
      <c r="F111" s="13">
        <v>0</v>
      </c>
      <c r="G111" s="14">
        <v>0</v>
      </c>
      <c r="H111" s="100"/>
    </row>
    <row r="112" spans="1:8" x14ac:dyDescent="0.2">
      <c r="A112" s="15" t="s">
        <v>9</v>
      </c>
      <c r="B112" s="15" t="s">
        <v>9</v>
      </c>
      <c r="C112" s="11" t="s">
        <v>9</v>
      </c>
      <c r="D112" s="15" t="s">
        <v>9</v>
      </c>
      <c r="E112" s="15" t="s">
        <v>9</v>
      </c>
      <c r="F112" s="12" t="s">
        <v>9</v>
      </c>
      <c r="G112" s="12" t="s">
        <v>9</v>
      </c>
      <c r="H112" s="100"/>
    </row>
    <row r="113" spans="1:8" x14ac:dyDescent="0.2">
      <c r="A113" s="15" t="s">
        <v>9</v>
      </c>
      <c r="B113" s="15" t="s">
        <v>9</v>
      </c>
      <c r="C113" s="11" t="s">
        <v>9</v>
      </c>
      <c r="D113" s="15" t="s">
        <v>9</v>
      </c>
      <c r="E113" s="15" t="s">
        <v>9</v>
      </c>
      <c r="F113" s="12" t="s">
        <v>9</v>
      </c>
      <c r="G113" s="12" t="s">
        <v>9</v>
      </c>
      <c r="H113" s="100"/>
    </row>
    <row r="114" spans="1:8" ht="25.5" x14ac:dyDescent="0.2">
      <c r="A114" s="15" t="s">
        <v>9</v>
      </c>
      <c r="B114" s="15" t="s">
        <v>9</v>
      </c>
      <c r="C114" s="3" t="s">
        <v>122</v>
      </c>
      <c r="D114" s="15" t="s">
        <v>9</v>
      </c>
      <c r="E114" s="15" t="s">
        <v>9</v>
      </c>
      <c r="F114" s="12" t="s">
        <v>9</v>
      </c>
      <c r="G114" s="12" t="s">
        <v>9</v>
      </c>
      <c r="H114" s="100"/>
    </row>
    <row r="115" spans="1:8" x14ac:dyDescent="0.2">
      <c r="A115" s="15" t="s">
        <v>9</v>
      </c>
      <c r="B115" s="15" t="s">
        <v>9</v>
      </c>
      <c r="C115" s="3" t="s">
        <v>94</v>
      </c>
      <c r="D115" s="15" t="s">
        <v>9</v>
      </c>
      <c r="E115" s="15" t="s">
        <v>9</v>
      </c>
      <c r="F115" s="13">
        <v>0</v>
      </c>
      <c r="G115" s="14">
        <v>0</v>
      </c>
      <c r="H115" s="100"/>
    </row>
    <row r="116" spans="1:8" x14ac:dyDescent="0.2">
      <c r="A116" s="15" t="s">
        <v>9</v>
      </c>
      <c r="B116" s="15" t="s">
        <v>9</v>
      </c>
      <c r="C116" s="11" t="s">
        <v>9</v>
      </c>
      <c r="D116" s="15" t="s">
        <v>9</v>
      </c>
      <c r="E116" s="15" t="s">
        <v>9</v>
      </c>
      <c r="F116" s="12" t="s">
        <v>9</v>
      </c>
      <c r="G116" s="12" t="s">
        <v>9</v>
      </c>
      <c r="H116" s="100"/>
    </row>
    <row r="117" spans="1:8" x14ac:dyDescent="0.2">
      <c r="A117" s="15" t="s">
        <v>9</v>
      </c>
      <c r="B117" s="5" t="s">
        <v>9</v>
      </c>
      <c r="C117" s="5" t="s">
        <v>9</v>
      </c>
      <c r="D117" s="3" t="s">
        <v>9</v>
      </c>
      <c r="E117" s="15" t="s">
        <v>9</v>
      </c>
      <c r="F117" s="5" t="s">
        <v>9</v>
      </c>
      <c r="G117" s="15" t="s">
        <v>9</v>
      </c>
      <c r="H117" s="100"/>
    </row>
    <row r="118" spans="1:8" x14ac:dyDescent="0.2">
      <c r="A118" s="15" t="s">
        <v>9</v>
      </c>
      <c r="B118" s="5" t="s">
        <v>9</v>
      </c>
      <c r="C118" s="5" t="s">
        <v>124</v>
      </c>
      <c r="D118" s="5" t="s">
        <v>9</v>
      </c>
      <c r="E118" s="15" t="s">
        <v>9</v>
      </c>
      <c r="F118" s="7">
        <v>1148.6361069899999</v>
      </c>
      <c r="G118" s="8">
        <v>1.1547827E-2</v>
      </c>
      <c r="H118" s="100"/>
    </row>
    <row r="119" spans="1:8" x14ac:dyDescent="0.2">
      <c r="A119" s="11" t="s">
        <v>9</v>
      </c>
      <c r="B119" s="11" t="s">
        <v>9</v>
      </c>
      <c r="C119" s="3" t="s">
        <v>125</v>
      </c>
      <c r="D119" s="16" t="s">
        <v>9</v>
      </c>
      <c r="E119" s="16" t="s">
        <v>9</v>
      </c>
      <c r="F119" s="9">
        <v>99467.724568689999</v>
      </c>
      <c r="G119" s="10">
        <v>1</v>
      </c>
      <c r="H119" s="100"/>
    </row>
    <row r="120" spans="1:8" x14ac:dyDescent="0.2">
      <c r="A120" s="17" t="s">
        <v>9</v>
      </c>
      <c r="B120" s="17" t="s">
        <v>9</v>
      </c>
      <c r="C120" s="17" t="s">
        <v>9</v>
      </c>
      <c r="D120" s="18" t="s">
        <v>9</v>
      </c>
      <c r="E120" s="18" t="s">
        <v>9</v>
      </c>
      <c r="F120" s="18" t="s">
        <v>9</v>
      </c>
      <c r="G120" s="18" t="s">
        <v>9</v>
      </c>
      <c r="H120" s="142"/>
    </row>
    <row r="121" spans="1:8" x14ac:dyDescent="0.2">
      <c r="A121" s="19" t="s">
        <v>9</v>
      </c>
      <c r="B121" s="254" t="s">
        <v>9</v>
      </c>
      <c r="C121" s="254"/>
      <c r="D121" s="254"/>
      <c r="E121" s="254"/>
      <c r="F121" s="254"/>
      <c r="G121" s="20" t="s">
        <v>9</v>
      </c>
      <c r="H121" s="142"/>
    </row>
    <row r="122" spans="1:8" x14ac:dyDescent="0.2">
      <c r="A122" s="19" t="s">
        <v>9</v>
      </c>
      <c r="B122" s="254" t="s">
        <v>9</v>
      </c>
      <c r="C122" s="254"/>
      <c r="D122" s="254"/>
      <c r="E122" s="254"/>
      <c r="F122" s="254"/>
      <c r="G122" s="20" t="s">
        <v>9</v>
      </c>
      <c r="H122" s="142"/>
    </row>
    <row r="123" spans="1:8" x14ac:dyDescent="0.2">
      <c r="A123" s="19" t="s">
        <v>9</v>
      </c>
      <c r="B123" s="19" t="s">
        <v>9</v>
      </c>
      <c r="C123" s="19" t="s">
        <v>9</v>
      </c>
      <c r="D123" s="20" t="s">
        <v>9</v>
      </c>
      <c r="E123" s="20" t="s">
        <v>9</v>
      </c>
      <c r="F123" s="20" t="s">
        <v>9</v>
      </c>
      <c r="G123" s="20" t="s">
        <v>9</v>
      </c>
      <c r="H123" s="142"/>
    </row>
    <row r="124" spans="1:8" x14ac:dyDescent="0.2">
      <c r="A124" s="19" t="s">
        <v>9</v>
      </c>
      <c r="B124" s="247" t="s">
        <v>127</v>
      </c>
      <c r="C124" s="248"/>
      <c r="D124" s="182" t="s">
        <v>9</v>
      </c>
      <c r="E124" s="178" t="s">
        <v>9</v>
      </c>
      <c r="F124" s="179" t="s">
        <v>9</v>
      </c>
      <c r="G124" s="20" t="s">
        <v>9</v>
      </c>
      <c r="H124" s="142"/>
    </row>
    <row r="125" spans="1:8" ht="28.5" customHeight="1" x14ac:dyDescent="0.2">
      <c r="A125" s="19" t="s">
        <v>9</v>
      </c>
      <c r="B125" s="242" t="s">
        <v>128</v>
      </c>
      <c r="C125" s="243"/>
      <c r="D125" s="3" t="s">
        <v>129</v>
      </c>
      <c r="E125" s="21" t="s">
        <v>9</v>
      </c>
      <c r="F125" s="20" t="s">
        <v>9</v>
      </c>
      <c r="G125" s="20" t="s">
        <v>9</v>
      </c>
      <c r="H125" s="142"/>
    </row>
    <row r="126" spans="1:8" x14ac:dyDescent="0.2">
      <c r="A126" s="19" t="s">
        <v>9</v>
      </c>
      <c r="B126" s="240" t="s">
        <v>130</v>
      </c>
      <c r="C126" s="241"/>
      <c r="D126" s="177" t="s">
        <v>129</v>
      </c>
      <c r="E126" s="178" t="s">
        <v>9</v>
      </c>
      <c r="F126" s="179" t="s">
        <v>9</v>
      </c>
      <c r="G126" s="20" t="s">
        <v>9</v>
      </c>
      <c r="H126" s="142"/>
    </row>
    <row r="127" spans="1:8" x14ac:dyDescent="0.2">
      <c r="A127" s="19" t="s">
        <v>9</v>
      </c>
      <c r="B127" s="240" t="s">
        <v>131</v>
      </c>
      <c r="C127" s="241"/>
      <c r="D127" s="182" t="s">
        <v>9</v>
      </c>
      <c r="E127" s="178" t="s">
        <v>9</v>
      </c>
      <c r="F127" s="179" t="s">
        <v>9</v>
      </c>
      <c r="G127" s="20" t="s">
        <v>9</v>
      </c>
      <c r="H127" s="142"/>
    </row>
    <row r="128" spans="1:8" ht="25.5" x14ac:dyDescent="0.2">
      <c r="A128" s="25" t="s">
        <v>9</v>
      </c>
      <c r="B128" s="23" t="s">
        <v>9</v>
      </c>
      <c r="C128" s="23" t="s">
        <v>132</v>
      </c>
      <c r="D128" s="23" t="s">
        <v>133</v>
      </c>
      <c r="E128" s="22" t="s">
        <v>9</v>
      </c>
      <c r="F128" s="22" t="s">
        <v>9</v>
      </c>
      <c r="G128" s="25" t="s">
        <v>9</v>
      </c>
      <c r="H128" s="142"/>
    </row>
    <row r="129" spans="1:8" x14ac:dyDescent="0.2">
      <c r="A129" s="25" t="s">
        <v>9</v>
      </c>
      <c r="B129" s="23" t="s">
        <v>134</v>
      </c>
      <c r="C129" s="23" t="s">
        <v>135</v>
      </c>
      <c r="D129" s="23" t="s">
        <v>136</v>
      </c>
      <c r="E129" s="22" t="s">
        <v>9</v>
      </c>
      <c r="F129" s="22" t="s">
        <v>9</v>
      </c>
      <c r="G129" s="25" t="s">
        <v>9</v>
      </c>
      <c r="H129" s="142"/>
    </row>
    <row r="130" spans="1:8" x14ac:dyDescent="0.2">
      <c r="A130" s="25" t="s">
        <v>9</v>
      </c>
      <c r="B130" s="183" t="s">
        <v>137</v>
      </c>
      <c r="C130" s="184">
        <v>12.3939</v>
      </c>
      <c r="D130" s="184">
        <v>12.376899999999999</v>
      </c>
      <c r="E130" s="22" t="s">
        <v>9</v>
      </c>
      <c r="F130" s="185" t="s">
        <v>9</v>
      </c>
      <c r="G130" s="25" t="s">
        <v>9</v>
      </c>
      <c r="H130" s="142"/>
    </row>
    <row r="131" spans="1:8" x14ac:dyDescent="0.2">
      <c r="A131" s="25" t="s">
        <v>9</v>
      </c>
      <c r="B131" s="183" t="s">
        <v>921</v>
      </c>
      <c r="C131" s="184">
        <v>12.3926</v>
      </c>
      <c r="D131" s="184">
        <v>12.375500000000001</v>
      </c>
      <c r="E131" s="22" t="s">
        <v>9</v>
      </c>
      <c r="F131" s="185" t="s">
        <v>9</v>
      </c>
      <c r="G131" s="25" t="s">
        <v>9</v>
      </c>
      <c r="H131" s="142"/>
    </row>
    <row r="132" spans="1:8" x14ac:dyDescent="0.2">
      <c r="A132" s="25" t="s">
        <v>9</v>
      </c>
      <c r="B132" s="183" t="s">
        <v>138</v>
      </c>
      <c r="C132" s="184">
        <v>12.278499999999999</v>
      </c>
      <c r="D132" s="184">
        <v>12.241400000000001</v>
      </c>
      <c r="E132" s="22" t="s">
        <v>9</v>
      </c>
      <c r="F132" s="185" t="s">
        <v>9</v>
      </c>
      <c r="G132" s="25" t="s">
        <v>9</v>
      </c>
      <c r="H132" s="142"/>
    </row>
    <row r="133" spans="1:8" x14ac:dyDescent="0.2">
      <c r="A133" s="25" t="s">
        <v>9</v>
      </c>
      <c r="B133" s="183" t="s">
        <v>922</v>
      </c>
      <c r="C133" s="184">
        <v>12.277799999999999</v>
      </c>
      <c r="D133" s="184">
        <v>12.241099999999999</v>
      </c>
      <c r="E133" s="22" t="s">
        <v>9</v>
      </c>
      <c r="F133" s="185" t="s">
        <v>9</v>
      </c>
      <c r="G133" s="25" t="s">
        <v>9</v>
      </c>
      <c r="H133" s="142"/>
    </row>
    <row r="134" spans="1:8" x14ac:dyDescent="0.2">
      <c r="A134" s="25" t="s">
        <v>9</v>
      </c>
      <c r="B134" s="22" t="s">
        <v>9</v>
      </c>
      <c r="C134" s="22" t="s">
        <v>9</v>
      </c>
      <c r="D134" s="22" t="s">
        <v>9</v>
      </c>
      <c r="E134" s="22" t="s">
        <v>9</v>
      </c>
      <c r="F134" s="22" t="s">
        <v>9</v>
      </c>
      <c r="G134" s="25" t="s">
        <v>9</v>
      </c>
      <c r="H134" s="142"/>
    </row>
    <row r="135" spans="1:8" x14ac:dyDescent="0.2">
      <c r="A135" s="25" t="s">
        <v>9</v>
      </c>
      <c r="B135" s="240" t="s">
        <v>1012</v>
      </c>
      <c r="C135" s="241"/>
      <c r="D135" s="177" t="s">
        <v>129</v>
      </c>
      <c r="E135" s="22" t="s">
        <v>9</v>
      </c>
      <c r="F135" s="22" t="s">
        <v>9</v>
      </c>
      <c r="G135" s="25" t="s">
        <v>9</v>
      </c>
      <c r="H135" s="142"/>
    </row>
    <row r="136" spans="1:8" x14ac:dyDescent="0.2">
      <c r="A136" s="25" t="s">
        <v>9</v>
      </c>
      <c r="B136" s="98"/>
      <c r="C136" s="98"/>
      <c r="D136" s="26" t="s">
        <v>9</v>
      </c>
      <c r="E136" s="22" t="s">
        <v>9</v>
      </c>
      <c r="F136" s="22" t="s">
        <v>9</v>
      </c>
      <c r="G136" s="25" t="s">
        <v>9</v>
      </c>
      <c r="H136" s="142"/>
    </row>
    <row r="137" spans="1:8" s="238" customFormat="1" ht="12.75" x14ac:dyDescent="0.2">
      <c r="B137" s="246" t="s">
        <v>923</v>
      </c>
      <c r="C137" s="246"/>
      <c r="D137" s="246"/>
      <c r="E137" s="246"/>
      <c r="F137" s="246"/>
    </row>
    <row r="138" spans="1:8" x14ac:dyDescent="0.2">
      <c r="A138" s="25" t="s">
        <v>9</v>
      </c>
      <c r="B138" s="185" t="s">
        <v>9</v>
      </c>
      <c r="C138" s="185" t="s">
        <v>9</v>
      </c>
      <c r="D138" s="22" t="s">
        <v>9</v>
      </c>
      <c r="E138" s="22" t="s">
        <v>9</v>
      </c>
      <c r="F138" s="22" t="s">
        <v>9</v>
      </c>
      <c r="G138" s="25" t="s">
        <v>9</v>
      </c>
      <c r="H138" s="142"/>
    </row>
    <row r="139" spans="1:8" x14ac:dyDescent="0.2">
      <c r="A139" s="25" t="s">
        <v>9</v>
      </c>
      <c r="B139" s="240" t="s">
        <v>139</v>
      </c>
      <c r="C139" s="241"/>
      <c r="D139" s="177" t="s">
        <v>129</v>
      </c>
      <c r="E139" s="22" t="s">
        <v>9</v>
      </c>
      <c r="F139" s="22" t="s">
        <v>9</v>
      </c>
      <c r="G139" s="25" t="s">
        <v>9</v>
      </c>
      <c r="H139" s="142"/>
    </row>
    <row r="140" spans="1:8" x14ac:dyDescent="0.2">
      <c r="A140" s="25" t="s">
        <v>9</v>
      </c>
      <c r="B140" s="240" t="s">
        <v>140</v>
      </c>
      <c r="C140" s="241"/>
      <c r="D140" s="177" t="s">
        <v>129</v>
      </c>
      <c r="E140" s="22" t="s">
        <v>9</v>
      </c>
      <c r="F140" s="22" t="s">
        <v>9</v>
      </c>
      <c r="G140" s="25" t="s">
        <v>9</v>
      </c>
      <c r="H140" s="142"/>
    </row>
    <row r="141" spans="1:8" x14ac:dyDescent="0.2">
      <c r="A141" s="25" t="s">
        <v>9</v>
      </c>
      <c r="B141" s="240" t="s">
        <v>141</v>
      </c>
      <c r="C141" s="241"/>
      <c r="D141" s="186">
        <v>0.67790650292665033</v>
      </c>
      <c r="E141" s="22" t="s">
        <v>9</v>
      </c>
      <c r="F141" s="185" t="s">
        <v>9</v>
      </c>
      <c r="G141" s="25" t="s">
        <v>9</v>
      </c>
      <c r="H141" s="142"/>
    </row>
    <row r="142" spans="1:8" x14ac:dyDescent="0.2">
      <c r="A142" s="25" t="s">
        <v>9</v>
      </c>
      <c r="B142" s="240" t="s">
        <v>142</v>
      </c>
      <c r="C142" s="241"/>
      <c r="D142" s="177" t="s">
        <v>129</v>
      </c>
      <c r="E142" s="22" t="s">
        <v>9</v>
      </c>
      <c r="F142" s="22" t="s">
        <v>9</v>
      </c>
      <c r="G142" s="25" t="s">
        <v>9</v>
      </c>
      <c r="H142" s="142"/>
    </row>
  </sheetData>
  <mergeCells count="15">
    <mergeCell ref="B124:C124"/>
    <mergeCell ref="B121:F121"/>
    <mergeCell ref="B122:F122"/>
    <mergeCell ref="A1:H1"/>
    <mergeCell ref="A2:H2"/>
    <mergeCell ref="A3:H3"/>
    <mergeCell ref="B141:C141"/>
    <mergeCell ref="B142:C142"/>
    <mergeCell ref="B125:C125"/>
    <mergeCell ref="B126:C126"/>
    <mergeCell ref="B127:C127"/>
    <mergeCell ref="B135:C135"/>
    <mergeCell ref="B139:C139"/>
    <mergeCell ref="B140:C140"/>
    <mergeCell ref="B137:F137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8">
    <outlinePr summaryBelow="0" summaryRight="0"/>
  </sheetPr>
  <dimension ref="A1:H159"/>
  <sheetViews>
    <sheetView showGridLines="0" workbookViewId="0">
      <selection activeCell="J1" sqref="J1"/>
    </sheetView>
  </sheetViews>
  <sheetFormatPr defaultRowHeight="15" x14ac:dyDescent="0.2"/>
  <cols>
    <col min="1" max="1" width="6.85546875" style="155" customWidth="1"/>
    <col min="2" max="2" width="20.5703125" style="155" customWidth="1"/>
    <col min="3" max="3" width="34.28515625" style="155" customWidth="1"/>
    <col min="4" max="4" width="17.85546875" style="155" customWidth="1"/>
    <col min="5" max="6" width="19.140625" style="155" customWidth="1"/>
    <col min="7" max="7" width="16.42578125" style="155" customWidth="1"/>
    <col min="8" max="16384" width="9.140625" style="155"/>
  </cols>
  <sheetData>
    <row r="1" spans="1:8" x14ac:dyDescent="0.2">
      <c r="A1" s="250" t="s">
        <v>0</v>
      </c>
      <c r="B1" s="250"/>
      <c r="C1" s="250"/>
      <c r="D1" s="250"/>
      <c r="E1" s="250"/>
      <c r="F1" s="250"/>
      <c r="G1" s="250"/>
      <c r="H1" s="250"/>
    </row>
    <row r="2" spans="1:8" x14ac:dyDescent="0.2">
      <c r="A2" s="251" t="s">
        <v>693</v>
      </c>
      <c r="B2" s="252"/>
      <c r="C2" s="252"/>
      <c r="D2" s="252"/>
      <c r="E2" s="252"/>
      <c r="F2" s="252"/>
      <c r="G2" s="252"/>
      <c r="H2" s="253"/>
    </row>
    <row r="3" spans="1:8" x14ac:dyDescent="0.2">
      <c r="A3" s="250" t="s">
        <v>1015</v>
      </c>
      <c r="B3" s="250"/>
      <c r="C3" s="250"/>
      <c r="D3" s="250"/>
      <c r="E3" s="250"/>
      <c r="F3" s="250"/>
      <c r="G3" s="250"/>
      <c r="H3" s="250"/>
    </row>
    <row r="4" spans="1:8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60" t="s">
        <v>6</v>
      </c>
      <c r="F4" s="160" t="s">
        <v>7</v>
      </c>
      <c r="G4" s="160" t="s">
        <v>8</v>
      </c>
      <c r="H4" s="161" t="s">
        <v>909</v>
      </c>
    </row>
    <row r="5" spans="1:8" x14ac:dyDescent="0.2">
      <c r="A5" s="15" t="s">
        <v>9</v>
      </c>
      <c r="B5" s="15" t="s">
        <v>9</v>
      </c>
      <c r="C5" s="3" t="s">
        <v>10</v>
      </c>
      <c r="D5" s="15" t="s">
        <v>9</v>
      </c>
      <c r="E5" s="15" t="s">
        <v>9</v>
      </c>
      <c r="F5" s="15" t="s">
        <v>9</v>
      </c>
      <c r="G5" s="15" t="s">
        <v>9</v>
      </c>
      <c r="H5" s="100"/>
    </row>
    <row r="6" spans="1:8" ht="25.5" x14ac:dyDescent="0.2">
      <c r="A6" s="15" t="s">
        <v>9</v>
      </c>
      <c r="B6" s="15" t="s">
        <v>9</v>
      </c>
      <c r="C6" s="3" t="s">
        <v>11</v>
      </c>
      <c r="D6" s="15" t="s">
        <v>9</v>
      </c>
      <c r="E6" s="15" t="s">
        <v>9</v>
      </c>
      <c r="F6" s="15" t="s">
        <v>9</v>
      </c>
      <c r="G6" s="15" t="s">
        <v>9</v>
      </c>
      <c r="H6" s="100"/>
    </row>
    <row r="7" spans="1:8" x14ac:dyDescent="0.2">
      <c r="A7" s="4">
        <v>1</v>
      </c>
      <c r="B7" s="5" t="s">
        <v>15</v>
      </c>
      <c r="C7" s="5" t="s">
        <v>16</v>
      </c>
      <c r="D7" s="5" t="s">
        <v>17</v>
      </c>
      <c r="E7" s="6">
        <v>160000</v>
      </c>
      <c r="F7" s="7">
        <v>3191.2</v>
      </c>
      <c r="G7" s="8">
        <v>4.7563639999999997E-2</v>
      </c>
      <c r="H7" s="100"/>
    </row>
    <row r="8" spans="1:8" x14ac:dyDescent="0.2">
      <c r="A8" s="4">
        <v>2</v>
      </c>
      <c r="B8" s="5" t="s">
        <v>144</v>
      </c>
      <c r="C8" s="5" t="s">
        <v>145</v>
      </c>
      <c r="D8" s="5" t="s">
        <v>146</v>
      </c>
      <c r="E8" s="6">
        <v>90000</v>
      </c>
      <c r="F8" s="7">
        <v>3085.38</v>
      </c>
      <c r="G8" s="8">
        <v>4.5986432000000001E-2</v>
      </c>
      <c r="H8" s="100"/>
    </row>
    <row r="9" spans="1:8" x14ac:dyDescent="0.2">
      <c r="A9" s="4">
        <v>3</v>
      </c>
      <c r="B9" s="5" t="s">
        <v>54</v>
      </c>
      <c r="C9" s="5" t="s">
        <v>55</v>
      </c>
      <c r="D9" s="5" t="s">
        <v>22</v>
      </c>
      <c r="E9" s="6">
        <v>180712</v>
      </c>
      <c r="F9" s="7">
        <v>2552.1955760000001</v>
      </c>
      <c r="G9" s="8">
        <v>3.8039518000000001E-2</v>
      </c>
      <c r="H9" s="100"/>
    </row>
    <row r="10" spans="1:8" ht="25.5" x14ac:dyDescent="0.2">
      <c r="A10" s="4">
        <v>4</v>
      </c>
      <c r="B10" s="5" t="s">
        <v>395</v>
      </c>
      <c r="C10" s="5" t="s">
        <v>396</v>
      </c>
      <c r="D10" s="5" t="s">
        <v>156</v>
      </c>
      <c r="E10" s="6">
        <v>94000</v>
      </c>
      <c r="F10" s="7">
        <v>2274.8939999999998</v>
      </c>
      <c r="G10" s="8">
        <v>3.3906442000000002E-2</v>
      </c>
      <c r="H10" s="100"/>
    </row>
    <row r="11" spans="1:8" x14ac:dyDescent="0.2">
      <c r="A11" s="4">
        <v>5</v>
      </c>
      <c r="B11" s="5" t="s">
        <v>20</v>
      </c>
      <c r="C11" s="5" t="s">
        <v>21</v>
      </c>
      <c r="D11" s="5" t="s">
        <v>22</v>
      </c>
      <c r="E11" s="6">
        <v>377738</v>
      </c>
      <c r="F11" s="7">
        <v>2268.3166900000001</v>
      </c>
      <c r="G11" s="8">
        <v>3.3808409999999997E-2</v>
      </c>
      <c r="H11" s="100"/>
    </row>
    <row r="12" spans="1:8" x14ac:dyDescent="0.2">
      <c r="A12" s="4">
        <v>6</v>
      </c>
      <c r="B12" s="5" t="s">
        <v>393</v>
      </c>
      <c r="C12" s="5" t="s">
        <v>394</v>
      </c>
      <c r="D12" s="5" t="s">
        <v>151</v>
      </c>
      <c r="E12" s="6">
        <v>154329</v>
      </c>
      <c r="F12" s="7">
        <v>2090.1548115000001</v>
      </c>
      <c r="G12" s="8">
        <v>3.1152974E-2</v>
      </c>
      <c r="H12" s="100"/>
    </row>
    <row r="13" spans="1:8" x14ac:dyDescent="0.2">
      <c r="A13" s="4">
        <v>7</v>
      </c>
      <c r="B13" s="5" t="s">
        <v>81</v>
      </c>
      <c r="C13" s="5" t="s">
        <v>82</v>
      </c>
      <c r="D13" s="5" t="s">
        <v>14</v>
      </c>
      <c r="E13" s="6">
        <v>2257921</v>
      </c>
      <c r="F13" s="7">
        <v>1685.5380264999999</v>
      </c>
      <c r="G13" s="8">
        <v>2.5122312000000001E-2</v>
      </c>
      <c r="H13" s="100"/>
    </row>
    <row r="14" spans="1:8" x14ac:dyDescent="0.2">
      <c r="A14" s="4">
        <v>8</v>
      </c>
      <c r="B14" s="5" t="s">
        <v>295</v>
      </c>
      <c r="C14" s="5" t="s">
        <v>296</v>
      </c>
      <c r="D14" s="5" t="s">
        <v>151</v>
      </c>
      <c r="E14" s="6">
        <v>73000</v>
      </c>
      <c r="F14" s="7">
        <v>1537.38</v>
      </c>
      <c r="G14" s="8">
        <v>2.2914073E-2</v>
      </c>
      <c r="H14" s="100"/>
    </row>
    <row r="15" spans="1:8" x14ac:dyDescent="0.2">
      <c r="A15" s="4">
        <v>9</v>
      </c>
      <c r="B15" s="5" t="s">
        <v>177</v>
      </c>
      <c r="C15" s="5" t="s">
        <v>178</v>
      </c>
      <c r="D15" s="5" t="s">
        <v>47</v>
      </c>
      <c r="E15" s="6">
        <v>141941</v>
      </c>
      <c r="F15" s="7">
        <v>1498.471137</v>
      </c>
      <c r="G15" s="8">
        <v>2.2334151E-2</v>
      </c>
      <c r="H15" s="100"/>
    </row>
    <row r="16" spans="1:8" x14ac:dyDescent="0.2">
      <c r="A16" s="4">
        <v>10</v>
      </c>
      <c r="B16" s="5" t="s">
        <v>399</v>
      </c>
      <c r="C16" s="5" t="s">
        <v>400</v>
      </c>
      <c r="D16" s="5" t="s">
        <v>22</v>
      </c>
      <c r="E16" s="6">
        <v>416666</v>
      </c>
      <c r="F16" s="7">
        <v>1472.9143099999999</v>
      </c>
      <c r="G16" s="8">
        <v>2.1953236000000001E-2</v>
      </c>
      <c r="H16" s="100"/>
    </row>
    <row r="17" spans="1:8" x14ac:dyDescent="0.2">
      <c r="A17" s="4">
        <v>11</v>
      </c>
      <c r="B17" s="5" t="s">
        <v>29</v>
      </c>
      <c r="C17" s="5" t="s">
        <v>30</v>
      </c>
      <c r="D17" s="5" t="s">
        <v>31</v>
      </c>
      <c r="E17" s="6">
        <v>260000</v>
      </c>
      <c r="F17" s="7">
        <v>1395.55</v>
      </c>
      <c r="G17" s="8">
        <v>2.080015E-2</v>
      </c>
      <c r="H17" s="100"/>
    </row>
    <row r="18" spans="1:8" x14ac:dyDescent="0.2">
      <c r="A18" s="4">
        <v>12</v>
      </c>
      <c r="B18" s="5" t="s">
        <v>200</v>
      </c>
      <c r="C18" s="5" t="s">
        <v>201</v>
      </c>
      <c r="D18" s="5" t="s">
        <v>1003</v>
      </c>
      <c r="E18" s="6">
        <v>210048</v>
      </c>
      <c r="F18" s="7">
        <v>1319.7315840000001</v>
      </c>
      <c r="G18" s="8">
        <v>1.9670105E-2</v>
      </c>
      <c r="H18" s="100"/>
    </row>
    <row r="19" spans="1:8" ht="25.5" x14ac:dyDescent="0.2">
      <c r="A19" s="4">
        <v>13</v>
      </c>
      <c r="B19" s="5" t="s">
        <v>496</v>
      </c>
      <c r="C19" s="5" t="s">
        <v>497</v>
      </c>
      <c r="D19" s="5" t="s">
        <v>1001</v>
      </c>
      <c r="E19" s="6">
        <v>139340</v>
      </c>
      <c r="F19" s="7">
        <v>1279.3502100000001</v>
      </c>
      <c r="G19" s="8">
        <v>1.9068234999999999E-2</v>
      </c>
      <c r="H19" s="100"/>
    </row>
    <row r="20" spans="1:8" x14ac:dyDescent="0.2">
      <c r="A20" s="4">
        <v>14</v>
      </c>
      <c r="B20" s="5" t="s">
        <v>436</v>
      </c>
      <c r="C20" s="5" t="s">
        <v>437</v>
      </c>
      <c r="D20" s="5" t="s">
        <v>156</v>
      </c>
      <c r="E20" s="6">
        <v>224242</v>
      </c>
      <c r="F20" s="7">
        <v>1274.255165</v>
      </c>
      <c r="G20" s="8">
        <v>1.8992295999999999E-2</v>
      </c>
      <c r="H20" s="100"/>
    </row>
    <row r="21" spans="1:8" x14ac:dyDescent="0.2">
      <c r="A21" s="4">
        <v>15</v>
      </c>
      <c r="B21" s="5" t="s">
        <v>397</v>
      </c>
      <c r="C21" s="5" t="s">
        <v>398</v>
      </c>
      <c r="D21" s="5" t="s">
        <v>22</v>
      </c>
      <c r="E21" s="6">
        <v>178024</v>
      </c>
      <c r="F21" s="7">
        <v>1272.6935759999999</v>
      </c>
      <c r="G21" s="8">
        <v>1.8969020999999999E-2</v>
      </c>
      <c r="H21" s="100"/>
    </row>
    <row r="22" spans="1:8" ht="25.5" x14ac:dyDescent="0.2">
      <c r="A22" s="4">
        <v>16</v>
      </c>
      <c r="B22" s="5" t="s">
        <v>39</v>
      </c>
      <c r="C22" s="5" t="s">
        <v>941</v>
      </c>
      <c r="D22" s="5" t="s">
        <v>1001</v>
      </c>
      <c r="E22" s="6">
        <v>19801</v>
      </c>
      <c r="F22" s="7">
        <v>1243.2948895</v>
      </c>
      <c r="G22" s="8">
        <v>1.8530844000000001E-2</v>
      </c>
      <c r="H22" s="100"/>
    </row>
    <row r="23" spans="1:8" x14ac:dyDescent="0.2">
      <c r="A23" s="4">
        <v>17</v>
      </c>
      <c r="B23" s="5" t="s">
        <v>12</v>
      </c>
      <c r="C23" s="5" t="s">
        <v>13</v>
      </c>
      <c r="D23" s="5" t="s">
        <v>14</v>
      </c>
      <c r="E23" s="6">
        <v>91037</v>
      </c>
      <c r="F23" s="7">
        <v>1220.3054665</v>
      </c>
      <c r="G23" s="8">
        <v>1.8188196E-2</v>
      </c>
      <c r="H23" s="100"/>
    </row>
    <row r="24" spans="1:8" ht="25.5" x14ac:dyDescent="0.2">
      <c r="A24" s="4">
        <v>18</v>
      </c>
      <c r="B24" s="5" t="s">
        <v>182</v>
      </c>
      <c r="C24" s="5" t="s">
        <v>944</v>
      </c>
      <c r="D24" s="5" t="s">
        <v>58</v>
      </c>
      <c r="E24" s="6">
        <v>50748</v>
      </c>
      <c r="F24" s="7">
        <v>1185.1434180000001</v>
      </c>
      <c r="G24" s="8">
        <v>1.7664117999999999E-2</v>
      </c>
      <c r="H24" s="100"/>
    </row>
    <row r="25" spans="1:8" ht="25.5" x14ac:dyDescent="0.2">
      <c r="A25" s="4">
        <v>19</v>
      </c>
      <c r="B25" s="5" t="s">
        <v>314</v>
      </c>
      <c r="C25" s="5" t="s">
        <v>315</v>
      </c>
      <c r="D25" s="5" t="s">
        <v>73</v>
      </c>
      <c r="E25" s="6">
        <v>237070</v>
      </c>
      <c r="F25" s="7">
        <v>1165.5546549999999</v>
      </c>
      <c r="G25" s="8">
        <v>1.7372155E-2</v>
      </c>
      <c r="H25" s="100"/>
    </row>
    <row r="26" spans="1:8" x14ac:dyDescent="0.2">
      <c r="A26" s="4">
        <v>20</v>
      </c>
      <c r="B26" s="5" t="s">
        <v>528</v>
      </c>
      <c r="C26" s="5" t="s">
        <v>529</v>
      </c>
      <c r="D26" s="5" t="s">
        <v>22</v>
      </c>
      <c r="E26" s="6">
        <v>447355</v>
      </c>
      <c r="F26" s="7">
        <v>1155.2942875000001</v>
      </c>
      <c r="G26" s="8">
        <v>1.7219228E-2</v>
      </c>
      <c r="H26" s="100"/>
    </row>
    <row r="27" spans="1:8" x14ac:dyDescent="0.2">
      <c r="A27" s="4">
        <v>21</v>
      </c>
      <c r="B27" s="5" t="s">
        <v>69</v>
      </c>
      <c r="C27" s="5" t="s">
        <v>70</v>
      </c>
      <c r="D27" s="5" t="s">
        <v>17</v>
      </c>
      <c r="E27" s="6">
        <v>256895</v>
      </c>
      <c r="F27" s="7">
        <v>1083.58311</v>
      </c>
      <c r="G27" s="8">
        <v>1.6150399999999999E-2</v>
      </c>
      <c r="H27" s="100"/>
    </row>
    <row r="28" spans="1:8" x14ac:dyDescent="0.2">
      <c r="A28" s="4">
        <v>22</v>
      </c>
      <c r="B28" s="5" t="s">
        <v>382</v>
      </c>
      <c r="C28" s="5" t="s">
        <v>383</v>
      </c>
      <c r="D28" s="5" t="s">
        <v>1009</v>
      </c>
      <c r="E28" s="6">
        <v>9583</v>
      </c>
      <c r="F28" s="7">
        <v>1058.1213195</v>
      </c>
      <c r="G28" s="8">
        <v>1.5770902E-2</v>
      </c>
      <c r="H28" s="100"/>
    </row>
    <row r="29" spans="1:8" x14ac:dyDescent="0.2">
      <c r="A29" s="4">
        <v>23</v>
      </c>
      <c r="B29" s="5" t="s">
        <v>409</v>
      </c>
      <c r="C29" s="5" t="s">
        <v>940</v>
      </c>
      <c r="D29" s="5" t="s">
        <v>151</v>
      </c>
      <c r="E29" s="6">
        <v>32028</v>
      </c>
      <c r="F29" s="7">
        <v>972.25798199999997</v>
      </c>
      <c r="G29" s="8">
        <v>1.4491141000000001E-2</v>
      </c>
      <c r="H29" s="100"/>
    </row>
    <row r="30" spans="1:8" x14ac:dyDescent="0.2">
      <c r="A30" s="4">
        <v>24</v>
      </c>
      <c r="B30" s="5" t="s">
        <v>229</v>
      </c>
      <c r="C30" s="5" t="s">
        <v>230</v>
      </c>
      <c r="D30" s="5" t="s">
        <v>193</v>
      </c>
      <c r="E30" s="6">
        <v>69458</v>
      </c>
      <c r="F30" s="7">
        <v>969.18220299999996</v>
      </c>
      <c r="G30" s="8">
        <v>1.4445296999999999E-2</v>
      </c>
      <c r="H30" s="100"/>
    </row>
    <row r="31" spans="1:8" x14ac:dyDescent="0.2">
      <c r="A31" s="4">
        <v>25</v>
      </c>
      <c r="B31" s="5" t="s">
        <v>329</v>
      </c>
      <c r="C31" s="5" t="s">
        <v>945</v>
      </c>
      <c r="D31" s="5" t="s">
        <v>146</v>
      </c>
      <c r="E31" s="6">
        <v>14917</v>
      </c>
      <c r="F31" s="7">
        <v>959.32718699999998</v>
      </c>
      <c r="G31" s="8">
        <v>1.4298412E-2</v>
      </c>
      <c r="H31" s="100"/>
    </row>
    <row r="32" spans="1:8" x14ac:dyDescent="0.2">
      <c r="A32" s="4">
        <v>26</v>
      </c>
      <c r="B32" s="5" t="s">
        <v>367</v>
      </c>
      <c r="C32" s="5" t="s">
        <v>368</v>
      </c>
      <c r="D32" s="5" t="s">
        <v>22</v>
      </c>
      <c r="E32" s="6">
        <v>1431306</v>
      </c>
      <c r="F32" s="7">
        <v>955.39675499999998</v>
      </c>
      <c r="G32" s="8">
        <v>1.423983E-2</v>
      </c>
      <c r="H32" s="100"/>
    </row>
    <row r="33" spans="1:8" x14ac:dyDescent="0.2">
      <c r="A33" s="4">
        <v>27</v>
      </c>
      <c r="B33" s="5" t="s">
        <v>26</v>
      </c>
      <c r="C33" s="5" t="s">
        <v>27</v>
      </c>
      <c r="D33" s="5" t="s">
        <v>28</v>
      </c>
      <c r="E33" s="6">
        <v>100996</v>
      </c>
      <c r="F33" s="7">
        <v>925.02236400000004</v>
      </c>
      <c r="G33" s="8">
        <v>1.3787112000000001E-2</v>
      </c>
      <c r="H33" s="100"/>
    </row>
    <row r="34" spans="1:8" x14ac:dyDescent="0.2">
      <c r="A34" s="4">
        <v>28</v>
      </c>
      <c r="B34" s="5" t="s">
        <v>435</v>
      </c>
      <c r="C34" s="5" t="s">
        <v>942</v>
      </c>
      <c r="D34" s="5" t="s">
        <v>193</v>
      </c>
      <c r="E34" s="6">
        <v>17902</v>
      </c>
      <c r="F34" s="7">
        <v>924.29816200000005</v>
      </c>
      <c r="G34" s="8">
        <v>1.3776317999999999E-2</v>
      </c>
      <c r="H34" s="100"/>
    </row>
    <row r="35" spans="1:8" x14ac:dyDescent="0.2">
      <c r="A35" s="4">
        <v>29</v>
      </c>
      <c r="B35" s="5" t="s">
        <v>425</v>
      </c>
      <c r="C35" s="5" t="s">
        <v>426</v>
      </c>
      <c r="D35" s="5" t="s">
        <v>427</v>
      </c>
      <c r="E35" s="6">
        <v>250000</v>
      </c>
      <c r="F35" s="7">
        <v>911</v>
      </c>
      <c r="G35" s="8">
        <v>1.3578114000000001E-2</v>
      </c>
      <c r="H35" s="100"/>
    </row>
    <row r="36" spans="1:8" x14ac:dyDescent="0.2">
      <c r="A36" s="4">
        <v>30</v>
      </c>
      <c r="B36" s="5" t="s">
        <v>309</v>
      </c>
      <c r="C36" s="5" t="s">
        <v>310</v>
      </c>
      <c r="D36" s="5" t="s">
        <v>58</v>
      </c>
      <c r="E36" s="6">
        <v>41000</v>
      </c>
      <c r="F36" s="7">
        <v>910.79449999999997</v>
      </c>
      <c r="G36" s="8">
        <v>1.3575050999999999E-2</v>
      </c>
      <c r="H36" s="100"/>
    </row>
    <row r="37" spans="1:8" x14ac:dyDescent="0.2">
      <c r="A37" s="4">
        <v>31</v>
      </c>
      <c r="B37" s="5" t="s">
        <v>356</v>
      </c>
      <c r="C37" s="5" t="s">
        <v>357</v>
      </c>
      <c r="D37" s="5" t="s">
        <v>151</v>
      </c>
      <c r="E37" s="6">
        <v>100000</v>
      </c>
      <c r="F37" s="7">
        <v>898.95</v>
      </c>
      <c r="G37" s="8">
        <v>1.3398513000000001E-2</v>
      </c>
      <c r="H37" s="100"/>
    </row>
    <row r="38" spans="1:8" x14ac:dyDescent="0.2">
      <c r="A38" s="4">
        <v>32</v>
      </c>
      <c r="B38" s="5" t="s">
        <v>405</v>
      </c>
      <c r="C38" s="5" t="s">
        <v>406</v>
      </c>
      <c r="D38" s="5" t="s">
        <v>193</v>
      </c>
      <c r="E38" s="6">
        <v>90000</v>
      </c>
      <c r="F38" s="7">
        <v>882.76499999999999</v>
      </c>
      <c r="G38" s="8">
        <v>1.3157281E-2</v>
      </c>
      <c r="H38" s="100"/>
    </row>
    <row r="39" spans="1:8" x14ac:dyDescent="0.2">
      <c r="A39" s="4">
        <v>33</v>
      </c>
      <c r="B39" s="5" t="s">
        <v>354</v>
      </c>
      <c r="C39" s="5" t="s">
        <v>355</v>
      </c>
      <c r="D39" s="5" t="s">
        <v>63</v>
      </c>
      <c r="E39" s="6">
        <v>147000</v>
      </c>
      <c r="F39" s="7">
        <v>867.15300000000002</v>
      </c>
      <c r="G39" s="8">
        <v>1.292459E-2</v>
      </c>
      <c r="H39" s="100"/>
    </row>
    <row r="40" spans="1:8" x14ac:dyDescent="0.2">
      <c r="A40" s="4">
        <v>34</v>
      </c>
      <c r="B40" s="5" t="s">
        <v>189</v>
      </c>
      <c r="C40" s="5" t="s">
        <v>190</v>
      </c>
      <c r="D40" s="5" t="s">
        <v>151</v>
      </c>
      <c r="E40" s="6">
        <v>41632</v>
      </c>
      <c r="F40" s="7">
        <v>848.58505600000001</v>
      </c>
      <c r="G40" s="8">
        <v>1.2647841999999999E-2</v>
      </c>
      <c r="H40" s="100"/>
    </row>
    <row r="41" spans="1:8" x14ac:dyDescent="0.2">
      <c r="A41" s="4">
        <v>35</v>
      </c>
      <c r="B41" s="5" t="s">
        <v>196</v>
      </c>
      <c r="C41" s="5" t="s">
        <v>197</v>
      </c>
      <c r="D41" s="5" t="s">
        <v>151</v>
      </c>
      <c r="E41" s="6">
        <v>115000</v>
      </c>
      <c r="F41" s="7">
        <v>847.60749999999996</v>
      </c>
      <c r="G41" s="8">
        <v>1.2633271999999999E-2</v>
      </c>
      <c r="H41" s="100"/>
    </row>
    <row r="42" spans="1:8" x14ac:dyDescent="0.2">
      <c r="A42" s="4">
        <v>36</v>
      </c>
      <c r="B42" s="5" t="s">
        <v>241</v>
      </c>
      <c r="C42" s="5" t="s">
        <v>242</v>
      </c>
      <c r="D42" s="5" t="s">
        <v>163</v>
      </c>
      <c r="E42" s="6">
        <v>141728</v>
      </c>
      <c r="F42" s="7">
        <v>844.13196800000003</v>
      </c>
      <c r="G42" s="8">
        <v>1.2581471E-2</v>
      </c>
      <c r="H42" s="100"/>
    </row>
    <row r="43" spans="1:8" ht="25.5" x14ac:dyDescent="0.2">
      <c r="A43" s="4">
        <v>37</v>
      </c>
      <c r="B43" s="5" t="s">
        <v>18</v>
      </c>
      <c r="C43" s="5" t="s">
        <v>19</v>
      </c>
      <c r="D43" s="5" t="s">
        <v>1001</v>
      </c>
      <c r="E43" s="6">
        <v>84095</v>
      </c>
      <c r="F43" s="7">
        <v>828.75622499999997</v>
      </c>
      <c r="G43" s="8">
        <v>1.2352301E-2</v>
      </c>
      <c r="H43" s="100"/>
    </row>
    <row r="44" spans="1:8" ht="25.5" x14ac:dyDescent="0.2">
      <c r="A44" s="4">
        <v>38</v>
      </c>
      <c r="B44" s="5" t="s">
        <v>508</v>
      </c>
      <c r="C44" s="5" t="s">
        <v>509</v>
      </c>
      <c r="D44" s="5" t="s">
        <v>73</v>
      </c>
      <c r="E44" s="6">
        <v>3189</v>
      </c>
      <c r="F44" s="7">
        <v>814.40522550000003</v>
      </c>
      <c r="G44" s="8">
        <v>1.2138405E-2</v>
      </c>
      <c r="H44" s="100"/>
    </row>
    <row r="45" spans="1:8" ht="25.5" x14ac:dyDescent="0.2">
      <c r="A45" s="4">
        <v>39</v>
      </c>
      <c r="B45" s="5" t="s">
        <v>694</v>
      </c>
      <c r="C45" s="5" t="s">
        <v>695</v>
      </c>
      <c r="D45" s="5" t="s">
        <v>25</v>
      </c>
      <c r="E45" s="6">
        <v>12874</v>
      </c>
      <c r="F45" s="7">
        <v>804.87604299999998</v>
      </c>
      <c r="G45" s="8">
        <v>1.1996376E-2</v>
      </c>
      <c r="H45" s="100"/>
    </row>
    <row r="46" spans="1:8" x14ac:dyDescent="0.2">
      <c r="A46" s="4">
        <v>40</v>
      </c>
      <c r="B46" s="5" t="s">
        <v>83</v>
      </c>
      <c r="C46" s="5" t="s">
        <v>84</v>
      </c>
      <c r="D46" s="5" t="s">
        <v>28</v>
      </c>
      <c r="E46" s="6">
        <v>96041</v>
      </c>
      <c r="F46" s="7">
        <v>804.43941600000005</v>
      </c>
      <c r="G46" s="8">
        <v>1.1989868000000001E-2</v>
      </c>
      <c r="H46" s="100"/>
    </row>
    <row r="47" spans="1:8" ht="25.5" x14ac:dyDescent="0.2">
      <c r="A47" s="4">
        <v>41</v>
      </c>
      <c r="B47" s="5" t="s">
        <v>346</v>
      </c>
      <c r="C47" s="5" t="s">
        <v>939</v>
      </c>
      <c r="D47" s="5" t="s">
        <v>73</v>
      </c>
      <c r="E47" s="6">
        <v>119933</v>
      </c>
      <c r="F47" s="7">
        <v>802.95143499999995</v>
      </c>
      <c r="G47" s="8">
        <v>1.196769E-2</v>
      </c>
      <c r="H47" s="100"/>
    </row>
    <row r="48" spans="1:8" ht="25.5" x14ac:dyDescent="0.2">
      <c r="A48" s="4">
        <v>42</v>
      </c>
      <c r="B48" s="5" t="s">
        <v>696</v>
      </c>
      <c r="C48" s="5" t="s">
        <v>697</v>
      </c>
      <c r="D48" s="5" t="s">
        <v>73</v>
      </c>
      <c r="E48" s="6">
        <v>132080</v>
      </c>
      <c r="F48" s="7">
        <v>749.35587999999996</v>
      </c>
      <c r="G48" s="8">
        <v>1.1168868E-2</v>
      </c>
      <c r="H48" s="100"/>
    </row>
    <row r="49" spans="1:8" x14ac:dyDescent="0.2">
      <c r="A49" s="4">
        <v>43</v>
      </c>
      <c r="B49" s="5" t="s">
        <v>48</v>
      </c>
      <c r="C49" s="5" t="s">
        <v>49</v>
      </c>
      <c r="D49" s="5" t="s">
        <v>28</v>
      </c>
      <c r="E49" s="6">
        <v>52223</v>
      </c>
      <c r="F49" s="7">
        <v>733.28925449999997</v>
      </c>
      <c r="G49" s="8">
        <v>1.0929401E-2</v>
      </c>
      <c r="H49" s="100"/>
    </row>
    <row r="50" spans="1:8" x14ac:dyDescent="0.2">
      <c r="A50" s="4">
        <v>44</v>
      </c>
      <c r="B50" s="5" t="s">
        <v>401</v>
      </c>
      <c r="C50" s="5" t="s">
        <v>402</v>
      </c>
      <c r="D50" s="5" t="s">
        <v>91</v>
      </c>
      <c r="E50" s="6">
        <v>95000</v>
      </c>
      <c r="F50" s="7">
        <v>714.92250000000001</v>
      </c>
      <c r="G50" s="8">
        <v>1.0655652E-2</v>
      </c>
      <c r="H50" s="100"/>
    </row>
    <row r="51" spans="1:8" x14ac:dyDescent="0.2">
      <c r="A51" s="4">
        <v>45</v>
      </c>
      <c r="B51" s="5" t="s">
        <v>338</v>
      </c>
      <c r="C51" s="5" t="s">
        <v>339</v>
      </c>
      <c r="D51" s="5" t="s">
        <v>193</v>
      </c>
      <c r="E51" s="6">
        <v>25000</v>
      </c>
      <c r="F51" s="7">
        <v>695.38750000000005</v>
      </c>
      <c r="G51" s="8">
        <v>1.0364490000000001E-2</v>
      </c>
      <c r="H51" s="100"/>
    </row>
    <row r="52" spans="1:8" x14ac:dyDescent="0.2">
      <c r="A52" s="4">
        <v>46</v>
      </c>
      <c r="B52" s="5" t="s">
        <v>526</v>
      </c>
      <c r="C52" s="5" t="s">
        <v>527</v>
      </c>
      <c r="D52" s="5" t="s">
        <v>58</v>
      </c>
      <c r="E52" s="6">
        <v>105000</v>
      </c>
      <c r="F52" s="7">
        <v>689.745</v>
      </c>
      <c r="G52" s="8">
        <v>1.0280391E-2</v>
      </c>
      <c r="H52" s="100"/>
    </row>
    <row r="53" spans="1:8" x14ac:dyDescent="0.2">
      <c r="A53" s="4">
        <v>47</v>
      </c>
      <c r="B53" s="5" t="s">
        <v>334</v>
      </c>
      <c r="C53" s="5" t="s">
        <v>335</v>
      </c>
      <c r="D53" s="5" t="s">
        <v>156</v>
      </c>
      <c r="E53" s="6">
        <v>169899</v>
      </c>
      <c r="F53" s="7">
        <v>689.28024300000004</v>
      </c>
      <c r="G53" s="8">
        <v>1.0273464E-2</v>
      </c>
      <c r="H53" s="100"/>
    </row>
    <row r="54" spans="1:8" x14ac:dyDescent="0.2">
      <c r="A54" s="4">
        <v>48</v>
      </c>
      <c r="B54" s="5" t="s">
        <v>388</v>
      </c>
      <c r="C54" s="5" t="s">
        <v>946</v>
      </c>
      <c r="D54" s="5" t="s">
        <v>163</v>
      </c>
      <c r="E54" s="6">
        <v>10000</v>
      </c>
      <c r="F54" s="7">
        <v>674.52499999999998</v>
      </c>
      <c r="G54" s="8">
        <v>1.0053542E-2</v>
      </c>
      <c r="H54" s="100"/>
    </row>
    <row r="55" spans="1:8" x14ac:dyDescent="0.2">
      <c r="A55" s="4">
        <v>49</v>
      </c>
      <c r="B55" s="5" t="s">
        <v>433</v>
      </c>
      <c r="C55" s="5" t="s">
        <v>434</v>
      </c>
      <c r="D55" s="5" t="s">
        <v>193</v>
      </c>
      <c r="E55" s="6">
        <v>73768</v>
      </c>
      <c r="F55" s="7">
        <v>671.54698800000006</v>
      </c>
      <c r="G55" s="8">
        <v>1.0009156E-2</v>
      </c>
      <c r="H55" s="100"/>
    </row>
    <row r="56" spans="1:8" x14ac:dyDescent="0.2">
      <c r="A56" s="4">
        <v>50</v>
      </c>
      <c r="B56" s="5" t="s">
        <v>322</v>
      </c>
      <c r="C56" s="5" t="s">
        <v>323</v>
      </c>
      <c r="D56" s="5" t="s">
        <v>78</v>
      </c>
      <c r="E56" s="6">
        <v>125000</v>
      </c>
      <c r="F56" s="7">
        <v>636.1875</v>
      </c>
      <c r="G56" s="8">
        <v>9.4821360000000004E-3</v>
      </c>
      <c r="H56" s="100"/>
    </row>
    <row r="57" spans="1:8" x14ac:dyDescent="0.2">
      <c r="A57" s="4">
        <v>51</v>
      </c>
      <c r="B57" s="5" t="s">
        <v>634</v>
      </c>
      <c r="C57" s="5" t="s">
        <v>635</v>
      </c>
      <c r="D57" s="5" t="s">
        <v>91</v>
      </c>
      <c r="E57" s="6">
        <v>210000</v>
      </c>
      <c r="F57" s="7">
        <v>617.08500000000004</v>
      </c>
      <c r="G57" s="8">
        <v>9.1974210000000008E-3</v>
      </c>
      <c r="H57" s="100"/>
    </row>
    <row r="58" spans="1:8" x14ac:dyDescent="0.2">
      <c r="A58" s="4">
        <v>52</v>
      </c>
      <c r="B58" s="5" t="s">
        <v>89</v>
      </c>
      <c r="C58" s="5" t="s">
        <v>90</v>
      </c>
      <c r="D58" s="5" t="s">
        <v>91</v>
      </c>
      <c r="E58" s="6">
        <v>543762</v>
      </c>
      <c r="F58" s="7">
        <v>612.81977400000005</v>
      </c>
      <c r="G58" s="8">
        <v>9.1338489999999994E-3</v>
      </c>
      <c r="H58" s="100"/>
    </row>
    <row r="59" spans="1:8" ht="25.5" x14ac:dyDescent="0.2">
      <c r="A59" s="4">
        <v>53</v>
      </c>
      <c r="B59" s="5" t="s">
        <v>421</v>
      </c>
      <c r="C59" s="5" t="s">
        <v>422</v>
      </c>
      <c r="D59" s="5" t="s">
        <v>73</v>
      </c>
      <c r="E59" s="6">
        <v>300000</v>
      </c>
      <c r="F59" s="7">
        <v>607.79999999999995</v>
      </c>
      <c r="G59" s="8">
        <v>9.0590310000000004E-3</v>
      </c>
      <c r="H59" s="100"/>
    </row>
    <row r="60" spans="1:8" x14ac:dyDescent="0.2">
      <c r="A60" s="4">
        <v>54</v>
      </c>
      <c r="B60" s="5" t="s">
        <v>350</v>
      </c>
      <c r="C60" s="5" t="s">
        <v>351</v>
      </c>
      <c r="D60" s="5" t="s">
        <v>1006</v>
      </c>
      <c r="E60" s="6">
        <v>127230</v>
      </c>
      <c r="F60" s="7">
        <v>577.56058499999995</v>
      </c>
      <c r="G60" s="8">
        <v>8.6083240000000005E-3</v>
      </c>
      <c r="H60" s="100"/>
    </row>
    <row r="61" spans="1:8" x14ac:dyDescent="0.2">
      <c r="A61" s="4">
        <v>55</v>
      </c>
      <c r="B61" s="5" t="s">
        <v>258</v>
      </c>
      <c r="C61" s="5" t="s">
        <v>259</v>
      </c>
      <c r="D61" s="5" t="s">
        <v>1006</v>
      </c>
      <c r="E61" s="6">
        <v>38886</v>
      </c>
      <c r="F61" s="7">
        <v>574.054575</v>
      </c>
      <c r="G61" s="8">
        <v>8.556068E-3</v>
      </c>
      <c r="H61" s="100"/>
    </row>
    <row r="62" spans="1:8" x14ac:dyDescent="0.2">
      <c r="A62" s="4">
        <v>56</v>
      </c>
      <c r="B62" s="5" t="s">
        <v>342</v>
      </c>
      <c r="C62" s="5" t="s">
        <v>343</v>
      </c>
      <c r="D62" s="5" t="s">
        <v>58</v>
      </c>
      <c r="E62" s="6">
        <v>13600</v>
      </c>
      <c r="F62" s="7">
        <v>571.44479999999999</v>
      </c>
      <c r="G62" s="8">
        <v>8.5171710000000005E-3</v>
      </c>
      <c r="H62" s="100"/>
    </row>
    <row r="63" spans="1:8" x14ac:dyDescent="0.2">
      <c r="A63" s="4">
        <v>57</v>
      </c>
      <c r="B63" s="5" t="s">
        <v>698</v>
      </c>
      <c r="C63" s="5" t="s">
        <v>932</v>
      </c>
      <c r="D63" s="5" t="s">
        <v>22</v>
      </c>
      <c r="E63" s="6">
        <v>1619258</v>
      </c>
      <c r="F63" s="7">
        <v>570.78844500000002</v>
      </c>
      <c r="G63" s="8">
        <v>8.5073879999999994E-3</v>
      </c>
      <c r="H63" s="100"/>
    </row>
    <row r="64" spans="1:8" x14ac:dyDescent="0.2">
      <c r="A64" s="4">
        <v>58</v>
      </c>
      <c r="B64" s="5" t="s">
        <v>699</v>
      </c>
      <c r="C64" s="5" t="s">
        <v>700</v>
      </c>
      <c r="D64" s="5" t="s">
        <v>38</v>
      </c>
      <c r="E64" s="6">
        <v>100958</v>
      </c>
      <c r="F64" s="7">
        <v>552.49265500000001</v>
      </c>
      <c r="G64" s="8">
        <v>8.2346959999999997E-3</v>
      </c>
      <c r="H64" s="100"/>
    </row>
    <row r="65" spans="1:8" x14ac:dyDescent="0.2">
      <c r="A65" s="4">
        <v>59</v>
      </c>
      <c r="B65" s="5" t="s">
        <v>380</v>
      </c>
      <c r="C65" s="5" t="s">
        <v>381</v>
      </c>
      <c r="D65" s="5" t="s">
        <v>22</v>
      </c>
      <c r="E65" s="6">
        <v>284533</v>
      </c>
      <c r="F65" s="7">
        <v>528.52004750000003</v>
      </c>
      <c r="G65" s="8">
        <v>7.8773929999999999E-3</v>
      </c>
      <c r="H65" s="100"/>
    </row>
    <row r="66" spans="1:8" x14ac:dyDescent="0.2">
      <c r="A66" s="4">
        <v>60</v>
      </c>
      <c r="B66" s="5" t="s">
        <v>358</v>
      </c>
      <c r="C66" s="5" t="s">
        <v>359</v>
      </c>
      <c r="D66" s="5" t="s">
        <v>156</v>
      </c>
      <c r="E66" s="6">
        <v>33982</v>
      </c>
      <c r="F66" s="7">
        <v>383.09607699999998</v>
      </c>
      <c r="G66" s="8">
        <v>5.7099029999999997E-3</v>
      </c>
      <c r="H66" s="100"/>
    </row>
    <row r="67" spans="1:8" x14ac:dyDescent="0.2">
      <c r="A67" s="4">
        <v>61</v>
      </c>
      <c r="B67" s="5" t="s">
        <v>440</v>
      </c>
      <c r="C67" s="5" t="s">
        <v>441</v>
      </c>
      <c r="D67" s="5" t="s">
        <v>58</v>
      </c>
      <c r="E67" s="6">
        <v>141219</v>
      </c>
      <c r="F67" s="7">
        <v>380.86764299999999</v>
      </c>
      <c r="G67" s="8">
        <v>5.6766890000000004E-3</v>
      </c>
      <c r="H67" s="100"/>
    </row>
    <row r="68" spans="1:8" x14ac:dyDescent="0.2">
      <c r="A68" s="4">
        <v>62</v>
      </c>
      <c r="B68" s="5" t="s">
        <v>297</v>
      </c>
      <c r="C68" s="5" t="s">
        <v>928</v>
      </c>
      <c r="D68" s="5" t="s">
        <v>22</v>
      </c>
      <c r="E68" s="6">
        <v>442284</v>
      </c>
      <c r="F68" s="7">
        <v>354.26948399999998</v>
      </c>
      <c r="G68" s="8">
        <v>5.2802539999999999E-3</v>
      </c>
      <c r="H68" s="100"/>
    </row>
    <row r="69" spans="1:8" x14ac:dyDescent="0.2">
      <c r="A69" s="4">
        <v>63</v>
      </c>
      <c r="B69" s="5" t="s">
        <v>318</v>
      </c>
      <c r="C69" s="5" t="s">
        <v>319</v>
      </c>
      <c r="D69" s="5" t="s">
        <v>22</v>
      </c>
      <c r="E69" s="6">
        <v>162539</v>
      </c>
      <c r="F69" s="7">
        <v>271.03378249999997</v>
      </c>
      <c r="G69" s="8">
        <v>4.0396570000000003E-3</v>
      </c>
      <c r="H69" s="100"/>
    </row>
    <row r="70" spans="1:8" x14ac:dyDescent="0.2">
      <c r="A70" s="4">
        <v>64</v>
      </c>
      <c r="B70" s="5" t="s">
        <v>59</v>
      </c>
      <c r="C70" s="5" t="s">
        <v>60</v>
      </c>
      <c r="D70" s="5" t="s">
        <v>38</v>
      </c>
      <c r="E70" s="6">
        <v>140212</v>
      </c>
      <c r="F70" s="7">
        <v>265.912058</v>
      </c>
      <c r="G70" s="8">
        <v>3.9633200000000002E-3</v>
      </c>
      <c r="H70" s="100"/>
    </row>
    <row r="71" spans="1:8" x14ac:dyDescent="0.2">
      <c r="A71" s="15" t="s">
        <v>9</v>
      </c>
      <c r="B71" s="15" t="s">
        <v>9</v>
      </c>
      <c r="C71" s="3" t="s">
        <v>94</v>
      </c>
      <c r="D71" s="15" t="s">
        <v>9</v>
      </c>
      <c r="E71" s="15" t="s">
        <v>9</v>
      </c>
      <c r="F71" s="9">
        <v>66203.207045000003</v>
      </c>
      <c r="G71" s="10">
        <v>0.98673398599999995</v>
      </c>
      <c r="H71" s="100"/>
    </row>
    <row r="72" spans="1:8" x14ac:dyDescent="0.2">
      <c r="A72" s="15" t="s">
        <v>9</v>
      </c>
      <c r="B72" s="15" t="s">
        <v>9</v>
      </c>
      <c r="C72" s="11" t="s">
        <v>9</v>
      </c>
      <c r="D72" s="15" t="s">
        <v>9</v>
      </c>
      <c r="E72" s="15" t="s">
        <v>9</v>
      </c>
      <c r="F72" s="12" t="s">
        <v>9</v>
      </c>
      <c r="G72" s="12" t="s">
        <v>9</v>
      </c>
      <c r="H72" s="100"/>
    </row>
    <row r="73" spans="1:8" x14ac:dyDescent="0.2">
      <c r="A73" s="15" t="s">
        <v>9</v>
      </c>
      <c r="B73" s="15" t="s">
        <v>9</v>
      </c>
      <c r="C73" s="3" t="s">
        <v>95</v>
      </c>
      <c r="D73" s="15" t="s">
        <v>9</v>
      </c>
      <c r="E73" s="15" t="s">
        <v>9</v>
      </c>
      <c r="F73" s="15" t="s">
        <v>9</v>
      </c>
      <c r="G73" s="15" t="s">
        <v>9</v>
      </c>
      <c r="H73" s="100"/>
    </row>
    <row r="74" spans="1:8" x14ac:dyDescent="0.2">
      <c r="A74" s="15" t="s">
        <v>9</v>
      </c>
      <c r="B74" s="15" t="s">
        <v>9</v>
      </c>
      <c r="C74" s="3" t="s">
        <v>94</v>
      </c>
      <c r="D74" s="15" t="s">
        <v>9</v>
      </c>
      <c r="E74" s="15" t="s">
        <v>9</v>
      </c>
      <c r="F74" s="13">
        <v>0</v>
      </c>
      <c r="G74" s="14">
        <v>0</v>
      </c>
      <c r="H74" s="100"/>
    </row>
    <row r="75" spans="1:8" x14ac:dyDescent="0.2">
      <c r="A75" s="15" t="s">
        <v>9</v>
      </c>
      <c r="B75" s="15" t="s">
        <v>9</v>
      </c>
      <c r="C75" s="11" t="s">
        <v>9</v>
      </c>
      <c r="D75" s="15" t="s">
        <v>9</v>
      </c>
      <c r="E75" s="15" t="s">
        <v>9</v>
      </c>
      <c r="F75" s="12" t="s">
        <v>9</v>
      </c>
      <c r="G75" s="12" t="s">
        <v>9</v>
      </c>
      <c r="H75" s="100"/>
    </row>
    <row r="76" spans="1:8" x14ac:dyDescent="0.2">
      <c r="A76" s="15" t="s">
        <v>9</v>
      </c>
      <c r="B76" s="15" t="s">
        <v>9</v>
      </c>
      <c r="C76" s="3" t="s">
        <v>96</v>
      </c>
      <c r="D76" s="15" t="s">
        <v>9</v>
      </c>
      <c r="E76" s="15" t="s">
        <v>9</v>
      </c>
      <c r="F76" s="15" t="s">
        <v>9</v>
      </c>
      <c r="G76" s="15" t="s">
        <v>9</v>
      </c>
      <c r="H76" s="100"/>
    </row>
    <row r="77" spans="1:8" x14ac:dyDescent="0.2">
      <c r="A77" s="15" t="s">
        <v>9</v>
      </c>
      <c r="B77" s="15" t="s">
        <v>9</v>
      </c>
      <c r="C77" s="3" t="s">
        <v>94</v>
      </c>
      <c r="D77" s="15" t="s">
        <v>9</v>
      </c>
      <c r="E77" s="15" t="s">
        <v>9</v>
      </c>
      <c r="F77" s="13">
        <v>0</v>
      </c>
      <c r="G77" s="14">
        <v>0</v>
      </c>
      <c r="H77" s="100"/>
    </row>
    <row r="78" spans="1:8" x14ac:dyDescent="0.2">
      <c r="A78" s="15" t="s">
        <v>9</v>
      </c>
      <c r="B78" s="15" t="s">
        <v>9</v>
      </c>
      <c r="C78" s="11" t="s">
        <v>9</v>
      </c>
      <c r="D78" s="15" t="s">
        <v>9</v>
      </c>
      <c r="E78" s="15" t="s">
        <v>9</v>
      </c>
      <c r="F78" s="12" t="s">
        <v>9</v>
      </c>
      <c r="G78" s="12" t="s">
        <v>9</v>
      </c>
      <c r="H78" s="100"/>
    </row>
    <row r="79" spans="1:8" x14ac:dyDescent="0.2">
      <c r="A79" s="15" t="s">
        <v>9</v>
      </c>
      <c r="B79" s="15" t="s">
        <v>9</v>
      </c>
      <c r="C79" s="3" t="s">
        <v>100</v>
      </c>
      <c r="D79" s="15" t="s">
        <v>9</v>
      </c>
      <c r="E79" s="15" t="s">
        <v>9</v>
      </c>
      <c r="F79" s="15" t="s">
        <v>9</v>
      </c>
      <c r="G79" s="15" t="s">
        <v>9</v>
      </c>
      <c r="H79" s="100"/>
    </row>
    <row r="80" spans="1:8" x14ac:dyDescent="0.2">
      <c r="A80" s="15" t="s">
        <v>9</v>
      </c>
      <c r="B80" s="15" t="s">
        <v>9</v>
      </c>
      <c r="C80" s="3" t="s">
        <v>94</v>
      </c>
      <c r="D80" s="15" t="s">
        <v>9</v>
      </c>
      <c r="E80" s="15" t="s">
        <v>9</v>
      </c>
      <c r="F80" s="13">
        <v>0</v>
      </c>
      <c r="G80" s="14">
        <v>0</v>
      </c>
      <c r="H80" s="100"/>
    </row>
    <row r="81" spans="1:8" x14ac:dyDescent="0.2">
      <c r="A81" s="15" t="s">
        <v>9</v>
      </c>
      <c r="B81" s="15" t="s">
        <v>9</v>
      </c>
      <c r="C81" s="11" t="s">
        <v>9</v>
      </c>
      <c r="D81" s="15" t="s">
        <v>9</v>
      </c>
      <c r="E81" s="15" t="s">
        <v>9</v>
      </c>
      <c r="F81" s="12" t="s">
        <v>9</v>
      </c>
      <c r="G81" s="12" t="s">
        <v>9</v>
      </c>
      <c r="H81" s="100"/>
    </row>
    <row r="82" spans="1:8" x14ac:dyDescent="0.2">
      <c r="A82" s="15" t="s">
        <v>9</v>
      </c>
      <c r="B82" s="15" t="s">
        <v>9</v>
      </c>
      <c r="C82" s="3" t="s">
        <v>101</v>
      </c>
      <c r="D82" s="15" t="s">
        <v>9</v>
      </c>
      <c r="E82" s="15" t="s">
        <v>9</v>
      </c>
      <c r="F82" s="12" t="s">
        <v>9</v>
      </c>
      <c r="G82" s="12" t="s">
        <v>9</v>
      </c>
      <c r="H82" s="100"/>
    </row>
    <row r="83" spans="1:8" x14ac:dyDescent="0.2">
      <c r="A83" s="15" t="s">
        <v>9</v>
      </c>
      <c r="B83" s="15" t="s">
        <v>9</v>
      </c>
      <c r="C83" s="3" t="s">
        <v>94</v>
      </c>
      <c r="D83" s="15" t="s">
        <v>9</v>
      </c>
      <c r="E83" s="15" t="s">
        <v>9</v>
      </c>
      <c r="F83" s="13">
        <v>0</v>
      </c>
      <c r="G83" s="14">
        <v>0</v>
      </c>
      <c r="H83" s="100"/>
    </row>
    <row r="84" spans="1:8" x14ac:dyDescent="0.2">
      <c r="A84" s="15" t="s">
        <v>9</v>
      </c>
      <c r="B84" s="15" t="s">
        <v>9</v>
      </c>
      <c r="C84" s="11" t="s">
        <v>9</v>
      </c>
      <c r="D84" s="15" t="s">
        <v>9</v>
      </c>
      <c r="E84" s="15" t="s">
        <v>9</v>
      </c>
      <c r="F84" s="12" t="s">
        <v>9</v>
      </c>
      <c r="G84" s="12" t="s">
        <v>9</v>
      </c>
      <c r="H84" s="100"/>
    </row>
    <row r="85" spans="1:8" x14ac:dyDescent="0.2">
      <c r="A85" s="15" t="s">
        <v>9</v>
      </c>
      <c r="B85" s="15" t="s">
        <v>9</v>
      </c>
      <c r="C85" s="3" t="s">
        <v>102</v>
      </c>
      <c r="D85" s="15" t="s">
        <v>9</v>
      </c>
      <c r="E85" s="15" t="s">
        <v>9</v>
      </c>
      <c r="F85" s="12" t="s">
        <v>9</v>
      </c>
      <c r="G85" s="12" t="s">
        <v>9</v>
      </c>
      <c r="H85" s="100"/>
    </row>
    <row r="86" spans="1:8" x14ac:dyDescent="0.2">
      <c r="A86" s="15" t="s">
        <v>9</v>
      </c>
      <c r="B86" s="15" t="s">
        <v>9</v>
      </c>
      <c r="C86" s="3" t="s">
        <v>94</v>
      </c>
      <c r="D86" s="15" t="s">
        <v>9</v>
      </c>
      <c r="E86" s="15" t="s">
        <v>9</v>
      </c>
      <c r="F86" s="13">
        <v>0</v>
      </c>
      <c r="G86" s="14">
        <v>0</v>
      </c>
      <c r="H86" s="100"/>
    </row>
    <row r="87" spans="1:8" x14ac:dyDescent="0.2">
      <c r="A87" s="15" t="s">
        <v>9</v>
      </c>
      <c r="B87" s="15" t="s">
        <v>9</v>
      </c>
      <c r="C87" s="11" t="s">
        <v>9</v>
      </c>
      <c r="D87" s="15" t="s">
        <v>9</v>
      </c>
      <c r="E87" s="15" t="s">
        <v>9</v>
      </c>
      <c r="F87" s="12" t="s">
        <v>9</v>
      </c>
      <c r="G87" s="12" t="s">
        <v>9</v>
      </c>
      <c r="H87" s="100"/>
    </row>
    <row r="88" spans="1:8" x14ac:dyDescent="0.2">
      <c r="A88" s="15" t="s">
        <v>9</v>
      </c>
      <c r="B88" s="15" t="s">
        <v>9</v>
      </c>
      <c r="C88" s="3" t="s">
        <v>104</v>
      </c>
      <c r="D88" s="15" t="s">
        <v>9</v>
      </c>
      <c r="E88" s="15" t="s">
        <v>9</v>
      </c>
      <c r="F88" s="9">
        <v>66203.207045000003</v>
      </c>
      <c r="G88" s="10">
        <v>0.98673398599999995</v>
      </c>
      <c r="H88" s="100"/>
    </row>
    <row r="89" spans="1:8" x14ac:dyDescent="0.2">
      <c r="A89" s="15" t="s">
        <v>9</v>
      </c>
      <c r="B89" s="15" t="s">
        <v>9</v>
      </c>
      <c r="C89" s="11" t="s">
        <v>9</v>
      </c>
      <c r="D89" s="15" t="s">
        <v>9</v>
      </c>
      <c r="E89" s="15" t="s">
        <v>9</v>
      </c>
      <c r="F89" s="12" t="s">
        <v>9</v>
      </c>
      <c r="G89" s="12" t="s">
        <v>9</v>
      </c>
      <c r="H89" s="100"/>
    </row>
    <row r="90" spans="1:8" x14ac:dyDescent="0.2">
      <c r="A90" s="15" t="s">
        <v>9</v>
      </c>
      <c r="B90" s="15" t="s">
        <v>9</v>
      </c>
      <c r="C90" s="3" t="s">
        <v>105</v>
      </c>
      <c r="D90" s="15" t="s">
        <v>9</v>
      </c>
      <c r="E90" s="15" t="s">
        <v>9</v>
      </c>
      <c r="F90" s="12" t="s">
        <v>9</v>
      </c>
      <c r="G90" s="12" t="s">
        <v>9</v>
      </c>
      <c r="H90" s="100"/>
    </row>
    <row r="91" spans="1:8" ht="25.5" x14ac:dyDescent="0.2">
      <c r="A91" s="15" t="s">
        <v>9</v>
      </c>
      <c r="B91" s="15" t="s">
        <v>9</v>
      </c>
      <c r="C91" s="3" t="s">
        <v>11</v>
      </c>
      <c r="D91" s="15" t="s">
        <v>9</v>
      </c>
      <c r="E91" s="15" t="s">
        <v>9</v>
      </c>
      <c r="F91" s="12" t="s">
        <v>9</v>
      </c>
      <c r="G91" s="12" t="s">
        <v>9</v>
      </c>
      <c r="H91" s="100"/>
    </row>
    <row r="92" spans="1:8" x14ac:dyDescent="0.2">
      <c r="A92" s="15" t="s">
        <v>9</v>
      </c>
      <c r="B92" s="15" t="s">
        <v>9</v>
      </c>
      <c r="C92" s="3" t="s">
        <v>94</v>
      </c>
      <c r="D92" s="15" t="s">
        <v>9</v>
      </c>
      <c r="E92" s="15" t="s">
        <v>9</v>
      </c>
      <c r="F92" s="13">
        <v>0</v>
      </c>
      <c r="G92" s="14">
        <v>0</v>
      </c>
      <c r="H92" s="100"/>
    </row>
    <row r="93" spans="1:8" x14ac:dyDescent="0.2">
      <c r="A93" s="15" t="s">
        <v>9</v>
      </c>
      <c r="B93" s="15" t="s">
        <v>9</v>
      </c>
      <c r="C93" s="11" t="s">
        <v>9</v>
      </c>
      <c r="D93" s="15" t="s">
        <v>9</v>
      </c>
      <c r="E93" s="15" t="s">
        <v>9</v>
      </c>
      <c r="F93" s="12" t="s">
        <v>9</v>
      </c>
      <c r="G93" s="12" t="s">
        <v>9</v>
      </c>
      <c r="H93" s="100"/>
    </row>
    <row r="94" spans="1:8" x14ac:dyDescent="0.2">
      <c r="A94" s="15" t="s">
        <v>9</v>
      </c>
      <c r="B94" s="15" t="s">
        <v>9</v>
      </c>
      <c r="C94" s="3" t="s">
        <v>106</v>
      </c>
      <c r="D94" s="15" t="s">
        <v>9</v>
      </c>
      <c r="E94" s="15" t="s">
        <v>9</v>
      </c>
      <c r="F94" s="15" t="s">
        <v>9</v>
      </c>
      <c r="G94" s="15" t="s">
        <v>9</v>
      </c>
      <c r="H94" s="100"/>
    </row>
    <row r="95" spans="1:8" x14ac:dyDescent="0.2">
      <c r="A95" s="15" t="s">
        <v>9</v>
      </c>
      <c r="B95" s="15" t="s">
        <v>9</v>
      </c>
      <c r="C95" s="3" t="s">
        <v>94</v>
      </c>
      <c r="D95" s="15" t="s">
        <v>9</v>
      </c>
      <c r="E95" s="15" t="s">
        <v>9</v>
      </c>
      <c r="F95" s="13">
        <v>0</v>
      </c>
      <c r="G95" s="14">
        <v>0</v>
      </c>
      <c r="H95" s="100"/>
    </row>
    <row r="96" spans="1:8" x14ac:dyDescent="0.2">
      <c r="A96" s="15" t="s">
        <v>9</v>
      </c>
      <c r="B96" s="15" t="s">
        <v>9</v>
      </c>
      <c r="C96" s="11" t="s">
        <v>9</v>
      </c>
      <c r="D96" s="15" t="s">
        <v>9</v>
      </c>
      <c r="E96" s="15" t="s">
        <v>9</v>
      </c>
      <c r="F96" s="12" t="s">
        <v>9</v>
      </c>
      <c r="G96" s="12" t="s">
        <v>9</v>
      </c>
      <c r="H96" s="100"/>
    </row>
    <row r="97" spans="1:8" x14ac:dyDescent="0.2">
      <c r="A97" s="15" t="s">
        <v>9</v>
      </c>
      <c r="B97" s="15" t="s">
        <v>9</v>
      </c>
      <c r="C97" s="3" t="s">
        <v>107</v>
      </c>
      <c r="D97" s="15" t="s">
        <v>9</v>
      </c>
      <c r="E97" s="15" t="s">
        <v>9</v>
      </c>
      <c r="F97" s="15" t="s">
        <v>9</v>
      </c>
      <c r="G97" s="15" t="s">
        <v>9</v>
      </c>
      <c r="H97" s="100"/>
    </row>
    <row r="98" spans="1:8" x14ac:dyDescent="0.2">
      <c r="A98" s="15" t="s">
        <v>9</v>
      </c>
      <c r="B98" s="15" t="s">
        <v>9</v>
      </c>
      <c r="C98" s="3" t="s">
        <v>94</v>
      </c>
      <c r="D98" s="15" t="s">
        <v>9</v>
      </c>
      <c r="E98" s="15" t="s">
        <v>9</v>
      </c>
      <c r="F98" s="13">
        <v>0</v>
      </c>
      <c r="G98" s="14">
        <v>0</v>
      </c>
      <c r="H98" s="100"/>
    </row>
    <row r="99" spans="1:8" x14ac:dyDescent="0.2">
      <c r="A99" s="15" t="s">
        <v>9</v>
      </c>
      <c r="B99" s="15" t="s">
        <v>9</v>
      </c>
      <c r="C99" s="11" t="s">
        <v>9</v>
      </c>
      <c r="D99" s="15" t="s">
        <v>9</v>
      </c>
      <c r="E99" s="15" t="s">
        <v>9</v>
      </c>
      <c r="F99" s="12" t="s">
        <v>9</v>
      </c>
      <c r="G99" s="12" t="s">
        <v>9</v>
      </c>
      <c r="H99" s="100"/>
    </row>
    <row r="100" spans="1:8" x14ac:dyDescent="0.2">
      <c r="A100" s="15" t="s">
        <v>9</v>
      </c>
      <c r="B100" s="15" t="s">
        <v>9</v>
      </c>
      <c r="C100" s="3" t="s">
        <v>108</v>
      </c>
      <c r="D100" s="15" t="s">
        <v>9</v>
      </c>
      <c r="E100" s="15" t="s">
        <v>9</v>
      </c>
      <c r="F100" s="12" t="s">
        <v>9</v>
      </c>
      <c r="G100" s="12" t="s">
        <v>9</v>
      </c>
      <c r="H100" s="100"/>
    </row>
    <row r="101" spans="1:8" x14ac:dyDescent="0.2">
      <c r="A101" s="15" t="s">
        <v>9</v>
      </c>
      <c r="B101" s="15" t="s">
        <v>9</v>
      </c>
      <c r="C101" s="3" t="s">
        <v>94</v>
      </c>
      <c r="D101" s="15" t="s">
        <v>9</v>
      </c>
      <c r="E101" s="15" t="s">
        <v>9</v>
      </c>
      <c r="F101" s="13">
        <v>0</v>
      </c>
      <c r="G101" s="14">
        <v>0</v>
      </c>
      <c r="H101" s="100"/>
    </row>
    <row r="102" spans="1:8" x14ac:dyDescent="0.2">
      <c r="A102" s="15" t="s">
        <v>9</v>
      </c>
      <c r="B102" s="15" t="s">
        <v>9</v>
      </c>
      <c r="C102" s="11" t="s">
        <v>9</v>
      </c>
      <c r="D102" s="15" t="s">
        <v>9</v>
      </c>
      <c r="E102" s="15" t="s">
        <v>9</v>
      </c>
      <c r="F102" s="12" t="s">
        <v>9</v>
      </c>
      <c r="G102" s="12" t="s">
        <v>9</v>
      </c>
      <c r="H102" s="100"/>
    </row>
    <row r="103" spans="1:8" x14ac:dyDescent="0.2">
      <c r="A103" s="15" t="s">
        <v>9</v>
      </c>
      <c r="B103" s="15" t="s">
        <v>9</v>
      </c>
      <c r="C103" s="3" t="s">
        <v>109</v>
      </c>
      <c r="D103" s="15" t="s">
        <v>9</v>
      </c>
      <c r="E103" s="15" t="s">
        <v>9</v>
      </c>
      <c r="F103" s="9">
        <v>0</v>
      </c>
      <c r="G103" s="10">
        <v>0</v>
      </c>
      <c r="H103" s="100"/>
    </row>
    <row r="104" spans="1:8" x14ac:dyDescent="0.2">
      <c r="A104" s="15" t="s">
        <v>9</v>
      </c>
      <c r="B104" s="15" t="s">
        <v>9</v>
      </c>
      <c r="C104" s="11" t="s">
        <v>9</v>
      </c>
      <c r="D104" s="15" t="s">
        <v>9</v>
      </c>
      <c r="E104" s="15" t="s">
        <v>9</v>
      </c>
      <c r="F104" s="12" t="s">
        <v>9</v>
      </c>
      <c r="G104" s="12" t="s">
        <v>9</v>
      </c>
      <c r="H104" s="100"/>
    </row>
    <row r="105" spans="1:8" x14ac:dyDescent="0.2">
      <c r="A105" s="15" t="s">
        <v>9</v>
      </c>
      <c r="B105" s="15" t="s">
        <v>9</v>
      </c>
      <c r="C105" s="3" t="s">
        <v>110</v>
      </c>
      <c r="D105" s="15" t="s">
        <v>9</v>
      </c>
      <c r="E105" s="15" t="s">
        <v>9</v>
      </c>
      <c r="F105" s="12" t="s">
        <v>9</v>
      </c>
      <c r="G105" s="12" t="s">
        <v>9</v>
      </c>
      <c r="H105" s="100"/>
    </row>
    <row r="106" spans="1:8" x14ac:dyDescent="0.2">
      <c r="A106" s="15" t="s">
        <v>9</v>
      </c>
      <c r="B106" s="15" t="s">
        <v>9</v>
      </c>
      <c r="C106" s="3" t="s">
        <v>111</v>
      </c>
      <c r="D106" s="15" t="s">
        <v>9</v>
      </c>
      <c r="E106" s="15" t="s">
        <v>9</v>
      </c>
      <c r="F106" s="12" t="s">
        <v>9</v>
      </c>
      <c r="G106" s="12" t="s">
        <v>9</v>
      </c>
      <c r="H106" s="100"/>
    </row>
    <row r="107" spans="1:8" x14ac:dyDescent="0.2">
      <c r="A107" s="15" t="s">
        <v>9</v>
      </c>
      <c r="B107" s="15" t="s">
        <v>9</v>
      </c>
      <c r="C107" s="3" t="s">
        <v>94</v>
      </c>
      <c r="D107" s="15" t="s">
        <v>9</v>
      </c>
      <c r="E107" s="15" t="s">
        <v>9</v>
      </c>
      <c r="F107" s="13">
        <v>0</v>
      </c>
      <c r="G107" s="14">
        <v>0</v>
      </c>
      <c r="H107" s="100"/>
    </row>
    <row r="108" spans="1:8" x14ac:dyDescent="0.2">
      <c r="A108" s="15" t="s">
        <v>9</v>
      </c>
      <c r="B108" s="15" t="s">
        <v>9</v>
      </c>
      <c r="C108" s="11" t="s">
        <v>9</v>
      </c>
      <c r="D108" s="15" t="s">
        <v>9</v>
      </c>
      <c r="E108" s="15" t="s">
        <v>9</v>
      </c>
      <c r="F108" s="12" t="s">
        <v>9</v>
      </c>
      <c r="G108" s="12" t="s">
        <v>9</v>
      </c>
      <c r="H108" s="100"/>
    </row>
    <row r="109" spans="1:8" x14ac:dyDescent="0.2">
      <c r="A109" s="15" t="s">
        <v>9</v>
      </c>
      <c r="B109" s="15" t="s">
        <v>9</v>
      </c>
      <c r="C109" s="3" t="s">
        <v>112</v>
      </c>
      <c r="D109" s="15" t="s">
        <v>9</v>
      </c>
      <c r="E109" s="15" t="s">
        <v>9</v>
      </c>
      <c r="F109" s="12" t="s">
        <v>9</v>
      </c>
      <c r="G109" s="12" t="s">
        <v>9</v>
      </c>
      <c r="H109" s="100"/>
    </row>
    <row r="110" spans="1:8" x14ac:dyDescent="0.2">
      <c r="A110" s="15" t="s">
        <v>9</v>
      </c>
      <c r="B110" s="15" t="s">
        <v>9</v>
      </c>
      <c r="C110" s="3" t="s">
        <v>94</v>
      </c>
      <c r="D110" s="15" t="s">
        <v>9</v>
      </c>
      <c r="E110" s="15" t="s">
        <v>9</v>
      </c>
      <c r="F110" s="13">
        <v>0</v>
      </c>
      <c r="G110" s="14">
        <v>0</v>
      </c>
      <c r="H110" s="100"/>
    </row>
    <row r="111" spans="1:8" x14ac:dyDescent="0.2">
      <c r="A111" s="15" t="s">
        <v>9</v>
      </c>
      <c r="B111" s="15" t="s">
        <v>9</v>
      </c>
      <c r="C111" s="11" t="s">
        <v>9</v>
      </c>
      <c r="D111" s="15" t="s">
        <v>9</v>
      </c>
      <c r="E111" s="15" t="s">
        <v>9</v>
      </c>
      <c r="F111" s="12" t="s">
        <v>9</v>
      </c>
      <c r="G111" s="12" t="s">
        <v>9</v>
      </c>
      <c r="H111" s="100"/>
    </row>
    <row r="112" spans="1:8" x14ac:dyDescent="0.2">
      <c r="A112" s="15" t="s">
        <v>9</v>
      </c>
      <c r="B112" s="15" t="s">
        <v>9</v>
      </c>
      <c r="C112" s="3" t="s">
        <v>113</v>
      </c>
      <c r="D112" s="15" t="s">
        <v>9</v>
      </c>
      <c r="E112" s="15" t="s">
        <v>9</v>
      </c>
      <c r="F112" s="12" t="s">
        <v>9</v>
      </c>
      <c r="G112" s="12" t="s">
        <v>9</v>
      </c>
      <c r="H112" s="100"/>
    </row>
    <row r="113" spans="1:8" x14ac:dyDescent="0.2">
      <c r="A113" s="15" t="s">
        <v>9</v>
      </c>
      <c r="B113" s="15" t="s">
        <v>9</v>
      </c>
      <c r="C113" s="3" t="s">
        <v>94</v>
      </c>
      <c r="D113" s="15" t="s">
        <v>9</v>
      </c>
      <c r="E113" s="15" t="s">
        <v>9</v>
      </c>
      <c r="F113" s="13">
        <v>0</v>
      </c>
      <c r="G113" s="14">
        <v>0</v>
      </c>
      <c r="H113" s="100"/>
    </row>
    <row r="114" spans="1:8" x14ac:dyDescent="0.2">
      <c r="A114" s="15" t="s">
        <v>9</v>
      </c>
      <c r="B114" s="15" t="s">
        <v>9</v>
      </c>
      <c r="C114" s="11" t="s">
        <v>9</v>
      </c>
      <c r="D114" s="15" t="s">
        <v>9</v>
      </c>
      <c r="E114" s="15" t="s">
        <v>9</v>
      </c>
      <c r="F114" s="12" t="s">
        <v>9</v>
      </c>
      <c r="G114" s="12" t="s">
        <v>9</v>
      </c>
      <c r="H114" s="100"/>
    </row>
    <row r="115" spans="1:8" x14ac:dyDescent="0.2">
      <c r="A115" s="15" t="s">
        <v>9</v>
      </c>
      <c r="B115" s="15" t="s">
        <v>9</v>
      </c>
      <c r="C115" s="3" t="s">
        <v>114</v>
      </c>
      <c r="D115" s="15" t="s">
        <v>9</v>
      </c>
      <c r="E115" s="15" t="s">
        <v>9</v>
      </c>
      <c r="F115" s="12" t="s">
        <v>9</v>
      </c>
      <c r="G115" s="12" t="s">
        <v>9</v>
      </c>
      <c r="H115" s="100"/>
    </row>
    <row r="116" spans="1:8" x14ac:dyDescent="0.2">
      <c r="A116" s="4">
        <v>1</v>
      </c>
      <c r="B116" s="5"/>
      <c r="C116" s="5" t="s">
        <v>115</v>
      </c>
      <c r="D116" s="5"/>
      <c r="E116" s="15" t="s">
        <v>9</v>
      </c>
      <c r="F116" s="7">
        <v>1062.5499222999999</v>
      </c>
      <c r="G116" s="8">
        <v>1.5836908E-2</v>
      </c>
      <c r="H116" s="99">
        <v>3.2516689338443991</v>
      </c>
    </row>
    <row r="117" spans="1:8" x14ac:dyDescent="0.2">
      <c r="A117" s="4">
        <v>2</v>
      </c>
      <c r="B117" s="5"/>
      <c r="C117" s="5" t="s">
        <v>116</v>
      </c>
      <c r="D117" s="5"/>
      <c r="E117" s="15" t="s">
        <v>9</v>
      </c>
      <c r="F117" s="7">
        <v>145.5790543</v>
      </c>
      <c r="G117" s="8">
        <v>2.1698009999999998E-3</v>
      </c>
      <c r="H117" s="100">
        <v>3.350000000000001</v>
      </c>
    </row>
    <row r="118" spans="1:8" x14ac:dyDescent="0.2">
      <c r="A118" s="15" t="s">
        <v>9</v>
      </c>
      <c r="B118" s="15" t="s">
        <v>9</v>
      </c>
      <c r="C118" s="3" t="s">
        <v>94</v>
      </c>
      <c r="D118" s="15" t="s">
        <v>9</v>
      </c>
      <c r="E118" s="15" t="s">
        <v>9</v>
      </c>
      <c r="F118" s="9">
        <v>1208.1289766</v>
      </c>
      <c r="G118" s="10">
        <v>1.8006708999999999E-2</v>
      </c>
      <c r="H118" s="100"/>
    </row>
    <row r="119" spans="1:8" x14ac:dyDescent="0.2">
      <c r="A119" s="15" t="s">
        <v>9</v>
      </c>
      <c r="B119" s="15" t="s">
        <v>9</v>
      </c>
      <c r="C119" s="11" t="s">
        <v>9</v>
      </c>
      <c r="D119" s="15" t="s">
        <v>9</v>
      </c>
      <c r="E119" s="15" t="s">
        <v>9</v>
      </c>
      <c r="F119" s="12" t="s">
        <v>9</v>
      </c>
      <c r="G119" s="12" t="s">
        <v>9</v>
      </c>
      <c r="H119" s="100"/>
    </row>
    <row r="120" spans="1:8" x14ac:dyDescent="0.2">
      <c r="A120" s="15" t="s">
        <v>9</v>
      </c>
      <c r="B120" s="15" t="s">
        <v>9</v>
      </c>
      <c r="C120" s="3" t="s">
        <v>117</v>
      </c>
      <c r="D120" s="15" t="s">
        <v>9</v>
      </c>
      <c r="E120" s="15" t="s">
        <v>9</v>
      </c>
      <c r="F120" s="9">
        <v>1208.1289766</v>
      </c>
      <c r="G120" s="10">
        <v>1.8006708999999999E-2</v>
      </c>
      <c r="H120" s="100"/>
    </row>
    <row r="121" spans="1:8" x14ac:dyDescent="0.2">
      <c r="A121" s="15" t="s">
        <v>9</v>
      </c>
      <c r="B121" s="15" t="s">
        <v>9</v>
      </c>
      <c r="C121" s="12" t="s">
        <v>9</v>
      </c>
      <c r="D121" s="15" t="s">
        <v>9</v>
      </c>
      <c r="E121" s="15" t="s">
        <v>9</v>
      </c>
      <c r="F121" s="15" t="s">
        <v>9</v>
      </c>
      <c r="G121" s="15" t="s">
        <v>9</v>
      </c>
      <c r="H121" s="100"/>
    </row>
    <row r="122" spans="1:8" x14ac:dyDescent="0.2">
      <c r="A122" s="15" t="s">
        <v>9</v>
      </c>
      <c r="B122" s="15" t="s">
        <v>9</v>
      </c>
      <c r="C122" s="3" t="s">
        <v>118</v>
      </c>
      <c r="D122" s="15" t="s">
        <v>9</v>
      </c>
      <c r="E122" s="15" t="s">
        <v>9</v>
      </c>
      <c r="F122" s="15" t="s">
        <v>9</v>
      </c>
      <c r="G122" s="15" t="s">
        <v>9</v>
      </c>
      <c r="H122" s="100"/>
    </row>
    <row r="123" spans="1:8" x14ac:dyDescent="0.2">
      <c r="A123" s="15" t="s">
        <v>9</v>
      </c>
      <c r="B123" s="15" t="s">
        <v>9</v>
      </c>
      <c r="C123" s="3" t="s">
        <v>119</v>
      </c>
      <c r="D123" s="15" t="s">
        <v>9</v>
      </c>
      <c r="E123" s="15" t="s">
        <v>9</v>
      </c>
      <c r="F123" s="15" t="s">
        <v>9</v>
      </c>
      <c r="G123" s="15" t="s">
        <v>9</v>
      </c>
      <c r="H123" s="100"/>
    </row>
    <row r="124" spans="1:8" x14ac:dyDescent="0.2">
      <c r="A124" s="15" t="s">
        <v>9</v>
      </c>
      <c r="B124" s="15" t="s">
        <v>9</v>
      </c>
      <c r="C124" s="3" t="s">
        <v>94</v>
      </c>
      <c r="D124" s="15" t="s">
        <v>9</v>
      </c>
      <c r="E124" s="15" t="s">
        <v>9</v>
      </c>
      <c r="F124" s="13">
        <v>0</v>
      </c>
      <c r="G124" s="14">
        <v>0</v>
      </c>
      <c r="H124" s="100"/>
    </row>
    <row r="125" spans="1:8" x14ac:dyDescent="0.2">
      <c r="A125" s="15" t="s">
        <v>9</v>
      </c>
      <c r="B125" s="15" t="s">
        <v>9</v>
      </c>
      <c r="C125" s="11" t="s">
        <v>9</v>
      </c>
      <c r="D125" s="15" t="s">
        <v>9</v>
      </c>
      <c r="E125" s="15" t="s">
        <v>9</v>
      </c>
      <c r="F125" s="12" t="s">
        <v>9</v>
      </c>
      <c r="G125" s="12" t="s">
        <v>9</v>
      </c>
      <c r="H125" s="100"/>
    </row>
    <row r="126" spans="1:8" x14ac:dyDescent="0.2">
      <c r="A126" s="15" t="s">
        <v>9</v>
      </c>
      <c r="B126" s="15" t="s">
        <v>9</v>
      </c>
      <c r="C126" s="3" t="s">
        <v>120</v>
      </c>
      <c r="D126" s="15" t="s">
        <v>9</v>
      </c>
      <c r="E126" s="15" t="s">
        <v>9</v>
      </c>
      <c r="F126" s="15" t="s">
        <v>9</v>
      </c>
      <c r="G126" s="15" t="s">
        <v>9</v>
      </c>
      <c r="H126" s="100"/>
    </row>
    <row r="127" spans="1:8" x14ac:dyDescent="0.2">
      <c r="A127" s="15" t="s">
        <v>9</v>
      </c>
      <c r="B127" s="15" t="s">
        <v>9</v>
      </c>
      <c r="C127" s="3" t="s">
        <v>121</v>
      </c>
      <c r="D127" s="15" t="s">
        <v>9</v>
      </c>
      <c r="E127" s="15" t="s">
        <v>9</v>
      </c>
      <c r="F127" s="15" t="s">
        <v>9</v>
      </c>
      <c r="G127" s="15" t="s">
        <v>9</v>
      </c>
      <c r="H127" s="100"/>
    </row>
    <row r="128" spans="1:8" x14ac:dyDescent="0.2">
      <c r="A128" s="15" t="s">
        <v>9</v>
      </c>
      <c r="B128" s="15" t="s">
        <v>9</v>
      </c>
      <c r="C128" s="3" t="s">
        <v>94</v>
      </c>
      <c r="D128" s="15" t="s">
        <v>9</v>
      </c>
      <c r="E128" s="15" t="s">
        <v>9</v>
      </c>
      <c r="F128" s="13">
        <v>0</v>
      </c>
      <c r="G128" s="14">
        <v>0</v>
      </c>
      <c r="H128" s="100"/>
    </row>
    <row r="129" spans="1:8" x14ac:dyDescent="0.2">
      <c r="A129" s="15" t="s">
        <v>9</v>
      </c>
      <c r="B129" s="15" t="s">
        <v>9</v>
      </c>
      <c r="C129" s="11" t="s">
        <v>9</v>
      </c>
      <c r="D129" s="15" t="s">
        <v>9</v>
      </c>
      <c r="E129" s="15" t="s">
        <v>9</v>
      </c>
      <c r="F129" s="12" t="s">
        <v>9</v>
      </c>
      <c r="G129" s="12" t="s">
        <v>9</v>
      </c>
      <c r="H129" s="100"/>
    </row>
    <row r="130" spans="1:8" x14ac:dyDescent="0.2">
      <c r="A130" s="15" t="s">
        <v>9</v>
      </c>
      <c r="B130" s="15" t="s">
        <v>9</v>
      </c>
      <c r="C130" s="11" t="s">
        <v>9</v>
      </c>
      <c r="D130" s="15" t="s">
        <v>9</v>
      </c>
      <c r="E130" s="15" t="s">
        <v>9</v>
      </c>
      <c r="F130" s="12" t="s">
        <v>9</v>
      </c>
      <c r="G130" s="12" t="s">
        <v>9</v>
      </c>
      <c r="H130" s="100"/>
    </row>
    <row r="131" spans="1:8" ht="25.5" x14ac:dyDescent="0.2">
      <c r="A131" s="15" t="s">
        <v>9</v>
      </c>
      <c r="B131" s="15" t="s">
        <v>9</v>
      </c>
      <c r="C131" s="3" t="s">
        <v>122</v>
      </c>
      <c r="D131" s="15" t="s">
        <v>9</v>
      </c>
      <c r="E131" s="15" t="s">
        <v>9</v>
      </c>
      <c r="F131" s="12" t="s">
        <v>9</v>
      </c>
      <c r="G131" s="12" t="s">
        <v>9</v>
      </c>
      <c r="H131" s="100"/>
    </row>
    <row r="132" spans="1:8" x14ac:dyDescent="0.2">
      <c r="A132" s="15" t="s">
        <v>9</v>
      </c>
      <c r="B132" s="15" t="s">
        <v>9</v>
      </c>
      <c r="C132" s="3" t="s">
        <v>94</v>
      </c>
      <c r="D132" s="15" t="s">
        <v>9</v>
      </c>
      <c r="E132" s="15" t="s">
        <v>9</v>
      </c>
      <c r="F132" s="13">
        <v>0</v>
      </c>
      <c r="G132" s="14">
        <v>0</v>
      </c>
      <c r="H132" s="100"/>
    </row>
    <row r="133" spans="1:8" x14ac:dyDescent="0.2">
      <c r="A133" s="15" t="s">
        <v>9</v>
      </c>
      <c r="B133" s="15" t="s">
        <v>9</v>
      </c>
      <c r="C133" s="11" t="s">
        <v>9</v>
      </c>
      <c r="D133" s="15" t="s">
        <v>9</v>
      </c>
      <c r="E133" s="15" t="s">
        <v>9</v>
      </c>
      <c r="F133" s="12" t="s">
        <v>9</v>
      </c>
      <c r="G133" s="12" t="s">
        <v>9</v>
      </c>
      <c r="H133" s="100"/>
    </row>
    <row r="134" spans="1:8" x14ac:dyDescent="0.2">
      <c r="A134" s="15" t="s">
        <v>9</v>
      </c>
      <c r="B134" s="5" t="s">
        <v>9</v>
      </c>
      <c r="C134" s="5" t="s">
        <v>9</v>
      </c>
      <c r="D134" s="3" t="s">
        <v>9</v>
      </c>
      <c r="E134" s="15" t="s">
        <v>9</v>
      </c>
      <c r="F134" s="5" t="s">
        <v>9</v>
      </c>
      <c r="G134" s="15" t="s">
        <v>9</v>
      </c>
      <c r="H134" s="100"/>
    </row>
    <row r="135" spans="1:8" x14ac:dyDescent="0.2">
      <c r="A135" s="15" t="s">
        <v>9</v>
      </c>
      <c r="B135" s="5" t="s">
        <v>9</v>
      </c>
      <c r="C135" s="5" t="s">
        <v>124</v>
      </c>
      <c r="D135" s="5" t="s">
        <v>9</v>
      </c>
      <c r="E135" s="15" t="s">
        <v>9</v>
      </c>
      <c r="F135" s="7">
        <v>-318.06862591999999</v>
      </c>
      <c r="G135" s="8">
        <v>-4.7406940000000002E-3</v>
      </c>
      <c r="H135" s="100"/>
    </row>
    <row r="136" spans="1:8" x14ac:dyDescent="0.2">
      <c r="A136" s="11" t="s">
        <v>9</v>
      </c>
      <c r="B136" s="11" t="s">
        <v>9</v>
      </c>
      <c r="C136" s="3" t="s">
        <v>125</v>
      </c>
      <c r="D136" s="16" t="s">
        <v>9</v>
      </c>
      <c r="E136" s="16" t="s">
        <v>9</v>
      </c>
      <c r="F136" s="9">
        <v>67093.267395679999</v>
      </c>
      <c r="G136" s="10">
        <v>1.0000000010000001</v>
      </c>
      <c r="H136" s="100"/>
    </row>
    <row r="137" spans="1:8" x14ac:dyDescent="0.2">
      <c r="A137" s="17" t="s">
        <v>9</v>
      </c>
      <c r="B137" s="17" t="s">
        <v>9</v>
      </c>
      <c r="C137" s="17" t="s">
        <v>9</v>
      </c>
      <c r="D137" s="18" t="s">
        <v>9</v>
      </c>
      <c r="E137" s="18" t="s">
        <v>9</v>
      </c>
      <c r="F137" s="18" t="s">
        <v>9</v>
      </c>
      <c r="G137" s="18" t="s">
        <v>9</v>
      </c>
      <c r="H137" s="142"/>
    </row>
    <row r="138" spans="1:8" x14ac:dyDescent="0.2">
      <c r="A138" s="19" t="s">
        <v>9</v>
      </c>
      <c r="B138" s="254" t="s">
        <v>9</v>
      </c>
      <c r="C138" s="254"/>
      <c r="D138" s="254"/>
      <c r="E138" s="254"/>
      <c r="F138" s="254"/>
      <c r="G138" s="20" t="s">
        <v>9</v>
      </c>
      <c r="H138" s="142"/>
    </row>
    <row r="139" spans="1:8" x14ac:dyDescent="0.2">
      <c r="A139" s="19" t="s">
        <v>9</v>
      </c>
      <c r="B139" s="254" t="s">
        <v>9</v>
      </c>
      <c r="C139" s="254"/>
      <c r="D139" s="254"/>
      <c r="E139" s="254"/>
      <c r="F139" s="254"/>
      <c r="G139" s="20" t="s">
        <v>9</v>
      </c>
      <c r="H139" s="142"/>
    </row>
    <row r="140" spans="1:8" x14ac:dyDescent="0.2">
      <c r="A140" s="19" t="s">
        <v>9</v>
      </c>
      <c r="B140" s="19" t="s">
        <v>9</v>
      </c>
      <c r="C140" s="19" t="s">
        <v>9</v>
      </c>
      <c r="D140" s="20" t="s">
        <v>9</v>
      </c>
      <c r="E140" s="20" t="s">
        <v>9</v>
      </c>
      <c r="F140" s="20" t="s">
        <v>9</v>
      </c>
      <c r="G140" s="20" t="s">
        <v>9</v>
      </c>
      <c r="H140" s="142"/>
    </row>
    <row r="141" spans="1:8" s="181" customFormat="1" x14ac:dyDescent="0.2">
      <c r="A141" s="176" t="s">
        <v>9</v>
      </c>
      <c r="B141" s="247" t="s">
        <v>127</v>
      </c>
      <c r="C141" s="248"/>
      <c r="D141" s="182" t="s">
        <v>9</v>
      </c>
      <c r="E141" s="178" t="s">
        <v>9</v>
      </c>
      <c r="F141" s="179" t="s">
        <v>9</v>
      </c>
      <c r="G141" s="179" t="s">
        <v>9</v>
      </c>
      <c r="H141" s="180"/>
    </row>
    <row r="142" spans="1:8" ht="28.5" customHeight="1" x14ac:dyDescent="0.2">
      <c r="A142" s="19" t="s">
        <v>9</v>
      </c>
      <c r="B142" s="242" t="s">
        <v>128</v>
      </c>
      <c r="C142" s="243"/>
      <c r="D142" s="3" t="s">
        <v>129</v>
      </c>
      <c r="E142" s="21" t="s">
        <v>9</v>
      </c>
      <c r="F142" s="20" t="s">
        <v>9</v>
      </c>
      <c r="G142" s="20" t="s">
        <v>9</v>
      </c>
      <c r="H142" s="142"/>
    </row>
    <row r="143" spans="1:8" s="181" customFormat="1" x14ac:dyDescent="0.2">
      <c r="A143" s="176" t="s">
        <v>9</v>
      </c>
      <c r="B143" s="240" t="s">
        <v>130</v>
      </c>
      <c r="C143" s="241"/>
      <c r="D143" s="177" t="s">
        <v>129</v>
      </c>
      <c r="E143" s="178" t="s">
        <v>9</v>
      </c>
      <c r="F143" s="179" t="s">
        <v>9</v>
      </c>
      <c r="G143" s="179" t="s">
        <v>9</v>
      </c>
      <c r="H143" s="180"/>
    </row>
    <row r="144" spans="1:8" s="181" customFormat="1" x14ac:dyDescent="0.2">
      <c r="A144" s="176" t="s">
        <v>9</v>
      </c>
      <c r="B144" s="240" t="s">
        <v>131</v>
      </c>
      <c r="C144" s="241"/>
      <c r="D144" s="182" t="s">
        <v>9</v>
      </c>
      <c r="E144" s="178" t="s">
        <v>9</v>
      </c>
      <c r="F144" s="179" t="s">
        <v>9</v>
      </c>
      <c r="G144" s="179" t="s">
        <v>9</v>
      </c>
      <c r="H144" s="180"/>
    </row>
    <row r="145" spans="1:8" s="181" customFormat="1" ht="25.5" x14ac:dyDescent="0.2">
      <c r="A145" s="22" t="s">
        <v>9</v>
      </c>
      <c r="B145" s="23" t="s">
        <v>9</v>
      </c>
      <c r="C145" s="23" t="s">
        <v>132</v>
      </c>
      <c r="D145" s="23" t="s">
        <v>133</v>
      </c>
      <c r="E145" s="22" t="s">
        <v>9</v>
      </c>
      <c r="F145" s="22" t="s">
        <v>9</v>
      </c>
      <c r="G145" s="22" t="s">
        <v>9</v>
      </c>
      <c r="H145" s="180"/>
    </row>
    <row r="146" spans="1:8" s="181" customFormat="1" x14ac:dyDescent="0.2">
      <c r="A146" s="22" t="s">
        <v>9</v>
      </c>
      <c r="B146" s="23" t="s">
        <v>134</v>
      </c>
      <c r="C146" s="23" t="s">
        <v>135</v>
      </c>
      <c r="D146" s="23" t="s">
        <v>136</v>
      </c>
      <c r="E146" s="22" t="s">
        <v>9</v>
      </c>
      <c r="F146" s="22" t="s">
        <v>9</v>
      </c>
      <c r="G146" s="22" t="s">
        <v>9</v>
      </c>
      <c r="H146" s="180"/>
    </row>
    <row r="147" spans="1:8" s="181" customFormat="1" x14ac:dyDescent="0.2">
      <c r="A147" s="22" t="s">
        <v>9</v>
      </c>
      <c r="B147" s="183" t="s">
        <v>137</v>
      </c>
      <c r="C147" s="184">
        <v>13.617000000000001</v>
      </c>
      <c r="D147" s="184">
        <v>13.7066</v>
      </c>
      <c r="E147" s="22" t="s">
        <v>9</v>
      </c>
      <c r="F147" s="185" t="s">
        <v>9</v>
      </c>
      <c r="G147" s="22" t="s">
        <v>9</v>
      </c>
      <c r="H147" s="180"/>
    </row>
    <row r="148" spans="1:8" s="181" customFormat="1" x14ac:dyDescent="0.2">
      <c r="A148" s="22" t="s">
        <v>9</v>
      </c>
      <c r="B148" s="183" t="s">
        <v>921</v>
      </c>
      <c r="C148" s="184">
        <v>13.6036</v>
      </c>
      <c r="D148" s="184">
        <v>13.693199999999999</v>
      </c>
      <c r="E148" s="22" t="s">
        <v>9</v>
      </c>
      <c r="F148" s="185" t="s">
        <v>9</v>
      </c>
      <c r="G148" s="22" t="s">
        <v>9</v>
      </c>
      <c r="H148" s="180"/>
    </row>
    <row r="149" spans="1:8" s="181" customFormat="1" x14ac:dyDescent="0.2">
      <c r="A149" s="22" t="s">
        <v>9</v>
      </c>
      <c r="B149" s="183" t="s">
        <v>138</v>
      </c>
      <c r="C149" s="184">
        <v>13.2095</v>
      </c>
      <c r="D149" s="184">
        <v>13.278600000000001</v>
      </c>
      <c r="E149" s="22" t="s">
        <v>9</v>
      </c>
      <c r="F149" s="185" t="s">
        <v>9</v>
      </c>
      <c r="G149" s="22" t="s">
        <v>9</v>
      </c>
      <c r="H149" s="180"/>
    </row>
    <row r="150" spans="1:8" s="181" customFormat="1" x14ac:dyDescent="0.2">
      <c r="A150" s="22" t="s">
        <v>9</v>
      </c>
      <c r="B150" s="183" t="s">
        <v>922</v>
      </c>
      <c r="C150" s="184">
        <v>13.209899999999999</v>
      </c>
      <c r="D150" s="184">
        <v>13.279</v>
      </c>
      <c r="E150" s="22" t="s">
        <v>9</v>
      </c>
      <c r="F150" s="185" t="s">
        <v>9</v>
      </c>
      <c r="G150" s="22" t="s">
        <v>9</v>
      </c>
      <c r="H150" s="180"/>
    </row>
    <row r="151" spans="1:8" s="181" customFormat="1" x14ac:dyDescent="0.2">
      <c r="A151" s="22" t="s">
        <v>9</v>
      </c>
      <c r="B151" s="22" t="s">
        <v>9</v>
      </c>
      <c r="C151" s="22" t="s">
        <v>9</v>
      </c>
      <c r="D151" s="22" t="s">
        <v>9</v>
      </c>
      <c r="E151" s="22" t="s">
        <v>9</v>
      </c>
      <c r="F151" s="22" t="s">
        <v>9</v>
      </c>
      <c r="G151" s="22" t="s">
        <v>9</v>
      </c>
      <c r="H151" s="180"/>
    </row>
    <row r="152" spans="1:8" s="181" customFormat="1" x14ac:dyDescent="0.2">
      <c r="A152" s="22" t="s">
        <v>9</v>
      </c>
      <c r="B152" s="240" t="s">
        <v>1012</v>
      </c>
      <c r="C152" s="241"/>
      <c r="D152" s="177" t="s">
        <v>129</v>
      </c>
      <c r="E152" s="22" t="s">
        <v>9</v>
      </c>
      <c r="F152" s="22" t="s">
        <v>9</v>
      </c>
      <c r="G152" s="22" t="s">
        <v>9</v>
      </c>
      <c r="H152" s="180"/>
    </row>
    <row r="153" spans="1:8" s="181" customFormat="1" x14ac:dyDescent="0.2">
      <c r="A153" s="22" t="s">
        <v>9</v>
      </c>
      <c r="B153" s="98"/>
      <c r="C153" s="98"/>
      <c r="D153" s="26" t="s">
        <v>9</v>
      </c>
      <c r="E153" s="22" t="s">
        <v>9</v>
      </c>
      <c r="F153" s="22" t="s">
        <v>9</v>
      </c>
      <c r="G153" s="22" t="s">
        <v>9</v>
      </c>
      <c r="H153" s="180"/>
    </row>
    <row r="154" spans="1:8" s="238" customFormat="1" ht="12.75" x14ac:dyDescent="0.2">
      <c r="B154" s="246" t="s">
        <v>923</v>
      </c>
      <c r="C154" s="246"/>
      <c r="D154" s="246"/>
      <c r="E154" s="246"/>
      <c r="F154" s="246"/>
    </row>
    <row r="155" spans="1:8" s="181" customFormat="1" x14ac:dyDescent="0.2">
      <c r="A155" s="22" t="s">
        <v>9</v>
      </c>
      <c r="B155" s="185" t="s">
        <v>9</v>
      </c>
      <c r="C155" s="185" t="s">
        <v>9</v>
      </c>
      <c r="D155" s="22" t="s">
        <v>9</v>
      </c>
      <c r="E155" s="22" t="s">
        <v>9</v>
      </c>
      <c r="F155" s="22" t="s">
        <v>9</v>
      </c>
      <c r="G155" s="22" t="s">
        <v>9</v>
      </c>
      <c r="H155" s="180"/>
    </row>
    <row r="156" spans="1:8" s="181" customFormat="1" x14ac:dyDescent="0.2">
      <c r="A156" s="22" t="s">
        <v>9</v>
      </c>
      <c r="B156" s="240" t="s">
        <v>139</v>
      </c>
      <c r="C156" s="241"/>
      <c r="D156" s="177" t="s">
        <v>990</v>
      </c>
      <c r="E156" s="22" t="s">
        <v>9</v>
      </c>
      <c r="F156" s="22" t="s">
        <v>9</v>
      </c>
      <c r="G156" s="22" t="s">
        <v>9</v>
      </c>
      <c r="H156" s="180"/>
    </row>
    <row r="157" spans="1:8" s="181" customFormat="1" x14ac:dyDescent="0.2">
      <c r="A157" s="22" t="s">
        <v>9</v>
      </c>
      <c r="B157" s="240" t="s">
        <v>140</v>
      </c>
      <c r="C157" s="241"/>
      <c r="D157" s="177" t="s">
        <v>129</v>
      </c>
      <c r="E157" s="22" t="s">
        <v>9</v>
      </c>
      <c r="F157" s="22" t="s">
        <v>9</v>
      </c>
      <c r="G157" s="22" t="s">
        <v>9</v>
      </c>
      <c r="H157" s="180"/>
    </row>
    <row r="158" spans="1:8" s="181" customFormat="1" x14ac:dyDescent="0.2">
      <c r="A158" s="22" t="s">
        <v>9</v>
      </c>
      <c r="B158" s="240" t="s">
        <v>141</v>
      </c>
      <c r="C158" s="241"/>
      <c r="D158" s="186">
        <v>0.8902053116058577</v>
      </c>
      <c r="E158" s="22" t="s">
        <v>9</v>
      </c>
      <c r="F158" s="185" t="s">
        <v>9</v>
      </c>
      <c r="G158" s="22" t="s">
        <v>9</v>
      </c>
      <c r="H158" s="180"/>
    </row>
    <row r="159" spans="1:8" s="181" customFormat="1" x14ac:dyDescent="0.2">
      <c r="A159" s="22" t="s">
        <v>9</v>
      </c>
      <c r="B159" s="240" t="s">
        <v>142</v>
      </c>
      <c r="C159" s="241"/>
      <c r="D159" s="177" t="s">
        <v>129</v>
      </c>
      <c r="E159" s="22" t="s">
        <v>9</v>
      </c>
      <c r="F159" s="22" t="s">
        <v>9</v>
      </c>
      <c r="G159" s="22" t="s">
        <v>9</v>
      </c>
      <c r="H159" s="180"/>
    </row>
  </sheetData>
  <mergeCells count="15">
    <mergeCell ref="B141:C141"/>
    <mergeCell ref="B138:F138"/>
    <mergeCell ref="B139:F139"/>
    <mergeCell ref="A1:H1"/>
    <mergeCell ref="A2:H2"/>
    <mergeCell ref="A3:H3"/>
    <mergeCell ref="B158:C158"/>
    <mergeCell ref="B159:C159"/>
    <mergeCell ref="B142:C142"/>
    <mergeCell ref="B143:C143"/>
    <mergeCell ref="B144:C144"/>
    <mergeCell ref="B152:C152"/>
    <mergeCell ref="B156:C156"/>
    <mergeCell ref="B157:C157"/>
    <mergeCell ref="B154:F154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9">
    <outlinePr summaryBelow="0" summaryRight="0"/>
  </sheetPr>
  <dimension ref="A1:I153"/>
  <sheetViews>
    <sheetView showGridLines="0" topLeftCell="B1" workbookViewId="0">
      <selection activeCell="K1" sqref="K1"/>
    </sheetView>
  </sheetViews>
  <sheetFormatPr defaultRowHeight="15" x14ac:dyDescent="0.2"/>
  <cols>
    <col min="1" max="1" width="6.85546875" style="155" customWidth="1"/>
    <col min="2" max="2" width="20.5703125" style="155" customWidth="1"/>
    <col min="3" max="3" width="39" style="155" customWidth="1"/>
    <col min="4" max="4" width="17.85546875" style="155" customWidth="1"/>
    <col min="5" max="6" width="19.140625" style="155" customWidth="1"/>
    <col min="7" max="7" width="16.42578125" style="155" customWidth="1"/>
    <col min="8" max="8" width="9.140625" style="155"/>
    <col min="9" max="9" width="9.42578125" style="155" customWidth="1"/>
    <col min="10" max="16384" width="9.140625" style="155"/>
  </cols>
  <sheetData>
    <row r="1" spans="1:8" x14ac:dyDescent="0.2">
      <c r="A1" s="250" t="s">
        <v>0</v>
      </c>
      <c r="B1" s="250"/>
      <c r="C1" s="250"/>
      <c r="D1" s="250"/>
      <c r="E1" s="250"/>
      <c r="F1" s="250"/>
      <c r="G1" s="250"/>
      <c r="H1" s="250"/>
    </row>
    <row r="2" spans="1:8" x14ac:dyDescent="0.2">
      <c r="A2" s="251" t="s">
        <v>701</v>
      </c>
      <c r="B2" s="252"/>
      <c r="C2" s="252"/>
      <c r="D2" s="252"/>
      <c r="E2" s="252"/>
      <c r="F2" s="252"/>
      <c r="G2" s="252"/>
      <c r="H2" s="253"/>
    </row>
    <row r="3" spans="1:8" x14ac:dyDescent="0.2">
      <c r="A3" s="250" t="s">
        <v>1015</v>
      </c>
      <c r="B3" s="250"/>
      <c r="C3" s="250"/>
      <c r="D3" s="250"/>
      <c r="E3" s="250"/>
      <c r="F3" s="250"/>
      <c r="G3" s="250"/>
      <c r="H3" s="250"/>
    </row>
    <row r="4" spans="1:8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60" t="s">
        <v>6</v>
      </c>
      <c r="F4" s="160" t="s">
        <v>7</v>
      </c>
      <c r="G4" s="160" t="s">
        <v>8</v>
      </c>
      <c r="H4" s="161" t="s">
        <v>909</v>
      </c>
    </row>
    <row r="5" spans="1:8" x14ac:dyDescent="0.2">
      <c r="A5" s="15" t="s">
        <v>9</v>
      </c>
      <c r="B5" s="15" t="s">
        <v>9</v>
      </c>
      <c r="C5" s="3" t="s">
        <v>10</v>
      </c>
      <c r="D5" s="15" t="s">
        <v>9</v>
      </c>
      <c r="E5" s="15" t="s">
        <v>9</v>
      </c>
      <c r="F5" s="15" t="s">
        <v>9</v>
      </c>
      <c r="G5" s="15" t="s">
        <v>9</v>
      </c>
      <c r="H5" s="100"/>
    </row>
    <row r="6" spans="1:8" x14ac:dyDescent="0.2">
      <c r="A6" s="15" t="s">
        <v>9</v>
      </c>
      <c r="B6" s="15" t="s">
        <v>9</v>
      </c>
      <c r="C6" s="3" t="s">
        <v>11</v>
      </c>
      <c r="D6" s="15" t="s">
        <v>9</v>
      </c>
      <c r="E6" s="15" t="s">
        <v>9</v>
      </c>
      <c r="F6" s="15" t="s">
        <v>9</v>
      </c>
      <c r="G6" s="15" t="s">
        <v>9</v>
      </c>
      <c r="H6" s="100"/>
    </row>
    <row r="7" spans="1:8" x14ac:dyDescent="0.2">
      <c r="A7" s="4">
        <v>1</v>
      </c>
      <c r="B7" s="5" t="s">
        <v>395</v>
      </c>
      <c r="C7" s="5" t="s">
        <v>396</v>
      </c>
      <c r="D7" s="5" t="s">
        <v>156</v>
      </c>
      <c r="E7" s="6">
        <v>34100</v>
      </c>
      <c r="F7" s="7">
        <v>825.25409999999999</v>
      </c>
      <c r="G7" s="8">
        <v>8.1359402999999997E-2</v>
      </c>
      <c r="H7" s="100"/>
    </row>
    <row r="8" spans="1:8" ht="25.5" x14ac:dyDescent="0.2">
      <c r="A8" s="4">
        <v>2</v>
      </c>
      <c r="B8" s="5" t="s">
        <v>415</v>
      </c>
      <c r="C8" s="5" t="s">
        <v>938</v>
      </c>
      <c r="D8" s="5" t="s">
        <v>73</v>
      </c>
      <c r="E8" s="6">
        <v>34600</v>
      </c>
      <c r="F8" s="7">
        <v>814.39750000000004</v>
      </c>
      <c r="G8" s="8">
        <v>8.0289081999999998E-2</v>
      </c>
      <c r="H8" s="100"/>
    </row>
    <row r="9" spans="1:8" x14ac:dyDescent="0.2">
      <c r="A9" s="4">
        <v>3</v>
      </c>
      <c r="B9" s="5" t="s">
        <v>20</v>
      </c>
      <c r="C9" s="5" t="s">
        <v>21</v>
      </c>
      <c r="D9" s="5" t="s">
        <v>22</v>
      </c>
      <c r="E9" s="6">
        <v>103875</v>
      </c>
      <c r="F9" s="7">
        <v>623.76937499999997</v>
      </c>
      <c r="G9" s="8">
        <v>6.1495609E-2</v>
      </c>
      <c r="H9" s="100"/>
    </row>
    <row r="10" spans="1:8" x14ac:dyDescent="0.2">
      <c r="A10" s="4">
        <v>4</v>
      </c>
      <c r="B10" s="5" t="s">
        <v>15</v>
      </c>
      <c r="C10" s="5" t="s">
        <v>16</v>
      </c>
      <c r="D10" s="5" t="s">
        <v>17</v>
      </c>
      <c r="E10" s="6">
        <v>23500</v>
      </c>
      <c r="F10" s="7">
        <v>468.70749999999998</v>
      </c>
      <c r="G10" s="8">
        <v>4.6208510000000001E-2</v>
      </c>
      <c r="H10" s="100"/>
    </row>
    <row r="11" spans="1:8" x14ac:dyDescent="0.2">
      <c r="A11" s="4">
        <v>5</v>
      </c>
      <c r="B11" s="5" t="s">
        <v>54</v>
      </c>
      <c r="C11" s="5" t="s">
        <v>55</v>
      </c>
      <c r="D11" s="5" t="s">
        <v>22</v>
      </c>
      <c r="E11" s="6">
        <v>30800</v>
      </c>
      <c r="F11" s="7">
        <v>434.98840000000001</v>
      </c>
      <c r="G11" s="8">
        <v>4.2884242000000003E-2</v>
      </c>
      <c r="H11" s="100"/>
    </row>
    <row r="12" spans="1:8" x14ac:dyDescent="0.2">
      <c r="A12" s="4">
        <v>6</v>
      </c>
      <c r="B12" s="5" t="s">
        <v>494</v>
      </c>
      <c r="C12" s="5" t="s">
        <v>495</v>
      </c>
      <c r="D12" s="5" t="s">
        <v>151</v>
      </c>
      <c r="E12" s="6">
        <v>43000</v>
      </c>
      <c r="F12" s="7">
        <v>412.97199999999998</v>
      </c>
      <c r="G12" s="8">
        <v>4.0713709000000001E-2</v>
      </c>
      <c r="H12" s="100"/>
    </row>
    <row r="13" spans="1:8" x14ac:dyDescent="0.2">
      <c r="A13" s="4">
        <v>7</v>
      </c>
      <c r="B13" s="5" t="s">
        <v>320</v>
      </c>
      <c r="C13" s="5" t="s">
        <v>321</v>
      </c>
      <c r="D13" s="5" t="s">
        <v>47</v>
      </c>
      <c r="E13" s="6">
        <v>84500</v>
      </c>
      <c r="F13" s="7">
        <v>373.0675</v>
      </c>
      <c r="G13" s="8">
        <v>3.6779640000000002E-2</v>
      </c>
      <c r="H13" s="100"/>
    </row>
    <row r="14" spans="1:8" x14ac:dyDescent="0.2">
      <c r="A14" s="4">
        <v>8</v>
      </c>
      <c r="B14" s="5" t="s">
        <v>393</v>
      </c>
      <c r="C14" s="5" t="s">
        <v>394</v>
      </c>
      <c r="D14" s="5" t="s">
        <v>151</v>
      </c>
      <c r="E14" s="6">
        <v>27000</v>
      </c>
      <c r="F14" s="7">
        <v>365.67450000000002</v>
      </c>
      <c r="G14" s="8">
        <v>3.6050786000000001E-2</v>
      </c>
      <c r="H14" s="100"/>
    </row>
    <row r="15" spans="1:8" x14ac:dyDescent="0.2">
      <c r="A15" s="4">
        <v>9</v>
      </c>
      <c r="B15" s="5" t="s">
        <v>29</v>
      </c>
      <c r="C15" s="5" t="s">
        <v>30</v>
      </c>
      <c r="D15" s="5" t="s">
        <v>31</v>
      </c>
      <c r="E15" s="6">
        <v>63318</v>
      </c>
      <c r="F15" s="7">
        <v>339.85936500000003</v>
      </c>
      <c r="G15" s="8">
        <v>3.3505747000000002E-2</v>
      </c>
      <c r="H15" s="100"/>
    </row>
    <row r="16" spans="1:8" ht="25.5" x14ac:dyDescent="0.2">
      <c r="A16" s="4">
        <v>10</v>
      </c>
      <c r="B16" s="5" t="s">
        <v>346</v>
      </c>
      <c r="C16" s="5" t="s">
        <v>939</v>
      </c>
      <c r="D16" s="5" t="s">
        <v>73</v>
      </c>
      <c r="E16" s="6">
        <v>40000</v>
      </c>
      <c r="F16" s="7">
        <v>267.8</v>
      </c>
      <c r="G16" s="8">
        <v>2.6401622999999999E-2</v>
      </c>
      <c r="H16" s="100"/>
    </row>
    <row r="17" spans="1:8" ht="25.5" x14ac:dyDescent="0.2">
      <c r="A17" s="4">
        <v>11</v>
      </c>
      <c r="B17" s="5" t="s">
        <v>480</v>
      </c>
      <c r="C17" s="5" t="s">
        <v>481</v>
      </c>
      <c r="D17" s="5" t="s">
        <v>73</v>
      </c>
      <c r="E17" s="6">
        <v>40000</v>
      </c>
      <c r="F17" s="7">
        <v>207.82</v>
      </c>
      <c r="G17" s="8">
        <v>2.0488369999999999E-2</v>
      </c>
      <c r="H17" s="100"/>
    </row>
    <row r="18" spans="1:8" x14ac:dyDescent="0.2">
      <c r="A18" s="4">
        <v>12</v>
      </c>
      <c r="B18" s="5" t="s">
        <v>634</v>
      </c>
      <c r="C18" s="5" t="s">
        <v>635</v>
      </c>
      <c r="D18" s="5" t="s">
        <v>91</v>
      </c>
      <c r="E18" s="6">
        <v>68700</v>
      </c>
      <c r="F18" s="7">
        <v>201.87495000000001</v>
      </c>
      <c r="G18" s="8">
        <v>1.9902263999999999E-2</v>
      </c>
      <c r="H18" s="100"/>
    </row>
    <row r="19" spans="1:8" x14ac:dyDescent="0.2">
      <c r="A19" s="4">
        <v>13</v>
      </c>
      <c r="B19" s="76" t="s">
        <v>968</v>
      </c>
      <c r="C19" s="76" t="s">
        <v>969</v>
      </c>
      <c r="D19" s="76" t="s">
        <v>38</v>
      </c>
      <c r="E19" s="77">
        <v>57000</v>
      </c>
      <c r="F19" s="78">
        <v>178.18770000000001</v>
      </c>
      <c r="G19" s="79">
        <v>1.7567010000000001E-2</v>
      </c>
      <c r="H19" s="100"/>
    </row>
    <row r="20" spans="1:8" x14ac:dyDescent="0.2">
      <c r="A20" s="4">
        <v>14</v>
      </c>
      <c r="B20" s="5" t="s">
        <v>397</v>
      </c>
      <c r="C20" s="5" t="s">
        <v>398</v>
      </c>
      <c r="D20" s="5" t="s">
        <v>22</v>
      </c>
      <c r="E20" s="6">
        <v>22200</v>
      </c>
      <c r="F20" s="7">
        <v>158.70779999999999</v>
      </c>
      <c r="G20" s="8">
        <v>1.5646541E-2</v>
      </c>
      <c r="H20" s="100"/>
    </row>
    <row r="21" spans="1:8" x14ac:dyDescent="0.2">
      <c r="A21" s="4">
        <v>15</v>
      </c>
      <c r="B21" s="5" t="s">
        <v>409</v>
      </c>
      <c r="C21" s="5" t="s">
        <v>940</v>
      </c>
      <c r="D21" s="5" t="s">
        <v>151</v>
      </c>
      <c r="E21" s="6">
        <v>4639</v>
      </c>
      <c r="F21" s="7">
        <v>140.8238035</v>
      </c>
      <c r="G21" s="8">
        <v>1.3883408999999999E-2</v>
      </c>
      <c r="H21" s="100"/>
    </row>
    <row r="22" spans="1:8" x14ac:dyDescent="0.2">
      <c r="A22" s="4">
        <v>16</v>
      </c>
      <c r="B22" s="5" t="s">
        <v>399</v>
      </c>
      <c r="C22" s="5" t="s">
        <v>400</v>
      </c>
      <c r="D22" s="5" t="s">
        <v>22</v>
      </c>
      <c r="E22" s="6">
        <v>36000</v>
      </c>
      <c r="F22" s="7">
        <v>127.26</v>
      </c>
      <c r="G22" s="8">
        <v>1.2546193000000001E-2</v>
      </c>
      <c r="H22" s="100"/>
    </row>
    <row r="23" spans="1:8" ht="25.5" x14ac:dyDescent="0.2">
      <c r="A23" s="4">
        <v>17</v>
      </c>
      <c r="B23" s="5" t="s">
        <v>39</v>
      </c>
      <c r="C23" s="5" t="s">
        <v>941</v>
      </c>
      <c r="D23" s="5" t="s">
        <v>1001</v>
      </c>
      <c r="E23" s="6">
        <v>2000</v>
      </c>
      <c r="F23" s="7">
        <v>125.57899999999999</v>
      </c>
      <c r="G23" s="8">
        <v>1.2380469E-2</v>
      </c>
      <c r="H23" s="100"/>
    </row>
    <row r="24" spans="1:8" x14ac:dyDescent="0.2">
      <c r="A24" s="4">
        <v>18</v>
      </c>
      <c r="B24" s="5" t="s">
        <v>604</v>
      </c>
      <c r="C24" s="5" t="s">
        <v>605</v>
      </c>
      <c r="D24" s="5" t="s">
        <v>91</v>
      </c>
      <c r="E24" s="6">
        <v>3250</v>
      </c>
      <c r="F24" s="7">
        <v>124.596875</v>
      </c>
      <c r="G24" s="8">
        <v>1.2283644E-2</v>
      </c>
      <c r="H24" s="100"/>
    </row>
    <row r="25" spans="1:8" x14ac:dyDescent="0.2">
      <c r="A25" s="4">
        <v>19</v>
      </c>
      <c r="B25" s="5" t="s">
        <v>12</v>
      </c>
      <c r="C25" s="5" t="s">
        <v>13</v>
      </c>
      <c r="D25" s="5" t="s">
        <v>14</v>
      </c>
      <c r="E25" s="6">
        <v>9000</v>
      </c>
      <c r="F25" s="7">
        <v>120.6405</v>
      </c>
      <c r="G25" s="8">
        <v>1.1893595999999999E-2</v>
      </c>
      <c r="H25" s="100"/>
    </row>
    <row r="26" spans="1:8" x14ac:dyDescent="0.2">
      <c r="A26" s="4">
        <v>20</v>
      </c>
      <c r="B26" s="5" t="s">
        <v>297</v>
      </c>
      <c r="C26" s="5" t="s">
        <v>928</v>
      </c>
      <c r="D26" s="5" t="s">
        <v>22</v>
      </c>
      <c r="E26" s="6">
        <v>150000</v>
      </c>
      <c r="F26" s="7">
        <v>120.15</v>
      </c>
      <c r="G26" s="8">
        <v>1.1845239E-2</v>
      </c>
      <c r="H26" s="100"/>
    </row>
    <row r="27" spans="1:8" x14ac:dyDescent="0.2">
      <c r="A27" s="4">
        <v>21</v>
      </c>
      <c r="B27" s="5" t="s">
        <v>423</v>
      </c>
      <c r="C27" s="5" t="s">
        <v>424</v>
      </c>
      <c r="D27" s="5" t="s">
        <v>22</v>
      </c>
      <c r="E27" s="6">
        <v>6000</v>
      </c>
      <c r="F27" s="7">
        <v>104.928</v>
      </c>
      <c r="G27" s="8">
        <v>1.0344546E-2</v>
      </c>
      <c r="H27" s="100"/>
    </row>
    <row r="28" spans="1:8" x14ac:dyDescent="0.2">
      <c r="A28" s="4">
        <v>22</v>
      </c>
      <c r="B28" s="5" t="s">
        <v>579</v>
      </c>
      <c r="C28" s="5" t="s">
        <v>580</v>
      </c>
      <c r="D28" s="5" t="s">
        <v>1009</v>
      </c>
      <c r="E28" s="6">
        <v>14500</v>
      </c>
      <c r="F28" s="7">
        <v>96.439499999999995</v>
      </c>
      <c r="G28" s="8">
        <v>9.5076899999999992E-3</v>
      </c>
      <c r="H28" s="100"/>
    </row>
    <row r="29" spans="1:8" ht="25.5" x14ac:dyDescent="0.2">
      <c r="A29" s="4">
        <v>23</v>
      </c>
      <c r="B29" s="5" t="s">
        <v>18</v>
      </c>
      <c r="C29" s="5" t="s">
        <v>19</v>
      </c>
      <c r="D29" s="5" t="s">
        <v>1001</v>
      </c>
      <c r="E29" s="6">
        <v>7700</v>
      </c>
      <c r="F29" s="7">
        <v>75.883499999999998</v>
      </c>
      <c r="G29" s="8">
        <v>7.4811340000000004E-3</v>
      </c>
      <c r="H29" s="100"/>
    </row>
    <row r="30" spans="1:8" x14ac:dyDescent="0.2">
      <c r="A30" s="4">
        <v>24</v>
      </c>
      <c r="B30" s="5" t="s">
        <v>289</v>
      </c>
      <c r="C30" s="5" t="s">
        <v>290</v>
      </c>
      <c r="D30" s="5" t="s">
        <v>1009</v>
      </c>
      <c r="E30" s="6">
        <v>8000</v>
      </c>
      <c r="F30" s="7">
        <v>71.671999999999997</v>
      </c>
      <c r="G30" s="8">
        <v>7.0659340000000003E-3</v>
      </c>
      <c r="H30" s="100"/>
    </row>
    <row r="31" spans="1:8" x14ac:dyDescent="0.2">
      <c r="A31" s="4">
        <v>25</v>
      </c>
      <c r="B31" s="5" t="s">
        <v>417</v>
      </c>
      <c r="C31" s="5" t="s">
        <v>418</v>
      </c>
      <c r="D31" s="5" t="s">
        <v>193</v>
      </c>
      <c r="E31" s="6">
        <v>1600</v>
      </c>
      <c r="F31" s="7">
        <v>64.997600000000006</v>
      </c>
      <c r="G31" s="8">
        <v>6.4079239999999997E-3</v>
      </c>
      <c r="H31" s="100"/>
    </row>
    <row r="32" spans="1:8" x14ac:dyDescent="0.2">
      <c r="A32" s="4">
        <v>26</v>
      </c>
      <c r="B32" s="5" t="s">
        <v>628</v>
      </c>
      <c r="C32" s="5" t="s">
        <v>629</v>
      </c>
      <c r="D32" s="5" t="s">
        <v>146</v>
      </c>
      <c r="E32" s="6">
        <v>3500</v>
      </c>
      <c r="F32" s="7">
        <v>63.552999999999997</v>
      </c>
      <c r="G32" s="8">
        <v>6.2655059999999997E-3</v>
      </c>
      <c r="H32" s="100"/>
    </row>
    <row r="33" spans="1:8" x14ac:dyDescent="0.2">
      <c r="A33" s="4">
        <v>27</v>
      </c>
      <c r="B33" s="5" t="s">
        <v>356</v>
      </c>
      <c r="C33" s="5" t="s">
        <v>357</v>
      </c>
      <c r="D33" s="5" t="s">
        <v>151</v>
      </c>
      <c r="E33" s="6">
        <v>7000</v>
      </c>
      <c r="F33" s="7">
        <v>62.926499999999997</v>
      </c>
      <c r="G33" s="8">
        <v>6.2037409999999996E-3</v>
      </c>
      <c r="H33" s="100"/>
    </row>
    <row r="34" spans="1:8" x14ac:dyDescent="0.2">
      <c r="A34" s="4">
        <v>28</v>
      </c>
      <c r="B34" s="5" t="s">
        <v>435</v>
      </c>
      <c r="C34" s="5" t="s">
        <v>942</v>
      </c>
      <c r="D34" s="5" t="s">
        <v>193</v>
      </c>
      <c r="E34" s="6">
        <v>1200</v>
      </c>
      <c r="F34" s="7">
        <v>61.9572</v>
      </c>
      <c r="G34" s="8">
        <v>6.1081800000000004E-3</v>
      </c>
      <c r="H34" s="100"/>
    </row>
    <row r="35" spans="1:8" x14ac:dyDescent="0.2">
      <c r="A35" s="4">
        <v>29</v>
      </c>
      <c r="B35" s="5" t="s">
        <v>76</v>
      </c>
      <c r="C35" s="5" t="s">
        <v>77</v>
      </c>
      <c r="D35" s="5" t="s">
        <v>78</v>
      </c>
      <c r="E35" s="6">
        <v>40000</v>
      </c>
      <c r="F35" s="7">
        <v>54.88</v>
      </c>
      <c r="G35" s="8">
        <v>5.4104599999999997E-3</v>
      </c>
      <c r="H35" s="100"/>
    </row>
    <row r="36" spans="1:8" x14ac:dyDescent="0.2">
      <c r="A36" s="4">
        <v>30</v>
      </c>
      <c r="B36" s="5" t="s">
        <v>401</v>
      </c>
      <c r="C36" s="5" t="s">
        <v>402</v>
      </c>
      <c r="D36" s="5" t="s">
        <v>91</v>
      </c>
      <c r="E36" s="6">
        <v>6500</v>
      </c>
      <c r="F36" s="7">
        <v>48.915750000000003</v>
      </c>
      <c r="G36" s="8">
        <v>4.8224619999999996E-3</v>
      </c>
      <c r="H36" s="100"/>
    </row>
    <row r="37" spans="1:8" ht="25.5" x14ac:dyDescent="0.2">
      <c r="A37" s="4">
        <v>31</v>
      </c>
      <c r="B37" s="5" t="s">
        <v>71</v>
      </c>
      <c r="C37" s="5" t="s">
        <v>72</v>
      </c>
      <c r="D37" s="5" t="s">
        <v>73</v>
      </c>
      <c r="E37" s="6">
        <v>8500</v>
      </c>
      <c r="F37" s="7">
        <v>47.238750000000003</v>
      </c>
      <c r="G37" s="8">
        <v>4.6571310000000001E-3</v>
      </c>
      <c r="H37" s="100"/>
    </row>
    <row r="38" spans="1:8" ht="25.5" x14ac:dyDescent="0.2">
      <c r="A38" s="4">
        <v>32</v>
      </c>
      <c r="B38" s="5" t="s">
        <v>421</v>
      </c>
      <c r="C38" s="5" t="s">
        <v>422</v>
      </c>
      <c r="D38" s="5" t="s">
        <v>73</v>
      </c>
      <c r="E38" s="6">
        <v>20000</v>
      </c>
      <c r="F38" s="7">
        <v>40.520000000000003</v>
      </c>
      <c r="G38" s="8">
        <v>3.9947489999999997E-3</v>
      </c>
      <c r="H38" s="100"/>
    </row>
    <row r="39" spans="1:8" x14ac:dyDescent="0.2">
      <c r="A39" s="4">
        <v>33</v>
      </c>
      <c r="B39" s="5" t="s">
        <v>69</v>
      </c>
      <c r="C39" s="5" t="s">
        <v>70</v>
      </c>
      <c r="D39" s="5" t="s">
        <v>17</v>
      </c>
      <c r="E39" s="6">
        <v>9200</v>
      </c>
      <c r="F39" s="7">
        <v>38.805599999999998</v>
      </c>
      <c r="G39" s="8">
        <v>3.8257310000000002E-3</v>
      </c>
      <c r="H39" s="100"/>
    </row>
    <row r="40" spans="1:8" x14ac:dyDescent="0.2">
      <c r="A40" s="4">
        <v>34</v>
      </c>
      <c r="B40" s="5" t="s">
        <v>438</v>
      </c>
      <c r="C40" s="5" t="s">
        <v>390</v>
      </c>
      <c r="D40" s="5" t="s">
        <v>272</v>
      </c>
      <c r="E40" s="6">
        <v>20000</v>
      </c>
      <c r="F40" s="7">
        <v>35</v>
      </c>
      <c r="G40" s="8">
        <v>3.4505479999999999E-3</v>
      </c>
      <c r="H40" s="100"/>
    </row>
    <row r="41" spans="1:8" x14ac:dyDescent="0.2">
      <c r="A41" s="4">
        <v>35</v>
      </c>
      <c r="B41" s="5" t="s">
        <v>367</v>
      </c>
      <c r="C41" s="5" t="s">
        <v>368</v>
      </c>
      <c r="D41" s="5" t="s">
        <v>22</v>
      </c>
      <c r="E41" s="6">
        <v>50000</v>
      </c>
      <c r="F41" s="7">
        <v>33.375</v>
      </c>
      <c r="G41" s="8">
        <v>3.2903440000000002E-3</v>
      </c>
      <c r="H41" s="100"/>
    </row>
    <row r="42" spans="1:8" x14ac:dyDescent="0.2">
      <c r="A42" s="4">
        <v>36</v>
      </c>
      <c r="B42" s="5" t="s">
        <v>411</v>
      </c>
      <c r="C42" s="5" t="s">
        <v>412</v>
      </c>
      <c r="D42" s="5" t="s">
        <v>151</v>
      </c>
      <c r="E42" s="6">
        <v>6000</v>
      </c>
      <c r="F42" s="7">
        <v>29.565000000000001</v>
      </c>
      <c r="G42" s="8">
        <v>2.9147270000000002E-3</v>
      </c>
      <c r="H42" s="100"/>
    </row>
    <row r="43" spans="1:8" x14ac:dyDescent="0.2">
      <c r="A43" s="4">
        <v>37</v>
      </c>
      <c r="B43" s="5" t="s">
        <v>658</v>
      </c>
      <c r="C43" s="5" t="s">
        <v>659</v>
      </c>
      <c r="D43" s="5" t="s">
        <v>53</v>
      </c>
      <c r="E43" s="6">
        <v>15000</v>
      </c>
      <c r="F43" s="7">
        <v>15.3675</v>
      </c>
      <c r="G43" s="8">
        <v>1.5150369999999999E-3</v>
      </c>
      <c r="H43" s="100"/>
    </row>
    <row r="44" spans="1:8" x14ac:dyDescent="0.2">
      <c r="A44" s="4">
        <v>38</v>
      </c>
      <c r="B44" s="5" t="s">
        <v>672</v>
      </c>
      <c r="C44" s="5" t="s">
        <v>943</v>
      </c>
      <c r="D44" s="5" t="s">
        <v>91</v>
      </c>
      <c r="E44" s="6">
        <v>500</v>
      </c>
      <c r="F44" s="7">
        <v>14.095750000000001</v>
      </c>
      <c r="G44" s="8">
        <v>1.3896589999999999E-3</v>
      </c>
      <c r="H44" s="100"/>
    </row>
    <row r="45" spans="1:8" x14ac:dyDescent="0.2">
      <c r="A45" s="15" t="s">
        <v>9</v>
      </c>
      <c r="B45" s="15" t="s">
        <v>9</v>
      </c>
      <c r="C45" s="3" t="s">
        <v>94</v>
      </c>
      <c r="D45" s="15" t="s">
        <v>9</v>
      </c>
      <c r="E45" s="15" t="s">
        <v>9</v>
      </c>
      <c r="F45" s="9">
        <v>7392.251518500002</v>
      </c>
      <c r="G45" s="10">
        <v>0.72878058899999976</v>
      </c>
      <c r="H45" s="100"/>
    </row>
    <row r="46" spans="1:8" x14ac:dyDescent="0.2">
      <c r="A46" s="15" t="s">
        <v>9</v>
      </c>
      <c r="B46" s="15" t="s">
        <v>9</v>
      </c>
      <c r="C46" s="11" t="s">
        <v>9</v>
      </c>
      <c r="D46" s="15" t="s">
        <v>9</v>
      </c>
      <c r="E46" s="15" t="s">
        <v>9</v>
      </c>
      <c r="F46" s="12" t="s">
        <v>9</v>
      </c>
      <c r="G46" s="12" t="s">
        <v>9</v>
      </c>
      <c r="H46" s="100"/>
    </row>
    <row r="47" spans="1:8" x14ac:dyDescent="0.2">
      <c r="A47" s="15" t="s">
        <v>9</v>
      </c>
      <c r="B47" s="15" t="s">
        <v>9</v>
      </c>
      <c r="C47" s="3" t="s">
        <v>95</v>
      </c>
      <c r="D47" s="15" t="s">
        <v>9</v>
      </c>
      <c r="E47" s="15" t="s">
        <v>9</v>
      </c>
      <c r="F47" s="15" t="s">
        <v>9</v>
      </c>
      <c r="G47" s="15" t="s">
        <v>9</v>
      </c>
      <c r="H47" s="100"/>
    </row>
    <row r="48" spans="1:8" x14ac:dyDescent="0.2">
      <c r="A48" s="15" t="s">
        <v>9</v>
      </c>
      <c r="B48" s="15" t="s">
        <v>9</v>
      </c>
      <c r="C48" s="3" t="s">
        <v>94</v>
      </c>
      <c r="D48" s="15" t="s">
        <v>9</v>
      </c>
      <c r="E48" s="15" t="s">
        <v>9</v>
      </c>
      <c r="F48" s="13">
        <v>0</v>
      </c>
      <c r="G48" s="14">
        <v>0</v>
      </c>
      <c r="H48" s="100"/>
    </row>
    <row r="49" spans="1:8" x14ac:dyDescent="0.2">
      <c r="A49" s="15" t="s">
        <v>9</v>
      </c>
      <c r="B49" s="15" t="s">
        <v>9</v>
      </c>
      <c r="C49" s="11" t="s">
        <v>9</v>
      </c>
      <c r="D49" s="15" t="s">
        <v>9</v>
      </c>
      <c r="E49" s="15" t="s">
        <v>9</v>
      </c>
      <c r="F49" s="12" t="s">
        <v>9</v>
      </c>
      <c r="G49" s="12" t="s">
        <v>9</v>
      </c>
      <c r="H49" s="100"/>
    </row>
    <row r="50" spans="1:8" x14ac:dyDescent="0.2">
      <c r="A50" s="15" t="s">
        <v>9</v>
      </c>
      <c r="B50" s="15" t="s">
        <v>9</v>
      </c>
      <c r="C50" s="3" t="s">
        <v>96</v>
      </c>
      <c r="D50" s="15" t="s">
        <v>9</v>
      </c>
      <c r="E50" s="15" t="s">
        <v>9</v>
      </c>
      <c r="F50" s="15" t="s">
        <v>9</v>
      </c>
      <c r="G50" s="15" t="s">
        <v>9</v>
      </c>
      <c r="H50" s="100"/>
    </row>
    <row r="51" spans="1:8" x14ac:dyDescent="0.2">
      <c r="A51" s="15" t="s">
        <v>9</v>
      </c>
      <c r="B51" s="15" t="s">
        <v>9</v>
      </c>
      <c r="C51" s="3" t="s">
        <v>94</v>
      </c>
      <c r="D51" s="15" t="s">
        <v>9</v>
      </c>
      <c r="E51" s="15" t="s">
        <v>9</v>
      </c>
      <c r="F51" s="13">
        <v>0</v>
      </c>
      <c r="G51" s="14">
        <v>0</v>
      </c>
      <c r="H51" s="100"/>
    </row>
    <row r="52" spans="1:8" x14ac:dyDescent="0.2">
      <c r="A52" s="15" t="s">
        <v>9</v>
      </c>
      <c r="B52" s="15" t="s">
        <v>9</v>
      </c>
      <c r="C52" s="11" t="s">
        <v>9</v>
      </c>
      <c r="D52" s="15" t="s">
        <v>9</v>
      </c>
      <c r="E52" s="15" t="s">
        <v>9</v>
      </c>
      <c r="F52" s="12" t="s">
        <v>9</v>
      </c>
      <c r="G52" s="12" t="s">
        <v>9</v>
      </c>
      <c r="H52" s="100"/>
    </row>
    <row r="53" spans="1:8" x14ac:dyDescent="0.2">
      <c r="A53" s="15" t="s">
        <v>9</v>
      </c>
      <c r="B53" s="15" t="s">
        <v>9</v>
      </c>
      <c r="C53" s="3" t="s">
        <v>100</v>
      </c>
      <c r="D53" s="15" t="s">
        <v>9</v>
      </c>
      <c r="E53" s="15" t="s">
        <v>9</v>
      </c>
      <c r="F53" s="15" t="s">
        <v>9</v>
      </c>
      <c r="G53" s="15" t="s">
        <v>9</v>
      </c>
      <c r="H53" s="100"/>
    </row>
    <row r="54" spans="1:8" x14ac:dyDescent="0.2">
      <c r="A54" s="15" t="s">
        <v>9</v>
      </c>
      <c r="B54" s="15" t="s">
        <v>9</v>
      </c>
      <c r="C54" s="3" t="s">
        <v>94</v>
      </c>
      <c r="D54" s="15" t="s">
        <v>9</v>
      </c>
      <c r="E54" s="15" t="s">
        <v>9</v>
      </c>
      <c r="F54" s="13">
        <v>0</v>
      </c>
      <c r="G54" s="14">
        <v>0</v>
      </c>
      <c r="H54" s="100"/>
    </row>
    <row r="55" spans="1:8" x14ac:dyDescent="0.2">
      <c r="A55" s="15" t="s">
        <v>9</v>
      </c>
      <c r="B55" s="15" t="s">
        <v>9</v>
      </c>
      <c r="C55" s="11" t="s">
        <v>9</v>
      </c>
      <c r="D55" s="15" t="s">
        <v>9</v>
      </c>
      <c r="E55" s="15" t="s">
        <v>9</v>
      </c>
      <c r="F55" s="12" t="s">
        <v>9</v>
      </c>
      <c r="G55" s="12" t="s">
        <v>9</v>
      </c>
      <c r="H55" s="100"/>
    </row>
    <row r="56" spans="1:8" x14ac:dyDescent="0.2">
      <c r="A56" s="15" t="s">
        <v>9</v>
      </c>
      <c r="B56" s="15" t="s">
        <v>9</v>
      </c>
      <c r="C56" s="3" t="s">
        <v>101</v>
      </c>
      <c r="D56" s="15" t="s">
        <v>9</v>
      </c>
      <c r="E56" s="15" t="s">
        <v>9</v>
      </c>
      <c r="F56" s="12" t="s">
        <v>9</v>
      </c>
      <c r="G56" s="12" t="s">
        <v>9</v>
      </c>
      <c r="H56" s="100"/>
    </row>
    <row r="57" spans="1:8" x14ac:dyDescent="0.2">
      <c r="A57" s="15" t="s">
        <v>9</v>
      </c>
      <c r="B57" s="15" t="s">
        <v>9</v>
      </c>
      <c r="C57" s="3" t="s">
        <v>94</v>
      </c>
      <c r="D57" s="15" t="s">
        <v>9</v>
      </c>
      <c r="E57" s="15" t="s">
        <v>9</v>
      </c>
      <c r="F57" s="13">
        <v>0</v>
      </c>
      <c r="G57" s="14">
        <v>0</v>
      </c>
      <c r="H57" s="100"/>
    </row>
    <row r="58" spans="1:8" x14ac:dyDescent="0.2">
      <c r="A58" s="15" t="s">
        <v>9</v>
      </c>
      <c r="B58" s="15" t="s">
        <v>9</v>
      </c>
      <c r="C58" s="11" t="s">
        <v>9</v>
      </c>
      <c r="D58" s="15" t="s">
        <v>9</v>
      </c>
      <c r="E58" s="15" t="s">
        <v>9</v>
      </c>
      <c r="F58" s="12" t="s">
        <v>9</v>
      </c>
      <c r="G58" s="12" t="s">
        <v>9</v>
      </c>
      <c r="H58" s="100"/>
    </row>
    <row r="59" spans="1:8" x14ac:dyDescent="0.2">
      <c r="A59" s="15" t="s">
        <v>9</v>
      </c>
      <c r="B59" s="15" t="s">
        <v>9</v>
      </c>
      <c r="C59" s="3" t="s">
        <v>102</v>
      </c>
      <c r="D59" s="15" t="s">
        <v>9</v>
      </c>
      <c r="E59" s="15" t="s">
        <v>9</v>
      </c>
      <c r="F59" s="12" t="s">
        <v>9</v>
      </c>
      <c r="G59" s="12" t="s">
        <v>9</v>
      </c>
      <c r="H59" s="100"/>
    </row>
    <row r="60" spans="1:8" x14ac:dyDescent="0.2">
      <c r="A60" s="4">
        <v>1</v>
      </c>
      <c r="B60" s="5"/>
      <c r="C60" s="5" t="s">
        <v>870</v>
      </c>
      <c r="D60" s="5" t="s">
        <v>103</v>
      </c>
      <c r="E60" s="6">
        <v>-3600</v>
      </c>
      <c r="F60" s="7">
        <v>-25.810199999999998</v>
      </c>
      <c r="G60" s="85">
        <v>-0.25445499999999999</v>
      </c>
      <c r="H60" s="100"/>
    </row>
    <row r="61" spans="1:8" x14ac:dyDescent="0.2">
      <c r="A61" s="4">
        <v>2</v>
      </c>
      <c r="B61" s="5"/>
      <c r="C61" s="5" t="s">
        <v>871</v>
      </c>
      <c r="D61" s="5" t="s">
        <v>103</v>
      </c>
      <c r="E61" s="6">
        <v>-3500</v>
      </c>
      <c r="F61" s="7">
        <v>-63.920499999999997</v>
      </c>
      <c r="G61" s="85">
        <v>-0.63017400000000001</v>
      </c>
      <c r="H61" s="100"/>
    </row>
    <row r="62" spans="1:8" x14ac:dyDescent="0.2">
      <c r="A62" s="4">
        <v>3</v>
      </c>
      <c r="B62" s="5"/>
      <c r="C62" s="5" t="s">
        <v>872</v>
      </c>
      <c r="D62" s="5" t="s">
        <v>103</v>
      </c>
      <c r="E62" s="6">
        <v>-150000</v>
      </c>
      <c r="F62" s="7">
        <v>-120.375</v>
      </c>
      <c r="G62" s="85">
        <v>-1.186742</v>
      </c>
      <c r="H62" s="100"/>
    </row>
    <row r="63" spans="1:8" x14ac:dyDescent="0.2">
      <c r="A63" s="4">
        <v>4</v>
      </c>
      <c r="B63" s="5"/>
      <c r="C63" s="5" t="s">
        <v>873</v>
      </c>
      <c r="D63" s="5" t="s">
        <v>702</v>
      </c>
      <c r="E63" s="6">
        <v>-3250</v>
      </c>
      <c r="F63" s="7">
        <v>-125.0535</v>
      </c>
      <c r="G63" s="85">
        <v>-1.232866</v>
      </c>
      <c r="H63" s="100"/>
    </row>
    <row r="64" spans="1:8" x14ac:dyDescent="0.2">
      <c r="A64" s="4">
        <v>5</v>
      </c>
      <c r="B64" s="5"/>
      <c r="C64" s="5" t="s">
        <v>874</v>
      </c>
      <c r="D64" s="5" t="s">
        <v>103</v>
      </c>
      <c r="E64" s="6">
        <v>-7500</v>
      </c>
      <c r="F64" s="7">
        <v>-150.41999999999999</v>
      </c>
      <c r="G64" s="85">
        <v>-1.482947</v>
      </c>
      <c r="H64" s="100"/>
    </row>
    <row r="65" spans="1:8" x14ac:dyDescent="0.2">
      <c r="A65" s="4">
        <v>6</v>
      </c>
      <c r="B65" s="5"/>
      <c r="C65" s="5" t="s">
        <v>1014</v>
      </c>
      <c r="D65" s="5" t="s">
        <v>103</v>
      </c>
      <c r="E65" s="6">
        <v>-27000</v>
      </c>
      <c r="F65" s="7">
        <v>-181.10249999999999</v>
      </c>
      <c r="G65" s="85">
        <v>-1.7854369999999999</v>
      </c>
      <c r="H65" s="100"/>
    </row>
    <row r="66" spans="1:8" x14ac:dyDescent="0.2">
      <c r="A66" s="4">
        <v>7</v>
      </c>
      <c r="B66" s="5"/>
      <c r="C66" s="5" t="s">
        <v>876</v>
      </c>
      <c r="D66" s="5" t="s">
        <v>103</v>
      </c>
      <c r="E66" s="6">
        <v>-62700</v>
      </c>
      <c r="F66" s="7">
        <v>-184.80824999999999</v>
      </c>
      <c r="G66" s="85">
        <v>-1.821971</v>
      </c>
      <c r="H66" s="100"/>
    </row>
    <row r="67" spans="1:8" x14ac:dyDescent="0.2">
      <c r="A67" s="4">
        <v>8</v>
      </c>
      <c r="B67" s="5"/>
      <c r="C67" s="5" t="s">
        <v>877</v>
      </c>
      <c r="D67" s="5" t="s">
        <v>103</v>
      </c>
      <c r="E67" s="6">
        <v>-40000</v>
      </c>
      <c r="F67" s="7">
        <v>-208.9</v>
      </c>
      <c r="G67" s="85">
        <v>-2.0594839999999999</v>
      </c>
      <c r="H67" s="100"/>
    </row>
    <row r="68" spans="1:8" x14ac:dyDescent="0.2">
      <c r="A68" s="4">
        <v>9</v>
      </c>
      <c r="B68" s="5"/>
      <c r="C68" s="5" t="s">
        <v>878</v>
      </c>
      <c r="D68" s="5" t="s">
        <v>103</v>
      </c>
      <c r="E68" s="6">
        <v>-38871</v>
      </c>
      <c r="F68" s="7">
        <v>-209.65073849999999</v>
      </c>
      <c r="G68" s="85">
        <v>-2.0668859999999998</v>
      </c>
      <c r="H68" s="100"/>
    </row>
    <row r="69" spans="1:8" x14ac:dyDescent="0.2">
      <c r="A69" s="4">
        <v>10</v>
      </c>
      <c r="B69" s="5"/>
      <c r="C69" s="5" t="s">
        <v>879</v>
      </c>
      <c r="D69" s="5" t="s">
        <v>103</v>
      </c>
      <c r="E69" s="6">
        <v>-60000</v>
      </c>
      <c r="F69" s="7">
        <v>-266.01</v>
      </c>
      <c r="G69" s="85">
        <v>-2.6225149999999999</v>
      </c>
      <c r="H69" s="100"/>
    </row>
    <row r="70" spans="1:8" x14ac:dyDescent="0.2">
      <c r="A70" s="4">
        <v>11</v>
      </c>
      <c r="B70" s="5"/>
      <c r="C70" s="5" t="s">
        <v>880</v>
      </c>
      <c r="D70" s="5" t="s">
        <v>103</v>
      </c>
      <c r="E70" s="6">
        <v>-36000</v>
      </c>
      <c r="F70" s="7">
        <v>-347.36399999999998</v>
      </c>
      <c r="G70" s="85">
        <v>-3.4245610000000002</v>
      </c>
      <c r="H70" s="100"/>
    </row>
    <row r="71" spans="1:8" x14ac:dyDescent="0.2">
      <c r="A71" s="4">
        <v>12</v>
      </c>
      <c r="B71" s="5"/>
      <c r="C71" s="5" t="s">
        <v>881</v>
      </c>
      <c r="D71" s="5" t="s">
        <v>103</v>
      </c>
      <c r="E71" s="6">
        <v>-61875</v>
      </c>
      <c r="F71" s="7">
        <v>-373.16812499999997</v>
      </c>
      <c r="G71" s="85">
        <v>-3.6789559999999999</v>
      </c>
      <c r="H71" s="100"/>
    </row>
    <row r="72" spans="1:8" x14ac:dyDescent="0.2">
      <c r="A72" s="4">
        <v>13</v>
      </c>
      <c r="B72" s="5"/>
      <c r="C72" s="5" t="s">
        <v>882</v>
      </c>
      <c r="D72" s="5" t="s">
        <v>103</v>
      </c>
      <c r="E72" s="6">
        <v>-23100</v>
      </c>
      <c r="F72" s="7">
        <v>-562.54274999999996</v>
      </c>
      <c r="G72" s="85">
        <v>-5.5459449999999997</v>
      </c>
      <c r="H72" s="100"/>
    </row>
    <row r="73" spans="1:8" x14ac:dyDescent="0.2">
      <c r="A73" s="4">
        <v>14</v>
      </c>
      <c r="B73" s="5"/>
      <c r="C73" s="5" t="s">
        <v>883</v>
      </c>
      <c r="D73" s="5" t="s">
        <v>103</v>
      </c>
      <c r="E73" s="6">
        <v>-30000</v>
      </c>
      <c r="F73" s="7">
        <v>-708.51</v>
      </c>
      <c r="G73" s="85">
        <v>-6.9849940000000004</v>
      </c>
      <c r="H73" s="100"/>
    </row>
    <row r="74" spans="1:8" x14ac:dyDescent="0.2">
      <c r="A74" s="15" t="s">
        <v>9</v>
      </c>
      <c r="B74" s="15" t="s">
        <v>9</v>
      </c>
      <c r="C74" s="3" t="s">
        <v>94</v>
      </c>
      <c r="D74" s="15" t="s">
        <v>9</v>
      </c>
      <c r="E74" s="15" t="s">
        <v>9</v>
      </c>
      <c r="F74" s="9">
        <v>-3527.6355635</v>
      </c>
      <c r="G74" s="10">
        <v>-0.34777933599999999</v>
      </c>
      <c r="H74" s="100"/>
    </row>
    <row r="75" spans="1:8" x14ac:dyDescent="0.2">
      <c r="A75" s="15" t="s">
        <v>9</v>
      </c>
      <c r="B75" s="15" t="s">
        <v>9</v>
      </c>
      <c r="C75" s="11" t="s">
        <v>9</v>
      </c>
      <c r="D75" s="15" t="s">
        <v>9</v>
      </c>
      <c r="E75" s="15" t="s">
        <v>9</v>
      </c>
      <c r="F75" s="12" t="s">
        <v>9</v>
      </c>
      <c r="G75" s="12" t="s">
        <v>9</v>
      </c>
      <c r="H75" s="100"/>
    </row>
    <row r="76" spans="1:8" x14ac:dyDescent="0.2">
      <c r="A76" s="15" t="s">
        <v>9</v>
      </c>
      <c r="B76" s="15" t="s">
        <v>9</v>
      </c>
      <c r="C76" s="3" t="s">
        <v>104</v>
      </c>
      <c r="D76" s="15" t="s">
        <v>9</v>
      </c>
      <c r="E76" s="15" t="s">
        <v>9</v>
      </c>
      <c r="F76" s="9">
        <v>7392.251518500002</v>
      </c>
      <c r="G76" s="10">
        <v>0.72878058899999976</v>
      </c>
      <c r="H76" s="100"/>
    </row>
    <row r="77" spans="1:8" x14ac:dyDescent="0.2">
      <c r="A77" s="15" t="s">
        <v>9</v>
      </c>
      <c r="B77" s="15" t="s">
        <v>9</v>
      </c>
      <c r="C77" s="11" t="s">
        <v>9</v>
      </c>
      <c r="D77" s="15" t="s">
        <v>9</v>
      </c>
      <c r="E77" s="15" t="s">
        <v>9</v>
      </c>
      <c r="F77" s="12" t="s">
        <v>9</v>
      </c>
      <c r="G77" s="12" t="s">
        <v>9</v>
      </c>
      <c r="H77" s="100"/>
    </row>
    <row r="78" spans="1:8" x14ac:dyDescent="0.2">
      <c r="A78" s="15" t="s">
        <v>9</v>
      </c>
      <c r="B78" s="15" t="s">
        <v>9</v>
      </c>
      <c r="C78" s="3" t="s">
        <v>105</v>
      </c>
      <c r="D78" s="15" t="s">
        <v>9</v>
      </c>
      <c r="E78" s="15" t="s">
        <v>9</v>
      </c>
      <c r="F78" s="12" t="s">
        <v>9</v>
      </c>
      <c r="G78" s="12" t="s">
        <v>9</v>
      </c>
      <c r="H78" s="100"/>
    </row>
    <row r="79" spans="1:8" x14ac:dyDescent="0.2">
      <c r="A79" s="15" t="s">
        <v>9</v>
      </c>
      <c r="B79" s="15" t="s">
        <v>9</v>
      </c>
      <c r="C79" s="3" t="s">
        <v>11</v>
      </c>
      <c r="D79" s="15" t="s">
        <v>9</v>
      </c>
      <c r="E79" s="15" t="s">
        <v>9</v>
      </c>
      <c r="F79" s="12" t="s">
        <v>9</v>
      </c>
      <c r="G79" s="12" t="s">
        <v>9</v>
      </c>
      <c r="H79" s="100"/>
    </row>
    <row r="80" spans="1:8" x14ac:dyDescent="0.2">
      <c r="A80" s="4">
        <v>1</v>
      </c>
      <c r="B80" s="5" t="s">
        <v>703</v>
      </c>
      <c r="C80" s="5" t="s">
        <v>704</v>
      </c>
      <c r="D80" s="5" t="s">
        <v>705</v>
      </c>
      <c r="E80" s="6">
        <v>50</v>
      </c>
      <c r="F80" s="7">
        <v>519.69949999999994</v>
      </c>
      <c r="G80" s="8">
        <v>5.1235663000000001E-2</v>
      </c>
      <c r="H80" s="99">
        <v>3.9350000000000001</v>
      </c>
    </row>
    <row r="81" spans="1:8" ht="25.5" x14ac:dyDescent="0.2">
      <c r="A81" s="4">
        <v>2</v>
      </c>
      <c r="B81" s="5" t="s">
        <v>706</v>
      </c>
      <c r="C81" s="5" t="s">
        <v>707</v>
      </c>
      <c r="D81" s="5" t="s">
        <v>705</v>
      </c>
      <c r="E81" s="6">
        <v>30</v>
      </c>
      <c r="F81" s="7">
        <v>311.5677</v>
      </c>
      <c r="G81" s="8">
        <v>3.0716554E-2</v>
      </c>
      <c r="H81" s="99">
        <v>4</v>
      </c>
    </row>
    <row r="82" spans="1:8" x14ac:dyDescent="0.2">
      <c r="A82" s="4">
        <v>3</v>
      </c>
      <c r="B82" s="5" t="s">
        <v>708</v>
      </c>
      <c r="C82" s="5" t="s">
        <v>709</v>
      </c>
      <c r="D82" s="5" t="s">
        <v>705</v>
      </c>
      <c r="E82" s="6">
        <v>20</v>
      </c>
      <c r="F82" s="7">
        <v>210.72380000000001</v>
      </c>
      <c r="G82" s="8">
        <v>2.0774647E-2</v>
      </c>
      <c r="H82" s="99">
        <v>4.82</v>
      </c>
    </row>
    <row r="83" spans="1:8" x14ac:dyDescent="0.2">
      <c r="A83" s="15" t="s">
        <v>9</v>
      </c>
      <c r="B83" s="15" t="s">
        <v>9</v>
      </c>
      <c r="C83" s="3" t="s">
        <v>94</v>
      </c>
      <c r="D83" s="15" t="s">
        <v>9</v>
      </c>
      <c r="E83" s="15" t="s">
        <v>9</v>
      </c>
      <c r="F83" s="9">
        <v>1041.991</v>
      </c>
      <c r="G83" s="10">
        <v>0.102726864</v>
      </c>
      <c r="H83" s="100"/>
    </row>
    <row r="84" spans="1:8" x14ac:dyDescent="0.2">
      <c r="A84" s="15" t="s">
        <v>9</v>
      </c>
      <c r="B84" s="15" t="s">
        <v>9</v>
      </c>
      <c r="C84" s="11" t="s">
        <v>9</v>
      </c>
      <c r="D84" s="15" t="s">
        <v>9</v>
      </c>
      <c r="E84" s="15" t="s">
        <v>9</v>
      </c>
      <c r="F84" s="12" t="s">
        <v>9</v>
      </c>
      <c r="G84" s="12" t="s">
        <v>9</v>
      </c>
      <c r="H84" s="100"/>
    </row>
    <row r="85" spans="1:8" x14ac:dyDescent="0.2">
      <c r="A85" s="15" t="s">
        <v>9</v>
      </c>
      <c r="B85" s="15" t="s">
        <v>9</v>
      </c>
      <c r="C85" s="3" t="s">
        <v>106</v>
      </c>
      <c r="D85" s="15" t="s">
        <v>9</v>
      </c>
      <c r="E85" s="15" t="s">
        <v>9</v>
      </c>
      <c r="F85" s="15" t="s">
        <v>9</v>
      </c>
      <c r="G85" s="15" t="s">
        <v>9</v>
      </c>
      <c r="H85" s="100"/>
    </row>
    <row r="86" spans="1:8" x14ac:dyDescent="0.2">
      <c r="A86" s="15" t="s">
        <v>9</v>
      </c>
      <c r="B86" s="15" t="s">
        <v>9</v>
      </c>
      <c r="C86" s="3" t="s">
        <v>94</v>
      </c>
      <c r="D86" s="15" t="s">
        <v>9</v>
      </c>
      <c r="E86" s="15" t="s">
        <v>9</v>
      </c>
      <c r="F86" s="13">
        <v>0</v>
      </c>
      <c r="G86" s="14">
        <v>0</v>
      </c>
      <c r="H86" s="100"/>
    </row>
    <row r="87" spans="1:8" x14ac:dyDescent="0.2">
      <c r="A87" s="15" t="s">
        <v>9</v>
      </c>
      <c r="B87" s="15" t="s">
        <v>9</v>
      </c>
      <c r="C87" s="11" t="s">
        <v>9</v>
      </c>
      <c r="D87" s="15" t="s">
        <v>9</v>
      </c>
      <c r="E87" s="15" t="s">
        <v>9</v>
      </c>
      <c r="F87" s="12" t="s">
        <v>9</v>
      </c>
      <c r="G87" s="12" t="s">
        <v>9</v>
      </c>
      <c r="H87" s="100"/>
    </row>
    <row r="88" spans="1:8" x14ac:dyDescent="0.2">
      <c r="A88" s="15" t="s">
        <v>9</v>
      </c>
      <c r="B88" s="15" t="s">
        <v>9</v>
      </c>
      <c r="C88" s="3" t="s">
        <v>107</v>
      </c>
      <c r="D88" s="15" t="s">
        <v>9</v>
      </c>
      <c r="E88" s="15" t="s">
        <v>9</v>
      </c>
      <c r="F88" s="15" t="s">
        <v>9</v>
      </c>
      <c r="G88" s="15" t="s">
        <v>9</v>
      </c>
      <c r="H88" s="100"/>
    </row>
    <row r="89" spans="1:8" ht="25.5" x14ac:dyDescent="0.2">
      <c r="A89" s="4">
        <v>1</v>
      </c>
      <c r="B89" s="5" t="s">
        <v>710</v>
      </c>
      <c r="C89" s="5" t="s">
        <v>966</v>
      </c>
      <c r="D89" s="5" t="s">
        <v>711</v>
      </c>
      <c r="E89" s="6">
        <v>200000</v>
      </c>
      <c r="F89" s="7">
        <v>212.9248</v>
      </c>
      <c r="G89" s="8">
        <v>2.0991637E-2</v>
      </c>
      <c r="H89" s="99">
        <v>4.7729999999999997</v>
      </c>
    </row>
    <row r="90" spans="1:8" x14ac:dyDescent="0.2">
      <c r="A90" s="15" t="s">
        <v>9</v>
      </c>
      <c r="B90" s="15" t="s">
        <v>9</v>
      </c>
      <c r="C90" s="3" t="s">
        <v>94</v>
      </c>
      <c r="D90" s="15" t="s">
        <v>9</v>
      </c>
      <c r="E90" s="15" t="s">
        <v>9</v>
      </c>
      <c r="F90" s="9">
        <v>212.9248</v>
      </c>
      <c r="G90" s="10">
        <v>2.0991637E-2</v>
      </c>
      <c r="H90" s="100"/>
    </row>
    <row r="91" spans="1:8" x14ac:dyDescent="0.2">
      <c r="A91" s="15" t="s">
        <v>9</v>
      </c>
      <c r="B91" s="15" t="s">
        <v>9</v>
      </c>
      <c r="C91" s="11" t="s">
        <v>9</v>
      </c>
      <c r="D91" s="15" t="s">
        <v>9</v>
      </c>
      <c r="E91" s="15" t="s">
        <v>9</v>
      </c>
      <c r="F91" s="12" t="s">
        <v>9</v>
      </c>
      <c r="G91" s="12" t="s">
        <v>9</v>
      </c>
      <c r="H91" s="100"/>
    </row>
    <row r="92" spans="1:8" x14ac:dyDescent="0.2">
      <c r="A92" s="15" t="s">
        <v>9</v>
      </c>
      <c r="B92" s="15" t="s">
        <v>9</v>
      </c>
      <c r="C92" s="3" t="s">
        <v>108</v>
      </c>
      <c r="D92" s="15" t="s">
        <v>9</v>
      </c>
      <c r="E92" s="15" t="s">
        <v>9</v>
      </c>
      <c r="F92" s="12" t="s">
        <v>9</v>
      </c>
      <c r="G92" s="12" t="s">
        <v>9</v>
      </c>
      <c r="H92" s="100"/>
    </row>
    <row r="93" spans="1:8" x14ac:dyDescent="0.2">
      <c r="A93" s="15" t="s">
        <v>9</v>
      </c>
      <c r="B93" s="15" t="s">
        <v>9</v>
      </c>
      <c r="C93" s="3" t="s">
        <v>94</v>
      </c>
      <c r="D93" s="15" t="s">
        <v>9</v>
      </c>
      <c r="E93" s="15" t="s">
        <v>9</v>
      </c>
      <c r="F93" s="13">
        <v>0</v>
      </c>
      <c r="G93" s="14">
        <v>0</v>
      </c>
      <c r="H93" s="100"/>
    </row>
    <row r="94" spans="1:8" x14ac:dyDescent="0.2">
      <c r="A94" s="15" t="s">
        <v>9</v>
      </c>
      <c r="B94" s="15" t="s">
        <v>9</v>
      </c>
      <c r="C94" s="11" t="s">
        <v>9</v>
      </c>
      <c r="D94" s="15" t="s">
        <v>9</v>
      </c>
      <c r="E94" s="15" t="s">
        <v>9</v>
      </c>
      <c r="F94" s="12" t="s">
        <v>9</v>
      </c>
      <c r="G94" s="12" t="s">
        <v>9</v>
      </c>
      <c r="H94" s="100"/>
    </row>
    <row r="95" spans="1:8" x14ac:dyDescent="0.2">
      <c r="A95" s="15" t="s">
        <v>9</v>
      </c>
      <c r="B95" s="15" t="s">
        <v>9</v>
      </c>
      <c r="C95" s="3" t="s">
        <v>109</v>
      </c>
      <c r="D95" s="15" t="s">
        <v>9</v>
      </c>
      <c r="E95" s="15" t="s">
        <v>9</v>
      </c>
      <c r="F95" s="9">
        <v>1254.9158</v>
      </c>
      <c r="G95" s="10">
        <v>0.12371850099999999</v>
      </c>
      <c r="H95" s="100"/>
    </row>
    <row r="96" spans="1:8" x14ac:dyDescent="0.2">
      <c r="A96" s="15" t="s">
        <v>9</v>
      </c>
      <c r="B96" s="15" t="s">
        <v>9</v>
      </c>
      <c r="C96" s="11" t="s">
        <v>9</v>
      </c>
      <c r="D96" s="15" t="s">
        <v>9</v>
      </c>
      <c r="E96" s="15" t="s">
        <v>9</v>
      </c>
      <c r="F96" s="12" t="s">
        <v>9</v>
      </c>
      <c r="G96" s="12" t="s">
        <v>9</v>
      </c>
      <c r="H96" s="100"/>
    </row>
    <row r="97" spans="1:8" x14ac:dyDescent="0.2">
      <c r="A97" s="15" t="s">
        <v>9</v>
      </c>
      <c r="B97" s="15" t="s">
        <v>9</v>
      </c>
      <c r="C97" s="3" t="s">
        <v>110</v>
      </c>
      <c r="D97" s="15" t="s">
        <v>9</v>
      </c>
      <c r="E97" s="15" t="s">
        <v>9</v>
      </c>
      <c r="F97" s="12" t="s">
        <v>9</v>
      </c>
      <c r="G97" s="12" t="s">
        <v>9</v>
      </c>
      <c r="H97" s="100"/>
    </row>
    <row r="98" spans="1:8" x14ac:dyDescent="0.2">
      <c r="A98" s="15" t="s">
        <v>9</v>
      </c>
      <c r="B98" s="15" t="s">
        <v>9</v>
      </c>
      <c r="C98" s="3" t="s">
        <v>111</v>
      </c>
      <c r="D98" s="15" t="s">
        <v>9</v>
      </c>
      <c r="E98" s="15" t="s">
        <v>9</v>
      </c>
      <c r="F98" s="12" t="s">
        <v>9</v>
      </c>
      <c r="G98" s="12" t="s">
        <v>9</v>
      </c>
      <c r="H98" s="100"/>
    </row>
    <row r="99" spans="1:8" x14ac:dyDescent="0.2">
      <c r="A99" s="15" t="s">
        <v>9</v>
      </c>
      <c r="B99" s="15" t="s">
        <v>9</v>
      </c>
      <c r="C99" s="3" t="s">
        <v>94</v>
      </c>
      <c r="D99" s="15" t="s">
        <v>9</v>
      </c>
      <c r="E99" s="15" t="s">
        <v>9</v>
      </c>
      <c r="F99" s="13">
        <v>0</v>
      </c>
      <c r="G99" s="14">
        <v>0</v>
      </c>
      <c r="H99" s="100"/>
    </row>
    <row r="100" spans="1:8" x14ac:dyDescent="0.2">
      <c r="A100" s="15" t="s">
        <v>9</v>
      </c>
      <c r="B100" s="15" t="s">
        <v>9</v>
      </c>
      <c r="C100" s="11" t="s">
        <v>9</v>
      </c>
      <c r="D100" s="15" t="s">
        <v>9</v>
      </c>
      <c r="E100" s="15" t="s">
        <v>9</v>
      </c>
      <c r="F100" s="12" t="s">
        <v>9</v>
      </c>
      <c r="G100" s="12" t="s">
        <v>9</v>
      </c>
      <c r="H100" s="100"/>
    </row>
    <row r="101" spans="1:8" x14ac:dyDescent="0.2">
      <c r="A101" s="15" t="s">
        <v>9</v>
      </c>
      <c r="B101" s="15" t="s">
        <v>9</v>
      </c>
      <c r="C101" s="3" t="s">
        <v>112</v>
      </c>
      <c r="D101" s="15" t="s">
        <v>9</v>
      </c>
      <c r="E101" s="15" t="s">
        <v>9</v>
      </c>
      <c r="F101" s="12" t="s">
        <v>9</v>
      </c>
      <c r="G101" s="12" t="s">
        <v>9</v>
      </c>
      <c r="H101" s="100"/>
    </row>
    <row r="102" spans="1:8" x14ac:dyDescent="0.2">
      <c r="A102" s="15" t="s">
        <v>9</v>
      </c>
      <c r="B102" s="15" t="s">
        <v>9</v>
      </c>
      <c r="C102" s="3" t="s">
        <v>94</v>
      </c>
      <c r="D102" s="15" t="s">
        <v>9</v>
      </c>
      <c r="E102" s="15" t="s">
        <v>9</v>
      </c>
      <c r="F102" s="13">
        <v>0</v>
      </c>
      <c r="G102" s="14">
        <v>0</v>
      </c>
      <c r="H102" s="100"/>
    </row>
    <row r="103" spans="1:8" x14ac:dyDescent="0.2">
      <c r="A103" s="15" t="s">
        <v>9</v>
      </c>
      <c r="B103" s="15" t="s">
        <v>9</v>
      </c>
      <c r="C103" s="11" t="s">
        <v>9</v>
      </c>
      <c r="D103" s="15" t="s">
        <v>9</v>
      </c>
      <c r="E103" s="15" t="s">
        <v>9</v>
      </c>
      <c r="F103" s="12" t="s">
        <v>9</v>
      </c>
      <c r="G103" s="12" t="s">
        <v>9</v>
      </c>
      <c r="H103" s="100"/>
    </row>
    <row r="104" spans="1:8" x14ac:dyDescent="0.2">
      <c r="A104" s="15" t="s">
        <v>9</v>
      </c>
      <c r="B104" s="15" t="s">
        <v>9</v>
      </c>
      <c r="C104" s="3" t="s">
        <v>113</v>
      </c>
      <c r="D104" s="15" t="s">
        <v>9</v>
      </c>
      <c r="E104" s="15" t="s">
        <v>9</v>
      </c>
      <c r="F104" s="12" t="s">
        <v>9</v>
      </c>
      <c r="G104" s="12" t="s">
        <v>9</v>
      </c>
      <c r="H104" s="100"/>
    </row>
    <row r="105" spans="1:8" x14ac:dyDescent="0.2">
      <c r="A105" s="15" t="s">
        <v>9</v>
      </c>
      <c r="B105" s="15" t="s">
        <v>9</v>
      </c>
      <c r="C105" s="3" t="s">
        <v>94</v>
      </c>
      <c r="D105" s="15" t="s">
        <v>9</v>
      </c>
      <c r="E105" s="15" t="s">
        <v>9</v>
      </c>
      <c r="F105" s="13">
        <v>0</v>
      </c>
      <c r="G105" s="14">
        <v>0</v>
      </c>
      <c r="H105" s="100"/>
    </row>
    <row r="106" spans="1:8" x14ac:dyDescent="0.2">
      <c r="A106" s="15" t="s">
        <v>9</v>
      </c>
      <c r="B106" s="15" t="s">
        <v>9</v>
      </c>
      <c r="C106" s="11" t="s">
        <v>9</v>
      </c>
      <c r="D106" s="15" t="s">
        <v>9</v>
      </c>
      <c r="E106" s="15" t="s">
        <v>9</v>
      </c>
      <c r="F106" s="12" t="s">
        <v>9</v>
      </c>
      <c r="G106" s="12" t="s">
        <v>9</v>
      </c>
      <c r="H106" s="100"/>
    </row>
    <row r="107" spans="1:8" x14ac:dyDescent="0.2">
      <c r="A107" s="15" t="s">
        <v>9</v>
      </c>
      <c r="B107" s="15" t="s">
        <v>9</v>
      </c>
      <c r="C107" s="3" t="s">
        <v>114</v>
      </c>
      <c r="D107" s="15" t="s">
        <v>9</v>
      </c>
      <c r="E107" s="15" t="s">
        <v>9</v>
      </c>
      <c r="F107" s="12" t="s">
        <v>9</v>
      </c>
      <c r="G107" s="12" t="s">
        <v>9</v>
      </c>
      <c r="H107" s="100"/>
    </row>
    <row r="108" spans="1:8" x14ac:dyDescent="0.2">
      <c r="A108" s="4">
        <v>1</v>
      </c>
      <c r="B108" s="5"/>
      <c r="C108" s="5" t="s">
        <v>115</v>
      </c>
      <c r="D108" s="5"/>
      <c r="E108" s="15" t="s">
        <v>9</v>
      </c>
      <c r="F108" s="7">
        <v>192.12985140000001</v>
      </c>
      <c r="G108" s="8">
        <v>1.8941522999999998E-2</v>
      </c>
      <c r="H108" s="99">
        <v>3.2516689338443991</v>
      </c>
    </row>
    <row r="109" spans="1:8" x14ac:dyDescent="0.2">
      <c r="A109" s="4">
        <v>2</v>
      </c>
      <c r="B109" s="5"/>
      <c r="C109" s="5" t="s">
        <v>116</v>
      </c>
      <c r="D109" s="5"/>
      <c r="E109" s="15" t="s">
        <v>9</v>
      </c>
      <c r="F109" s="7">
        <v>26.323517299999999</v>
      </c>
      <c r="G109" s="8">
        <v>2.5951590000000001E-3</v>
      </c>
      <c r="H109" s="100">
        <v>3.350000000000001</v>
      </c>
    </row>
    <row r="110" spans="1:8" x14ac:dyDescent="0.2">
      <c r="A110" s="15" t="s">
        <v>9</v>
      </c>
      <c r="B110" s="15" t="s">
        <v>9</v>
      </c>
      <c r="C110" s="3" t="s">
        <v>94</v>
      </c>
      <c r="D110" s="15" t="s">
        <v>9</v>
      </c>
      <c r="E110" s="15" t="s">
        <v>9</v>
      </c>
      <c r="F110" s="9">
        <v>218.4533687</v>
      </c>
      <c r="G110" s="10">
        <v>2.1536682000000001E-2</v>
      </c>
      <c r="H110" s="100"/>
    </row>
    <row r="111" spans="1:8" x14ac:dyDescent="0.2">
      <c r="A111" s="15" t="s">
        <v>9</v>
      </c>
      <c r="B111" s="15" t="s">
        <v>9</v>
      </c>
      <c r="C111" s="11" t="s">
        <v>9</v>
      </c>
      <c r="D111" s="15" t="s">
        <v>9</v>
      </c>
      <c r="E111" s="15" t="s">
        <v>9</v>
      </c>
      <c r="F111" s="12" t="s">
        <v>9</v>
      </c>
      <c r="G111" s="12" t="s">
        <v>9</v>
      </c>
      <c r="H111" s="100"/>
    </row>
    <row r="112" spans="1:8" x14ac:dyDescent="0.2">
      <c r="A112" s="15" t="s">
        <v>9</v>
      </c>
      <c r="B112" s="15" t="s">
        <v>9</v>
      </c>
      <c r="C112" s="3" t="s">
        <v>117</v>
      </c>
      <c r="D112" s="15" t="s">
        <v>9</v>
      </c>
      <c r="E112" s="15" t="s">
        <v>9</v>
      </c>
      <c r="F112" s="9">
        <v>218.4533687</v>
      </c>
      <c r="G112" s="10">
        <v>2.1536682000000001E-2</v>
      </c>
      <c r="H112" s="100"/>
    </row>
    <row r="113" spans="1:9" x14ac:dyDescent="0.2">
      <c r="A113" s="15" t="s">
        <v>9</v>
      </c>
      <c r="B113" s="15" t="s">
        <v>9</v>
      </c>
      <c r="C113" s="12" t="s">
        <v>9</v>
      </c>
      <c r="D113" s="15" t="s">
        <v>9</v>
      </c>
      <c r="E113" s="15" t="s">
        <v>9</v>
      </c>
      <c r="F113" s="15" t="s">
        <v>9</v>
      </c>
      <c r="G113" s="15" t="s">
        <v>9</v>
      </c>
      <c r="H113" s="100"/>
    </row>
    <row r="114" spans="1:9" x14ac:dyDescent="0.2">
      <c r="A114" s="15" t="s">
        <v>9</v>
      </c>
      <c r="B114" s="15" t="s">
        <v>9</v>
      </c>
      <c r="C114" s="3" t="s">
        <v>118</v>
      </c>
      <c r="D114" s="15" t="s">
        <v>9</v>
      </c>
      <c r="E114" s="15" t="s">
        <v>9</v>
      </c>
      <c r="F114" s="15" t="s">
        <v>9</v>
      </c>
      <c r="G114" s="15" t="s">
        <v>9</v>
      </c>
      <c r="H114" s="100"/>
    </row>
    <row r="115" spans="1:9" x14ac:dyDescent="0.2">
      <c r="A115" s="15" t="s">
        <v>9</v>
      </c>
      <c r="B115" s="15" t="s">
        <v>9</v>
      </c>
      <c r="C115" s="3" t="s">
        <v>119</v>
      </c>
      <c r="D115" s="15" t="s">
        <v>9</v>
      </c>
      <c r="E115" s="15" t="s">
        <v>9</v>
      </c>
      <c r="F115" s="15" t="s">
        <v>9</v>
      </c>
      <c r="G115" s="15" t="s">
        <v>9</v>
      </c>
      <c r="H115" s="100"/>
    </row>
    <row r="116" spans="1:9" x14ac:dyDescent="0.2">
      <c r="A116" s="15" t="s">
        <v>9</v>
      </c>
      <c r="B116" s="15" t="s">
        <v>9</v>
      </c>
      <c r="C116" s="3" t="s">
        <v>94</v>
      </c>
      <c r="D116" s="15" t="s">
        <v>9</v>
      </c>
      <c r="E116" s="15" t="s">
        <v>9</v>
      </c>
      <c r="F116" s="13">
        <v>0</v>
      </c>
      <c r="G116" s="14">
        <v>0</v>
      </c>
      <c r="H116" s="100"/>
    </row>
    <row r="117" spans="1:9" x14ac:dyDescent="0.2">
      <c r="A117" s="15" t="s">
        <v>9</v>
      </c>
      <c r="B117" s="15" t="s">
        <v>9</v>
      </c>
      <c r="C117" s="11" t="s">
        <v>9</v>
      </c>
      <c r="D117" s="15" t="s">
        <v>9</v>
      </c>
      <c r="E117" s="15" t="s">
        <v>9</v>
      </c>
      <c r="F117" s="12" t="s">
        <v>9</v>
      </c>
      <c r="G117" s="12" t="s">
        <v>9</v>
      </c>
      <c r="H117" s="100"/>
    </row>
    <row r="118" spans="1:9" x14ac:dyDescent="0.2">
      <c r="A118" s="15" t="s">
        <v>9</v>
      </c>
      <c r="B118" s="15" t="s">
        <v>9</v>
      </c>
      <c r="C118" s="3" t="s">
        <v>120</v>
      </c>
      <c r="D118" s="15" t="s">
        <v>9</v>
      </c>
      <c r="E118" s="15" t="s">
        <v>9</v>
      </c>
      <c r="F118" s="15" t="s">
        <v>9</v>
      </c>
      <c r="G118" s="15" t="s">
        <v>9</v>
      </c>
      <c r="H118" s="100"/>
    </row>
    <row r="119" spans="1:9" x14ac:dyDescent="0.2">
      <c r="A119" s="15" t="s">
        <v>9</v>
      </c>
      <c r="B119" s="15" t="s">
        <v>9</v>
      </c>
      <c r="C119" s="3" t="s">
        <v>121</v>
      </c>
      <c r="D119" s="15" t="s">
        <v>9</v>
      </c>
      <c r="E119" s="15" t="s">
        <v>9</v>
      </c>
      <c r="F119" s="15" t="s">
        <v>9</v>
      </c>
      <c r="G119" s="15" t="s">
        <v>9</v>
      </c>
      <c r="H119" s="100"/>
    </row>
    <row r="120" spans="1:9" x14ac:dyDescent="0.2">
      <c r="A120" s="15" t="s">
        <v>9</v>
      </c>
      <c r="B120" s="15" t="s">
        <v>9</v>
      </c>
      <c r="C120" s="3" t="s">
        <v>94</v>
      </c>
      <c r="D120" s="15" t="s">
        <v>9</v>
      </c>
      <c r="E120" s="15" t="s">
        <v>9</v>
      </c>
      <c r="F120" s="13">
        <v>0</v>
      </c>
      <c r="G120" s="14">
        <v>0</v>
      </c>
      <c r="H120" s="100"/>
    </row>
    <row r="121" spans="1:9" x14ac:dyDescent="0.2">
      <c r="A121" s="15" t="s">
        <v>9</v>
      </c>
      <c r="B121" s="15" t="s">
        <v>9</v>
      </c>
      <c r="C121" s="11" t="s">
        <v>9</v>
      </c>
      <c r="D121" s="15" t="s">
        <v>9</v>
      </c>
      <c r="E121" s="15" t="s">
        <v>9</v>
      </c>
      <c r="F121" s="12" t="s">
        <v>9</v>
      </c>
      <c r="G121" s="12" t="s">
        <v>9</v>
      </c>
      <c r="H121" s="100"/>
    </row>
    <row r="122" spans="1:9" x14ac:dyDescent="0.2">
      <c r="A122" s="15" t="s">
        <v>9</v>
      </c>
      <c r="B122" s="15" t="s">
        <v>9</v>
      </c>
      <c r="C122" s="11" t="s">
        <v>9</v>
      </c>
      <c r="D122" s="15" t="s">
        <v>9</v>
      </c>
      <c r="E122" s="15" t="s">
        <v>9</v>
      </c>
      <c r="F122" s="12" t="s">
        <v>9</v>
      </c>
      <c r="G122" s="12" t="s">
        <v>9</v>
      </c>
      <c r="H122" s="100"/>
    </row>
    <row r="123" spans="1:9" ht="25.5" x14ac:dyDescent="0.2">
      <c r="A123" s="15" t="s">
        <v>9</v>
      </c>
      <c r="B123" s="15" t="s">
        <v>9</v>
      </c>
      <c r="C123" s="3" t="s">
        <v>122</v>
      </c>
      <c r="D123" s="15" t="s">
        <v>9</v>
      </c>
      <c r="E123" s="15" t="s">
        <v>9</v>
      </c>
      <c r="F123" s="12" t="s">
        <v>9</v>
      </c>
      <c r="G123" s="12" t="s">
        <v>9</v>
      </c>
      <c r="H123" s="100"/>
    </row>
    <row r="124" spans="1:9" x14ac:dyDescent="0.2">
      <c r="A124" s="15" t="s">
        <v>9</v>
      </c>
      <c r="B124" s="15" t="s">
        <v>9</v>
      </c>
      <c r="C124" s="3" t="s">
        <v>94</v>
      </c>
      <c r="D124" s="15" t="s">
        <v>9</v>
      </c>
      <c r="E124" s="15" t="s">
        <v>9</v>
      </c>
      <c r="F124" s="13">
        <v>0</v>
      </c>
      <c r="G124" s="14">
        <v>0</v>
      </c>
      <c r="H124" s="100"/>
    </row>
    <row r="125" spans="1:9" x14ac:dyDescent="0.2">
      <c r="A125" s="15" t="s">
        <v>9</v>
      </c>
      <c r="B125" s="15" t="s">
        <v>9</v>
      </c>
      <c r="C125" s="11" t="s">
        <v>9</v>
      </c>
      <c r="D125" s="15" t="s">
        <v>9</v>
      </c>
      <c r="E125" s="15" t="s">
        <v>9</v>
      </c>
      <c r="F125" s="12" t="s">
        <v>9</v>
      </c>
      <c r="G125" s="12" t="s">
        <v>9</v>
      </c>
      <c r="H125" s="100"/>
    </row>
    <row r="126" spans="1:9" x14ac:dyDescent="0.2">
      <c r="A126" s="15" t="s">
        <v>9</v>
      </c>
      <c r="B126" s="5" t="s">
        <v>9</v>
      </c>
      <c r="C126" s="5" t="s">
        <v>123</v>
      </c>
      <c r="D126" s="5" t="s">
        <v>9</v>
      </c>
      <c r="E126" s="15" t="s">
        <v>9</v>
      </c>
      <c r="F126" s="7">
        <v>1282.3174770999999</v>
      </c>
      <c r="G126" s="8">
        <v>0.126419952</v>
      </c>
      <c r="H126" s="100"/>
    </row>
    <row r="127" spans="1:9" x14ac:dyDescent="0.2">
      <c r="A127" s="15" t="s">
        <v>9</v>
      </c>
      <c r="B127" s="5" t="s">
        <v>9</v>
      </c>
      <c r="C127" s="5" t="s">
        <v>824</v>
      </c>
      <c r="D127" s="5" t="s">
        <v>9</v>
      </c>
      <c r="E127" s="15" t="s">
        <v>9</v>
      </c>
      <c r="F127" s="7">
        <v>-4.6225327900010598</v>
      </c>
      <c r="G127" s="8">
        <v>-5.0000000000000001E-4</v>
      </c>
      <c r="H127" s="100"/>
      <c r="I127" s="237"/>
    </row>
    <row r="128" spans="1:9" x14ac:dyDescent="0.2">
      <c r="A128" s="11" t="s">
        <v>9</v>
      </c>
      <c r="B128" s="11" t="s">
        <v>9</v>
      </c>
      <c r="C128" s="3" t="s">
        <v>125</v>
      </c>
      <c r="D128" s="16" t="s">
        <v>9</v>
      </c>
      <c r="E128" s="16" t="s">
        <v>9</v>
      </c>
      <c r="F128" s="9">
        <v>10143.31563151</v>
      </c>
      <c r="G128" s="10">
        <v>1</v>
      </c>
      <c r="H128" s="100"/>
      <c r="I128" s="237"/>
    </row>
    <row r="129" spans="1:8" x14ac:dyDescent="0.2">
      <c r="A129" s="17" t="s">
        <v>9</v>
      </c>
      <c r="B129" s="17" t="s">
        <v>9</v>
      </c>
      <c r="C129" s="17" t="s">
        <v>9</v>
      </c>
      <c r="D129" s="18" t="s">
        <v>9</v>
      </c>
      <c r="E129" s="18" t="s">
        <v>9</v>
      </c>
      <c r="F129" s="18" t="s">
        <v>9</v>
      </c>
      <c r="G129" s="18" t="s">
        <v>9</v>
      </c>
      <c r="H129" s="142"/>
    </row>
    <row r="130" spans="1:8" x14ac:dyDescent="0.2">
      <c r="A130" s="19" t="s">
        <v>9</v>
      </c>
      <c r="B130" s="254" t="s">
        <v>712</v>
      </c>
      <c r="C130" s="254"/>
      <c r="D130" s="254"/>
      <c r="E130" s="254"/>
      <c r="F130" s="254"/>
      <c r="G130" s="20" t="s">
        <v>9</v>
      </c>
      <c r="H130" s="142"/>
    </row>
    <row r="131" spans="1:8" s="157" customFormat="1" x14ac:dyDescent="0.2">
      <c r="A131" s="94" t="s">
        <v>9</v>
      </c>
      <c r="B131" s="268" t="s">
        <v>826</v>
      </c>
      <c r="C131" s="268"/>
      <c r="D131" s="268"/>
      <c r="E131" s="268"/>
      <c r="F131" s="268"/>
      <c r="G131" s="96" t="s">
        <v>9</v>
      </c>
      <c r="H131" s="145"/>
    </row>
    <row r="132" spans="1:8" x14ac:dyDescent="0.2">
      <c r="A132" s="19" t="s">
        <v>9</v>
      </c>
      <c r="B132" s="19" t="s">
        <v>9</v>
      </c>
      <c r="C132" s="19" t="s">
        <v>9</v>
      </c>
      <c r="D132" s="20" t="s">
        <v>9</v>
      </c>
      <c r="E132" s="20" t="s">
        <v>9</v>
      </c>
      <c r="F132" s="20" t="s">
        <v>9</v>
      </c>
      <c r="G132" s="20" t="s">
        <v>9</v>
      </c>
      <c r="H132" s="142"/>
    </row>
    <row r="133" spans="1:8" x14ac:dyDescent="0.2">
      <c r="A133" s="19" t="s">
        <v>9</v>
      </c>
      <c r="B133" s="247" t="s">
        <v>127</v>
      </c>
      <c r="C133" s="248"/>
      <c r="D133" s="182" t="s">
        <v>9</v>
      </c>
      <c r="E133" s="178" t="s">
        <v>9</v>
      </c>
      <c r="F133" s="179" t="s">
        <v>9</v>
      </c>
      <c r="G133" s="20" t="s">
        <v>9</v>
      </c>
      <c r="H133" s="142"/>
    </row>
    <row r="134" spans="1:8" x14ac:dyDescent="0.2">
      <c r="A134" s="19" t="s">
        <v>9</v>
      </c>
      <c r="B134" s="242" t="s">
        <v>128</v>
      </c>
      <c r="C134" s="243"/>
      <c r="D134" s="3" t="s">
        <v>129</v>
      </c>
      <c r="E134" s="21" t="s">
        <v>9</v>
      </c>
      <c r="F134" s="20" t="s">
        <v>9</v>
      </c>
      <c r="G134" s="20" t="s">
        <v>9</v>
      </c>
      <c r="H134" s="142"/>
    </row>
    <row r="135" spans="1:8" x14ac:dyDescent="0.2">
      <c r="A135" s="19" t="s">
        <v>9</v>
      </c>
      <c r="B135" s="240" t="s">
        <v>130</v>
      </c>
      <c r="C135" s="241"/>
      <c r="D135" s="177" t="s">
        <v>129</v>
      </c>
      <c r="E135" s="178" t="s">
        <v>9</v>
      </c>
      <c r="F135" s="179" t="s">
        <v>9</v>
      </c>
      <c r="G135" s="20" t="s">
        <v>9</v>
      </c>
      <c r="H135" s="142"/>
    </row>
    <row r="136" spans="1:8" x14ac:dyDescent="0.2">
      <c r="A136" s="19" t="s">
        <v>9</v>
      </c>
      <c r="B136" s="240" t="s">
        <v>131</v>
      </c>
      <c r="C136" s="241"/>
      <c r="D136" s="182" t="s">
        <v>9</v>
      </c>
      <c r="E136" s="178" t="s">
        <v>9</v>
      </c>
      <c r="F136" s="179" t="s">
        <v>9</v>
      </c>
      <c r="G136" s="20" t="s">
        <v>9</v>
      </c>
      <c r="H136" s="142"/>
    </row>
    <row r="137" spans="1:8" ht="25.5" x14ac:dyDescent="0.2">
      <c r="A137" s="25" t="s">
        <v>9</v>
      </c>
      <c r="B137" s="23" t="s">
        <v>9</v>
      </c>
      <c r="C137" s="23" t="s">
        <v>132</v>
      </c>
      <c r="D137" s="23" t="s">
        <v>133</v>
      </c>
      <c r="E137" s="22" t="s">
        <v>9</v>
      </c>
      <c r="F137" s="22" t="s">
        <v>9</v>
      </c>
      <c r="G137" s="25" t="s">
        <v>9</v>
      </c>
      <c r="H137" s="142"/>
    </row>
    <row r="138" spans="1:8" x14ac:dyDescent="0.2">
      <c r="A138" s="25" t="s">
        <v>9</v>
      </c>
      <c r="B138" s="23" t="s">
        <v>134</v>
      </c>
      <c r="C138" s="23" t="s">
        <v>135</v>
      </c>
      <c r="D138" s="23" t="s">
        <v>136</v>
      </c>
      <c r="E138" s="22" t="s">
        <v>9</v>
      </c>
      <c r="F138" s="22" t="s">
        <v>9</v>
      </c>
      <c r="G138" s="25" t="s">
        <v>9</v>
      </c>
      <c r="H138" s="142"/>
    </row>
    <row r="139" spans="1:8" x14ac:dyDescent="0.2">
      <c r="A139" s="25" t="s">
        <v>9</v>
      </c>
      <c r="B139" s="183" t="s">
        <v>137</v>
      </c>
      <c r="C139" s="184">
        <v>12.2615</v>
      </c>
      <c r="D139" s="184">
        <v>12.2309</v>
      </c>
      <c r="E139" s="22" t="s">
        <v>9</v>
      </c>
      <c r="F139" s="185" t="s">
        <v>9</v>
      </c>
      <c r="G139" s="25" t="s">
        <v>9</v>
      </c>
      <c r="H139" s="142"/>
    </row>
    <row r="140" spans="1:8" x14ac:dyDescent="0.2">
      <c r="A140" s="25" t="s">
        <v>9</v>
      </c>
      <c r="B140" s="183" t="s">
        <v>921</v>
      </c>
      <c r="C140" s="184">
        <v>12.2614</v>
      </c>
      <c r="D140" s="184">
        <v>12.2308</v>
      </c>
      <c r="E140" s="22" t="s">
        <v>9</v>
      </c>
      <c r="F140" s="185" t="s">
        <v>9</v>
      </c>
      <c r="G140" s="25" t="s">
        <v>9</v>
      </c>
      <c r="H140" s="142"/>
    </row>
    <row r="141" spans="1:8" x14ac:dyDescent="0.2">
      <c r="A141" s="25" t="s">
        <v>9</v>
      </c>
      <c r="B141" s="183" t="s">
        <v>138</v>
      </c>
      <c r="C141" s="184">
        <v>11.7738</v>
      </c>
      <c r="D141" s="184">
        <v>11.7279</v>
      </c>
      <c r="E141" s="22" t="s">
        <v>9</v>
      </c>
      <c r="F141" s="185" t="s">
        <v>9</v>
      </c>
      <c r="G141" s="25" t="s">
        <v>9</v>
      </c>
      <c r="H141" s="142"/>
    </row>
    <row r="142" spans="1:8" x14ac:dyDescent="0.2">
      <c r="A142" s="25" t="s">
        <v>9</v>
      </c>
      <c r="B142" s="183" t="s">
        <v>922</v>
      </c>
      <c r="C142" s="184">
        <v>11.7735</v>
      </c>
      <c r="D142" s="184">
        <v>11.7277</v>
      </c>
      <c r="E142" s="22" t="s">
        <v>9</v>
      </c>
      <c r="F142" s="185" t="s">
        <v>9</v>
      </c>
      <c r="G142" s="25" t="s">
        <v>9</v>
      </c>
      <c r="H142" s="142"/>
    </row>
    <row r="143" spans="1:8" x14ac:dyDescent="0.2">
      <c r="A143" s="25" t="s">
        <v>9</v>
      </c>
      <c r="B143" s="22" t="s">
        <v>9</v>
      </c>
      <c r="C143" s="22" t="s">
        <v>9</v>
      </c>
      <c r="D143" s="22" t="s">
        <v>9</v>
      </c>
      <c r="E143" s="22" t="s">
        <v>9</v>
      </c>
      <c r="F143" s="22" t="s">
        <v>9</v>
      </c>
      <c r="G143" s="25" t="s">
        <v>9</v>
      </c>
      <c r="H143" s="142"/>
    </row>
    <row r="144" spans="1:8" x14ac:dyDescent="0.2">
      <c r="A144" s="25" t="s">
        <v>9</v>
      </c>
      <c r="B144" s="240" t="s">
        <v>1012</v>
      </c>
      <c r="C144" s="241"/>
      <c r="D144" s="177" t="s">
        <v>129</v>
      </c>
      <c r="E144" s="22" t="s">
        <v>9</v>
      </c>
      <c r="F144" s="22" t="s">
        <v>9</v>
      </c>
      <c r="G144" s="25" t="s">
        <v>9</v>
      </c>
      <c r="H144" s="142"/>
    </row>
    <row r="145" spans="1:8" x14ac:dyDescent="0.2">
      <c r="A145" s="25" t="s">
        <v>9</v>
      </c>
      <c r="B145" s="98"/>
      <c r="C145" s="98"/>
      <c r="D145" s="26" t="s">
        <v>9</v>
      </c>
      <c r="E145" s="22" t="s">
        <v>9</v>
      </c>
      <c r="F145" s="22" t="s">
        <v>9</v>
      </c>
      <c r="G145" s="25" t="s">
        <v>9</v>
      </c>
      <c r="H145" s="142"/>
    </row>
    <row r="146" spans="1:8" s="238" customFormat="1" ht="12.75" x14ac:dyDescent="0.2">
      <c r="B146" s="246" t="s">
        <v>923</v>
      </c>
      <c r="C146" s="246"/>
      <c r="D146" s="246"/>
      <c r="E146" s="246"/>
      <c r="F146" s="246"/>
    </row>
    <row r="147" spans="1:8" x14ac:dyDescent="0.2">
      <c r="A147" s="25" t="s">
        <v>9</v>
      </c>
      <c r="B147" s="185" t="s">
        <v>9</v>
      </c>
      <c r="C147" s="185" t="s">
        <v>9</v>
      </c>
      <c r="D147" s="22" t="s">
        <v>9</v>
      </c>
      <c r="E147" s="22" t="s">
        <v>9</v>
      </c>
      <c r="F147" s="22" t="s">
        <v>9</v>
      </c>
      <c r="G147" s="25" t="s">
        <v>9</v>
      </c>
      <c r="H147" s="142"/>
    </row>
    <row r="148" spans="1:8" x14ac:dyDescent="0.2">
      <c r="A148" s="25" t="s">
        <v>9</v>
      </c>
      <c r="B148" s="240" t="s">
        <v>139</v>
      </c>
      <c r="C148" s="241"/>
      <c r="D148" s="177" t="s">
        <v>129</v>
      </c>
      <c r="E148" s="22" t="s">
        <v>9</v>
      </c>
      <c r="F148" s="22" t="s">
        <v>9</v>
      </c>
      <c r="G148" s="25" t="s">
        <v>9</v>
      </c>
      <c r="H148" s="142"/>
    </row>
    <row r="149" spans="1:8" x14ac:dyDescent="0.2">
      <c r="A149" s="25" t="s">
        <v>9</v>
      </c>
      <c r="B149" s="240" t="s">
        <v>140</v>
      </c>
      <c r="C149" s="241"/>
      <c r="D149" s="177" t="s">
        <v>129</v>
      </c>
      <c r="E149" s="22" t="s">
        <v>9</v>
      </c>
      <c r="F149" s="22" t="s">
        <v>9</v>
      </c>
      <c r="G149" s="25" t="s">
        <v>9</v>
      </c>
      <c r="H149" s="142"/>
    </row>
    <row r="150" spans="1:8" s="157" customFormat="1" x14ac:dyDescent="0.2">
      <c r="A150" s="118" t="s">
        <v>9</v>
      </c>
      <c r="B150" s="240" t="s">
        <v>991</v>
      </c>
      <c r="C150" s="241"/>
      <c r="D150" s="187">
        <v>1.1616615952157892</v>
      </c>
      <c r="E150" s="93" t="s">
        <v>9</v>
      </c>
      <c r="F150" s="92" t="s">
        <v>9</v>
      </c>
      <c r="G150" s="118" t="s">
        <v>9</v>
      </c>
      <c r="H150" s="145"/>
    </row>
    <row r="151" spans="1:8" s="157" customFormat="1" x14ac:dyDescent="0.2">
      <c r="A151" s="118" t="s">
        <v>9</v>
      </c>
      <c r="B151" s="240" t="s">
        <v>992</v>
      </c>
      <c r="C151" s="241"/>
      <c r="D151" s="187">
        <v>1.1067121220289415</v>
      </c>
      <c r="E151" s="93" t="s">
        <v>9</v>
      </c>
      <c r="F151" s="92" t="s">
        <v>9</v>
      </c>
      <c r="G151" s="118" t="s">
        <v>9</v>
      </c>
      <c r="H151" s="145"/>
    </row>
    <row r="152" spans="1:8" x14ac:dyDescent="0.2">
      <c r="A152" s="25" t="s">
        <v>9</v>
      </c>
      <c r="B152" s="240" t="s">
        <v>993</v>
      </c>
      <c r="C152" s="241"/>
      <c r="D152" s="186">
        <v>4.7983747123251312</v>
      </c>
      <c r="E152" s="22" t="s">
        <v>9</v>
      </c>
      <c r="F152" s="185" t="s">
        <v>9</v>
      </c>
      <c r="G152" s="25" t="s">
        <v>9</v>
      </c>
      <c r="H152" s="142"/>
    </row>
    <row r="153" spans="1:8" x14ac:dyDescent="0.2">
      <c r="A153" s="25" t="s">
        <v>9</v>
      </c>
      <c r="B153" s="240" t="s">
        <v>994</v>
      </c>
      <c r="C153" s="241"/>
      <c r="D153" s="177" t="s">
        <v>129</v>
      </c>
      <c r="E153" s="22" t="s">
        <v>9</v>
      </c>
      <c r="F153" s="22" t="s">
        <v>9</v>
      </c>
      <c r="G153" s="25" t="s">
        <v>9</v>
      </c>
      <c r="H153" s="142"/>
    </row>
  </sheetData>
  <mergeCells count="17">
    <mergeCell ref="B133:C133"/>
    <mergeCell ref="B130:F130"/>
    <mergeCell ref="B131:F131"/>
    <mergeCell ref="A1:H1"/>
    <mergeCell ref="A2:H2"/>
    <mergeCell ref="A3:H3"/>
    <mergeCell ref="B152:C152"/>
    <mergeCell ref="B153:C153"/>
    <mergeCell ref="B134:C134"/>
    <mergeCell ref="B135:C135"/>
    <mergeCell ref="B136:C136"/>
    <mergeCell ref="B144:C144"/>
    <mergeCell ref="B148:C148"/>
    <mergeCell ref="B149:C149"/>
    <mergeCell ref="B150:C150"/>
    <mergeCell ref="B151:C151"/>
    <mergeCell ref="B146:F146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40">
    <outlinePr summaryBelow="0" summaryRight="0"/>
  </sheetPr>
  <dimension ref="A1:H123"/>
  <sheetViews>
    <sheetView showGridLines="0" workbookViewId="0">
      <selection activeCell="J1" sqref="J1"/>
    </sheetView>
  </sheetViews>
  <sheetFormatPr defaultRowHeight="15" x14ac:dyDescent="0.2"/>
  <cols>
    <col min="1" max="1" width="6.85546875" style="155" customWidth="1"/>
    <col min="2" max="2" width="20.5703125" style="155" customWidth="1"/>
    <col min="3" max="3" width="34.28515625" style="155" customWidth="1"/>
    <col min="4" max="4" width="17.85546875" style="155" customWidth="1"/>
    <col min="5" max="6" width="19.140625" style="155" customWidth="1"/>
    <col min="7" max="7" width="16.42578125" style="155" customWidth="1"/>
    <col min="8" max="16384" width="9.140625" style="155"/>
  </cols>
  <sheetData>
    <row r="1" spans="1:8" x14ac:dyDescent="0.2">
      <c r="A1" s="250" t="s">
        <v>0</v>
      </c>
      <c r="B1" s="250"/>
      <c r="C1" s="250"/>
      <c r="D1" s="250"/>
      <c r="E1" s="250"/>
      <c r="F1" s="250"/>
      <c r="G1" s="250"/>
      <c r="H1" s="250"/>
    </row>
    <row r="2" spans="1:8" x14ac:dyDescent="0.2">
      <c r="A2" s="251" t="s">
        <v>713</v>
      </c>
      <c r="B2" s="252"/>
      <c r="C2" s="252"/>
      <c r="D2" s="252"/>
      <c r="E2" s="252"/>
      <c r="F2" s="252"/>
      <c r="G2" s="252"/>
      <c r="H2" s="253"/>
    </row>
    <row r="3" spans="1:8" x14ac:dyDescent="0.2">
      <c r="A3" s="250" t="s">
        <v>1015</v>
      </c>
      <c r="B3" s="250"/>
      <c r="C3" s="250"/>
      <c r="D3" s="250"/>
      <c r="E3" s="250"/>
      <c r="F3" s="250"/>
      <c r="G3" s="250"/>
      <c r="H3" s="250"/>
    </row>
    <row r="4" spans="1:8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60" t="s">
        <v>6</v>
      </c>
      <c r="F4" s="160" t="s">
        <v>7</v>
      </c>
      <c r="G4" s="160" t="s">
        <v>8</v>
      </c>
      <c r="H4" s="161" t="s">
        <v>909</v>
      </c>
    </row>
    <row r="5" spans="1:8" x14ac:dyDescent="0.2">
      <c r="A5" s="15" t="s">
        <v>9</v>
      </c>
      <c r="B5" s="15" t="s">
        <v>9</v>
      </c>
      <c r="C5" s="3" t="s">
        <v>10</v>
      </c>
      <c r="D5" s="15" t="s">
        <v>9</v>
      </c>
      <c r="E5" s="15" t="s">
        <v>9</v>
      </c>
      <c r="F5" s="15" t="s">
        <v>9</v>
      </c>
      <c r="G5" s="15" t="s">
        <v>9</v>
      </c>
      <c r="H5" s="100"/>
    </row>
    <row r="6" spans="1:8" ht="25.5" x14ac:dyDescent="0.2">
      <c r="A6" s="15" t="s">
        <v>9</v>
      </c>
      <c r="B6" s="15" t="s">
        <v>9</v>
      </c>
      <c r="C6" s="3" t="s">
        <v>11</v>
      </c>
      <c r="D6" s="15" t="s">
        <v>9</v>
      </c>
      <c r="E6" s="15" t="s">
        <v>9</v>
      </c>
      <c r="F6" s="15" t="s">
        <v>9</v>
      </c>
      <c r="G6" s="15" t="s">
        <v>9</v>
      </c>
      <c r="H6" s="100"/>
    </row>
    <row r="7" spans="1:8" x14ac:dyDescent="0.2">
      <c r="A7" s="4">
        <v>1</v>
      </c>
      <c r="B7" s="5" t="s">
        <v>54</v>
      </c>
      <c r="C7" s="5" t="s">
        <v>55</v>
      </c>
      <c r="D7" s="5" t="s">
        <v>22</v>
      </c>
      <c r="E7" s="6">
        <v>457468</v>
      </c>
      <c r="F7" s="7">
        <v>6460.8205639999996</v>
      </c>
      <c r="G7" s="8">
        <v>0.19373464100000001</v>
      </c>
      <c r="H7" s="100"/>
    </row>
    <row r="8" spans="1:8" x14ac:dyDescent="0.2">
      <c r="A8" s="4">
        <v>2</v>
      </c>
      <c r="B8" s="5" t="s">
        <v>20</v>
      </c>
      <c r="C8" s="5" t="s">
        <v>21</v>
      </c>
      <c r="D8" s="5" t="s">
        <v>22</v>
      </c>
      <c r="E8" s="6">
        <v>787588</v>
      </c>
      <c r="F8" s="7">
        <v>4729.46594</v>
      </c>
      <c r="G8" s="8">
        <v>0.141818114</v>
      </c>
      <c r="H8" s="100"/>
    </row>
    <row r="9" spans="1:8" ht="25.5" x14ac:dyDescent="0.2">
      <c r="A9" s="4">
        <v>3</v>
      </c>
      <c r="B9" s="5" t="s">
        <v>395</v>
      </c>
      <c r="C9" s="5" t="s">
        <v>396</v>
      </c>
      <c r="D9" s="5" t="s">
        <v>156</v>
      </c>
      <c r="E9" s="6">
        <v>161518</v>
      </c>
      <c r="F9" s="7">
        <v>3908.8971179999999</v>
      </c>
      <c r="G9" s="8">
        <v>0.117212477</v>
      </c>
      <c r="H9" s="100"/>
    </row>
    <row r="10" spans="1:8" x14ac:dyDescent="0.2">
      <c r="A10" s="4">
        <v>4</v>
      </c>
      <c r="B10" s="5" t="s">
        <v>397</v>
      </c>
      <c r="C10" s="5" t="s">
        <v>398</v>
      </c>
      <c r="D10" s="5" t="s">
        <v>22</v>
      </c>
      <c r="E10" s="6">
        <v>466660</v>
      </c>
      <c r="F10" s="7">
        <v>3336.1523400000001</v>
      </c>
      <c r="G10" s="8">
        <v>0.10003811</v>
      </c>
      <c r="H10" s="100"/>
    </row>
    <row r="11" spans="1:8" x14ac:dyDescent="0.2">
      <c r="A11" s="4">
        <v>5</v>
      </c>
      <c r="B11" s="5" t="s">
        <v>399</v>
      </c>
      <c r="C11" s="5" t="s">
        <v>400</v>
      </c>
      <c r="D11" s="5" t="s">
        <v>22</v>
      </c>
      <c r="E11" s="6">
        <v>534054</v>
      </c>
      <c r="F11" s="7">
        <v>1887.8808899999999</v>
      </c>
      <c r="G11" s="8">
        <v>5.6610134999999999E-2</v>
      </c>
      <c r="H11" s="100"/>
    </row>
    <row r="12" spans="1:8" ht="25.5" x14ac:dyDescent="0.2">
      <c r="A12" s="4">
        <v>6</v>
      </c>
      <c r="B12" s="5" t="s">
        <v>287</v>
      </c>
      <c r="C12" s="5" t="s">
        <v>288</v>
      </c>
      <c r="D12" s="5" t="s">
        <v>156</v>
      </c>
      <c r="E12" s="6">
        <v>264326</v>
      </c>
      <c r="F12" s="7">
        <v>1511.283905</v>
      </c>
      <c r="G12" s="8">
        <v>4.5317469999999999E-2</v>
      </c>
      <c r="H12" s="100"/>
    </row>
    <row r="13" spans="1:8" x14ac:dyDescent="0.2">
      <c r="A13" s="4">
        <v>7</v>
      </c>
      <c r="B13" s="5" t="s">
        <v>423</v>
      </c>
      <c r="C13" s="5" t="s">
        <v>424</v>
      </c>
      <c r="D13" s="5" t="s">
        <v>22</v>
      </c>
      <c r="E13" s="6">
        <v>70301</v>
      </c>
      <c r="F13" s="7">
        <v>1229.423888</v>
      </c>
      <c r="G13" s="8">
        <v>3.6865595000000001E-2</v>
      </c>
      <c r="H13" s="100"/>
    </row>
    <row r="14" spans="1:8" x14ac:dyDescent="0.2">
      <c r="A14" s="4">
        <v>8</v>
      </c>
      <c r="B14" s="5" t="s">
        <v>528</v>
      </c>
      <c r="C14" s="5" t="s">
        <v>529</v>
      </c>
      <c r="D14" s="5" t="s">
        <v>22</v>
      </c>
      <c r="E14" s="6">
        <v>449234</v>
      </c>
      <c r="F14" s="7">
        <v>1160.1468050000001</v>
      </c>
      <c r="G14" s="8">
        <v>3.4788247000000001E-2</v>
      </c>
      <c r="H14" s="100"/>
    </row>
    <row r="15" spans="1:8" x14ac:dyDescent="0.2">
      <c r="A15" s="4">
        <v>9</v>
      </c>
      <c r="B15" s="5" t="s">
        <v>382</v>
      </c>
      <c r="C15" s="5" t="s">
        <v>383</v>
      </c>
      <c r="D15" s="5" t="s">
        <v>1009</v>
      </c>
      <c r="E15" s="6">
        <v>9946</v>
      </c>
      <c r="F15" s="7">
        <v>1098.202509</v>
      </c>
      <c r="G15" s="8">
        <v>3.2930780999999999E-2</v>
      </c>
      <c r="H15" s="100"/>
    </row>
    <row r="16" spans="1:8" x14ac:dyDescent="0.2">
      <c r="A16" s="4">
        <v>10</v>
      </c>
      <c r="B16" s="5" t="s">
        <v>664</v>
      </c>
      <c r="C16" s="5" t="s">
        <v>665</v>
      </c>
      <c r="D16" s="5" t="s">
        <v>22</v>
      </c>
      <c r="E16" s="6">
        <v>108562</v>
      </c>
      <c r="F16" s="7">
        <v>1015.000419</v>
      </c>
      <c r="G16" s="8">
        <v>3.0435877E-2</v>
      </c>
      <c r="H16" s="100"/>
    </row>
    <row r="17" spans="1:8" ht="25.5" x14ac:dyDescent="0.2">
      <c r="A17" s="4">
        <v>11</v>
      </c>
      <c r="B17" s="5" t="s">
        <v>348</v>
      </c>
      <c r="C17" s="5" t="s">
        <v>349</v>
      </c>
      <c r="D17" s="5" t="s">
        <v>156</v>
      </c>
      <c r="E17" s="6">
        <v>445484</v>
      </c>
      <c r="F17" s="7">
        <v>721.01585399999999</v>
      </c>
      <c r="G17" s="8">
        <v>2.1620434000000001E-2</v>
      </c>
      <c r="H17" s="100"/>
    </row>
    <row r="18" spans="1:8" x14ac:dyDescent="0.2">
      <c r="A18" s="4">
        <v>12</v>
      </c>
      <c r="B18" s="5" t="s">
        <v>334</v>
      </c>
      <c r="C18" s="5" t="s">
        <v>335</v>
      </c>
      <c r="D18" s="5" t="s">
        <v>156</v>
      </c>
      <c r="E18" s="6">
        <v>176148</v>
      </c>
      <c r="F18" s="7">
        <v>714.63243599999998</v>
      </c>
      <c r="G18" s="8">
        <v>2.1429020999999999E-2</v>
      </c>
      <c r="H18" s="100"/>
    </row>
    <row r="19" spans="1:8" x14ac:dyDescent="0.2">
      <c r="A19" s="4">
        <v>13</v>
      </c>
      <c r="B19" s="5" t="s">
        <v>231</v>
      </c>
      <c r="C19" s="5" t="s">
        <v>935</v>
      </c>
      <c r="D19" s="5" t="s">
        <v>156</v>
      </c>
      <c r="E19" s="6">
        <v>139760</v>
      </c>
      <c r="F19" s="7">
        <v>695.58551999999997</v>
      </c>
      <c r="G19" s="8">
        <v>2.0857878999999999E-2</v>
      </c>
      <c r="H19" s="100"/>
    </row>
    <row r="20" spans="1:8" x14ac:dyDescent="0.2">
      <c r="A20" s="4">
        <v>14</v>
      </c>
      <c r="B20" s="5" t="s">
        <v>297</v>
      </c>
      <c r="C20" s="5" t="s">
        <v>928</v>
      </c>
      <c r="D20" s="5" t="s">
        <v>22</v>
      </c>
      <c r="E20" s="6">
        <v>794999</v>
      </c>
      <c r="F20" s="7">
        <v>636.79419900000005</v>
      </c>
      <c r="G20" s="8">
        <v>1.9094957999999999E-2</v>
      </c>
      <c r="H20" s="100"/>
    </row>
    <row r="21" spans="1:8" x14ac:dyDescent="0.2">
      <c r="A21" s="4">
        <v>15</v>
      </c>
      <c r="B21" s="5" t="s">
        <v>692</v>
      </c>
      <c r="C21" s="5" t="s">
        <v>936</v>
      </c>
      <c r="D21" s="5" t="s">
        <v>156</v>
      </c>
      <c r="E21" s="6">
        <v>29669</v>
      </c>
      <c r="F21" s="7">
        <v>399.0628845</v>
      </c>
      <c r="G21" s="8">
        <v>1.1966329E-2</v>
      </c>
      <c r="H21" s="100"/>
    </row>
    <row r="22" spans="1:8" x14ac:dyDescent="0.2">
      <c r="A22" s="4">
        <v>16</v>
      </c>
      <c r="B22" s="5" t="s">
        <v>566</v>
      </c>
      <c r="C22" s="5" t="s">
        <v>567</v>
      </c>
      <c r="D22" s="5" t="s">
        <v>156</v>
      </c>
      <c r="E22" s="6">
        <v>7202</v>
      </c>
      <c r="F22" s="7">
        <v>392.64583800000003</v>
      </c>
      <c r="G22" s="8">
        <v>1.1773907E-2</v>
      </c>
      <c r="H22" s="100"/>
    </row>
    <row r="23" spans="1:8" x14ac:dyDescent="0.2">
      <c r="A23" s="4">
        <v>17</v>
      </c>
      <c r="B23" s="5" t="s">
        <v>714</v>
      </c>
      <c r="C23" s="5" t="s">
        <v>715</v>
      </c>
      <c r="D23" s="5" t="s">
        <v>156</v>
      </c>
      <c r="E23" s="6">
        <v>311914</v>
      </c>
      <c r="F23" s="7">
        <v>357.29748699999999</v>
      </c>
      <c r="G23" s="8">
        <v>1.0713949E-2</v>
      </c>
      <c r="H23" s="100"/>
    </row>
    <row r="24" spans="1:8" x14ac:dyDescent="0.2">
      <c r="A24" s="4">
        <v>18</v>
      </c>
      <c r="B24" s="5" t="s">
        <v>303</v>
      </c>
      <c r="C24" s="5" t="s">
        <v>304</v>
      </c>
      <c r="D24" s="5" t="s">
        <v>22</v>
      </c>
      <c r="E24" s="6">
        <v>31034</v>
      </c>
      <c r="F24" s="7">
        <v>311.67446200000001</v>
      </c>
      <c r="G24" s="8">
        <v>9.3458929999999992E-3</v>
      </c>
      <c r="H24" s="100"/>
    </row>
    <row r="25" spans="1:8" x14ac:dyDescent="0.2">
      <c r="A25" s="4">
        <v>19</v>
      </c>
      <c r="B25" s="5" t="s">
        <v>289</v>
      </c>
      <c r="C25" s="5" t="s">
        <v>290</v>
      </c>
      <c r="D25" s="5" t="s">
        <v>1009</v>
      </c>
      <c r="E25" s="6">
        <v>31042</v>
      </c>
      <c r="F25" s="7">
        <v>278.105278</v>
      </c>
      <c r="G25" s="8">
        <v>8.3392850000000001E-3</v>
      </c>
      <c r="H25" s="100"/>
    </row>
    <row r="26" spans="1:8" ht="25.5" x14ac:dyDescent="0.2">
      <c r="A26" s="4">
        <v>20</v>
      </c>
      <c r="B26" s="5" t="s">
        <v>419</v>
      </c>
      <c r="C26" s="5" t="s">
        <v>420</v>
      </c>
      <c r="D26" s="5" t="s">
        <v>1009</v>
      </c>
      <c r="E26" s="6">
        <v>19277</v>
      </c>
      <c r="F26" s="7">
        <v>272.57677999999999</v>
      </c>
      <c r="G26" s="8">
        <v>8.173507E-3</v>
      </c>
      <c r="H26" s="100"/>
    </row>
    <row r="27" spans="1:8" x14ac:dyDescent="0.2">
      <c r="A27" s="4">
        <v>21</v>
      </c>
      <c r="B27" s="5" t="s">
        <v>579</v>
      </c>
      <c r="C27" s="5" t="s">
        <v>580</v>
      </c>
      <c r="D27" s="5" t="s">
        <v>1009</v>
      </c>
      <c r="E27" s="6">
        <v>39000</v>
      </c>
      <c r="F27" s="7">
        <v>259.38900000000001</v>
      </c>
      <c r="G27" s="8">
        <v>7.778058E-3</v>
      </c>
      <c r="H27" s="100"/>
    </row>
    <row r="28" spans="1:8" x14ac:dyDescent="0.2">
      <c r="A28" s="4">
        <v>22</v>
      </c>
      <c r="B28" s="5" t="s">
        <v>403</v>
      </c>
      <c r="C28" s="5" t="s">
        <v>404</v>
      </c>
      <c r="D28" s="5" t="s">
        <v>1009</v>
      </c>
      <c r="E28" s="6">
        <v>17738</v>
      </c>
      <c r="F28" s="7">
        <v>164.73280600000001</v>
      </c>
      <c r="G28" s="8">
        <v>4.9396900000000001E-3</v>
      </c>
      <c r="H28" s="100"/>
    </row>
    <row r="29" spans="1:8" x14ac:dyDescent="0.2">
      <c r="A29" s="4">
        <v>23</v>
      </c>
      <c r="B29" s="5" t="s">
        <v>516</v>
      </c>
      <c r="C29" s="5" t="s">
        <v>517</v>
      </c>
      <c r="D29" s="5" t="s">
        <v>156</v>
      </c>
      <c r="E29" s="6">
        <v>184713</v>
      </c>
      <c r="F29" s="7">
        <v>148.41689550000001</v>
      </c>
      <c r="G29" s="8">
        <v>4.45044E-3</v>
      </c>
      <c r="H29" s="100"/>
    </row>
    <row r="30" spans="1:8" x14ac:dyDescent="0.2">
      <c r="A30" s="4">
        <v>24</v>
      </c>
      <c r="B30" s="5" t="s">
        <v>585</v>
      </c>
      <c r="C30" s="5" t="s">
        <v>937</v>
      </c>
      <c r="D30" s="5" t="s">
        <v>1006</v>
      </c>
      <c r="E30" s="6">
        <v>16200</v>
      </c>
      <c r="F30" s="7">
        <v>103.5423</v>
      </c>
      <c r="G30" s="8">
        <v>3.1048270000000001E-3</v>
      </c>
      <c r="H30" s="100"/>
    </row>
    <row r="31" spans="1:8" x14ac:dyDescent="0.2">
      <c r="A31" s="4">
        <v>25</v>
      </c>
      <c r="B31" s="5" t="s">
        <v>716</v>
      </c>
      <c r="C31" s="5" t="s">
        <v>717</v>
      </c>
      <c r="D31" s="5" t="s">
        <v>156</v>
      </c>
      <c r="E31" s="6">
        <v>50000</v>
      </c>
      <c r="F31" s="7">
        <v>101.3</v>
      </c>
      <c r="G31" s="8">
        <v>3.0375889999999998E-3</v>
      </c>
      <c r="H31" s="100"/>
    </row>
    <row r="32" spans="1:8" x14ac:dyDescent="0.2">
      <c r="A32" s="4">
        <v>26</v>
      </c>
      <c r="B32" s="5" t="s">
        <v>350</v>
      </c>
      <c r="C32" s="5" t="s">
        <v>351</v>
      </c>
      <c r="D32" s="5" t="s">
        <v>1006</v>
      </c>
      <c r="E32" s="6">
        <v>15113</v>
      </c>
      <c r="F32" s="7">
        <v>68.605463499999999</v>
      </c>
      <c r="G32" s="8">
        <v>2.057208E-3</v>
      </c>
      <c r="H32" s="100"/>
    </row>
    <row r="33" spans="1:8" x14ac:dyDescent="0.2">
      <c r="A33" s="15" t="s">
        <v>9</v>
      </c>
      <c r="B33" s="15" t="s">
        <v>9</v>
      </c>
      <c r="C33" s="3" t="s">
        <v>94</v>
      </c>
      <c r="D33" s="15" t="s">
        <v>9</v>
      </c>
      <c r="E33" s="15" t="s">
        <v>9</v>
      </c>
      <c r="F33" s="9">
        <v>31962.651581499998</v>
      </c>
      <c r="G33" s="10">
        <v>0.95843442099999998</v>
      </c>
      <c r="H33" s="100"/>
    </row>
    <row r="34" spans="1:8" x14ac:dyDescent="0.2">
      <c r="A34" s="15" t="s">
        <v>9</v>
      </c>
      <c r="B34" s="15" t="s">
        <v>9</v>
      </c>
      <c r="C34" s="11" t="s">
        <v>9</v>
      </c>
      <c r="D34" s="15" t="s">
        <v>9</v>
      </c>
      <c r="E34" s="15" t="s">
        <v>9</v>
      </c>
      <c r="F34" s="12" t="s">
        <v>9</v>
      </c>
      <c r="G34" s="12" t="s">
        <v>9</v>
      </c>
      <c r="H34" s="100"/>
    </row>
    <row r="35" spans="1:8" x14ac:dyDescent="0.2">
      <c r="A35" s="15" t="s">
        <v>9</v>
      </c>
      <c r="B35" s="15" t="s">
        <v>9</v>
      </c>
      <c r="C35" s="3" t="s">
        <v>95</v>
      </c>
      <c r="D35" s="15" t="s">
        <v>9</v>
      </c>
      <c r="E35" s="15" t="s">
        <v>9</v>
      </c>
      <c r="F35" s="15" t="s">
        <v>9</v>
      </c>
      <c r="G35" s="15" t="s">
        <v>9</v>
      </c>
      <c r="H35" s="100"/>
    </row>
    <row r="36" spans="1:8" x14ac:dyDescent="0.2">
      <c r="A36" s="15" t="s">
        <v>9</v>
      </c>
      <c r="B36" s="15" t="s">
        <v>9</v>
      </c>
      <c r="C36" s="3" t="s">
        <v>94</v>
      </c>
      <c r="D36" s="15" t="s">
        <v>9</v>
      </c>
      <c r="E36" s="15" t="s">
        <v>9</v>
      </c>
      <c r="F36" s="13">
        <v>0</v>
      </c>
      <c r="G36" s="14">
        <v>0</v>
      </c>
      <c r="H36" s="100"/>
    </row>
    <row r="37" spans="1:8" x14ac:dyDescent="0.2">
      <c r="A37" s="15" t="s">
        <v>9</v>
      </c>
      <c r="B37" s="15" t="s">
        <v>9</v>
      </c>
      <c r="C37" s="11" t="s">
        <v>9</v>
      </c>
      <c r="D37" s="15" t="s">
        <v>9</v>
      </c>
      <c r="E37" s="15" t="s">
        <v>9</v>
      </c>
      <c r="F37" s="12" t="s">
        <v>9</v>
      </c>
      <c r="G37" s="12" t="s">
        <v>9</v>
      </c>
      <c r="H37" s="100"/>
    </row>
    <row r="38" spans="1:8" x14ac:dyDescent="0.2">
      <c r="A38" s="15" t="s">
        <v>9</v>
      </c>
      <c r="B38" s="15" t="s">
        <v>9</v>
      </c>
      <c r="C38" s="3" t="s">
        <v>96</v>
      </c>
      <c r="D38" s="15" t="s">
        <v>9</v>
      </c>
      <c r="E38" s="15" t="s">
        <v>9</v>
      </c>
      <c r="F38" s="15" t="s">
        <v>9</v>
      </c>
      <c r="G38" s="15" t="s">
        <v>9</v>
      </c>
      <c r="H38" s="100"/>
    </row>
    <row r="39" spans="1:8" x14ac:dyDescent="0.2">
      <c r="A39" s="15" t="s">
        <v>9</v>
      </c>
      <c r="B39" s="15" t="s">
        <v>9</v>
      </c>
      <c r="C39" s="3" t="s">
        <v>94</v>
      </c>
      <c r="D39" s="15" t="s">
        <v>9</v>
      </c>
      <c r="E39" s="15" t="s">
        <v>9</v>
      </c>
      <c r="F39" s="13">
        <v>0</v>
      </c>
      <c r="G39" s="14">
        <v>0</v>
      </c>
      <c r="H39" s="100"/>
    </row>
    <row r="40" spans="1:8" x14ac:dyDescent="0.2">
      <c r="A40" s="15" t="s">
        <v>9</v>
      </c>
      <c r="B40" s="15" t="s">
        <v>9</v>
      </c>
      <c r="C40" s="11" t="s">
        <v>9</v>
      </c>
      <c r="D40" s="15" t="s">
        <v>9</v>
      </c>
      <c r="E40" s="15" t="s">
        <v>9</v>
      </c>
      <c r="F40" s="12" t="s">
        <v>9</v>
      </c>
      <c r="G40" s="12" t="s">
        <v>9</v>
      </c>
      <c r="H40" s="100"/>
    </row>
    <row r="41" spans="1:8" x14ac:dyDescent="0.2">
      <c r="A41" s="15" t="s">
        <v>9</v>
      </c>
      <c r="B41" s="15" t="s">
        <v>9</v>
      </c>
      <c r="C41" s="3" t="s">
        <v>100</v>
      </c>
      <c r="D41" s="15" t="s">
        <v>9</v>
      </c>
      <c r="E41" s="15" t="s">
        <v>9</v>
      </c>
      <c r="F41" s="15" t="s">
        <v>9</v>
      </c>
      <c r="G41" s="15" t="s">
        <v>9</v>
      </c>
      <c r="H41" s="100"/>
    </row>
    <row r="42" spans="1:8" x14ac:dyDescent="0.2">
      <c r="A42" s="15" t="s">
        <v>9</v>
      </c>
      <c r="B42" s="15" t="s">
        <v>9</v>
      </c>
      <c r="C42" s="3" t="s">
        <v>94</v>
      </c>
      <c r="D42" s="15" t="s">
        <v>9</v>
      </c>
      <c r="E42" s="15" t="s">
        <v>9</v>
      </c>
      <c r="F42" s="13">
        <v>0</v>
      </c>
      <c r="G42" s="14">
        <v>0</v>
      </c>
      <c r="H42" s="100"/>
    </row>
    <row r="43" spans="1:8" x14ac:dyDescent="0.2">
      <c r="A43" s="15" t="s">
        <v>9</v>
      </c>
      <c r="B43" s="15" t="s">
        <v>9</v>
      </c>
      <c r="C43" s="11" t="s">
        <v>9</v>
      </c>
      <c r="D43" s="15" t="s">
        <v>9</v>
      </c>
      <c r="E43" s="15" t="s">
        <v>9</v>
      </c>
      <c r="F43" s="12" t="s">
        <v>9</v>
      </c>
      <c r="G43" s="12" t="s">
        <v>9</v>
      </c>
      <c r="H43" s="100"/>
    </row>
    <row r="44" spans="1:8" x14ac:dyDescent="0.2">
      <c r="A44" s="15" t="s">
        <v>9</v>
      </c>
      <c r="B44" s="15" t="s">
        <v>9</v>
      </c>
      <c r="C44" s="3" t="s">
        <v>101</v>
      </c>
      <c r="D44" s="15" t="s">
        <v>9</v>
      </c>
      <c r="E44" s="15" t="s">
        <v>9</v>
      </c>
      <c r="F44" s="12" t="s">
        <v>9</v>
      </c>
      <c r="G44" s="12" t="s">
        <v>9</v>
      </c>
      <c r="H44" s="100"/>
    </row>
    <row r="45" spans="1:8" x14ac:dyDescent="0.2">
      <c r="A45" s="15" t="s">
        <v>9</v>
      </c>
      <c r="B45" s="15" t="s">
        <v>9</v>
      </c>
      <c r="C45" s="3" t="s">
        <v>94</v>
      </c>
      <c r="D45" s="15" t="s">
        <v>9</v>
      </c>
      <c r="E45" s="15" t="s">
        <v>9</v>
      </c>
      <c r="F45" s="13">
        <v>0</v>
      </c>
      <c r="G45" s="14">
        <v>0</v>
      </c>
      <c r="H45" s="100"/>
    </row>
    <row r="46" spans="1:8" x14ac:dyDescent="0.2">
      <c r="A46" s="15" t="s">
        <v>9</v>
      </c>
      <c r="B46" s="15" t="s">
        <v>9</v>
      </c>
      <c r="C46" s="11" t="s">
        <v>9</v>
      </c>
      <c r="D46" s="15" t="s">
        <v>9</v>
      </c>
      <c r="E46" s="15" t="s">
        <v>9</v>
      </c>
      <c r="F46" s="12" t="s">
        <v>9</v>
      </c>
      <c r="G46" s="12" t="s">
        <v>9</v>
      </c>
      <c r="H46" s="100"/>
    </row>
    <row r="47" spans="1:8" x14ac:dyDescent="0.2">
      <c r="A47" s="15" t="s">
        <v>9</v>
      </c>
      <c r="B47" s="15" t="s">
        <v>9</v>
      </c>
      <c r="C47" s="3" t="s">
        <v>102</v>
      </c>
      <c r="D47" s="15" t="s">
        <v>9</v>
      </c>
      <c r="E47" s="15" t="s">
        <v>9</v>
      </c>
      <c r="F47" s="12" t="s">
        <v>9</v>
      </c>
      <c r="G47" s="12" t="s">
        <v>9</v>
      </c>
      <c r="H47" s="100"/>
    </row>
    <row r="48" spans="1:8" x14ac:dyDescent="0.2">
      <c r="A48" s="15" t="s">
        <v>9</v>
      </c>
      <c r="B48" s="15" t="s">
        <v>9</v>
      </c>
      <c r="C48" s="3" t="s">
        <v>94</v>
      </c>
      <c r="D48" s="15" t="s">
        <v>9</v>
      </c>
      <c r="E48" s="15" t="s">
        <v>9</v>
      </c>
      <c r="F48" s="13">
        <v>0</v>
      </c>
      <c r="G48" s="14">
        <v>0</v>
      </c>
      <c r="H48" s="100"/>
    </row>
    <row r="49" spans="1:8" x14ac:dyDescent="0.2">
      <c r="A49" s="15" t="s">
        <v>9</v>
      </c>
      <c r="B49" s="15" t="s">
        <v>9</v>
      </c>
      <c r="C49" s="11" t="s">
        <v>9</v>
      </c>
      <c r="D49" s="15" t="s">
        <v>9</v>
      </c>
      <c r="E49" s="15" t="s">
        <v>9</v>
      </c>
      <c r="F49" s="12" t="s">
        <v>9</v>
      </c>
      <c r="G49" s="12" t="s">
        <v>9</v>
      </c>
      <c r="H49" s="100"/>
    </row>
    <row r="50" spans="1:8" x14ac:dyDescent="0.2">
      <c r="A50" s="15" t="s">
        <v>9</v>
      </c>
      <c r="B50" s="15" t="s">
        <v>9</v>
      </c>
      <c r="C50" s="3" t="s">
        <v>104</v>
      </c>
      <c r="D50" s="15" t="s">
        <v>9</v>
      </c>
      <c r="E50" s="15" t="s">
        <v>9</v>
      </c>
      <c r="F50" s="9">
        <v>31962.651581499998</v>
      </c>
      <c r="G50" s="10">
        <v>0.95843442099999998</v>
      </c>
      <c r="H50" s="100"/>
    </row>
    <row r="51" spans="1:8" x14ac:dyDescent="0.2">
      <c r="A51" s="15" t="s">
        <v>9</v>
      </c>
      <c r="B51" s="15" t="s">
        <v>9</v>
      </c>
      <c r="C51" s="11" t="s">
        <v>9</v>
      </c>
      <c r="D51" s="15" t="s">
        <v>9</v>
      </c>
      <c r="E51" s="15" t="s">
        <v>9</v>
      </c>
      <c r="F51" s="12" t="s">
        <v>9</v>
      </c>
      <c r="G51" s="12" t="s">
        <v>9</v>
      </c>
      <c r="H51" s="100"/>
    </row>
    <row r="52" spans="1:8" x14ac:dyDescent="0.2">
      <c r="A52" s="15" t="s">
        <v>9</v>
      </c>
      <c r="B52" s="15" t="s">
        <v>9</v>
      </c>
      <c r="C52" s="3" t="s">
        <v>105</v>
      </c>
      <c r="D52" s="15" t="s">
        <v>9</v>
      </c>
      <c r="E52" s="15" t="s">
        <v>9</v>
      </c>
      <c r="F52" s="12" t="s">
        <v>9</v>
      </c>
      <c r="G52" s="12" t="s">
        <v>9</v>
      </c>
      <c r="H52" s="100"/>
    </row>
    <row r="53" spans="1:8" ht="25.5" x14ac:dyDescent="0.2">
      <c r="A53" s="15" t="s">
        <v>9</v>
      </c>
      <c r="B53" s="15" t="s">
        <v>9</v>
      </c>
      <c r="C53" s="3" t="s">
        <v>11</v>
      </c>
      <c r="D53" s="15" t="s">
        <v>9</v>
      </c>
      <c r="E53" s="15" t="s">
        <v>9</v>
      </c>
      <c r="F53" s="12" t="s">
        <v>9</v>
      </c>
      <c r="G53" s="12" t="s">
        <v>9</v>
      </c>
      <c r="H53" s="100"/>
    </row>
    <row r="54" spans="1:8" x14ac:dyDescent="0.2">
      <c r="A54" s="15" t="s">
        <v>9</v>
      </c>
      <c r="B54" s="15" t="s">
        <v>9</v>
      </c>
      <c r="C54" s="3" t="s">
        <v>94</v>
      </c>
      <c r="D54" s="15" t="s">
        <v>9</v>
      </c>
      <c r="E54" s="15" t="s">
        <v>9</v>
      </c>
      <c r="F54" s="13">
        <v>0</v>
      </c>
      <c r="G54" s="14">
        <v>0</v>
      </c>
      <c r="H54" s="100"/>
    </row>
    <row r="55" spans="1:8" x14ac:dyDescent="0.2">
      <c r="A55" s="15" t="s">
        <v>9</v>
      </c>
      <c r="B55" s="15" t="s">
        <v>9</v>
      </c>
      <c r="C55" s="11" t="s">
        <v>9</v>
      </c>
      <c r="D55" s="15" t="s">
        <v>9</v>
      </c>
      <c r="E55" s="15" t="s">
        <v>9</v>
      </c>
      <c r="F55" s="12" t="s">
        <v>9</v>
      </c>
      <c r="G55" s="12" t="s">
        <v>9</v>
      </c>
      <c r="H55" s="100"/>
    </row>
    <row r="56" spans="1:8" x14ac:dyDescent="0.2">
      <c r="A56" s="15" t="s">
        <v>9</v>
      </c>
      <c r="B56" s="15" t="s">
        <v>9</v>
      </c>
      <c r="C56" s="3" t="s">
        <v>106</v>
      </c>
      <c r="D56" s="15" t="s">
        <v>9</v>
      </c>
      <c r="E56" s="15" t="s">
        <v>9</v>
      </c>
      <c r="F56" s="15" t="s">
        <v>9</v>
      </c>
      <c r="G56" s="15" t="s">
        <v>9</v>
      </c>
      <c r="H56" s="100"/>
    </row>
    <row r="57" spans="1:8" x14ac:dyDescent="0.2">
      <c r="A57" s="15" t="s">
        <v>9</v>
      </c>
      <c r="B57" s="15" t="s">
        <v>9</v>
      </c>
      <c r="C57" s="3" t="s">
        <v>94</v>
      </c>
      <c r="D57" s="15" t="s">
        <v>9</v>
      </c>
      <c r="E57" s="15" t="s">
        <v>9</v>
      </c>
      <c r="F57" s="13">
        <v>0</v>
      </c>
      <c r="G57" s="14">
        <v>0</v>
      </c>
      <c r="H57" s="100"/>
    </row>
    <row r="58" spans="1:8" x14ac:dyDescent="0.2">
      <c r="A58" s="15" t="s">
        <v>9</v>
      </c>
      <c r="B58" s="15" t="s">
        <v>9</v>
      </c>
      <c r="C58" s="11" t="s">
        <v>9</v>
      </c>
      <c r="D58" s="15" t="s">
        <v>9</v>
      </c>
      <c r="E58" s="15" t="s">
        <v>9</v>
      </c>
      <c r="F58" s="12" t="s">
        <v>9</v>
      </c>
      <c r="G58" s="12" t="s">
        <v>9</v>
      </c>
      <c r="H58" s="100"/>
    </row>
    <row r="59" spans="1:8" x14ac:dyDescent="0.2">
      <c r="A59" s="15" t="s">
        <v>9</v>
      </c>
      <c r="B59" s="15" t="s">
        <v>9</v>
      </c>
      <c r="C59" s="3" t="s">
        <v>107</v>
      </c>
      <c r="D59" s="15" t="s">
        <v>9</v>
      </c>
      <c r="E59" s="15" t="s">
        <v>9</v>
      </c>
      <c r="F59" s="15" t="s">
        <v>9</v>
      </c>
      <c r="G59" s="15" t="s">
        <v>9</v>
      </c>
      <c r="H59" s="100"/>
    </row>
    <row r="60" spans="1:8" x14ac:dyDescent="0.2">
      <c r="A60" s="15" t="s">
        <v>9</v>
      </c>
      <c r="B60" s="15" t="s">
        <v>9</v>
      </c>
      <c r="C60" s="3" t="s">
        <v>94</v>
      </c>
      <c r="D60" s="15" t="s">
        <v>9</v>
      </c>
      <c r="E60" s="15" t="s">
        <v>9</v>
      </c>
      <c r="F60" s="13">
        <v>0</v>
      </c>
      <c r="G60" s="14">
        <v>0</v>
      </c>
      <c r="H60" s="100"/>
    </row>
    <row r="61" spans="1:8" x14ac:dyDescent="0.2">
      <c r="A61" s="15" t="s">
        <v>9</v>
      </c>
      <c r="B61" s="15" t="s">
        <v>9</v>
      </c>
      <c r="C61" s="11" t="s">
        <v>9</v>
      </c>
      <c r="D61" s="15" t="s">
        <v>9</v>
      </c>
      <c r="E61" s="15" t="s">
        <v>9</v>
      </c>
      <c r="F61" s="12" t="s">
        <v>9</v>
      </c>
      <c r="G61" s="12" t="s">
        <v>9</v>
      </c>
      <c r="H61" s="100"/>
    </row>
    <row r="62" spans="1:8" x14ac:dyDescent="0.2">
      <c r="A62" s="15" t="s">
        <v>9</v>
      </c>
      <c r="B62" s="15" t="s">
        <v>9</v>
      </c>
      <c r="C62" s="3" t="s">
        <v>108</v>
      </c>
      <c r="D62" s="15" t="s">
        <v>9</v>
      </c>
      <c r="E62" s="15" t="s">
        <v>9</v>
      </c>
      <c r="F62" s="12" t="s">
        <v>9</v>
      </c>
      <c r="G62" s="12" t="s">
        <v>9</v>
      </c>
      <c r="H62" s="100"/>
    </row>
    <row r="63" spans="1:8" x14ac:dyDescent="0.2">
      <c r="A63" s="15" t="s">
        <v>9</v>
      </c>
      <c r="B63" s="15" t="s">
        <v>9</v>
      </c>
      <c r="C63" s="3" t="s">
        <v>94</v>
      </c>
      <c r="D63" s="15" t="s">
        <v>9</v>
      </c>
      <c r="E63" s="15" t="s">
        <v>9</v>
      </c>
      <c r="F63" s="13">
        <v>0</v>
      </c>
      <c r="G63" s="14">
        <v>0</v>
      </c>
      <c r="H63" s="100"/>
    </row>
    <row r="64" spans="1:8" x14ac:dyDescent="0.2">
      <c r="A64" s="15" t="s">
        <v>9</v>
      </c>
      <c r="B64" s="15" t="s">
        <v>9</v>
      </c>
      <c r="C64" s="11" t="s">
        <v>9</v>
      </c>
      <c r="D64" s="15" t="s">
        <v>9</v>
      </c>
      <c r="E64" s="15" t="s">
        <v>9</v>
      </c>
      <c r="F64" s="12" t="s">
        <v>9</v>
      </c>
      <c r="G64" s="12" t="s">
        <v>9</v>
      </c>
      <c r="H64" s="100"/>
    </row>
    <row r="65" spans="1:8" x14ac:dyDescent="0.2">
      <c r="A65" s="15" t="s">
        <v>9</v>
      </c>
      <c r="B65" s="15" t="s">
        <v>9</v>
      </c>
      <c r="C65" s="3" t="s">
        <v>109</v>
      </c>
      <c r="D65" s="15" t="s">
        <v>9</v>
      </c>
      <c r="E65" s="15" t="s">
        <v>9</v>
      </c>
      <c r="F65" s="9">
        <v>0</v>
      </c>
      <c r="G65" s="10">
        <v>0</v>
      </c>
      <c r="H65" s="100"/>
    </row>
    <row r="66" spans="1:8" x14ac:dyDescent="0.2">
      <c r="A66" s="15" t="s">
        <v>9</v>
      </c>
      <c r="B66" s="15" t="s">
        <v>9</v>
      </c>
      <c r="C66" s="11" t="s">
        <v>9</v>
      </c>
      <c r="D66" s="15" t="s">
        <v>9</v>
      </c>
      <c r="E66" s="15" t="s">
        <v>9</v>
      </c>
      <c r="F66" s="12" t="s">
        <v>9</v>
      </c>
      <c r="G66" s="12" t="s">
        <v>9</v>
      </c>
      <c r="H66" s="100"/>
    </row>
    <row r="67" spans="1:8" x14ac:dyDescent="0.2">
      <c r="A67" s="15" t="s">
        <v>9</v>
      </c>
      <c r="B67" s="15" t="s">
        <v>9</v>
      </c>
      <c r="C67" s="3" t="s">
        <v>110</v>
      </c>
      <c r="D67" s="15" t="s">
        <v>9</v>
      </c>
      <c r="E67" s="15" t="s">
        <v>9</v>
      </c>
      <c r="F67" s="12" t="s">
        <v>9</v>
      </c>
      <c r="G67" s="12" t="s">
        <v>9</v>
      </c>
      <c r="H67" s="100"/>
    </row>
    <row r="68" spans="1:8" x14ac:dyDescent="0.2">
      <c r="A68" s="15" t="s">
        <v>9</v>
      </c>
      <c r="B68" s="15" t="s">
        <v>9</v>
      </c>
      <c r="C68" s="3" t="s">
        <v>111</v>
      </c>
      <c r="D68" s="15" t="s">
        <v>9</v>
      </c>
      <c r="E68" s="15" t="s">
        <v>9</v>
      </c>
      <c r="F68" s="12" t="s">
        <v>9</v>
      </c>
      <c r="G68" s="12" t="s">
        <v>9</v>
      </c>
      <c r="H68" s="100"/>
    </row>
    <row r="69" spans="1:8" x14ac:dyDescent="0.2">
      <c r="A69" s="15" t="s">
        <v>9</v>
      </c>
      <c r="B69" s="15" t="s">
        <v>9</v>
      </c>
      <c r="C69" s="3" t="s">
        <v>94</v>
      </c>
      <c r="D69" s="15" t="s">
        <v>9</v>
      </c>
      <c r="E69" s="15" t="s">
        <v>9</v>
      </c>
      <c r="F69" s="13">
        <v>0</v>
      </c>
      <c r="G69" s="14">
        <v>0</v>
      </c>
      <c r="H69" s="100"/>
    </row>
    <row r="70" spans="1:8" x14ac:dyDescent="0.2">
      <c r="A70" s="15" t="s">
        <v>9</v>
      </c>
      <c r="B70" s="15" t="s">
        <v>9</v>
      </c>
      <c r="C70" s="11" t="s">
        <v>9</v>
      </c>
      <c r="D70" s="15" t="s">
        <v>9</v>
      </c>
      <c r="E70" s="15" t="s">
        <v>9</v>
      </c>
      <c r="F70" s="12" t="s">
        <v>9</v>
      </c>
      <c r="G70" s="12" t="s">
        <v>9</v>
      </c>
      <c r="H70" s="100"/>
    </row>
    <row r="71" spans="1:8" x14ac:dyDescent="0.2">
      <c r="A71" s="15" t="s">
        <v>9</v>
      </c>
      <c r="B71" s="15" t="s">
        <v>9</v>
      </c>
      <c r="C71" s="3" t="s">
        <v>112</v>
      </c>
      <c r="D71" s="15" t="s">
        <v>9</v>
      </c>
      <c r="E71" s="15" t="s">
        <v>9</v>
      </c>
      <c r="F71" s="12" t="s">
        <v>9</v>
      </c>
      <c r="G71" s="12" t="s">
        <v>9</v>
      </c>
      <c r="H71" s="100"/>
    </row>
    <row r="72" spans="1:8" x14ac:dyDescent="0.2">
      <c r="A72" s="15" t="s">
        <v>9</v>
      </c>
      <c r="B72" s="15" t="s">
        <v>9</v>
      </c>
      <c r="C72" s="3" t="s">
        <v>94</v>
      </c>
      <c r="D72" s="15" t="s">
        <v>9</v>
      </c>
      <c r="E72" s="15" t="s">
        <v>9</v>
      </c>
      <c r="F72" s="13">
        <v>0</v>
      </c>
      <c r="G72" s="14">
        <v>0</v>
      </c>
      <c r="H72" s="100"/>
    </row>
    <row r="73" spans="1:8" x14ac:dyDescent="0.2">
      <c r="A73" s="15" t="s">
        <v>9</v>
      </c>
      <c r="B73" s="15" t="s">
        <v>9</v>
      </c>
      <c r="C73" s="11" t="s">
        <v>9</v>
      </c>
      <c r="D73" s="15" t="s">
        <v>9</v>
      </c>
      <c r="E73" s="15" t="s">
        <v>9</v>
      </c>
      <c r="F73" s="12" t="s">
        <v>9</v>
      </c>
      <c r="G73" s="12" t="s">
        <v>9</v>
      </c>
      <c r="H73" s="100"/>
    </row>
    <row r="74" spans="1:8" x14ac:dyDescent="0.2">
      <c r="A74" s="15" t="s">
        <v>9</v>
      </c>
      <c r="B74" s="15" t="s">
        <v>9</v>
      </c>
      <c r="C74" s="3" t="s">
        <v>113</v>
      </c>
      <c r="D74" s="15" t="s">
        <v>9</v>
      </c>
      <c r="E74" s="15" t="s">
        <v>9</v>
      </c>
      <c r="F74" s="12" t="s">
        <v>9</v>
      </c>
      <c r="G74" s="12" t="s">
        <v>9</v>
      </c>
      <c r="H74" s="100"/>
    </row>
    <row r="75" spans="1:8" x14ac:dyDescent="0.2">
      <c r="A75" s="15" t="s">
        <v>9</v>
      </c>
      <c r="B75" s="15" t="s">
        <v>9</v>
      </c>
      <c r="C75" s="3" t="s">
        <v>94</v>
      </c>
      <c r="D75" s="15" t="s">
        <v>9</v>
      </c>
      <c r="E75" s="15" t="s">
        <v>9</v>
      </c>
      <c r="F75" s="13">
        <v>0</v>
      </c>
      <c r="G75" s="14">
        <v>0</v>
      </c>
      <c r="H75" s="100"/>
    </row>
    <row r="76" spans="1:8" x14ac:dyDescent="0.2">
      <c r="A76" s="15" t="s">
        <v>9</v>
      </c>
      <c r="B76" s="15" t="s">
        <v>9</v>
      </c>
      <c r="C76" s="11" t="s">
        <v>9</v>
      </c>
      <c r="D76" s="15" t="s">
        <v>9</v>
      </c>
      <c r="E76" s="15" t="s">
        <v>9</v>
      </c>
      <c r="F76" s="12" t="s">
        <v>9</v>
      </c>
      <c r="G76" s="12" t="s">
        <v>9</v>
      </c>
      <c r="H76" s="100"/>
    </row>
    <row r="77" spans="1:8" x14ac:dyDescent="0.2">
      <c r="A77" s="15" t="s">
        <v>9</v>
      </c>
      <c r="B77" s="15" t="s">
        <v>9</v>
      </c>
      <c r="C77" s="3" t="s">
        <v>114</v>
      </c>
      <c r="D77" s="15" t="s">
        <v>9</v>
      </c>
      <c r="E77" s="15" t="s">
        <v>9</v>
      </c>
      <c r="F77" s="12" t="s">
        <v>9</v>
      </c>
      <c r="G77" s="12" t="s">
        <v>9</v>
      </c>
      <c r="H77" s="100"/>
    </row>
    <row r="78" spans="1:8" x14ac:dyDescent="0.2">
      <c r="A78" s="4">
        <v>1</v>
      </c>
      <c r="B78" s="5"/>
      <c r="C78" s="5" t="s">
        <v>115</v>
      </c>
      <c r="D78" s="5"/>
      <c r="E78" s="15" t="s">
        <v>9</v>
      </c>
      <c r="F78" s="7">
        <v>1156.0358374</v>
      </c>
      <c r="G78" s="8">
        <v>3.4664976E-2</v>
      </c>
      <c r="H78" s="99">
        <v>3.2516689338443991</v>
      </c>
    </row>
    <row r="79" spans="1:8" x14ac:dyDescent="0.2">
      <c r="A79" s="4">
        <v>2</v>
      </c>
      <c r="B79" s="5"/>
      <c r="C79" s="5" t="s">
        <v>116</v>
      </c>
      <c r="D79" s="5"/>
      <c r="E79" s="15" t="s">
        <v>9</v>
      </c>
      <c r="F79" s="7">
        <v>158.38747219999999</v>
      </c>
      <c r="G79" s="8">
        <v>4.749418E-3</v>
      </c>
      <c r="H79" s="100">
        <v>3.350000000000001</v>
      </c>
    </row>
    <row r="80" spans="1:8" x14ac:dyDescent="0.2">
      <c r="A80" s="15" t="s">
        <v>9</v>
      </c>
      <c r="B80" s="15" t="s">
        <v>9</v>
      </c>
      <c r="C80" s="3" t="s">
        <v>94</v>
      </c>
      <c r="D80" s="15" t="s">
        <v>9</v>
      </c>
      <c r="E80" s="15" t="s">
        <v>9</v>
      </c>
      <c r="F80" s="9">
        <v>1314.4233096</v>
      </c>
      <c r="G80" s="10">
        <v>3.9414393999999998E-2</v>
      </c>
      <c r="H80" s="100"/>
    </row>
    <row r="81" spans="1:8" x14ac:dyDescent="0.2">
      <c r="A81" s="15" t="s">
        <v>9</v>
      </c>
      <c r="B81" s="15" t="s">
        <v>9</v>
      </c>
      <c r="C81" s="11" t="s">
        <v>9</v>
      </c>
      <c r="D81" s="15" t="s">
        <v>9</v>
      </c>
      <c r="E81" s="15" t="s">
        <v>9</v>
      </c>
      <c r="F81" s="12" t="s">
        <v>9</v>
      </c>
      <c r="G81" s="12" t="s">
        <v>9</v>
      </c>
      <c r="H81" s="100"/>
    </row>
    <row r="82" spans="1:8" x14ac:dyDescent="0.2">
      <c r="A82" s="15" t="s">
        <v>9</v>
      </c>
      <c r="B82" s="15" t="s">
        <v>9</v>
      </c>
      <c r="C82" s="3" t="s">
        <v>117</v>
      </c>
      <c r="D82" s="15" t="s">
        <v>9</v>
      </c>
      <c r="E82" s="15" t="s">
        <v>9</v>
      </c>
      <c r="F82" s="9">
        <v>1314.4233096</v>
      </c>
      <c r="G82" s="10">
        <v>3.9414393999999998E-2</v>
      </c>
      <c r="H82" s="100"/>
    </row>
    <row r="83" spans="1:8" x14ac:dyDescent="0.2">
      <c r="A83" s="15" t="s">
        <v>9</v>
      </c>
      <c r="B83" s="15" t="s">
        <v>9</v>
      </c>
      <c r="C83" s="12" t="s">
        <v>9</v>
      </c>
      <c r="D83" s="15" t="s">
        <v>9</v>
      </c>
      <c r="E83" s="15" t="s">
        <v>9</v>
      </c>
      <c r="F83" s="15" t="s">
        <v>9</v>
      </c>
      <c r="G83" s="15" t="s">
        <v>9</v>
      </c>
      <c r="H83" s="100"/>
    </row>
    <row r="84" spans="1:8" x14ac:dyDescent="0.2">
      <c r="A84" s="15" t="s">
        <v>9</v>
      </c>
      <c r="B84" s="15" t="s">
        <v>9</v>
      </c>
      <c r="C84" s="3" t="s">
        <v>118</v>
      </c>
      <c r="D84" s="15" t="s">
        <v>9</v>
      </c>
      <c r="E84" s="15" t="s">
        <v>9</v>
      </c>
      <c r="F84" s="15" t="s">
        <v>9</v>
      </c>
      <c r="G84" s="15" t="s">
        <v>9</v>
      </c>
      <c r="H84" s="100"/>
    </row>
    <row r="85" spans="1:8" x14ac:dyDescent="0.2">
      <c r="A85" s="15" t="s">
        <v>9</v>
      </c>
      <c r="B85" s="15" t="s">
        <v>9</v>
      </c>
      <c r="C85" s="3" t="s">
        <v>119</v>
      </c>
      <c r="D85" s="15" t="s">
        <v>9</v>
      </c>
      <c r="E85" s="15" t="s">
        <v>9</v>
      </c>
      <c r="F85" s="15" t="s">
        <v>9</v>
      </c>
      <c r="G85" s="15" t="s">
        <v>9</v>
      </c>
      <c r="H85" s="100"/>
    </row>
    <row r="86" spans="1:8" x14ac:dyDescent="0.2">
      <c r="A86" s="15" t="s">
        <v>9</v>
      </c>
      <c r="B86" s="15" t="s">
        <v>9</v>
      </c>
      <c r="C86" s="3" t="s">
        <v>94</v>
      </c>
      <c r="D86" s="15" t="s">
        <v>9</v>
      </c>
      <c r="E86" s="15" t="s">
        <v>9</v>
      </c>
      <c r="F86" s="13">
        <v>0</v>
      </c>
      <c r="G86" s="14">
        <v>0</v>
      </c>
      <c r="H86" s="100"/>
    </row>
    <row r="87" spans="1:8" x14ac:dyDescent="0.2">
      <c r="A87" s="15" t="s">
        <v>9</v>
      </c>
      <c r="B87" s="15" t="s">
        <v>9</v>
      </c>
      <c r="C87" s="11" t="s">
        <v>9</v>
      </c>
      <c r="D87" s="15" t="s">
        <v>9</v>
      </c>
      <c r="E87" s="15" t="s">
        <v>9</v>
      </c>
      <c r="F87" s="12" t="s">
        <v>9</v>
      </c>
      <c r="G87" s="12" t="s">
        <v>9</v>
      </c>
      <c r="H87" s="100"/>
    </row>
    <row r="88" spans="1:8" x14ac:dyDescent="0.2">
      <c r="A88" s="15" t="s">
        <v>9</v>
      </c>
      <c r="B88" s="15" t="s">
        <v>9</v>
      </c>
      <c r="C88" s="3" t="s">
        <v>120</v>
      </c>
      <c r="D88" s="15" t="s">
        <v>9</v>
      </c>
      <c r="E88" s="15" t="s">
        <v>9</v>
      </c>
      <c r="F88" s="15" t="s">
        <v>9</v>
      </c>
      <c r="G88" s="15" t="s">
        <v>9</v>
      </c>
      <c r="H88" s="100"/>
    </row>
    <row r="89" spans="1:8" x14ac:dyDescent="0.2">
      <c r="A89" s="15" t="s">
        <v>9</v>
      </c>
      <c r="B89" s="15" t="s">
        <v>9</v>
      </c>
      <c r="C89" s="3" t="s">
        <v>121</v>
      </c>
      <c r="D89" s="15" t="s">
        <v>9</v>
      </c>
      <c r="E89" s="15" t="s">
        <v>9</v>
      </c>
      <c r="F89" s="15" t="s">
        <v>9</v>
      </c>
      <c r="G89" s="15" t="s">
        <v>9</v>
      </c>
      <c r="H89" s="100"/>
    </row>
    <row r="90" spans="1:8" x14ac:dyDescent="0.2">
      <c r="A90" s="15" t="s">
        <v>9</v>
      </c>
      <c r="B90" s="15" t="s">
        <v>9</v>
      </c>
      <c r="C90" s="3" t="s">
        <v>94</v>
      </c>
      <c r="D90" s="15" t="s">
        <v>9</v>
      </c>
      <c r="E90" s="15" t="s">
        <v>9</v>
      </c>
      <c r="F90" s="13">
        <v>0</v>
      </c>
      <c r="G90" s="14">
        <v>0</v>
      </c>
      <c r="H90" s="100"/>
    </row>
    <row r="91" spans="1:8" x14ac:dyDescent="0.2">
      <c r="A91" s="15" t="s">
        <v>9</v>
      </c>
      <c r="B91" s="15" t="s">
        <v>9</v>
      </c>
      <c r="C91" s="11" t="s">
        <v>9</v>
      </c>
      <c r="D91" s="15" t="s">
        <v>9</v>
      </c>
      <c r="E91" s="15" t="s">
        <v>9</v>
      </c>
      <c r="F91" s="12" t="s">
        <v>9</v>
      </c>
      <c r="G91" s="12" t="s">
        <v>9</v>
      </c>
      <c r="H91" s="100"/>
    </row>
    <row r="92" spans="1:8" x14ac:dyDescent="0.2">
      <c r="A92" s="15" t="s">
        <v>9</v>
      </c>
      <c r="B92" s="15" t="s">
        <v>9</v>
      </c>
      <c r="C92" s="11" t="s">
        <v>9</v>
      </c>
      <c r="D92" s="15" t="s">
        <v>9</v>
      </c>
      <c r="E92" s="15" t="s">
        <v>9</v>
      </c>
      <c r="F92" s="12" t="s">
        <v>9</v>
      </c>
      <c r="G92" s="12" t="s">
        <v>9</v>
      </c>
      <c r="H92" s="100"/>
    </row>
    <row r="93" spans="1:8" ht="25.5" x14ac:dyDescent="0.2">
      <c r="A93" s="15" t="s">
        <v>9</v>
      </c>
      <c r="B93" s="15" t="s">
        <v>9</v>
      </c>
      <c r="C93" s="3" t="s">
        <v>122</v>
      </c>
      <c r="D93" s="15" t="s">
        <v>9</v>
      </c>
      <c r="E93" s="15" t="s">
        <v>9</v>
      </c>
      <c r="F93" s="12" t="s">
        <v>9</v>
      </c>
      <c r="G93" s="12" t="s">
        <v>9</v>
      </c>
      <c r="H93" s="100"/>
    </row>
    <row r="94" spans="1:8" x14ac:dyDescent="0.2">
      <c r="A94" s="15" t="s">
        <v>9</v>
      </c>
      <c r="B94" s="15" t="s">
        <v>9</v>
      </c>
      <c r="C94" s="3" t="s">
        <v>94</v>
      </c>
      <c r="D94" s="15" t="s">
        <v>9</v>
      </c>
      <c r="E94" s="15" t="s">
        <v>9</v>
      </c>
      <c r="F94" s="13">
        <v>0</v>
      </c>
      <c r="G94" s="14">
        <v>0</v>
      </c>
      <c r="H94" s="100"/>
    </row>
    <row r="95" spans="1:8" x14ac:dyDescent="0.2">
      <c r="A95" s="15" t="s">
        <v>9</v>
      </c>
      <c r="B95" s="15" t="s">
        <v>9</v>
      </c>
      <c r="C95" s="11" t="s">
        <v>9</v>
      </c>
      <c r="D95" s="15" t="s">
        <v>9</v>
      </c>
      <c r="E95" s="15" t="s">
        <v>9</v>
      </c>
      <c r="F95" s="12" t="s">
        <v>9</v>
      </c>
      <c r="G95" s="12" t="s">
        <v>9</v>
      </c>
      <c r="H95" s="100"/>
    </row>
    <row r="96" spans="1:8" x14ac:dyDescent="0.2">
      <c r="A96" s="15" t="s">
        <v>9</v>
      </c>
      <c r="B96" s="5" t="s">
        <v>9</v>
      </c>
      <c r="C96" s="5" t="s">
        <v>9</v>
      </c>
      <c r="D96" s="3" t="s">
        <v>9</v>
      </c>
      <c r="E96" s="15" t="s">
        <v>9</v>
      </c>
      <c r="F96" s="5" t="s">
        <v>9</v>
      </c>
      <c r="G96" s="15" t="s">
        <v>9</v>
      </c>
      <c r="H96" s="100"/>
    </row>
    <row r="97" spans="1:8" x14ac:dyDescent="0.2">
      <c r="A97" s="15" t="s">
        <v>9</v>
      </c>
      <c r="B97" s="5" t="s">
        <v>9</v>
      </c>
      <c r="C97" s="5" t="s">
        <v>124</v>
      </c>
      <c r="D97" s="5" t="s">
        <v>9</v>
      </c>
      <c r="E97" s="15" t="s">
        <v>9</v>
      </c>
      <c r="F97" s="7">
        <v>71.739440979999998</v>
      </c>
      <c r="G97" s="8">
        <v>2.151184E-3</v>
      </c>
      <c r="H97" s="100"/>
    </row>
    <row r="98" spans="1:8" x14ac:dyDescent="0.2">
      <c r="A98" s="11" t="s">
        <v>9</v>
      </c>
      <c r="B98" s="11" t="s">
        <v>9</v>
      </c>
      <c r="C98" s="3" t="s">
        <v>125</v>
      </c>
      <c r="D98" s="16" t="s">
        <v>9</v>
      </c>
      <c r="E98" s="16" t="s">
        <v>9</v>
      </c>
      <c r="F98" s="9">
        <v>33348.814332080001</v>
      </c>
      <c r="G98" s="10">
        <v>1</v>
      </c>
      <c r="H98" s="100"/>
    </row>
    <row r="99" spans="1:8" x14ac:dyDescent="0.2">
      <c r="A99" s="17" t="s">
        <v>9</v>
      </c>
      <c r="B99" s="17" t="s">
        <v>9</v>
      </c>
      <c r="C99" s="17" t="s">
        <v>9</v>
      </c>
      <c r="D99" s="18" t="s">
        <v>9</v>
      </c>
      <c r="E99" s="18" t="s">
        <v>9</v>
      </c>
      <c r="F99" s="18" t="s">
        <v>9</v>
      </c>
      <c r="G99" s="18" t="s">
        <v>9</v>
      </c>
      <c r="H99" s="142"/>
    </row>
    <row r="100" spans="1:8" x14ac:dyDescent="0.2">
      <c r="A100" s="19" t="s">
        <v>9</v>
      </c>
      <c r="B100" s="254" t="s">
        <v>9</v>
      </c>
      <c r="C100" s="254"/>
      <c r="D100" s="254"/>
      <c r="E100" s="254"/>
      <c r="F100" s="254"/>
      <c r="G100" s="20" t="s">
        <v>9</v>
      </c>
      <c r="H100" s="142"/>
    </row>
    <row r="101" spans="1:8" x14ac:dyDescent="0.2">
      <c r="A101" s="19" t="s">
        <v>9</v>
      </c>
      <c r="B101" s="254" t="s">
        <v>9</v>
      </c>
      <c r="C101" s="254"/>
      <c r="D101" s="254"/>
      <c r="E101" s="254"/>
      <c r="F101" s="254"/>
      <c r="G101" s="20" t="s">
        <v>9</v>
      </c>
      <c r="H101" s="142"/>
    </row>
    <row r="102" spans="1:8" x14ac:dyDescent="0.2">
      <c r="A102" s="19" t="s">
        <v>9</v>
      </c>
      <c r="B102" s="19" t="s">
        <v>9</v>
      </c>
      <c r="C102" s="19" t="s">
        <v>9</v>
      </c>
      <c r="D102" s="20" t="s">
        <v>9</v>
      </c>
      <c r="E102" s="20" t="s">
        <v>9</v>
      </c>
      <c r="F102" s="20" t="s">
        <v>9</v>
      </c>
      <c r="G102" s="20" t="s">
        <v>9</v>
      </c>
      <c r="H102" s="142"/>
    </row>
    <row r="103" spans="1:8" x14ac:dyDescent="0.2">
      <c r="A103" s="176" t="s">
        <v>9</v>
      </c>
      <c r="B103" s="247" t="s">
        <v>127</v>
      </c>
      <c r="C103" s="248"/>
      <c r="D103" s="182" t="s">
        <v>9</v>
      </c>
      <c r="E103" s="178" t="s">
        <v>9</v>
      </c>
      <c r="F103" s="179" t="s">
        <v>9</v>
      </c>
      <c r="G103" s="20" t="s">
        <v>9</v>
      </c>
      <c r="H103" s="142"/>
    </row>
    <row r="104" spans="1:8" ht="28.5" customHeight="1" x14ac:dyDescent="0.2">
      <c r="A104" s="19" t="s">
        <v>9</v>
      </c>
      <c r="B104" s="242" t="s">
        <v>128</v>
      </c>
      <c r="C104" s="243"/>
      <c r="D104" s="3" t="s">
        <v>129</v>
      </c>
      <c r="E104" s="21" t="s">
        <v>9</v>
      </c>
      <c r="F104" s="20" t="s">
        <v>9</v>
      </c>
      <c r="G104" s="20" t="s">
        <v>9</v>
      </c>
      <c r="H104" s="142"/>
    </row>
    <row r="105" spans="1:8" x14ac:dyDescent="0.2">
      <c r="A105" s="176" t="s">
        <v>9</v>
      </c>
      <c r="B105" s="240" t="s">
        <v>130</v>
      </c>
      <c r="C105" s="241"/>
      <c r="D105" s="177" t="s">
        <v>129</v>
      </c>
      <c r="E105" s="178" t="s">
        <v>9</v>
      </c>
      <c r="F105" s="179" t="s">
        <v>9</v>
      </c>
      <c r="G105" s="20" t="s">
        <v>9</v>
      </c>
      <c r="H105" s="142"/>
    </row>
    <row r="106" spans="1:8" x14ac:dyDescent="0.2">
      <c r="A106" s="176" t="s">
        <v>9</v>
      </c>
      <c r="B106" s="240" t="s">
        <v>131</v>
      </c>
      <c r="C106" s="241"/>
      <c r="D106" s="182" t="s">
        <v>9</v>
      </c>
      <c r="E106" s="178" t="s">
        <v>9</v>
      </c>
      <c r="F106" s="179" t="s">
        <v>9</v>
      </c>
      <c r="G106" s="20" t="s">
        <v>9</v>
      </c>
      <c r="H106" s="142"/>
    </row>
    <row r="107" spans="1:8" ht="25.5" x14ac:dyDescent="0.2">
      <c r="A107" s="22" t="s">
        <v>9</v>
      </c>
      <c r="B107" s="23" t="s">
        <v>9</v>
      </c>
      <c r="C107" s="23" t="s">
        <v>132</v>
      </c>
      <c r="D107" s="23" t="s">
        <v>133</v>
      </c>
      <c r="E107" s="22" t="s">
        <v>9</v>
      </c>
      <c r="F107" s="22" t="s">
        <v>9</v>
      </c>
      <c r="G107" s="25" t="s">
        <v>9</v>
      </c>
      <c r="H107" s="142"/>
    </row>
    <row r="108" spans="1:8" x14ac:dyDescent="0.2">
      <c r="A108" s="22" t="s">
        <v>9</v>
      </c>
      <c r="B108" s="23" t="s">
        <v>134</v>
      </c>
      <c r="C108" s="23" t="s">
        <v>135</v>
      </c>
      <c r="D108" s="23" t="s">
        <v>136</v>
      </c>
      <c r="E108" s="22" t="s">
        <v>9</v>
      </c>
      <c r="F108" s="22" t="s">
        <v>9</v>
      </c>
      <c r="G108" s="25" t="s">
        <v>9</v>
      </c>
      <c r="H108" s="142"/>
    </row>
    <row r="109" spans="1:8" x14ac:dyDescent="0.2">
      <c r="A109" s="22" t="s">
        <v>9</v>
      </c>
      <c r="B109" s="183" t="s">
        <v>137</v>
      </c>
      <c r="C109" s="184">
        <v>56.058700000000002</v>
      </c>
      <c r="D109" s="184">
        <v>55.580300000000001</v>
      </c>
      <c r="E109" s="22" t="s">
        <v>9</v>
      </c>
      <c r="F109" s="185" t="s">
        <v>9</v>
      </c>
      <c r="G109" s="25" t="s">
        <v>9</v>
      </c>
      <c r="H109" s="142"/>
    </row>
    <row r="110" spans="1:8" x14ac:dyDescent="0.2">
      <c r="A110" s="22" t="s">
        <v>9</v>
      </c>
      <c r="B110" s="183" t="s">
        <v>921</v>
      </c>
      <c r="C110" s="184">
        <v>23.656400000000001</v>
      </c>
      <c r="D110" s="184">
        <v>23.454499999999999</v>
      </c>
      <c r="E110" s="22" t="s">
        <v>9</v>
      </c>
      <c r="F110" s="185" t="s">
        <v>9</v>
      </c>
      <c r="G110" s="25" t="s">
        <v>9</v>
      </c>
      <c r="H110" s="142"/>
    </row>
    <row r="111" spans="1:8" ht="25.5" x14ac:dyDescent="0.2">
      <c r="A111" s="22" t="s">
        <v>9</v>
      </c>
      <c r="B111" s="183" t="s">
        <v>391</v>
      </c>
      <c r="C111" s="184">
        <v>57.639299999999999</v>
      </c>
      <c r="D111" s="184">
        <v>57.146799999999999</v>
      </c>
      <c r="E111" s="22" t="s">
        <v>9</v>
      </c>
      <c r="F111" s="185" t="s">
        <v>9</v>
      </c>
      <c r="G111" s="25" t="s">
        <v>9</v>
      </c>
      <c r="H111" s="142"/>
    </row>
    <row r="112" spans="1:8" ht="25.5" x14ac:dyDescent="0.2">
      <c r="A112" s="22" t="s">
        <v>9</v>
      </c>
      <c r="B112" s="183" t="s">
        <v>999</v>
      </c>
      <c r="C112" s="184">
        <v>24.075900000000001</v>
      </c>
      <c r="D112" s="184">
        <v>23.870100000000001</v>
      </c>
      <c r="E112" s="22" t="s">
        <v>9</v>
      </c>
      <c r="F112" s="185" t="s">
        <v>9</v>
      </c>
      <c r="G112" s="25" t="s">
        <v>9</v>
      </c>
      <c r="H112" s="142"/>
    </row>
    <row r="113" spans="1:8" x14ac:dyDescent="0.2">
      <c r="A113" s="22" t="s">
        <v>9</v>
      </c>
      <c r="B113" s="183" t="s">
        <v>138</v>
      </c>
      <c r="C113" s="184">
        <v>52.822699999999998</v>
      </c>
      <c r="D113" s="184">
        <v>52.310899999999997</v>
      </c>
      <c r="E113" s="22" t="s">
        <v>9</v>
      </c>
      <c r="F113" s="185" t="s">
        <v>9</v>
      </c>
      <c r="G113" s="25" t="s">
        <v>9</v>
      </c>
      <c r="H113" s="142"/>
    </row>
    <row r="114" spans="1:8" x14ac:dyDescent="0.2">
      <c r="A114" s="22" t="s">
        <v>9</v>
      </c>
      <c r="B114" s="183" t="s">
        <v>922</v>
      </c>
      <c r="C114" s="184">
        <v>21.928799999999999</v>
      </c>
      <c r="D114" s="184">
        <v>21.7164</v>
      </c>
      <c r="E114" s="22" t="s">
        <v>9</v>
      </c>
      <c r="F114" s="185" t="s">
        <v>9</v>
      </c>
      <c r="G114" s="25" t="s">
        <v>9</v>
      </c>
      <c r="H114" s="142"/>
    </row>
    <row r="115" spans="1:8" x14ac:dyDescent="0.2">
      <c r="A115" s="22" t="s">
        <v>9</v>
      </c>
      <c r="B115" s="22" t="s">
        <v>9</v>
      </c>
      <c r="C115" s="22" t="s">
        <v>9</v>
      </c>
      <c r="D115" s="22" t="s">
        <v>9</v>
      </c>
      <c r="E115" s="22" t="s">
        <v>9</v>
      </c>
      <c r="F115" s="22" t="s">
        <v>9</v>
      </c>
      <c r="G115" s="25" t="s">
        <v>9</v>
      </c>
      <c r="H115" s="142"/>
    </row>
    <row r="116" spans="1:8" x14ac:dyDescent="0.2">
      <c r="A116" s="22" t="s">
        <v>9</v>
      </c>
      <c r="B116" s="240" t="s">
        <v>1012</v>
      </c>
      <c r="C116" s="241"/>
      <c r="D116" s="177" t="s">
        <v>129</v>
      </c>
      <c r="E116" s="22" t="s">
        <v>9</v>
      </c>
      <c r="F116" s="22" t="s">
        <v>9</v>
      </c>
      <c r="G116" s="25" t="s">
        <v>9</v>
      </c>
      <c r="H116" s="142"/>
    </row>
    <row r="117" spans="1:8" x14ac:dyDescent="0.2">
      <c r="A117" s="22" t="s">
        <v>9</v>
      </c>
      <c r="B117" s="98"/>
      <c r="C117" s="98"/>
      <c r="D117" s="26" t="s">
        <v>9</v>
      </c>
      <c r="E117" s="22" t="s">
        <v>9</v>
      </c>
      <c r="F117" s="22" t="s">
        <v>9</v>
      </c>
      <c r="G117" s="25" t="s">
        <v>9</v>
      </c>
      <c r="H117" s="142"/>
    </row>
    <row r="118" spans="1:8" s="238" customFormat="1" ht="12.75" x14ac:dyDescent="0.2">
      <c r="B118" s="246" t="s">
        <v>923</v>
      </c>
      <c r="C118" s="246"/>
      <c r="D118" s="246"/>
      <c r="E118" s="246"/>
      <c r="F118" s="246"/>
    </row>
    <row r="119" spans="1:8" x14ac:dyDescent="0.2">
      <c r="A119" s="22" t="s">
        <v>9</v>
      </c>
      <c r="B119" s="185" t="s">
        <v>9</v>
      </c>
      <c r="C119" s="185" t="s">
        <v>9</v>
      </c>
      <c r="D119" s="22" t="s">
        <v>9</v>
      </c>
      <c r="E119" s="22" t="s">
        <v>9</v>
      </c>
      <c r="F119" s="22" t="s">
        <v>9</v>
      </c>
      <c r="G119" s="25" t="s">
        <v>9</v>
      </c>
      <c r="H119" s="142"/>
    </row>
    <row r="120" spans="1:8" x14ac:dyDescent="0.2">
      <c r="A120" s="22" t="s">
        <v>9</v>
      </c>
      <c r="B120" s="240" t="s">
        <v>139</v>
      </c>
      <c r="C120" s="241"/>
      <c r="D120" s="177" t="s">
        <v>129</v>
      </c>
      <c r="E120" s="22" t="s">
        <v>9</v>
      </c>
      <c r="F120" s="22" t="s">
        <v>9</v>
      </c>
      <c r="G120" s="25" t="s">
        <v>9</v>
      </c>
      <c r="H120" s="142"/>
    </row>
    <row r="121" spans="1:8" x14ac:dyDescent="0.2">
      <c r="A121" s="22" t="s">
        <v>9</v>
      </c>
      <c r="B121" s="240" t="s">
        <v>140</v>
      </c>
      <c r="C121" s="241"/>
      <c r="D121" s="177" t="s">
        <v>129</v>
      </c>
      <c r="E121" s="22" t="s">
        <v>9</v>
      </c>
      <c r="F121" s="22" t="s">
        <v>9</v>
      </c>
      <c r="G121" s="25" t="s">
        <v>9</v>
      </c>
      <c r="H121" s="142"/>
    </row>
    <row r="122" spans="1:8" x14ac:dyDescent="0.2">
      <c r="A122" s="22" t="s">
        <v>9</v>
      </c>
      <c r="B122" s="240" t="s">
        <v>141</v>
      </c>
      <c r="C122" s="241"/>
      <c r="D122" s="186">
        <v>0.16945694383421175</v>
      </c>
      <c r="E122" s="22" t="s">
        <v>9</v>
      </c>
      <c r="F122" s="185" t="s">
        <v>9</v>
      </c>
      <c r="G122" s="25" t="s">
        <v>9</v>
      </c>
      <c r="H122" s="142"/>
    </row>
    <row r="123" spans="1:8" x14ac:dyDescent="0.2">
      <c r="A123" s="22" t="s">
        <v>9</v>
      </c>
      <c r="B123" s="240" t="s">
        <v>142</v>
      </c>
      <c r="C123" s="241"/>
      <c r="D123" s="177" t="s">
        <v>129</v>
      </c>
      <c r="E123" s="22" t="s">
        <v>9</v>
      </c>
      <c r="F123" s="22" t="s">
        <v>9</v>
      </c>
      <c r="G123" s="25" t="s">
        <v>9</v>
      </c>
      <c r="H123" s="142"/>
    </row>
  </sheetData>
  <mergeCells count="15">
    <mergeCell ref="B103:C103"/>
    <mergeCell ref="B100:F100"/>
    <mergeCell ref="B101:F101"/>
    <mergeCell ref="A1:H1"/>
    <mergeCell ref="A2:H2"/>
    <mergeCell ref="A3:H3"/>
    <mergeCell ref="B122:C122"/>
    <mergeCell ref="B123:C123"/>
    <mergeCell ref="B104:C104"/>
    <mergeCell ref="B105:C105"/>
    <mergeCell ref="B106:C106"/>
    <mergeCell ref="B116:C116"/>
    <mergeCell ref="B120:C120"/>
    <mergeCell ref="B121:C121"/>
    <mergeCell ref="B118:F118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41">
    <outlinePr summaryBelow="0" summaryRight="0"/>
  </sheetPr>
  <dimension ref="A1:H137"/>
  <sheetViews>
    <sheetView showGridLines="0" workbookViewId="0">
      <selection activeCell="J1" sqref="J1"/>
    </sheetView>
  </sheetViews>
  <sheetFormatPr defaultRowHeight="15" x14ac:dyDescent="0.2"/>
  <cols>
    <col min="1" max="1" width="6.85546875" style="155" customWidth="1"/>
    <col min="2" max="2" width="20.5703125" style="155" customWidth="1"/>
    <col min="3" max="3" width="34.28515625" style="155" customWidth="1"/>
    <col min="4" max="4" width="17.85546875" style="155" customWidth="1"/>
    <col min="5" max="6" width="19.140625" style="155" customWidth="1"/>
    <col min="7" max="7" width="16.42578125" style="155" customWidth="1"/>
    <col min="8" max="16384" width="9.140625" style="155"/>
  </cols>
  <sheetData>
    <row r="1" spans="1:8" x14ac:dyDescent="0.2">
      <c r="A1" s="250" t="s">
        <v>0</v>
      </c>
      <c r="B1" s="250"/>
      <c r="C1" s="250"/>
      <c r="D1" s="250"/>
      <c r="E1" s="250"/>
      <c r="F1" s="250"/>
      <c r="G1" s="250"/>
      <c r="H1" s="250"/>
    </row>
    <row r="2" spans="1:8" x14ac:dyDescent="0.2">
      <c r="A2" s="251" t="s">
        <v>718</v>
      </c>
      <c r="B2" s="252"/>
      <c r="C2" s="252"/>
      <c r="D2" s="252"/>
      <c r="E2" s="252"/>
      <c r="F2" s="252"/>
      <c r="G2" s="252"/>
      <c r="H2" s="253"/>
    </row>
    <row r="3" spans="1:8" x14ac:dyDescent="0.2">
      <c r="A3" s="250" t="s">
        <v>1015</v>
      </c>
      <c r="B3" s="250"/>
      <c r="C3" s="250"/>
      <c r="D3" s="250"/>
      <c r="E3" s="250"/>
      <c r="F3" s="250"/>
      <c r="G3" s="250"/>
      <c r="H3" s="250"/>
    </row>
    <row r="4" spans="1:8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60" t="s">
        <v>6</v>
      </c>
      <c r="F4" s="160" t="s">
        <v>7</v>
      </c>
      <c r="G4" s="160" t="s">
        <v>8</v>
      </c>
      <c r="H4" s="161" t="s">
        <v>909</v>
      </c>
    </row>
    <row r="5" spans="1:8" x14ac:dyDescent="0.2">
      <c r="A5" s="15" t="s">
        <v>9</v>
      </c>
      <c r="B5" s="15" t="s">
        <v>9</v>
      </c>
      <c r="C5" s="3" t="s">
        <v>10</v>
      </c>
      <c r="D5" s="15" t="s">
        <v>9</v>
      </c>
      <c r="E5" s="15" t="s">
        <v>9</v>
      </c>
      <c r="F5" s="15" t="s">
        <v>9</v>
      </c>
      <c r="G5" s="15" t="s">
        <v>9</v>
      </c>
      <c r="H5" s="100"/>
    </row>
    <row r="6" spans="1:8" ht="25.5" x14ac:dyDescent="0.2">
      <c r="A6" s="15" t="s">
        <v>9</v>
      </c>
      <c r="B6" s="15" t="s">
        <v>9</v>
      </c>
      <c r="C6" s="3" t="s">
        <v>11</v>
      </c>
      <c r="D6" s="15" t="s">
        <v>9</v>
      </c>
      <c r="E6" s="15" t="s">
        <v>9</v>
      </c>
      <c r="F6" s="15" t="s">
        <v>9</v>
      </c>
      <c r="G6" s="15" t="s">
        <v>9</v>
      </c>
      <c r="H6" s="100"/>
    </row>
    <row r="7" spans="1:8" x14ac:dyDescent="0.2">
      <c r="A7" s="4">
        <v>1</v>
      </c>
      <c r="B7" s="5" t="s">
        <v>20</v>
      </c>
      <c r="C7" s="5" t="s">
        <v>21</v>
      </c>
      <c r="D7" s="5" t="s">
        <v>22</v>
      </c>
      <c r="E7" s="6">
        <v>102145</v>
      </c>
      <c r="F7" s="7">
        <v>613.38072499999998</v>
      </c>
      <c r="G7" s="8">
        <v>7.5883223E-2</v>
      </c>
      <c r="H7" s="100"/>
    </row>
    <row r="8" spans="1:8" x14ac:dyDescent="0.2">
      <c r="A8" s="4">
        <v>2</v>
      </c>
      <c r="B8" s="5" t="s">
        <v>399</v>
      </c>
      <c r="C8" s="5" t="s">
        <v>400</v>
      </c>
      <c r="D8" s="5" t="s">
        <v>22</v>
      </c>
      <c r="E8" s="6">
        <v>150297</v>
      </c>
      <c r="F8" s="7">
        <v>531.29989499999999</v>
      </c>
      <c r="G8" s="8">
        <v>6.5728750000000002E-2</v>
      </c>
      <c r="H8" s="100"/>
    </row>
    <row r="9" spans="1:8" x14ac:dyDescent="0.2">
      <c r="A9" s="4">
        <v>3</v>
      </c>
      <c r="B9" s="5" t="s">
        <v>397</v>
      </c>
      <c r="C9" s="5" t="s">
        <v>398</v>
      </c>
      <c r="D9" s="5" t="s">
        <v>22</v>
      </c>
      <c r="E9" s="6">
        <v>68473</v>
      </c>
      <c r="F9" s="7">
        <v>489.51347700000002</v>
      </c>
      <c r="G9" s="8">
        <v>6.0559223000000002E-2</v>
      </c>
      <c r="H9" s="100"/>
    </row>
    <row r="10" spans="1:8" x14ac:dyDescent="0.2">
      <c r="A10" s="4">
        <v>4</v>
      </c>
      <c r="B10" s="5" t="s">
        <v>12</v>
      </c>
      <c r="C10" s="5" t="s">
        <v>13</v>
      </c>
      <c r="D10" s="5" t="s">
        <v>14</v>
      </c>
      <c r="E10" s="6">
        <v>28039</v>
      </c>
      <c r="F10" s="7">
        <v>375.84877549999999</v>
      </c>
      <c r="G10" s="8">
        <v>4.6497412000000002E-2</v>
      </c>
      <c r="H10" s="100"/>
    </row>
    <row r="11" spans="1:8" x14ac:dyDescent="0.2">
      <c r="A11" s="4">
        <v>5</v>
      </c>
      <c r="B11" s="5" t="s">
        <v>29</v>
      </c>
      <c r="C11" s="5" t="s">
        <v>30</v>
      </c>
      <c r="D11" s="5" t="s">
        <v>31</v>
      </c>
      <c r="E11" s="6">
        <v>66285</v>
      </c>
      <c r="F11" s="7">
        <v>355.78473750000001</v>
      </c>
      <c r="G11" s="8">
        <v>4.4015228000000003E-2</v>
      </c>
      <c r="H11" s="100"/>
    </row>
    <row r="12" spans="1:8" x14ac:dyDescent="0.2">
      <c r="A12" s="4">
        <v>6</v>
      </c>
      <c r="B12" s="5" t="s">
        <v>177</v>
      </c>
      <c r="C12" s="5" t="s">
        <v>178</v>
      </c>
      <c r="D12" s="5" t="s">
        <v>47</v>
      </c>
      <c r="E12" s="6">
        <v>27548</v>
      </c>
      <c r="F12" s="7">
        <v>290.82423599999998</v>
      </c>
      <c r="G12" s="8">
        <v>3.5978764000000003E-2</v>
      </c>
      <c r="H12" s="100"/>
    </row>
    <row r="13" spans="1:8" ht="25.5" x14ac:dyDescent="0.2">
      <c r="A13" s="4">
        <v>7</v>
      </c>
      <c r="B13" s="5" t="s">
        <v>395</v>
      </c>
      <c r="C13" s="5" t="s">
        <v>396</v>
      </c>
      <c r="D13" s="5" t="s">
        <v>156</v>
      </c>
      <c r="E13" s="6">
        <v>10962</v>
      </c>
      <c r="F13" s="7">
        <v>265.29136199999999</v>
      </c>
      <c r="G13" s="8">
        <v>3.2820013000000002E-2</v>
      </c>
      <c r="H13" s="100"/>
    </row>
    <row r="14" spans="1:8" x14ac:dyDescent="0.2">
      <c r="A14" s="4">
        <v>8</v>
      </c>
      <c r="B14" s="5" t="s">
        <v>69</v>
      </c>
      <c r="C14" s="5" t="s">
        <v>70</v>
      </c>
      <c r="D14" s="5" t="s">
        <v>17</v>
      </c>
      <c r="E14" s="6">
        <v>60850</v>
      </c>
      <c r="F14" s="7">
        <v>256.6653</v>
      </c>
      <c r="G14" s="8">
        <v>3.1752856000000003E-2</v>
      </c>
      <c r="H14" s="100"/>
    </row>
    <row r="15" spans="1:8" x14ac:dyDescent="0.2">
      <c r="A15" s="4">
        <v>9</v>
      </c>
      <c r="B15" s="5" t="s">
        <v>297</v>
      </c>
      <c r="C15" s="5" t="s">
        <v>928</v>
      </c>
      <c r="D15" s="5" t="s">
        <v>22</v>
      </c>
      <c r="E15" s="6">
        <v>289203</v>
      </c>
      <c r="F15" s="7">
        <v>231.65160299999999</v>
      </c>
      <c r="G15" s="8">
        <v>2.8658335E-2</v>
      </c>
      <c r="H15" s="100"/>
    </row>
    <row r="16" spans="1:8" x14ac:dyDescent="0.2">
      <c r="A16" s="4">
        <v>10</v>
      </c>
      <c r="B16" s="5" t="s">
        <v>367</v>
      </c>
      <c r="C16" s="5" t="s">
        <v>368</v>
      </c>
      <c r="D16" s="5" t="s">
        <v>22</v>
      </c>
      <c r="E16" s="6">
        <v>330816</v>
      </c>
      <c r="F16" s="7">
        <v>220.81968000000001</v>
      </c>
      <c r="G16" s="8">
        <v>2.7318284000000002E-2</v>
      </c>
      <c r="H16" s="100"/>
    </row>
    <row r="17" spans="1:8" x14ac:dyDescent="0.2">
      <c r="A17" s="4">
        <v>11</v>
      </c>
      <c r="B17" s="5" t="s">
        <v>76</v>
      </c>
      <c r="C17" s="5" t="s">
        <v>77</v>
      </c>
      <c r="D17" s="5" t="s">
        <v>78</v>
      </c>
      <c r="E17" s="6">
        <v>159785</v>
      </c>
      <c r="F17" s="7">
        <v>219.22502</v>
      </c>
      <c r="G17" s="8">
        <v>2.7121004000000001E-2</v>
      </c>
      <c r="H17" s="100"/>
    </row>
    <row r="18" spans="1:8" ht="25.5" x14ac:dyDescent="0.2">
      <c r="A18" s="4">
        <v>12</v>
      </c>
      <c r="B18" s="5" t="s">
        <v>348</v>
      </c>
      <c r="C18" s="5" t="s">
        <v>349</v>
      </c>
      <c r="D18" s="5" t="s">
        <v>156</v>
      </c>
      <c r="E18" s="6">
        <v>130130</v>
      </c>
      <c r="F18" s="7">
        <v>210.61540500000001</v>
      </c>
      <c r="G18" s="8">
        <v>2.6055881999999999E-2</v>
      </c>
      <c r="H18" s="100"/>
    </row>
    <row r="19" spans="1:8" x14ac:dyDescent="0.2">
      <c r="A19" s="4">
        <v>13</v>
      </c>
      <c r="B19" s="5" t="s">
        <v>658</v>
      </c>
      <c r="C19" s="5" t="s">
        <v>659</v>
      </c>
      <c r="D19" s="5" t="s">
        <v>53</v>
      </c>
      <c r="E19" s="6">
        <v>200779</v>
      </c>
      <c r="F19" s="7">
        <v>205.69808549999999</v>
      </c>
      <c r="G19" s="8">
        <v>2.5447544999999998E-2</v>
      </c>
      <c r="H19" s="100"/>
    </row>
    <row r="20" spans="1:8" ht="25.5" x14ac:dyDescent="0.2">
      <c r="A20" s="4">
        <v>14</v>
      </c>
      <c r="B20" s="5" t="s">
        <v>23</v>
      </c>
      <c r="C20" s="5" t="s">
        <v>24</v>
      </c>
      <c r="D20" s="5" t="s">
        <v>25</v>
      </c>
      <c r="E20" s="6">
        <v>87351</v>
      </c>
      <c r="F20" s="7">
        <v>204.9691215</v>
      </c>
      <c r="G20" s="8">
        <v>2.5357363000000001E-2</v>
      </c>
      <c r="H20" s="100"/>
    </row>
    <row r="21" spans="1:8" x14ac:dyDescent="0.2">
      <c r="A21" s="4">
        <v>15</v>
      </c>
      <c r="B21" s="5" t="s">
        <v>212</v>
      </c>
      <c r="C21" s="5" t="s">
        <v>213</v>
      </c>
      <c r="D21" s="5" t="s">
        <v>38</v>
      </c>
      <c r="E21" s="6">
        <v>25232</v>
      </c>
      <c r="F21" s="7">
        <v>180.88820799999999</v>
      </c>
      <c r="G21" s="8">
        <v>2.2378239000000001E-2</v>
      </c>
      <c r="H21" s="100"/>
    </row>
    <row r="22" spans="1:8" ht="25.5" x14ac:dyDescent="0.2">
      <c r="A22" s="4">
        <v>16</v>
      </c>
      <c r="B22" s="5" t="s">
        <v>152</v>
      </c>
      <c r="C22" s="5" t="s">
        <v>153</v>
      </c>
      <c r="D22" s="5" t="s">
        <v>1001</v>
      </c>
      <c r="E22" s="6">
        <v>108332</v>
      </c>
      <c r="F22" s="7">
        <v>176.79782399999999</v>
      </c>
      <c r="G22" s="8">
        <v>2.1872204999999999E-2</v>
      </c>
      <c r="H22" s="100"/>
    </row>
    <row r="23" spans="1:8" x14ac:dyDescent="0.2">
      <c r="A23" s="4">
        <v>17</v>
      </c>
      <c r="B23" s="5" t="s">
        <v>650</v>
      </c>
      <c r="C23" s="5" t="s">
        <v>651</v>
      </c>
      <c r="D23" s="5" t="s">
        <v>17</v>
      </c>
      <c r="E23" s="6">
        <v>193670</v>
      </c>
      <c r="F23" s="7">
        <v>175.949195</v>
      </c>
      <c r="G23" s="8">
        <v>2.1767218000000001E-2</v>
      </c>
      <c r="H23" s="100"/>
    </row>
    <row r="24" spans="1:8" ht="25.5" x14ac:dyDescent="0.2">
      <c r="A24" s="4">
        <v>18</v>
      </c>
      <c r="B24" s="5" t="s">
        <v>67</v>
      </c>
      <c r="C24" s="5" t="s">
        <v>929</v>
      </c>
      <c r="D24" s="5" t="s">
        <v>25</v>
      </c>
      <c r="E24" s="6">
        <v>32080</v>
      </c>
      <c r="F24" s="7">
        <v>172.87912</v>
      </c>
      <c r="G24" s="8">
        <v>2.1387409999999999E-2</v>
      </c>
      <c r="H24" s="100"/>
    </row>
    <row r="25" spans="1:8" x14ac:dyDescent="0.2">
      <c r="A25" s="4">
        <v>19</v>
      </c>
      <c r="B25" s="5" t="s">
        <v>438</v>
      </c>
      <c r="C25" s="5" t="s">
        <v>390</v>
      </c>
      <c r="D25" s="5" t="s">
        <v>272</v>
      </c>
      <c r="E25" s="6">
        <v>95930</v>
      </c>
      <c r="F25" s="7">
        <v>167.8775</v>
      </c>
      <c r="G25" s="8">
        <v>2.0768643999999999E-2</v>
      </c>
      <c r="H25" s="100"/>
    </row>
    <row r="26" spans="1:8" x14ac:dyDescent="0.2">
      <c r="A26" s="4">
        <v>20</v>
      </c>
      <c r="B26" s="5" t="s">
        <v>85</v>
      </c>
      <c r="C26" s="5" t="s">
        <v>86</v>
      </c>
      <c r="D26" s="5" t="s">
        <v>78</v>
      </c>
      <c r="E26" s="6">
        <v>69401</v>
      </c>
      <c r="F26" s="7">
        <v>166.52769950000001</v>
      </c>
      <c r="G26" s="8">
        <v>2.0601655999999999E-2</v>
      </c>
      <c r="H26" s="100"/>
    </row>
    <row r="27" spans="1:8" x14ac:dyDescent="0.2">
      <c r="A27" s="4">
        <v>21</v>
      </c>
      <c r="B27" s="5" t="s">
        <v>50</v>
      </c>
      <c r="C27" s="5" t="s">
        <v>51</v>
      </c>
      <c r="D27" s="5" t="s">
        <v>28</v>
      </c>
      <c r="E27" s="6">
        <v>18471</v>
      </c>
      <c r="F27" s="7">
        <v>163.3667595</v>
      </c>
      <c r="G27" s="8">
        <v>2.0210605999999999E-2</v>
      </c>
      <c r="H27" s="100"/>
    </row>
    <row r="28" spans="1:8" x14ac:dyDescent="0.2">
      <c r="A28" s="4">
        <v>22</v>
      </c>
      <c r="B28" s="5" t="s">
        <v>634</v>
      </c>
      <c r="C28" s="5" t="s">
        <v>635</v>
      </c>
      <c r="D28" s="5" t="s">
        <v>91</v>
      </c>
      <c r="E28" s="6">
        <v>54538</v>
      </c>
      <c r="F28" s="7">
        <v>160.25991300000001</v>
      </c>
      <c r="G28" s="8">
        <v>1.9826248000000001E-2</v>
      </c>
      <c r="H28" s="100"/>
    </row>
    <row r="29" spans="1:8" x14ac:dyDescent="0.2">
      <c r="A29" s="4">
        <v>23</v>
      </c>
      <c r="B29" s="5" t="s">
        <v>320</v>
      </c>
      <c r="C29" s="5" t="s">
        <v>321</v>
      </c>
      <c r="D29" s="5" t="s">
        <v>47</v>
      </c>
      <c r="E29" s="6">
        <v>33343</v>
      </c>
      <c r="F29" s="7">
        <v>147.20934500000001</v>
      </c>
      <c r="G29" s="8">
        <v>1.8211722E-2</v>
      </c>
      <c r="H29" s="100"/>
    </row>
    <row r="30" spans="1:8" x14ac:dyDescent="0.2">
      <c r="A30" s="4">
        <v>24</v>
      </c>
      <c r="B30" s="5" t="s">
        <v>413</v>
      </c>
      <c r="C30" s="5" t="s">
        <v>414</v>
      </c>
      <c r="D30" s="5" t="s">
        <v>47</v>
      </c>
      <c r="E30" s="6">
        <v>13719</v>
      </c>
      <c r="F30" s="7">
        <v>141.85445999999999</v>
      </c>
      <c r="G30" s="8">
        <v>1.7549253000000001E-2</v>
      </c>
      <c r="H30" s="100"/>
    </row>
    <row r="31" spans="1:8" x14ac:dyDescent="0.2">
      <c r="A31" s="4">
        <v>25</v>
      </c>
      <c r="B31" s="5" t="s">
        <v>516</v>
      </c>
      <c r="C31" s="5" t="s">
        <v>517</v>
      </c>
      <c r="D31" s="5" t="s">
        <v>156</v>
      </c>
      <c r="E31" s="6">
        <v>163916</v>
      </c>
      <c r="F31" s="7">
        <v>131.70650599999999</v>
      </c>
      <c r="G31" s="8">
        <v>1.6293818000000002E-2</v>
      </c>
      <c r="H31" s="100"/>
    </row>
    <row r="32" spans="1:8" x14ac:dyDescent="0.2">
      <c r="A32" s="4">
        <v>26</v>
      </c>
      <c r="B32" s="5" t="s">
        <v>593</v>
      </c>
      <c r="C32" s="5" t="s">
        <v>930</v>
      </c>
      <c r="D32" s="5" t="s">
        <v>594</v>
      </c>
      <c r="E32" s="6">
        <v>82736</v>
      </c>
      <c r="F32" s="7">
        <v>128.86132000000001</v>
      </c>
      <c r="G32" s="8">
        <v>1.5941832E-2</v>
      </c>
      <c r="H32" s="100"/>
    </row>
    <row r="33" spans="1:8" x14ac:dyDescent="0.2">
      <c r="A33" s="4">
        <v>27</v>
      </c>
      <c r="B33" s="5" t="s">
        <v>83</v>
      </c>
      <c r="C33" s="5" t="s">
        <v>84</v>
      </c>
      <c r="D33" s="5" t="s">
        <v>28</v>
      </c>
      <c r="E33" s="6">
        <v>15373</v>
      </c>
      <c r="F33" s="7">
        <v>128.76424800000001</v>
      </c>
      <c r="G33" s="8">
        <v>1.5929822999999999E-2</v>
      </c>
      <c r="H33" s="100"/>
    </row>
    <row r="34" spans="1:8" x14ac:dyDescent="0.2">
      <c r="A34" s="4">
        <v>28</v>
      </c>
      <c r="B34" s="5" t="s">
        <v>270</v>
      </c>
      <c r="C34" s="5" t="s">
        <v>271</v>
      </c>
      <c r="D34" s="5" t="s">
        <v>272</v>
      </c>
      <c r="E34" s="6">
        <v>98000</v>
      </c>
      <c r="F34" s="7">
        <v>127.74299999999999</v>
      </c>
      <c r="G34" s="8">
        <v>1.5803481000000001E-2</v>
      </c>
      <c r="H34" s="100"/>
    </row>
    <row r="35" spans="1:8" x14ac:dyDescent="0.2">
      <c r="A35" s="4">
        <v>29</v>
      </c>
      <c r="B35" s="5" t="s">
        <v>475</v>
      </c>
      <c r="C35" s="5" t="s">
        <v>476</v>
      </c>
      <c r="D35" s="5" t="s">
        <v>17</v>
      </c>
      <c r="E35" s="6">
        <v>98428</v>
      </c>
      <c r="F35" s="7">
        <v>123.77321000000001</v>
      </c>
      <c r="G35" s="8">
        <v>1.5312366000000001E-2</v>
      </c>
      <c r="H35" s="100"/>
    </row>
    <row r="36" spans="1:8" x14ac:dyDescent="0.2">
      <c r="A36" s="4">
        <v>30</v>
      </c>
      <c r="B36" s="5" t="s">
        <v>664</v>
      </c>
      <c r="C36" s="5" t="s">
        <v>665</v>
      </c>
      <c r="D36" s="5" t="s">
        <v>22</v>
      </c>
      <c r="E36" s="6">
        <v>12805</v>
      </c>
      <c r="F36" s="7">
        <v>119.7203475</v>
      </c>
      <c r="G36" s="8">
        <v>1.4810973999999999E-2</v>
      </c>
      <c r="H36" s="100"/>
    </row>
    <row r="37" spans="1:8" x14ac:dyDescent="0.2">
      <c r="A37" s="4">
        <v>31</v>
      </c>
      <c r="B37" s="5" t="s">
        <v>52</v>
      </c>
      <c r="C37" s="5" t="s">
        <v>931</v>
      </c>
      <c r="D37" s="5" t="s">
        <v>53</v>
      </c>
      <c r="E37" s="6">
        <v>117324</v>
      </c>
      <c r="F37" s="7">
        <v>115.974774</v>
      </c>
      <c r="G37" s="8">
        <v>1.4347597E-2</v>
      </c>
      <c r="H37" s="100"/>
    </row>
    <row r="38" spans="1:8" ht="25.5" x14ac:dyDescent="0.2">
      <c r="A38" s="4">
        <v>32</v>
      </c>
      <c r="B38" s="5" t="s">
        <v>506</v>
      </c>
      <c r="C38" s="5" t="s">
        <v>507</v>
      </c>
      <c r="D38" s="5" t="s">
        <v>25</v>
      </c>
      <c r="E38" s="6">
        <v>5829</v>
      </c>
      <c r="F38" s="7">
        <v>109.6697205</v>
      </c>
      <c r="G38" s="8">
        <v>1.3567579999999999E-2</v>
      </c>
      <c r="H38" s="100"/>
    </row>
    <row r="39" spans="1:8" ht="25.5" x14ac:dyDescent="0.2">
      <c r="A39" s="4">
        <v>33</v>
      </c>
      <c r="B39" s="5" t="s">
        <v>421</v>
      </c>
      <c r="C39" s="5" t="s">
        <v>422</v>
      </c>
      <c r="D39" s="5" t="s">
        <v>73</v>
      </c>
      <c r="E39" s="6">
        <v>54000</v>
      </c>
      <c r="F39" s="7">
        <v>109.404</v>
      </c>
      <c r="G39" s="8">
        <v>1.3534707E-2</v>
      </c>
      <c r="H39" s="100"/>
    </row>
    <row r="40" spans="1:8" x14ac:dyDescent="0.2">
      <c r="A40" s="4">
        <v>34</v>
      </c>
      <c r="B40" s="5" t="s">
        <v>514</v>
      </c>
      <c r="C40" s="5" t="s">
        <v>515</v>
      </c>
      <c r="D40" s="5" t="s">
        <v>188</v>
      </c>
      <c r="E40" s="6">
        <v>9286</v>
      </c>
      <c r="F40" s="7">
        <v>108.82263399999999</v>
      </c>
      <c r="G40" s="8">
        <v>1.3462784E-2</v>
      </c>
      <c r="H40" s="100"/>
    </row>
    <row r="41" spans="1:8" ht="25.5" x14ac:dyDescent="0.2">
      <c r="A41" s="4">
        <v>35</v>
      </c>
      <c r="B41" s="5" t="s">
        <v>233</v>
      </c>
      <c r="C41" s="5" t="s">
        <v>234</v>
      </c>
      <c r="D41" s="5" t="s">
        <v>1001</v>
      </c>
      <c r="E41" s="6">
        <v>35630</v>
      </c>
      <c r="F41" s="7">
        <v>100.65475000000001</v>
      </c>
      <c r="G41" s="8">
        <v>1.2452309999999999E-2</v>
      </c>
      <c r="H41" s="100"/>
    </row>
    <row r="42" spans="1:8" x14ac:dyDescent="0.2">
      <c r="A42" s="4">
        <v>36</v>
      </c>
      <c r="B42" s="5" t="s">
        <v>638</v>
      </c>
      <c r="C42" s="5" t="s">
        <v>639</v>
      </c>
      <c r="D42" s="5" t="s">
        <v>53</v>
      </c>
      <c r="E42" s="6">
        <v>38413</v>
      </c>
      <c r="F42" s="7">
        <v>84.527806499999997</v>
      </c>
      <c r="G42" s="8">
        <v>1.0457196E-2</v>
      </c>
      <c r="H42" s="100"/>
    </row>
    <row r="43" spans="1:8" x14ac:dyDescent="0.2">
      <c r="A43" s="4">
        <v>37</v>
      </c>
      <c r="B43" s="5" t="s">
        <v>407</v>
      </c>
      <c r="C43" s="5" t="s">
        <v>408</v>
      </c>
      <c r="D43" s="5" t="s">
        <v>193</v>
      </c>
      <c r="E43" s="6">
        <v>12805</v>
      </c>
      <c r="F43" s="7">
        <v>83.802322500000002</v>
      </c>
      <c r="G43" s="8">
        <v>1.0367444E-2</v>
      </c>
      <c r="H43" s="100"/>
    </row>
    <row r="44" spans="1:8" x14ac:dyDescent="0.2">
      <c r="A44" s="4">
        <v>38</v>
      </c>
      <c r="B44" s="5" t="s">
        <v>698</v>
      </c>
      <c r="C44" s="5" t="s">
        <v>932</v>
      </c>
      <c r="D44" s="5" t="s">
        <v>22</v>
      </c>
      <c r="E44" s="6">
        <v>178000</v>
      </c>
      <c r="F44" s="7">
        <v>62.744999999999997</v>
      </c>
      <c r="G44" s="8">
        <v>7.7623780000000003E-3</v>
      </c>
      <c r="H44" s="100"/>
    </row>
    <row r="45" spans="1:8" x14ac:dyDescent="0.2">
      <c r="A45" s="4">
        <v>39</v>
      </c>
      <c r="B45" s="5" t="s">
        <v>662</v>
      </c>
      <c r="C45" s="5" t="s">
        <v>663</v>
      </c>
      <c r="D45" s="5" t="s">
        <v>22</v>
      </c>
      <c r="E45" s="6">
        <v>172000</v>
      </c>
      <c r="F45" s="7">
        <v>59.942</v>
      </c>
      <c r="G45" s="8">
        <v>7.4156100000000004E-3</v>
      </c>
      <c r="H45" s="100"/>
    </row>
    <row r="46" spans="1:8" x14ac:dyDescent="0.2">
      <c r="A46" s="4">
        <v>40</v>
      </c>
      <c r="B46" s="5" t="s">
        <v>284</v>
      </c>
      <c r="C46" s="5" t="s">
        <v>285</v>
      </c>
      <c r="D46" s="5" t="s">
        <v>1005</v>
      </c>
      <c r="E46" s="6">
        <v>230444</v>
      </c>
      <c r="F46" s="7">
        <v>57.841444000000003</v>
      </c>
      <c r="G46" s="8">
        <v>7.1557440000000003E-3</v>
      </c>
      <c r="H46" s="100"/>
    </row>
    <row r="47" spans="1:8" x14ac:dyDescent="0.2">
      <c r="A47" s="4">
        <v>41</v>
      </c>
      <c r="B47" s="5" t="s">
        <v>716</v>
      </c>
      <c r="C47" s="5" t="s">
        <v>717</v>
      </c>
      <c r="D47" s="5" t="s">
        <v>156</v>
      </c>
      <c r="E47" s="6">
        <v>22901</v>
      </c>
      <c r="F47" s="7">
        <v>46.397426000000003</v>
      </c>
      <c r="G47" s="8">
        <v>5.7399690000000001E-3</v>
      </c>
      <c r="H47" s="100"/>
    </row>
    <row r="48" spans="1:8" x14ac:dyDescent="0.2">
      <c r="A48" s="15" t="s">
        <v>9</v>
      </c>
      <c r="B48" s="15" t="s">
        <v>9</v>
      </c>
      <c r="C48" s="3" t="s">
        <v>94</v>
      </c>
      <c r="D48" s="15" t="s">
        <v>9</v>
      </c>
      <c r="E48" s="15" t="s">
        <v>9</v>
      </c>
      <c r="F48" s="9">
        <v>7825.5479560000003</v>
      </c>
      <c r="G48" s="10">
        <v>0.968122696</v>
      </c>
      <c r="H48" s="100"/>
    </row>
    <row r="49" spans="1:8" x14ac:dyDescent="0.2">
      <c r="A49" s="15" t="s">
        <v>9</v>
      </c>
      <c r="B49" s="15" t="s">
        <v>9</v>
      </c>
      <c r="C49" s="11" t="s">
        <v>9</v>
      </c>
      <c r="D49" s="15" t="s">
        <v>9</v>
      </c>
      <c r="E49" s="15" t="s">
        <v>9</v>
      </c>
      <c r="F49" s="12" t="s">
        <v>9</v>
      </c>
      <c r="G49" s="12" t="s">
        <v>9</v>
      </c>
      <c r="H49" s="100"/>
    </row>
    <row r="50" spans="1:8" x14ac:dyDescent="0.2">
      <c r="A50" s="15" t="s">
        <v>9</v>
      </c>
      <c r="B50" s="15" t="s">
        <v>9</v>
      </c>
      <c r="C50" s="3" t="s">
        <v>95</v>
      </c>
      <c r="D50" s="15" t="s">
        <v>9</v>
      </c>
      <c r="E50" s="15" t="s">
        <v>9</v>
      </c>
      <c r="F50" s="15" t="s">
        <v>9</v>
      </c>
      <c r="G50" s="15" t="s">
        <v>9</v>
      </c>
      <c r="H50" s="100"/>
    </row>
    <row r="51" spans="1:8" x14ac:dyDescent="0.2">
      <c r="A51" s="15" t="s">
        <v>9</v>
      </c>
      <c r="B51" s="15" t="s">
        <v>9</v>
      </c>
      <c r="C51" s="3" t="s">
        <v>94</v>
      </c>
      <c r="D51" s="15" t="s">
        <v>9</v>
      </c>
      <c r="E51" s="15" t="s">
        <v>9</v>
      </c>
      <c r="F51" s="13">
        <v>0</v>
      </c>
      <c r="G51" s="14">
        <v>0</v>
      </c>
      <c r="H51" s="100"/>
    </row>
    <row r="52" spans="1:8" x14ac:dyDescent="0.2">
      <c r="A52" s="15" t="s">
        <v>9</v>
      </c>
      <c r="B52" s="15" t="s">
        <v>9</v>
      </c>
      <c r="C52" s="11" t="s">
        <v>9</v>
      </c>
      <c r="D52" s="15" t="s">
        <v>9</v>
      </c>
      <c r="E52" s="15" t="s">
        <v>9</v>
      </c>
      <c r="F52" s="12" t="s">
        <v>9</v>
      </c>
      <c r="G52" s="12" t="s">
        <v>9</v>
      </c>
      <c r="H52" s="100"/>
    </row>
    <row r="53" spans="1:8" x14ac:dyDescent="0.2">
      <c r="A53" s="15" t="s">
        <v>9</v>
      </c>
      <c r="B53" s="15" t="s">
        <v>9</v>
      </c>
      <c r="C53" s="3" t="s">
        <v>96</v>
      </c>
      <c r="D53" s="15" t="s">
        <v>9</v>
      </c>
      <c r="E53" s="15" t="s">
        <v>9</v>
      </c>
      <c r="F53" s="15" t="s">
        <v>9</v>
      </c>
      <c r="G53" s="15" t="s">
        <v>9</v>
      </c>
      <c r="H53" s="100"/>
    </row>
    <row r="54" spans="1:8" x14ac:dyDescent="0.2">
      <c r="A54" s="15" t="s">
        <v>9</v>
      </c>
      <c r="B54" s="15" t="s">
        <v>9</v>
      </c>
      <c r="C54" s="3" t="s">
        <v>94</v>
      </c>
      <c r="D54" s="15" t="s">
        <v>9</v>
      </c>
      <c r="E54" s="15" t="s">
        <v>9</v>
      </c>
      <c r="F54" s="13">
        <v>0</v>
      </c>
      <c r="G54" s="14">
        <v>0</v>
      </c>
      <c r="H54" s="100"/>
    </row>
    <row r="55" spans="1:8" x14ac:dyDescent="0.2">
      <c r="A55" s="15" t="s">
        <v>9</v>
      </c>
      <c r="B55" s="15" t="s">
        <v>9</v>
      </c>
      <c r="C55" s="11" t="s">
        <v>9</v>
      </c>
      <c r="D55" s="15" t="s">
        <v>9</v>
      </c>
      <c r="E55" s="15" t="s">
        <v>9</v>
      </c>
      <c r="F55" s="12" t="s">
        <v>9</v>
      </c>
      <c r="G55" s="12" t="s">
        <v>9</v>
      </c>
      <c r="H55" s="100"/>
    </row>
    <row r="56" spans="1:8" x14ac:dyDescent="0.2">
      <c r="A56" s="15" t="s">
        <v>9</v>
      </c>
      <c r="B56" s="15" t="s">
        <v>9</v>
      </c>
      <c r="C56" s="3" t="s">
        <v>100</v>
      </c>
      <c r="D56" s="15" t="s">
        <v>9</v>
      </c>
      <c r="E56" s="15" t="s">
        <v>9</v>
      </c>
      <c r="F56" s="15" t="s">
        <v>9</v>
      </c>
      <c r="G56" s="15" t="s">
        <v>9</v>
      </c>
      <c r="H56" s="100"/>
    </row>
    <row r="57" spans="1:8" x14ac:dyDescent="0.2">
      <c r="A57" s="15" t="s">
        <v>9</v>
      </c>
      <c r="B57" s="15" t="s">
        <v>9</v>
      </c>
      <c r="C57" s="3" t="s">
        <v>94</v>
      </c>
      <c r="D57" s="15" t="s">
        <v>9</v>
      </c>
      <c r="E57" s="15" t="s">
        <v>9</v>
      </c>
      <c r="F57" s="13">
        <v>0</v>
      </c>
      <c r="G57" s="14">
        <v>0</v>
      </c>
      <c r="H57" s="100"/>
    </row>
    <row r="58" spans="1:8" x14ac:dyDescent="0.2">
      <c r="A58" s="15" t="s">
        <v>9</v>
      </c>
      <c r="B58" s="15" t="s">
        <v>9</v>
      </c>
      <c r="C58" s="11" t="s">
        <v>9</v>
      </c>
      <c r="D58" s="15" t="s">
        <v>9</v>
      </c>
      <c r="E58" s="15" t="s">
        <v>9</v>
      </c>
      <c r="F58" s="12" t="s">
        <v>9</v>
      </c>
      <c r="G58" s="12" t="s">
        <v>9</v>
      </c>
      <c r="H58" s="100"/>
    </row>
    <row r="59" spans="1:8" x14ac:dyDescent="0.2">
      <c r="A59" s="15" t="s">
        <v>9</v>
      </c>
      <c r="B59" s="15" t="s">
        <v>9</v>
      </c>
      <c r="C59" s="3" t="s">
        <v>101</v>
      </c>
      <c r="D59" s="15" t="s">
        <v>9</v>
      </c>
      <c r="E59" s="15" t="s">
        <v>9</v>
      </c>
      <c r="F59" s="12" t="s">
        <v>9</v>
      </c>
      <c r="G59" s="12" t="s">
        <v>9</v>
      </c>
      <c r="H59" s="100"/>
    </row>
    <row r="60" spans="1:8" ht="25.5" x14ac:dyDescent="0.2">
      <c r="A60" s="4">
        <v>1</v>
      </c>
      <c r="B60" s="5" t="s">
        <v>970</v>
      </c>
      <c r="C60" s="5" t="s">
        <v>971</v>
      </c>
      <c r="D60" s="5" t="s">
        <v>156</v>
      </c>
      <c r="E60" s="6">
        <v>12000</v>
      </c>
      <c r="F60" s="7">
        <v>88.331999999999994</v>
      </c>
      <c r="G60" s="8">
        <v>1.092782E-2</v>
      </c>
      <c r="H60" s="100"/>
    </row>
    <row r="61" spans="1:8" x14ac:dyDescent="0.2">
      <c r="A61" s="15" t="s">
        <v>9</v>
      </c>
      <c r="B61" s="15" t="s">
        <v>9</v>
      </c>
      <c r="C61" s="3" t="s">
        <v>94</v>
      </c>
      <c r="D61" s="15" t="s">
        <v>9</v>
      </c>
      <c r="E61" s="15" t="s">
        <v>9</v>
      </c>
      <c r="F61" s="13">
        <v>88.331999999999994</v>
      </c>
      <c r="G61" s="14">
        <v>1.092782E-2</v>
      </c>
      <c r="H61" s="100"/>
    </row>
    <row r="62" spans="1:8" x14ac:dyDescent="0.2">
      <c r="A62" s="15" t="s">
        <v>9</v>
      </c>
      <c r="B62" s="15" t="s">
        <v>9</v>
      </c>
      <c r="C62" s="11" t="s">
        <v>9</v>
      </c>
      <c r="D62" s="15" t="s">
        <v>9</v>
      </c>
      <c r="E62" s="15" t="s">
        <v>9</v>
      </c>
      <c r="F62" s="12" t="s">
        <v>9</v>
      </c>
      <c r="G62" s="12" t="s">
        <v>9</v>
      </c>
      <c r="H62" s="100"/>
    </row>
    <row r="63" spans="1:8" x14ac:dyDescent="0.2">
      <c r="A63" s="15" t="s">
        <v>9</v>
      </c>
      <c r="B63" s="15" t="s">
        <v>9</v>
      </c>
      <c r="C63" s="3" t="s">
        <v>102</v>
      </c>
      <c r="D63" s="15" t="s">
        <v>9</v>
      </c>
      <c r="E63" s="15" t="s">
        <v>9</v>
      </c>
      <c r="F63" s="12" t="s">
        <v>9</v>
      </c>
      <c r="G63" s="12" t="s">
        <v>9</v>
      </c>
      <c r="H63" s="100"/>
    </row>
    <row r="64" spans="1:8" x14ac:dyDescent="0.2">
      <c r="A64" s="15" t="s">
        <v>9</v>
      </c>
      <c r="B64" s="15" t="s">
        <v>9</v>
      </c>
      <c r="C64" s="3" t="s">
        <v>94</v>
      </c>
      <c r="D64" s="15" t="s">
        <v>9</v>
      </c>
      <c r="E64" s="15" t="s">
        <v>9</v>
      </c>
      <c r="F64" s="13">
        <v>0</v>
      </c>
      <c r="G64" s="14">
        <v>0</v>
      </c>
      <c r="H64" s="100"/>
    </row>
    <row r="65" spans="1:8" x14ac:dyDescent="0.2">
      <c r="A65" s="15" t="s">
        <v>9</v>
      </c>
      <c r="B65" s="15" t="s">
        <v>9</v>
      </c>
      <c r="C65" s="11" t="s">
        <v>9</v>
      </c>
      <c r="D65" s="15" t="s">
        <v>9</v>
      </c>
      <c r="E65" s="15" t="s">
        <v>9</v>
      </c>
      <c r="F65" s="12" t="s">
        <v>9</v>
      </c>
      <c r="G65" s="12" t="s">
        <v>9</v>
      </c>
      <c r="H65" s="100"/>
    </row>
    <row r="66" spans="1:8" x14ac:dyDescent="0.2">
      <c r="A66" s="15" t="s">
        <v>9</v>
      </c>
      <c r="B66" s="15" t="s">
        <v>9</v>
      </c>
      <c r="C66" s="3" t="s">
        <v>104</v>
      </c>
      <c r="D66" s="15" t="s">
        <v>9</v>
      </c>
      <c r="E66" s="15" t="s">
        <v>9</v>
      </c>
      <c r="F66" s="9">
        <v>7913.8799560000007</v>
      </c>
      <c r="G66" s="10">
        <v>0.97905051600000004</v>
      </c>
      <c r="H66" s="100"/>
    </row>
    <row r="67" spans="1:8" x14ac:dyDescent="0.2">
      <c r="A67" s="15" t="s">
        <v>9</v>
      </c>
      <c r="B67" s="15" t="s">
        <v>9</v>
      </c>
      <c r="C67" s="11" t="s">
        <v>9</v>
      </c>
      <c r="D67" s="15" t="s">
        <v>9</v>
      </c>
      <c r="E67" s="15" t="s">
        <v>9</v>
      </c>
      <c r="F67" s="12" t="s">
        <v>9</v>
      </c>
      <c r="G67" s="12" t="s">
        <v>9</v>
      </c>
      <c r="H67" s="100"/>
    </row>
    <row r="68" spans="1:8" x14ac:dyDescent="0.2">
      <c r="A68" s="15" t="s">
        <v>9</v>
      </c>
      <c r="B68" s="15" t="s">
        <v>9</v>
      </c>
      <c r="C68" s="3" t="s">
        <v>105</v>
      </c>
      <c r="D68" s="15" t="s">
        <v>9</v>
      </c>
      <c r="E68" s="15" t="s">
        <v>9</v>
      </c>
      <c r="F68" s="12" t="s">
        <v>9</v>
      </c>
      <c r="G68" s="12" t="s">
        <v>9</v>
      </c>
      <c r="H68" s="100"/>
    </row>
    <row r="69" spans="1:8" ht="25.5" x14ac:dyDescent="0.2">
      <c r="A69" s="15" t="s">
        <v>9</v>
      </c>
      <c r="B69" s="15" t="s">
        <v>9</v>
      </c>
      <c r="C69" s="3" t="s">
        <v>11</v>
      </c>
      <c r="D69" s="15" t="s">
        <v>9</v>
      </c>
      <c r="E69" s="15" t="s">
        <v>9</v>
      </c>
      <c r="F69" s="12" t="s">
        <v>9</v>
      </c>
      <c r="G69" s="12" t="s">
        <v>9</v>
      </c>
      <c r="H69" s="100"/>
    </row>
    <row r="70" spans="1:8" x14ac:dyDescent="0.2">
      <c r="A70" s="15" t="s">
        <v>9</v>
      </c>
      <c r="B70" s="15" t="s">
        <v>9</v>
      </c>
      <c r="C70" s="3" t="s">
        <v>94</v>
      </c>
      <c r="D70" s="15" t="s">
        <v>9</v>
      </c>
      <c r="E70" s="15" t="s">
        <v>9</v>
      </c>
      <c r="F70" s="13">
        <v>0</v>
      </c>
      <c r="G70" s="14">
        <v>0</v>
      </c>
      <c r="H70" s="100"/>
    </row>
    <row r="71" spans="1:8" x14ac:dyDescent="0.2">
      <c r="A71" s="15" t="s">
        <v>9</v>
      </c>
      <c r="B71" s="15" t="s">
        <v>9</v>
      </c>
      <c r="C71" s="11" t="s">
        <v>9</v>
      </c>
      <c r="D71" s="15" t="s">
        <v>9</v>
      </c>
      <c r="E71" s="15" t="s">
        <v>9</v>
      </c>
      <c r="F71" s="12" t="s">
        <v>9</v>
      </c>
      <c r="G71" s="12" t="s">
        <v>9</v>
      </c>
      <c r="H71" s="100"/>
    </row>
    <row r="72" spans="1:8" x14ac:dyDescent="0.2">
      <c r="A72" s="15" t="s">
        <v>9</v>
      </c>
      <c r="B72" s="15" t="s">
        <v>9</v>
      </c>
      <c r="C72" s="3" t="s">
        <v>106</v>
      </c>
      <c r="D72" s="15" t="s">
        <v>9</v>
      </c>
      <c r="E72" s="15" t="s">
        <v>9</v>
      </c>
      <c r="F72" s="15" t="s">
        <v>9</v>
      </c>
      <c r="G72" s="15" t="s">
        <v>9</v>
      </c>
      <c r="H72" s="100"/>
    </row>
    <row r="73" spans="1:8" x14ac:dyDescent="0.2">
      <c r="A73" s="15" t="s">
        <v>9</v>
      </c>
      <c r="B73" s="15" t="s">
        <v>9</v>
      </c>
      <c r="C73" s="3" t="s">
        <v>94</v>
      </c>
      <c r="D73" s="15" t="s">
        <v>9</v>
      </c>
      <c r="E73" s="15" t="s">
        <v>9</v>
      </c>
      <c r="F73" s="13">
        <v>0</v>
      </c>
      <c r="G73" s="14">
        <v>0</v>
      </c>
      <c r="H73" s="100"/>
    </row>
    <row r="74" spans="1:8" x14ac:dyDescent="0.2">
      <c r="A74" s="15" t="s">
        <v>9</v>
      </c>
      <c r="B74" s="15" t="s">
        <v>9</v>
      </c>
      <c r="C74" s="11" t="s">
        <v>9</v>
      </c>
      <c r="D74" s="15" t="s">
        <v>9</v>
      </c>
      <c r="E74" s="15" t="s">
        <v>9</v>
      </c>
      <c r="F74" s="12" t="s">
        <v>9</v>
      </c>
      <c r="G74" s="12" t="s">
        <v>9</v>
      </c>
      <c r="H74" s="100"/>
    </row>
    <row r="75" spans="1:8" x14ac:dyDescent="0.2">
      <c r="A75" s="15" t="s">
        <v>9</v>
      </c>
      <c r="B75" s="15" t="s">
        <v>9</v>
      </c>
      <c r="C75" s="3" t="s">
        <v>107</v>
      </c>
      <c r="D75" s="15" t="s">
        <v>9</v>
      </c>
      <c r="E75" s="15" t="s">
        <v>9</v>
      </c>
      <c r="F75" s="15" t="s">
        <v>9</v>
      </c>
      <c r="G75" s="15" t="s">
        <v>9</v>
      </c>
      <c r="H75" s="100"/>
    </row>
    <row r="76" spans="1:8" x14ac:dyDescent="0.2">
      <c r="A76" s="15" t="s">
        <v>9</v>
      </c>
      <c r="B76" s="15" t="s">
        <v>9</v>
      </c>
      <c r="C76" s="3" t="s">
        <v>94</v>
      </c>
      <c r="D76" s="15" t="s">
        <v>9</v>
      </c>
      <c r="E76" s="15" t="s">
        <v>9</v>
      </c>
      <c r="F76" s="13">
        <v>0</v>
      </c>
      <c r="G76" s="14">
        <v>0</v>
      </c>
      <c r="H76" s="100"/>
    </row>
    <row r="77" spans="1:8" x14ac:dyDescent="0.2">
      <c r="A77" s="15" t="s">
        <v>9</v>
      </c>
      <c r="B77" s="15" t="s">
        <v>9</v>
      </c>
      <c r="C77" s="11" t="s">
        <v>9</v>
      </c>
      <c r="D77" s="15" t="s">
        <v>9</v>
      </c>
      <c r="E77" s="15" t="s">
        <v>9</v>
      </c>
      <c r="F77" s="12" t="s">
        <v>9</v>
      </c>
      <c r="G77" s="12" t="s">
        <v>9</v>
      </c>
      <c r="H77" s="100"/>
    </row>
    <row r="78" spans="1:8" x14ac:dyDescent="0.2">
      <c r="A78" s="15" t="s">
        <v>9</v>
      </c>
      <c r="B78" s="15" t="s">
        <v>9</v>
      </c>
      <c r="C78" s="3" t="s">
        <v>108</v>
      </c>
      <c r="D78" s="15" t="s">
        <v>9</v>
      </c>
      <c r="E78" s="15" t="s">
        <v>9</v>
      </c>
      <c r="F78" s="12" t="s">
        <v>9</v>
      </c>
      <c r="G78" s="12" t="s">
        <v>9</v>
      </c>
      <c r="H78" s="100"/>
    </row>
    <row r="79" spans="1:8" x14ac:dyDescent="0.2">
      <c r="A79" s="15" t="s">
        <v>9</v>
      </c>
      <c r="B79" s="15" t="s">
        <v>9</v>
      </c>
      <c r="C79" s="3" t="s">
        <v>94</v>
      </c>
      <c r="D79" s="15" t="s">
        <v>9</v>
      </c>
      <c r="E79" s="15" t="s">
        <v>9</v>
      </c>
      <c r="F79" s="13">
        <v>0</v>
      </c>
      <c r="G79" s="14">
        <v>0</v>
      </c>
      <c r="H79" s="100"/>
    </row>
    <row r="80" spans="1:8" x14ac:dyDescent="0.2">
      <c r="A80" s="15" t="s">
        <v>9</v>
      </c>
      <c r="B80" s="15" t="s">
        <v>9</v>
      </c>
      <c r="C80" s="11" t="s">
        <v>9</v>
      </c>
      <c r="D80" s="15" t="s">
        <v>9</v>
      </c>
      <c r="E80" s="15" t="s">
        <v>9</v>
      </c>
      <c r="F80" s="12" t="s">
        <v>9</v>
      </c>
      <c r="G80" s="12" t="s">
        <v>9</v>
      </c>
      <c r="H80" s="100"/>
    </row>
    <row r="81" spans="1:8" x14ac:dyDescent="0.2">
      <c r="A81" s="15" t="s">
        <v>9</v>
      </c>
      <c r="B81" s="15" t="s">
        <v>9</v>
      </c>
      <c r="C81" s="3" t="s">
        <v>109</v>
      </c>
      <c r="D81" s="15" t="s">
        <v>9</v>
      </c>
      <c r="E81" s="15" t="s">
        <v>9</v>
      </c>
      <c r="F81" s="9">
        <v>0</v>
      </c>
      <c r="G81" s="10">
        <v>0</v>
      </c>
      <c r="H81" s="100"/>
    </row>
    <row r="82" spans="1:8" x14ac:dyDescent="0.2">
      <c r="A82" s="15" t="s">
        <v>9</v>
      </c>
      <c r="B82" s="15" t="s">
        <v>9</v>
      </c>
      <c r="C82" s="11" t="s">
        <v>9</v>
      </c>
      <c r="D82" s="15" t="s">
        <v>9</v>
      </c>
      <c r="E82" s="15" t="s">
        <v>9</v>
      </c>
      <c r="F82" s="12" t="s">
        <v>9</v>
      </c>
      <c r="G82" s="12" t="s">
        <v>9</v>
      </c>
      <c r="H82" s="100"/>
    </row>
    <row r="83" spans="1:8" x14ac:dyDescent="0.2">
      <c r="A83" s="15" t="s">
        <v>9</v>
      </c>
      <c r="B83" s="15" t="s">
        <v>9</v>
      </c>
      <c r="C83" s="3" t="s">
        <v>110</v>
      </c>
      <c r="D83" s="15" t="s">
        <v>9</v>
      </c>
      <c r="E83" s="15" t="s">
        <v>9</v>
      </c>
      <c r="F83" s="12" t="s">
        <v>9</v>
      </c>
      <c r="G83" s="12" t="s">
        <v>9</v>
      </c>
      <c r="H83" s="100"/>
    </row>
    <row r="84" spans="1:8" x14ac:dyDescent="0.2">
      <c r="A84" s="15" t="s">
        <v>9</v>
      </c>
      <c r="B84" s="15" t="s">
        <v>9</v>
      </c>
      <c r="C84" s="3" t="s">
        <v>111</v>
      </c>
      <c r="D84" s="15" t="s">
        <v>9</v>
      </c>
      <c r="E84" s="15" t="s">
        <v>9</v>
      </c>
      <c r="F84" s="12" t="s">
        <v>9</v>
      </c>
      <c r="G84" s="12" t="s">
        <v>9</v>
      </c>
      <c r="H84" s="100"/>
    </row>
    <row r="85" spans="1:8" x14ac:dyDescent="0.2">
      <c r="A85" s="15" t="s">
        <v>9</v>
      </c>
      <c r="B85" s="15" t="s">
        <v>9</v>
      </c>
      <c r="C85" s="3" t="s">
        <v>94</v>
      </c>
      <c r="D85" s="15" t="s">
        <v>9</v>
      </c>
      <c r="E85" s="15" t="s">
        <v>9</v>
      </c>
      <c r="F85" s="13">
        <v>0</v>
      </c>
      <c r="G85" s="14">
        <v>0</v>
      </c>
      <c r="H85" s="100"/>
    </row>
    <row r="86" spans="1:8" x14ac:dyDescent="0.2">
      <c r="A86" s="15" t="s">
        <v>9</v>
      </c>
      <c r="B86" s="15" t="s">
        <v>9</v>
      </c>
      <c r="C86" s="11" t="s">
        <v>9</v>
      </c>
      <c r="D86" s="15" t="s">
        <v>9</v>
      </c>
      <c r="E86" s="15" t="s">
        <v>9</v>
      </c>
      <c r="F86" s="12" t="s">
        <v>9</v>
      </c>
      <c r="G86" s="12" t="s">
        <v>9</v>
      </c>
      <c r="H86" s="100"/>
    </row>
    <row r="87" spans="1:8" x14ac:dyDescent="0.2">
      <c r="A87" s="15" t="s">
        <v>9</v>
      </c>
      <c r="B87" s="15" t="s">
        <v>9</v>
      </c>
      <c r="C87" s="3" t="s">
        <v>112</v>
      </c>
      <c r="D87" s="15" t="s">
        <v>9</v>
      </c>
      <c r="E87" s="15" t="s">
        <v>9</v>
      </c>
      <c r="F87" s="12" t="s">
        <v>9</v>
      </c>
      <c r="G87" s="12" t="s">
        <v>9</v>
      </c>
      <c r="H87" s="100"/>
    </row>
    <row r="88" spans="1:8" x14ac:dyDescent="0.2">
      <c r="A88" s="15" t="s">
        <v>9</v>
      </c>
      <c r="B88" s="15" t="s">
        <v>9</v>
      </c>
      <c r="C88" s="3" t="s">
        <v>94</v>
      </c>
      <c r="D88" s="15" t="s">
        <v>9</v>
      </c>
      <c r="E88" s="15" t="s">
        <v>9</v>
      </c>
      <c r="F88" s="13">
        <v>0</v>
      </c>
      <c r="G88" s="14">
        <v>0</v>
      </c>
      <c r="H88" s="100"/>
    </row>
    <row r="89" spans="1:8" x14ac:dyDescent="0.2">
      <c r="A89" s="15" t="s">
        <v>9</v>
      </c>
      <c r="B89" s="15" t="s">
        <v>9</v>
      </c>
      <c r="C89" s="11" t="s">
        <v>9</v>
      </c>
      <c r="D89" s="15" t="s">
        <v>9</v>
      </c>
      <c r="E89" s="15" t="s">
        <v>9</v>
      </c>
      <c r="F89" s="12" t="s">
        <v>9</v>
      </c>
      <c r="G89" s="12" t="s">
        <v>9</v>
      </c>
      <c r="H89" s="100"/>
    </row>
    <row r="90" spans="1:8" x14ac:dyDescent="0.2">
      <c r="A90" s="15" t="s">
        <v>9</v>
      </c>
      <c r="B90" s="15" t="s">
        <v>9</v>
      </c>
      <c r="C90" s="3" t="s">
        <v>113</v>
      </c>
      <c r="D90" s="15" t="s">
        <v>9</v>
      </c>
      <c r="E90" s="15" t="s">
        <v>9</v>
      </c>
      <c r="F90" s="12" t="s">
        <v>9</v>
      </c>
      <c r="G90" s="12" t="s">
        <v>9</v>
      </c>
      <c r="H90" s="100"/>
    </row>
    <row r="91" spans="1:8" x14ac:dyDescent="0.2">
      <c r="A91" s="15" t="s">
        <v>9</v>
      </c>
      <c r="B91" s="15" t="s">
        <v>9</v>
      </c>
      <c r="C91" s="3" t="s">
        <v>94</v>
      </c>
      <c r="D91" s="15" t="s">
        <v>9</v>
      </c>
      <c r="E91" s="15" t="s">
        <v>9</v>
      </c>
      <c r="F91" s="13">
        <v>0</v>
      </c>
      <c r="G91" s="14">
        <v>0</v>
      </c>
      <c r="H91" s="100"/>
    </row>
    <row r="92" spans="1:8" x14ac:dyDescent="0.2">
      <c r="A92" s="15" t="s">
        <v>9</v>
      </c>
      <c r="B92" s="15" t="s">
        <v>9</v>
      </c>
      <c r="C92" s="11" t="s">
        <v>9</v>
      </c>
      <c r="D92" s="15" t="s">
        <v>9</v>
      </c>
      <c r="E92" s="15" t="s">
        <v>9</v>
      </c>
      <c r="F92" s="12" t="s">
        <v>9</v>
      </c>
      <c r="G92" s="12" t="s">
        <v>9</v>
      </c>
      <c r="H92" s="100"/>
    </row>
    <row r="93" spans="1:8" x14ac:dyDescent="0.2">
      <c r="A93" s="15" t="s">
        <v>9</v>
      </c>
      <c r="B93" s="15" t="s">
        <v>9</v>
      </c>
      <c r="C93" s="3" t="s">
        <v>114</v>
      </c>
      <c r="D93" s="15" t="s">
        <v>9</v>
      </c>
      <c r="E93" s="15" t="s">
        <v>9</v>
      </c>
      <c r="F93" s="12" t="s">
        <v>9</v>
      </c>
      <c r="G93" s="12" t="s">
        <v>9</v>
      </c>
      <c r="H93" s="100"/>
    </row>
    <row r="94" spans="1:8" x14ac:dyDescent="0.2">
      <c r="A94" s="4">
        <v>1</v>
      </c>
      <c r="B94" s="5"/>
      <c r="C94" s="5" t="s">
        <v>115</v>
      </c>
      <c r="D94" s="5"/>
      <c r="E94" s="15" t="s">
        <v>9</v>
      </c>
      <c r="F94" s="7">
        <v>150.0567958</v>
      </c>
      <c r="G94" s="8">
        <v>1.8563988999999999E-2</v>
      </c>
      <c r="H94" s="99">
        <v>3.2516689338443991</v>
      </c>
    </row>
    <row r="95" spans="1:8" x14ac:dyDescent="0.2">
      <c r="A95" s="4">
        <v>2</v>
      </c>
      <c r="B95" s="5"/>
      <c r="C95" s="5" t="s">
        <v>116</v>
      </c>
      <c r="D95" s="5"/>
      <c r="E95" s="15" t="s">
        <v>9</v>
      </c>
      <c r="F95" s="7">
        <v>20.559153299999998</v>
      </c>
      <c r="G95" s="8">
        <v>2.543436E-3</v>
      </c>
      <c r="H95" s="100">
        <v>3.350000000000001</v>
      </c>
    </row>
    <row r="96" spans="1:8" x14ac:dyDescent="0.2">
      <c r="A96" s="15" t="s">
        <v>9</v>
      </c>
      <c r="B96" s="15" t="s">
        <v>9</v>
      </c>
      <c r="C96" s="3" t="s">
        <v>94</v>
      </c>
      <c r="D96" s="15" t="s">
        <v>9</v>
      </c>
      <c r="E96" s="15" t="s">
        <v>9</v>
      </c>
      <c r="F96" s="9">
        <v>170.61594909999999</v>
      </c>
      <c r="G96" s="10">
        <v>2.1107424999999999E-2</v>
      </c>
      <c r="H96" s="100"/>
    </row>
    <row r="97" spans="1:8" x14ac:dyDescent="0.2">
      <c r="A97" s="15" t="s">
        <v>9</v>
      </c>
      <c r="B97" s="15" t="s">
        <v>9</v>
      </c>
      <c r="C97" s="11" t="s">
        <v>9</v>
      </c>
      <c r="D97" s="15" t="s">
        <v>9</v>
      </c>
      <c r="E97" s="15" t="s">
        <v>9</v>
      </c>
      <c r="F97" s="12" t="s">
        <v>9</v>
      </c>
      <c r="G97" s="12" t="s">
        <v>9</v>
      </c>
      <c r="H97" s="100"/>
    </row>
    <row r="98" spans="1:8" x14ac:dyDescent="0.2">
      <c r="A98" s="15" t="s">
        <v>9</v>
      </c>
      <c r="B98" s="15" t="s">
        <v>9</v>
      </c>
      <c r="C98" s="3" t="s">
        <v>117</v>
      </c>
      <c r="D98" s="15" t="s">
        <v>9</v>
      </c>
      <c r="E98" s="15" t="s">
        <v>9</v>
      </c>
      <c r="F98" s="9">
        <v>170.61594909999999</v>
      </c>
      <c r="G98" s="10">
        <v>2.1107424999999999E-2</v>
      </c>
      <c r="H98" s="100"/>
    </row>
    <row r="99" spans="1:8" x14ac:dyDescent="0.2">
      <c r="A99" s="15" t="s">
        <v>9</v>
      </c>
      <c r="B99" s="15" t="s">
        <v>9</v>
      </c>
      <c r="C99" s="12" t="s">
        <v>9</v>
      </c>
      <c r="D99" s="15" t="s">
        <v>9</v>
      </c>
      <c r="E99" s="15" t="s">
        <v>9</v>
      </c>
      <c r="F99" s="15" t="s">
        <v>9</v>
      </c>
      <c r="G99" s="15" t="s">
        <v>9</v>
      </c>
      <c r="H99" s="100"/>
    </row>
    <row r="100" spans="1:8" x14ac:dyDescent="0.2">
      <c r="A100" s="15" t="s">
        <v>9</v>
      </c>
      <c r="B100" s="15" t="s">
        <v>9</v>
      </c>
      <c r="C100" s="3" t="s">
        <v>118</v>
      </c>
      <c r="D100" s="15" t="s">
        <v>9</v>
      </c>
      <c r="E100" s="15" t="s">
        <v>9</v>
      </c>
      <c r="F100" s="15" t="s">
        <v>9</v>
      </c>
      <c r="G100" s="15" t="s">
        <v>9</v>
      </c>
      <c r="H100" s="100"/>
    </row>
    <row r="101" spans="1:8" x14ac:dyDescent="0.2">
      <c r="A101" s="15" t="s">
        <v>9</v>
      </c>
      <c r="B101" s="15" t="s">
        <v>9</v>
      </c>
      <c r="C101" s="3" t="s">
        <v>119</v>
      </c>
      <c r="D101" s="15" t="s">
        <v>9</v>
      </c>
      <c r="E101" s="15" t="s">
        <v>9</v>
      </c>
      <c r="F101" s="15" t="s">
        <v>9</v>
      </c>
      <c r="G101" s="15" t="s">
        <v>9</v>
      </c>
      <c r="H101" s="100"/>
    </row>
    <row r="102" spans="1:8" x14ac:dyDescent="0.2">
      <c r="A102" s="15" t="s">
        <v>9</v>
      </c>
      <c r="B102" s="15" t="s">
        <v>9</v>
      </c>
      <c r="C102" s="3" t="s">
        <v>94</v>
      </c>
      <c r="D102" s="15" t="s">
        <v>9</v>
      </c>
      <c r="E102" s="15" t="s">
        <v>9</v>
      </c>
      <c r="F102" s="13">
        <v>0</v>
      </c>
      <c r="G102" s="14">
        <v>0</v>
      </c>
      <c r="H102" s="100"/>
    </row>
    <row r="103" spans="1:8" x14ac:dyDescent="0.2">
      <c r="A103" s="15" t="s">
        <v>9</v>
      </c>
      <c r="B103" s="15" t="s">
        <v>9</v>
      </c>
      <c r="C103" s="11" t="s">
        <v>9</v>
      </c>
      <c r="D103" s="15" t="s">
        <v>9</v>
      </c>
      <c r="E103" s="15" t="s">
        <v>9</v>
      </c>
      <c r="F103" s="12" t="s">
        <v>9</v>
      </c>
      <c r="G103" s="12" t="s">
        <v>9</v>
      </c>
      <c r="H103" s="100"/>
    </row>
    <row r="104" spans="1:8" x14ac:dyDescent="0.2">
      <c r="A104" s="15" t="s">
        <v>9</v>
      </c>
      <c r="B104" s="15" t="s">
        <v>9</v>
      </c>
      <c r="C104" s="3" t="s">
        <v>120</v>
      </c>
      <c r="D104" s="15" t="s">
        <v>9</v>
      </c>
      <c r="E104" s="15" t="s">
        <v>9</v>
      </c>
      <c r="F104" s="15" t="s">
        <v>9</v>
      </c>
      <c r="G104" s="15" t="s">
        <v>9</v>
      </c>
      <c r="H104" s="100"/>
    </row>
    <row r="105" spans="1:8" x14ac:dyDescent="0.2">
      <c r="A105" s="15" t="s">
        <v>9</v>
      </c>
      <c r="B105" s="15" t="s">
        <v>9</v>
      </c>
      <c r="C105" s="3" t="s">
        <v>121</v>
      </c>
      <c r="D105" s="15" t="s">
        <v>9</v>
      </c>
      <c r="E105" s="15" t="s">
        <v>9</v>
      </c>
      <c r="F105" s="15" t="s">
        <v>9</v>
      </c>
      <c r="G105" s="15" t="s">
        <v>9</v>
      </c>
      <c r="H105" s="100"/>
    </row>
    <row r="106" spans="1:8" x14ac:dyDescent="0.2">
      <c r="A106" s="15" t="s">
        <v>9</v>
      </c>
      <c r="B106" s="15" t="s">
        <v>9</v>
      </c>
      <c r="C106" s="3" t="s">
        <v>94</v>
      </c>
      <c r="D106" s="15" t="s">
        <v>9</v>
      </c>
      <c r="E106" s="15" t="s">
        <v>9</v>
      </c>
      <c r="F106" s="13">
        <v>0</v>
      </c>
      <c r="G106" s="14">
        <v>0</v>
      </c>
      <c r="H106" s="100"/>
    </row>
    <row r="107" spans="1:8" x14ac:dyDescent="0.2">
      <c r="A107" s="15" t="s">
        <v>9</v>
      </c>
      <c r="B107" s="15" t="s">
        <v>9</v>
      </c>
      <c r="C107" s="11" t="s">
        <v>9</v>
      </c>
      <c r="D107" s="15" t="s">
        <v>9</v>
      </c>
      <c r="E107" s="15" t="s">
        <v>9</v>
      </c>
      <c r="F107" s="12" t="s">
        <v>9</v>
      </c>
      <c r="G107" s="12" t="s">
        <v>9</v>
      </c>
      <c r="H107" s="100"/>
    </row>
    <row r="108" spans="1:8" x14ac:dyDescent="0.2">
      <c r="A108" s="15" t="s">
        <v>9</v>
      </c>
      <c r="B108" s="15" t="s">
        <v>9</v>
      </c>
      <c r="C108" s="11" t="s">
        <v>9</v>
      </c>
      <c r="D108" s="15" t="s">
        <v>9</v>
      </c>
      <c r="E108" s="15" t="s">
        <v>9</v>
      </c>
      <c r="F108" s="12" t="s">
        <v>9</v>
      </c>
      <c r="G108" s="12" t="s">
        <v>9</v>
      </c>
      <c r="H108" s="100"/>
    </row>
    <row r="109" spans="1:8" ht="25.5" x14ac:dyDescent="0.2">
      <c r="A109" s="15" t="s">
        <v>9</v>
      </c>
      <c r="B109" s="15" t="s">
        <v>9</v>
      </c>
      <c r="C109" s="3" t="s">
        <v>122</v>
      </c>
      <c r="D109" s="15" t="s">
        <v>9</v>
      </c>
      <c r="E109" s="15" t="s">
        <v>9</v>
      </c>
      <c r="F109" s="12" t="s">
        <v>9</v>
      </c>
      <c r="G109" s="12" t="s">
        <v>9</v>
      </c>
      <c r="H109" s="100"/>
    </row>
    <row r="110" spans="1:8" x14ac:dyDescent="0.2">
      <c r="A110" s="15" t="s">
        <v>9</v>
      </c>
      <c r="B110" s="15" t="s">
        <v>9</v>
      </c>
      <c r="C110" s="3" t="s">
        <v>94</v>
      </c>
      <c r="D110" s="15" t="s">
        <v>9</v>
      </c>
      <c r="E110" s="15" t="s">
        <v>9</v>
      </c>
      <c r="F110" s="13">
        <v>0</v>
      </c>
      <c r="G110" s="14">
        <v>0</v>
      </c>
      <c r="H110" s="100"/>
    </row>
    <row r="111" spans="1:8" x14ac:dyDescent="0.2">
      <c r="A111" s="15" t="s">
        <v>9</v>
      </c>
      <c r="B111" s="15" t="s">
        <v>9</v>
      </c>
      <c r="C111" s="11" t="s">
        <v>9</v>
      </c>
      <c r="D111" s="15" t="s">
        <v>9</v>
      </c>
      <c r="E111" s="15" t="s">
        <v>9</v>
      </c>
      <c r="F111" s="12" t="s">
        <v>9</v>
      </c>
      <c r="G111" s="12" t="s">
        <v>9</v>
      </c>
      <c r="H111" s="100"/>
    </row>
    <row r="112" spans="1:8" x14ac:dyDescent="0.2">
      <c r="A112" s="15" t="s">
        <v>9</v>
      </c>
      <c r="B112" s="5" t="s">
        <v>9</v>
      </c>
      <c r="C112" s="5" t="s">
        <v>9</v>
      </c>
      <c r="D112" s="3" t="s">
        <v>9</v>
      </c>
      <c r="E112" s="15" t="s">
        <v>9</v>
      </c>
      <c r="F112" s="5" t="s">
        <v>9</v>
      </c>
      <c r="G112" s="15" t="s">
        <v>9</v>
      </c>
      <c r="H112" s="100"/>
    </row>
    <row r="113" spans="1:8" x14ac:dyDescent="0.2">
      <c r="A113" s="15" t="s">
        <v>9</v>
      </c>
      <c r="B113" s="5" t="s">
        <v>9</v>
      </c>
      <c r="C113" s="5" t="s">
        <v>124</v>
      </c>
      <c r="D113" s="5" t="s">
        <v>9</v>
      </c>
      <c r="E113" s="15" t="s">
        <v>9</v>
      </c>
      <c r="F113" s="7">
        <v>-1.2766775800000001</v>
      </c>
      <c r="G113" s="8">
        <v>-1.57942E-4</v>
      </c>
      <c r="H113" s="100"/>
    </row>
    <row r="114" spans="1:8" x14ac:dyDescent="0.2">
      <c r="A114" s="11" t="s">
        <v>9</v>
      </c>
      <c r="B114" s="11" t="s">
        <v>9</v>
      </c>
      <c r="C114" s="3" t="s">
        <v>125</v>
      </c>
      <c r="D114" s="16" t="s">
        <v>9</v>
      </c>
      <c r="E114" s="16" t="s">
        <v>9</v>
      </c>
      <c r="F114" s="9">
        <v>8083.2192275200005</v>
      </c>
      <c r="G114" s="10">
        <v>1</v>
      </c>
      <c r="H114" s="100"/>
    </row>
    <row r="115" spans="1:8" x14ac:dyDescent="0.2">
      <c r="A115" s="17" t="s">
        <v>9</v>
      </c>
      <c r="B115" s="17" t="s">
        <v>9</v>
      </c>
      <c r="C115" s="17" t="s">
        <v>9</v>
      </c>
      <c r="D115" s="18" t="s">
        <v>9</v>
      </c>
      <c r="E115" s="18" t="s">
        <v>9</v>
      </c>
      <c r="F115" s="18" t="s">
        <v>9</v>
      </c>
      <c r="G115" s="18" t="s">
        <v>9</v>
      </c>
      <c r="H115" s="142"/>
    </row>
    <row r="116" spans="1:8" x14ac:dyDescent="0.2">
      <c r="A116" s="19" t="s">
        <v>9</v>
      </c>
      <c r="B116" s="254" t="s">
        <v>9</v>
      </c>
      <c r="C116" s="254"/>
      <c r="D116" s="254"/>
      <c r="E116" s="254"/>
      <c r="F116" s="254"/>
      <c r="G116" s="20" t="s">
        <v>9</v>
      </c>
      <c r="H116" s="142"/>
    </row>
    <row r="117" spans="1:8" x14ac:dyDescent="0.2">
      <c r="A117" s="19" t="s">
        <v>9</v>
      </c>
      <c r="B117" s="254" t="s">
        <v>9</v>
      </c>
      <c r="C117" s="254"/>
      <c r="D117" s="254"/>
      <c r="E117" s="254"/>
      <c r="F117" s="254"/>
      <c r="G117" s="20" t="s">
        <v>9</v>
      </c>
      <c r="H117" s="142"/>
    </row>
    <row r="118" spans="1:8" x14ac:dyDescent="0.2">
      <c r="A118" s="19" t="s">
        <v>9</v>
      </c>
      <c r="B118" s="19" t="s">
        <v>9</v>
      </c>
      <c r="C118" s="19" t="s">
        <v>9</v>
      </c>
      <c r="D118" s="20" t="s">
        <v>9</v>
      </c>
      <c r="E118" s="20" t="s">
        <v>9</v>
      </c>
      <c r="F118" s="20" t="s">
        <v>9</v>
      </c>
      <c r="G118" s="20" t="s">
        <v>9</v>
      </c>
      <c r="H118" s="142"/>
    </row>
    <row r="119" spans="1:8" x14ac:dyDescent="0.2">
      <c r="A119" s="19" t="s">
        <v>9</v>
      </c>
      <c r="B119" s="247" t="s">
        <v>127</v>
      </c>
      <c r="C119" s="248"/>
      <c r="D119" s="182" t="s">
        <v>9</v>
      </c>
      <c r="E119" s="21" t="s">
        <v>9</v>
      </c>
      <c r="F119" s="20" t="s">
        <v>9</v>
      </c>
      <c r="G119" s="20" t="s">
        <v>9</v>
      </c>
      <c r="H119" s="142"/>
    </row>
    <row r="120" spans="1:8" ht="28.5" customHeight="1" x14ac:dyDescent="0.2">
      <c r="A120" s="19" t="s">
        <v>9</v>
      </c>
      <c r="B120" s="242" t="s">
        <v>128</v>
      </c>
      <c r="C120" s="243"/>
      <c r="D120" s="3" t="s">
        <v>129</v>
      </c>
      <c r="E120" s="21" t="s">
        <v>9</v>
      </c>
      <c r="F120" s="20" t="s">
        <v>9</v>
      </c>
      <c r="G120" s="20" t="s">
        <v>9</v>
      </c>
      <c r="H120" s="142"/>
    </row>
    <row r="121" spans="1:8" x14ac:dyDescent="0.2">
      <c r="A121" s="19" t="s">
        <v>9</v>
      </c>
      <c r="B121" s="240" t="s">
        <v>130</v>
      </c>
      <c r="C121" s="241"/>
      <c r="D121" s="177" t="s">
        <v>129</v>
      </c>
      <c r="E121" s="21" t="s">
        <v>9</v>
      </c>
      <c r="F121" s="20" t="s">
        <v>9</v>
      </c>
      <c r="G121" s="20" t="s">
        <v>9</v>
      </c>
      <c r="H121" s="142"/>
    </row>
    <row r="122" spans="1:8" x14ac:dyDescent="0.2">
      <c r="A122" s="19" t="s">
        <v>9</v>
      </c>
      <c r="B122" s="240" t="s">
        <v>131</v>
      </c>
      <c r="C122" s="241"/>
      <c r="D122" s="182" t="s">
        <v>9</v>
      </c>
      <c r="E122" s="21" t="s">
        <v>9</v>
      </c>
      <c r="F122" s="20" t="s">
        <v>9</v>
      </c>
      <c r="G122" s="20" t="s">
        <v>9</v>
      </c>
      <c r="H122" s="142"/>
    </row>
    <row r="123" spans="1:8" ht="25.5" x14ac:dyDescent="0.2">
      <c r="A123" s="25" t="s">
        <v>9</v>
      </c>
      <c r="B123" s="23" t="s">
        <v>9</v>
      </c>
      <c r="C123" s="23" t="s">
        <v>132</v>
      </c>
      <c r="D123" s="23" t="s">
        <v>133</v>
      </c>
      <c r="E123" s="25" t="s">
        <v>9</v>
      </c>
      <c r="F123" s="25" t="s">
        <v>9</v>
      </c>
      <c r="G123" s="25" t="s">
        <v>9</v>
      </c>
      <c r="H123" s="142"/>
    </row>
    <row r="124" spans="1:8" x14ac:dyDescent="0.2">
      <c r="A124" s="25" t="s">
        <v>9</v>
      </c>
      <c r="B124" s="23" t="s">
        <v>134</v>
      </c>
      <c r="C124" s="23" t="s">
        <v>135</v>
      </c>
      <c r="D124" s="23" t="s">
        <v>136</v>
      </c>
      <c r="E124" s="25" t="s">
        <v>9</v>
      </c>
      <c r="F124" s="25" t="s">
        <v>9</v>
      </c>
      <c r="G124" s="25" t="s">
        <v>9</v>
      </c>
      <c r="H124" s="142"/>
    </row>
    <row r="125" spans="1:8" x14ac:dyDescent="0.2">
      <c r="A125" s="25" t="s">
        <v>9</v>
      </c>
      <c r="B125" s="183" t="s">
        <v>137</v>
      </c>
      <c r="C125" s="184">
        <v>13.6402</v>
      </c>
      <c r="D125" s="184">
        <v>13.677199999999999</v>
      </c>
      <c r="E125" s="25" t="s">
        <v>9</v>
      </c>
      <c r="F125" s="73" t="s">
        <v>9</v>
      </c>
      <c r="G125" s="25" t="s">
        <v>9</v>
      </c>
      <c r="H125" s="142"/>
    </row>
    <row r="126" spans="1:8" x14ac:dyDescent="0.2">
      <c r="A126" s="25" t="s">
        <v>9</v>
      </c>
      <c r="B126" s="183" t="s">
        <v>921</v>
      </c>
      <c r="C126" s="184">
        <v>13.6402</v>
      </c>
      <c r="D126" s="184">
        <v>13.677199999999999</v>
      </c>
      <c r="E126" s="25" t="s">
        <v>9</v>
      </c>
      <c r="F126" s="73" t="s">
        <v>9</v>
      </c>
      <c r="G126" s="25" t="s">
        <v>9</v>
      </c>
      <c r="H126" s="142"/>
    </row>
    <row r="127" spans="1:8" x14ac:dyDescent="0.2">
      <c r="A127" s="25" t="s">
        <v>9</v>
      </c>
      <c r="B127" s="183" t="s">
        <v>138</v>
      </c>
      <c r="C127" s="184">
        <v>13.171200000000001</v>
      </c>
      <c r="D127" s="184">
        <v>13.2003</v>
      </c>
      <c r="E127" s="25" t="s">
        <v>9</v>
      </c>
      <c r="F127" s="73" t="s">
        <v>9</v>
      </c>
      <c r="G127" s="25" t="s">
        <v>9</v>
      </c>
      <c r="H127" s="142"/>
    </row>
    <row r="128" spans="1:8" x14ac:dyDescent="0.2">
      <c r="A128" s="25" t="s">
        <v>9</v>
      </c>
      <c r="B128" s="183" t="s">
        <v>922</v>
      </c>
      <c r="C128" s="184">
        <v>13.171200000000001</v>
      </c>
      <c r="D128" s="184">
        <v>13.2003</v>
      </c>
      <c r="E128" s="25" t="s">
        <v>9</v>
      </c>
      <c r="F128" s="73" t="s">
        <v>9</v>
      </c>
      <c r="G128" s="25" t="s">
        <v>9</v>
      </c>
      <c r="H128" s="142"/>
    </row>
    <row r="129" spans="1:8" x14ac:dyDescent="0.2">
      <c r="A129" s="25" t="s">
        <v>9</v>
      </c>
      <c r="B129" s="22" t="s">
        <v>9</v>
      </c>
      <c r="C129" s="22" t="s">
        <v>9</v>
      </c>
      <c r="D129" s="22" t="s">
        <v>9</v>
      </c>
      <c r="E129" s="25" t="s">
        <v>9</v>
      </c>
      <c r="F129" s="25" t="s">
        <v>9</v>
      </c>
      <c r="G129" s="25" t="s">
        <v>9</v>
      </c>
      <c r="H129" s="142"/>
    </row>
    <row r="130" spans="1:8" x14ac:dyDescent="0.2">
      <c r="A130" s="25" t="s">
        <v>9</v>
      </c>
      <c r="B130" s="240" t="s">
        <v>1012</v>
      </c>
      <c r="C130" s="241"/>
      <c r="D130" s="177" t="s">
        <v>129</v>
      </c>
      <c r="E130" s="25" t="s">
        <v>9</v>
      </c>
      <c r="F130" s="25" t="s">
        <v>9</v>
      </c>
      <c r="G130" s="25" t="s">
        <v>9</v>
      </c>
      <c r="H130" s="142"/>
    </row>
    <row r="131" spans="1:8" x14ac:dyDescent="0.2">
      <c r="A131" s="25" t="s">
        <v>9</v>
      </c>
      <c r="B131" s="98"/>
      <c r="C131" s="98"/>
      <c r="D131" s="26" t="s">
        <v>9</v>
      </c>
      <c r="E131" s="25" t="s">
        <v>9</v>
      </c>
      <c r="F131" s="25" t="s">
        <v>9</v>
      </c>
      <c r="G131" s="25" t="s">
        <v>9</v>
      </c>
      <c r="H131" s="142"/>
    </row>
    <row r="132" spans="1:8" s="238" customFormat="1" ht="12.75" x14ac:dyDescent="0.2">
      <c r="B132" s="246" t="s">
        <v>923</v>
      </c>
      <c r="C132" s="246"/>
      <c r="D132" s="246"/>
      <c r="E132" s="246"/>
      <c r="F132" s="246"/>
    </row>
    <row r="133" spans="1:8" x14ac:dyDescent="0.2">
      <c r="A133" s="25" t="s">
        <v>9</v>
      </c>
      <c r="B133" s="185" t="s">
        <v>9</v>
      </c>
      <c r="C133" s="185" t="s">
        <v>9</v>
      </c>
      <c r="D133" s="22" t="s">
        <v>9</v>
      </c>
      <c r="E133" s="25" t="s">
        <v>9</v>
      </c>
      <c r="F133" s="25" t="s">
        <v>9</v>
      </c>
      <c r="G133" s="25" t="s">
        <v>9</v>
      </c>
      <c r="H133" s="142"/>
    </row>
    <row r="134" spans="1:8" x14ac:dyDescent="0.2">
      <c r="A134" s="25" t="s">
        <v>9</v>
      </c>
      <c r="B134" s="240" t="s">
        <v>139</v>
      </c>
      <c r="C134" s="241"/>
      <c r="D134" s="177" t="s">
        <v>129</v>
      </c>
      <c r="E134" s="25" t="s">
        <v>9</v>
      </c>
      <c r="F134" s="25" t="s">
        <v>9</v>
      </c>
      <c r="G134" s="25" t="s">
        <v>9</v>
      </c>
      <c r="H134" s="142"/>
    </row>
    <row r="135" spans="1:8" x14ac:dyDescent="0.2">
      <c r="A135" s="25" t="s">
        <v>9</v>
      </c>
      <c r="B135" s="240" t="s">
        <v>140</v>
      </c>
      <c r="C135" s="241"/>
      <c r="D135" s="177" t="s">
        <v>129</v>
      </c>
      <c r="E135" s="25" t="s">
        <v>9</v>
      </c>
      <c r="F135" s="25" t="s">
        <v>9</v>
      </c>
      <c r="G135" s="25" t="s">
        <v>9</v>
      </c>
      <c r="H135" s="142"/>
    </row>
    <row r="136" spans="1:8" x14ac:dyDescent="0.2">
      <c r="A136" s="25" t="s">
        <v>9</v>
      </c>
      <c r="B136" s="240" t="s">
        <v>141</v>
      </c>
      <c r="C136" s="241"/>
      <c r="D136" s="186">
        <v>0.4760952498912101</v>
      </c>
      <c r="E136" s="25" t="s">
        <v>9</v>
      </c>
      <c r="F136" s="73" t="s">
        <v>9</v>
      </c>
      <c r="G136" s="25" t="s">
        <v>9</v>
      </c>
      <c r="H136" s="142"/>
    </row>
    <row r="137" spans="1:8" x14ac:dyDescent="0.2">
      <c r="A137" s="25" t="s">
        <v>9</v>
      </c>
      <c r="B137" s="240" t="s">
        <v>142</v>
      </c>
      <c r="C137" s="241"/>
      <c r="D137" s="177" t="s">
        <v>129</v>
      </c>
      <c r="E137" s="25" t="s">
        <v>9</v>
      </c>
      <c r="F137" s="25" t="s">
        <v>9</v>
      </c>
      <c r="G137" s="25" t="s">
        <v>9</v>
      </c>
      <c r="H137" s="142"/>
    </row>
  </sheetData>
  <mergeCells count="15">
    <mergeCell ref="B119:C119"/>
    <mergeCell ref="B116:F116"/>
    <mergeCell ref="B117:F117"/>
    <mergeCell ref="A1:H1"/>
    <mergeCell ref="A2:H2"/>
    <mergeCell ref="A3:H3"/>
    <mergeCell ref="B136:C136"/>
    <mergeCell ref="B137:C137"/>
    <mergeCell ref="B120:C120"/>
    <mergeCell ref="B121:C121"/>
    <mergeCell ref="B122:C122"/>
    <mergeCell ref="B130:C130"/>
    <mergeCell ref="B134:C134"/>
    <mergeCell ref="B135:C135"/>
    <mergeCell ref="B132:F132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2">
    <outlinePr summaryBelow="0" summaryRight="0"/>
  </sheetPr>
  <dimension ref="A1:H130"/>
  <sheetViews>
    <sheetView showGridLines="0" workbookViewId="0">
      <selection activeCell="J1" sqref="J1"/>
    </sheetView>
  </sheetViews>
  <sheetFormatPr defaultRowHeight="15" x14ac:dyDescent="0.2"/>
  <cols>
    <col min="1" max="1" width="6.85546875" style="155" customWidth="1"/>
    <col min="2" max="2" width="20.5703125" style="155" customWidth="1"/>
    <col min="3" max="3" width="34.28515625" style="155" customWidth="1"/>
    <col min="4" max="4" width="17.85546875" style="155" customWidth="1"/>
    <col min="5" max="6" width="19.140625" style="155" customWidth="1"/>
    <col min="7" max="7" width="16.42578125" style="155" customWidth="1"/>
    <col min="8" max="16384" width="9.140625" style="155"/>
  </cols>
  <sheetData>
    <row r="1" spans="1:8" x14ac:dyDescent="0.2">
      <c r="A1" s="250" t="s">
        <v>0</v>
      </c>
      <c r="B1" s="250"/>
      <c r="C1" s="250"/>
      <c r="D1" s="250"/>
      <c r="E1" s="250"/>
      <c r="F1" s="250"/>
      <c r="G1" s="250"/>
      <c r="H1" s="250"/>
    </row>
    <row r="2" spans="1:8" x14ac:dyDescent="0.2">
      <c r="A2" s="251" t="s">
        <v>719</v>
      </c>
      <c r="B2" s="252"/>
      <c r="C2" s="252"/>
      <c r="D2" s="252"/>
      <c r="E2" s="252"/>
      <c r="F2" s="252"/>
      <c r="G2" s="252"/>
      <c r="H2" s="253"/>
    </row>
    <row r="3" spans="1:8" x14ac:dyDescent="0.2">
      <c r="A3" s="250" t="s">
        <v>1015</v>
      </c>
      <c r="B3" s="250"/>
      <c r="C3" s="250"/>
      <c r="D3" s="250"/>
      <c r="E3" s="250"/>
      <c r="F3" s="250"/>
      <c r="G3" s="250"/>
      <c r="H3" s="250"/>
    </row>
    <row r="4" spans="1:8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60" t="s">
        <v>6</v>
      </c>
      <c r="F4" s="160" t="s">
        <v>7</v>
      </c>
      <c r="G4" s="160" t="s">
        <v>8</v>
      </c>
      <c r="H4" s="161" t="s">
        <v>909</v>
      </c>
    </row>
    <row r="5" spans="1:8" x14ac:dyDescent="0.2">
      <c r="A5" s="15" t="s">
        <v>9</v>
      </c>
      <c r="B5" s="15" t="s">
        <v>9</v>
      </c>
      <c r="C5" s="3" t="s">
        <v>10</v>
      </c>
      <c r="D5" s="15" t="s">
        <v>9</v>
      </c>
      <c r="E5" s="15" t="s">
        <v>9</v>
      </c>
      <c r="F5" s="15" t="s">
        <v>9</v>
      </c>
      <c r="G5" s="15" t="s">
        <v>9</v>
      </c>
      <c r="H5" s="100"/>
    </row>
    <row r="6" spans="1:8" ht="25.5" x14ac:dyDescent="0.2">
      <c r="A6" s="15" t="s">
        <v>9</v>
      </c>
      <c r="B6" s="15" t="s">
        <v>9</v>
      </c>
      <c r="C6" s="3" t="s">
        <v>11</v>
      </c>
      <c r="D6" s="15" t="s">
        <v>9</v>
      </c>
      <c r="E6" s="15" t="s">
        <v>9</v>
      </c>
      <c r="F6" s="15" t="s">
        <v>9</v>
      </c>
      <c r="G6" s="15" t="s">
        <v>9</v>
      </c>
      <c r="H6" s="100"/>
    </row>
    <row r="7" spans="1:8" x14ac:dyDescent="0.2">
      <c r="A7" s="4">
        <v>1</v>
      </c>
      <c r="B7" s="5" t="s">
        <v>399</v>
      </c>
      <c r="C7" s="5" t="s">
        <v>400</v>
      </c>
      <c r="D7" s="5" t="s">
        <v>22</v>
      </c>
      <c r="E7" s="6">
        <v>60008</v>
      </c>
      <c r="F7" s="7">
        <v>212.12827999999999</v>
      </c>
      <c r="G7" s="8">
        <v>6.1670865999999998E-2</v>
      </c>
      <c r="H7" s="100"/>
    </row>
    <row r="8" spans="1:8" x14ac:dyDescent="0.2">
      <c r="A8" s="4">
        <v>2</v>
      </c>
      <c r="B8" s="5" t="s">
        <v>20</v>
      </c>
      <c r="C8" s="5" t="s">
        <v>21</v>
      </c>
      <c r="D8" s="5" t="s">
        <v>22</v>
      </c>
      <c r="E8" s="6">
        <v>33713</v>
      </c>
      <c r="F8" s="7">
        <v>202.44656499999999</v>
      </c>
      <c r="G8" s="8">
        <v>5.8856155E-2</v>
      </c>
      <c r="H8" s="100"/>
    </row>
    <row r="9" spans="1:8" x14ac:dyDescent="0.2">
      <c r="A9" s="4">
        <v>3</v>
      </c>
      <c r="B9" s="5" t="s">
        <v>397</v>
      </c>
      <c r="C9" s="5" t="s">
        <v>398</v>
      </c>
      <c r="D9" s="5" t="s">
        <v>22</v>
      </c>
      <c r="E9" s="6">
        <v>25000</v>
      </c>
      <c r="F9" s="7">
        <v>178.72499999999999</v>
      </c>
      <c r="G9" s="8">
        <v>5.1959717000000002E-2</v>
      </c>
      <c r="H9" s="100"/>
    </row>
    <row r="10" spans="1:8" x14ac:dyDescent="0.2">
      <c r="A10" s="4">
        <v>4</v>
      </c>
      <c r="B10" s="5" t="s">
        <v>526</v>
      </c>
      <c r="C10" s="5" t="s">
        <v>527</v>
      </c>
      <c r="D10" s="5" t="s">
        <v>58</v>
      </c>
      <c r="E10" s="6">
        <v>24000</v>
      </c>
      <c r="F10" s="7">
        <v>157.65600000000001</v>
      </c>
      <c r="G10" s="8">
        <v>4.5834445000000001E-2</v>
      </c>
      <c r="H10" s="100"/>
    </row>
    <row r="11" spans="1:8" x14ac:dyDescent="0.2">
      <c r="A11" s="4">
        <v>5</v>
      </c>
      <c r="B11" s="5" t="s">
        <v>177</v>
      </c>
      <c r="C11" s="5" t="s">
        <v>178</v>
      </c>
      <c r="D11" s="5" t="s">
        <v>47</v>
      </c>
      <c r="E11" s="6">
        <v>13280</v>
      </c>
      <c r="F11" s="7">
        <v>140.19695999999999</v>
      </c>
      <c r="G11" s="8">
        <v>4.0758676000000001E-2</v>
      </c>
      <c r="H11" s="100"/>
    </row>
    <row r="12" spans="1:8" x14ac:dyDescent="0.2">
      <c r="A12" s="4">
        <v>6</v>
      </c>
      <c r="B12" s="5" t="s">
        <v>634</v>
      </c>
      <c r="C12" s="5" t="s">
        <v>635</v>
      </c>
      <c r="D12" s="5" t="s">
        <v>91</v>
      </c>
      <c r="E12" s="6">
        <v>44000</v>
      </c>
      <c r="F12" s="7">
        <v>129.29400000000001</v>
      </c>
      <c r="G12" s="8">
        <v>3.7588919999999998E-2</v>
      </c>
      <c r="H12" s="100"/>
    </row>
    <row r="13" spans="1:8" ht="25.5" x14ac:dyDescent="0.2">
      <c r="A13" s="4">
        <v>7</v>
      </c>
      <c r="B13" s="5" t="s">
        <v>23</v>
      </c>
      <c r="C13" s="5" t="s">
        <v>24</v>
      </c>
      <c r="D13" s="5" t="s">
        <v>25</v>
      </c>
      <c r="E13" s="6">
        <v>52500</v>
      </c>
      <c r="F13" s="7">
        <v>123.19125</v>
      </c>
      <c r="G13" s="8">
        <v>3.5814701999999997E-2</v>
      </c>
      <c r="H13" s="100"/>
    </row>
    <row r="14" spans="1:8" x14ac:dyDescent="0.2">
      <c r="A14" s="4">
        <v>8</v>
      </c>
      <c r="B14" s="5" t="s">
        <v>413</v>
      </c>
      <c r="C14" s="5" t="s">
        <v>414</v>
      </c>
      <c r="D14" s="5" t="s">
        <v>47</v>
      </c>
      <c r="E14" s="6">
        <v>11306</v>
      </c>
      <c r="F14" s="7">
        <v>116.90403999999999</v>
      </c>
      <c r="G14" s="8">
        <v>3.3986856000000003E-2</v>
      </c>
      <c r="H14" s="100"/>
    </row>
    <row r="15" spans="1:8" ht="25.5" x14ac:dyDescent="0.2">
      <c r="A15" s="4">
        <v>9</v>
      </c>
      <c r="B15" s="5" t="s">
        <v>79</v>
      </c>
      <c r="C15" s="5" t="s">
        <v>80</v>
      </c>
      <c r="D15" s="5" t="s">
        <v>25</v>
      </c>
      <c r="E15" s="6">
        <v>70468</v>
      </c>
      <c r="F15" s="7">
        <v>112.713566</v>
      </c>
      <c r="G15" s="8">
        <v>3.2768582999999997E-2</v>
      </c>
      <c r="H15" s="100"/>
    </row>
    <row r="16" spans="1:8" x14ac:dyDescent="0.2">
      <c r="A16" s="4">
        <v>10</v>
      </c>
      <c r="B16" s="5" t="s">
        <v>179</v>
      </c>
      <c r="C16" s="5" t="s">
        <v>933</v>
      </c>
      <c r="D16" s="5" t="s">
        <v>47</v>
      </c>
      <c r="E16" s="6">
        <v>52000</v>
      </c>
      <c r="F16" s="7">
        <v>111.488</v>
      </c>
      <c r="G16" s="8">
        <v>3.2412281000000001E-2</v>
      </c>
      <c r="H16" s="100"/>
    </row>
    <row r="17" spans="1:8" ht="25.5" x14ac:dyDescent="0.2">
      <c r="A17" s="4">
        <v>11</v>
      </c>
      <c r="B17" s="5" t="s">
        <v>152</v>
      </c>
      <c r="C17" s="5" t="s">
        <v>153</v>
      </c>
      <c r="D17" s="5" t="s">
        <v>1001</v>
      </c>
      <c r="E17" s="6">
        <v>66333</v>
      </c>
      <c r="F17" s="7">
        <v>108.255456</v>
      </c>
      <c r="G17" s="8">
        <v>3.1472501999999999E-2</v>
      </c>
      <c r="H17" s="100"/>
    </row>
    <row r="18" spans="1:8" x14ac:dyDescent="0.2">
      <c r="A18" s="4">
        <v>12</v>
      </c>
      <c r="B18" s="5" t="s">
        <v>29</v>
      </c>
      <c r="C18" s="5" t="s">
        <v>30</v>
      </c>
      <c r="D18" s="5" t="s">
        <v>31</v>
      </c>
      <c r="E18" s="6">
        <v>20000</v>
      </c>
      <c r="F18" s="7">
        <v>107.35</v>
      </c>
      <c r="G18" s="8">
        <v>3.1209264E-2</v>
      </c>
      <c r="H18" s="100"/>
    </row>
    <row r="19" spans="1:8" ht="25.5" x14ac:dyDescent="0.2">
      <c r="A19" s="4">
        <v>13</v>
      </c>
      <c r="B19" s="5" t="s">
        <v>720</v>
      </c>
      <c r="C19" s="5" t="s">
        <v>721</v>
      </c>
      <c r="D19" s="5" t="s">
        <v>1001</v>
      </c>
      <c r="E19" s="6">
        <v>108409</v>
      </c>
      <c r="F19" s="7">
        <v>106.5118425</v>
      </c>
      <c r="G19" s="8">
        <v>3.0965591000000001E-2</v>
      </c>
      <c r="H19" s="100"/>
    </row>
    <row r="20" spans="1:8" x14ac:dyDescent="0.2">
      <c r="A20" s="4">
        <v>14</v>
      </c>
      <c r="B20" s="5" t="s">
        <v>722</v>
      </c>
      <c r="C20" s="5" t="s">
        <v>723</v>
      </c>
      <c r="D20" s="5" t="s">
        <v>156</v>
      </c>
      <c r="E20" s="6">
        <v>6500</v>
      </c>
      <c r="F20" s="7">
        <v>91.370500000000007</v>
      </c>
      <c r="G20" s="8">
        <v>2.6563633E-2</v>
      </c>
      <c r="H20" s="100"/>
    </row>
    <row r="21" spans="1:8" x14ac:dyDescent="0.2">
      <c r="A21" s="4">
        <v>15</v>
      </c>
      <c r="B21" s="5" t="s">
        <v>514</v>
      </c>
      <c r="C21" s="5" t="s">
        <v>515</v>
      </c>
      <c r="D21" s="5" t="s">
        <v>188</v>
      </c>
      <c r="E21" s="6">
        <v>7765</v>
      </c>
      <c r="F21" s="7">
        <v>90.998035000000002</v>
      </c>
      <c r="G21" s="8">
        <v>2.6455349E-2</v>
      </c>
      <c r="H21" s="100"/>
    </row>
    <row r="22" spans="1:8" x14ac:dyDescent="0.2">
      <c r="A22" s="4">
        <v>16</v>
      </c>
      <c r="B22" s="5" t="s">
        <v>186</v>
      </c>
      <c r="C22" s="5" t="s">
        <v>187</v>
      </c>
      <c r="D22" s="5" t="s">
        <v>188</v>
      </c>
      <c r="E22" s="6">
        <v>12489</v>
      </c>
      <c r="F22" s="7">
        <v>90.863719500000002</v>
      </c>
      <c r="G22" s="8">
        <v>2.64163E-2</v>
      </c>
      <c r="H22" s="100"/>
    </row>
    <row r="23" spans="1:8" x14ac:dyDescent="0.2">
      <c r="A23" s="4">
        <v>17</v>
      </c>
      <c r="B23" s="5" t="s">
        <v>36</v>
      </c>
      <c r="C23" s="5" t="s">
        <v>37</v>
      </c>
      <c r="D23" s="5" t="s">
        <v>38</v>
      </c>
      <c r="E23" s="6">
        <v>35000</v>
      </c>
      <c r="F23" s="7">
        <v>87.64</v>
      </c>
      <c r="G23" s="8">
        <v>2.5479086000000001E-2</v>
      </c>
      <c r="H23" s="100"/>
    </row>
    <row r="24" spans="1:8" x14ac:dyDescent="0.2">
      <c r="A24" s="4">
        <v>18</v>
      </c>
      <c r="B24" s="5" t="s">
        <v>724</v>
      </c>
      <c r="C24" s="5" t="s">
        <v>725</v>
      </c>
      <c r="D24" s="5" t="s">
        <v>364</v>
      </c>
      <c r="E24" s="6">
        <v>91000</v>
      </c>
      <c r="F24" s="7">
        <v>85.9495</v>
      </c>
      <c r="G24" s="8">
        <v>2.4987616000000001E-2</v>
      </c>
      <c r="H24" s="100"/>
    </row>
    <row r="25" spans="1:8" x14ac:dyDescent="0.2">
      <c r="A25" s="4">
        <v>19</v>
      </c>
      <c r="B25" s="5" t="s">
        <v>367</v>
      </c>
      <c r="C25" s="5" t="s">
        <v>368</v>
      </c>
      <c r="D25" s="5" t="s">
        <v>22</v>
      </c>
      <c r="E25" s="6">
        <v>124278</v>
      </c>
      <c r="F25" s="7">
        <v>82.955565000000007</v>
      </c>
      <c r="G25" s="8">
        <v>2.4117205999999999E-2</v>
      </c>
      <c r="H25" s="100"/>
    </row>
    <row r="26" spans="1:8" x14ac:dyDescent="0.2">
      <c r="A26" s="4">
        <v>20</v>
      </c>
      <c r="B26" s="5" t="s">
        <v>52</v>
      </c>
      <c r="C26" s="5" t="s">
        <v>931</v>
      </c>
      <c r="D26" s="5" t="s">
        <v>53</v>
      </c>
      <c r="E26" s="6">
        <v>81301</v>
      </c>
      <c r="F26" s="7">
        <v>80.366038500000002</v>
      </c>
      <c r="G26" s="8">
        <v>2.3364368E-2</v>
      </c>
      <c r="H26" s="100"/>
    </row>
    <row r="27" spans="1:8" ht="25.5" x14ac:dyDescent="0.2">
      <c r="A27" s="4">
        <v>21</v>
      </c>
      <c r="B27" s="5" t="s">
        <v>348</v>
      </c>
      <c r="C27" s="5" t="s">
        <v>349</v>
      </c>
      <c r="D27" s="5" t="s">
        <v>156</v>
      </c>
      <c r="E27" s="6">
        <v>49527</v>
      </c>
      <c r="F27" s="7">
        <v>80.159449499999994</v>
      </c>
      <c r="G27" s="8">
        <v>2.3304307E-2</v>
      </c>
      <c r="H27" s="100"/>
    </row>
    <row r="28" spans="1:8" ht="25.5" x14ac:dyDescent="0.2">
      <c r="A28" s="4">
        <v>22</v>
      </c>
      <c r="B28" s="5" t="s">
        <v>67</v>
      </c>
      <c r="C28" s="5" t="s">
        <v>929</v>
      </c>
      <c r="D28" s="5" t="s">
        <v>25</v>
      </c>
      <c r="E28" s="6">
        <v>14750</v>
      </c>
      <c r="F28" s="7">
        <v>79.487750000000005</v>
      </c>
      <c r="G28" s="8">
        <v>2.3109028E-2</v>
      </c>
      <c r="H28" s="100"/>
    </row>
    <row r="29" spans="1:8" x14ac:dyDescent="0.2">
      <c r="A29" s="4">
        <v>23</v>
      </c>
      <c r="B29" s="5" t="s">
        <v>593</v>
      </c>
      <c r="C29" s="5" t="s">
        <v>930</v>
      </c>
      <c r="D29" s="5" t="s">
        <v>594</v>
      </c>
      <c r="E29" s="6">
        <v>50800</v>
      </c>
      <c r="F29" s="7">
        <v>79.120999999999995</v>
      </c>
      <c r="G29" s="8">
        <v>2.3002405E-2</v>
      </c>
      <c r="H29" s="100"/>
    </row>
    <row r="30" spans="1:8" ht="25.5" x14ac:dyDescent="0.2">
      <c r="A30" s="4">
        <v>24</v>
      </c>
      <c r="B30" s="5" t="s">
        <v>314</v>
      </c>
      <c r="C30" s="5" t="s">
        <v>315</v>
      </c>
      <c r="D30" s="5" t="s">
        <v>73</v>
      </c>
      <c r="E30" s="6">
        <v>16000</v>
      </c>
      <c r="F30" s="7">
        <v>78.664000000000001</v>
      </c>
      <c r="G30" s="8">
        <v>2.2869543999999999E-2</v>
      </c>
      <c r="H30" s="100"/>
    </row>
    <row r="31" spans="1:8" x14ac:dyDescent="0.2">
      <c r="A31" s="4">
        <v>25</v>
      </c>
      <c r="B31" s="5" t="s">
        <v>438</v>
      </c>
      <c r="C31" s="5" t="s">
        <v>390</v>
      </c>
      <c r="D31" s="5" t="s">
        <v>272</v>
      </c>
      <c r="E31" s="6">
        <v>43000</v>
      </c>
      <c r="F31" s="7">
        <v>75.25</v>
      </c>
      <c r="G31" s="8">
        <v>2.1877010999999998E-2</v>
      </c>
      <c r="H31" s="100"/>
    </row>
    <row r="32" spans="1:8" ht="25.5" x14ac:dyDescent="0.2">
      <c r="A32" s="4">
        <v>26</v>
      </c>
      <c r="B32" s="5" t="s">
        <v>726</v>
      </c>
      <c r="C32" s="5" t="s">
        <v>727</v>
      </c>
      <c r="D32" s="5" t="s">
        <v>1007</v>
      </c>
      <c r="E32" s="6">
        <v>65963</v>
      </c>
      <c r="F32" s="7">
        <v>64.940573499999999</v>
      </c>
      <c r="G32" s="8">
        <v>1.8879809000000001E-2</v>
      </c>
      <c r="H32" s="100"/>
    </row>
    <row r="33" spans="1:8" x14ac:dyDescent="0.2">
      <c r="A33" s="4">
        <v>27</v>
      </c>
      <c r="B33" s="5" t="s">
        <v>226</v>
      </c>
      <c r="C33" s="5" t="s">
        <v>227</v>
      </c>
      <c r="D33" s="5" t="s">
        <v>228</v>
      </c>
      <c r="E33" s="6">
        <v>40000</v>
      </c>
      <c r="F33" s="7">
        <v>62.62</v>
      </c>
      <c r="G33" s="8">
        <v>1.8205162E-2</v>
      </c>
      <c r="H33" s="100"/>
    </row>
    <row r="34" spans="1:8" x14ac:dyDescent="0.2">
      <c r="A34" s="4">
        <v>28</v>
      </c>
      <c r="B34" s="5" t="s">
        <v>320</v>
      </c>
      <c r="C34" s="5" t="s">
        <v>321</v>
      </c>
      <c r="D34" s="5" t="s">
        <v>47</v>
      </c>
      <c r="E34" s="6">
        <v>12997</v>
      </c>
      <c r="F34" s="7">
        <v>57.381754999999998</v>
      </c>
      <c r="G34" s="8">
        <v>1.6682275999999999E-2</v>
      </c>
      <c r="H34" s="100"/>
    </row>
    <row r="35" spans="1:8" x14ac:dyDescent="0.2">
      <c r="A35" s="4">
        <v>29</v>
      </c>
      <c r="B35" s="5" t="s">
        <v>728</v>
      </c>
      <c r="C35" s="5" t="s">
        <v>729</v>
      </c>
      <c r="D35" s="5" t="s">
        <v>47</v>
      </c>
      <c r="E35" s="6">
        <v>26000</v>
      </c>
      <c r="F35" s="7">
        <v>53.118000000000002</v>
      </c>
      <c r="G35" s="8">
        <v>1.5442697999999999E-2</v>
      </c>
      <c r="H35" s="100"/>
    </row>
    <row r="36" spans="1:8" ht="25.5" x14ac:dyDescent="0.2">
      <c r="A36" s="4">
        <v>30</v>
      </c>
      <c r="B36" s="5" t="s">
        <v>180</v>
      </c>
      <c r="C36" s="5" t="s">
        <v>934</v>
      </c>
      <c r="D36" s="5" t="s">
        <v>146</v>
      </c>
      <c r="E36" s="6">
        <v>14000</v>
      </c>
      <c r="F36" s="7">
        <v>50.658999999999999</v>
      </c>
      <c r="G36" s="8">
        <v>1.4727807000000001E-2</v>
      </c>
      <c r="H36" s="100"/>
    </row>
    <row r="37" spans="1:8" x14ac:dyDescent="0.2">
      <c r="A37" s="4">
        <v>31</v>
      </c>
      <c r="B37" s="5" t="s">
        <v>730</v>
      </c>
      <c r="C37" s="5" t="s">
        <v>731</v>
      </c>
      <c r="D37" s="5" t="s">
        <v>22</v>
      </c>
      <c r="E37" s="6">
        <v>87562</v>
      </c>
      <c r="F37" s="7">
        <v>45.707363999999998</v>
      </c>
      <c r="G37" s="8">
        <v>1.3288246E-2</v>
      </c>
      <c r="H37" s="100"/>
    </row>
    <row r="38" spans="1:8" x14ac:dyDescent="0.2">
      <c r="A38" s="4">
        <v>32</v>
      </c>
      <c r="B38" s="5" t="s">
        <v>516</v>
      </c>
      <c r="C38" s="5" t="s">
        <v>517</v>
      </c>
      <c r="D38" s="5" t="s">
        <v>156</v>
      </c>
      <c r="E38" s="6">
        <v>56670</v>
      </c>
      <c r="F38" s="7">
        <v>45.534345000000002</v>
      </c>
      <c r="G38" s="8">
        <v>1.3237944999999999E-2</v>
      </c>
      <c r="H38" s="100"/>
    </row>
    <row r="39" spans="1:8" x14ac:dyDescent="0.2">
      <c r="A39" s="4">
        <v>33</v>
      </c>
      <c r="B39" s="5" t="s">
        <v>471</v>
      </c>
      <c r="C39" s="5" t="s">
        <v>472</v>
      </c>
      <c r="D39" s="5" t="s">
        <v>63</v>
      </c>
      <c r="E39" s="6">
        <v>40000</v>
      </c>
      <c r="F39" s="7">
        <v>36.880000000000003</v>
      </c>
      <c r="G39" s="8">
        <v>1.0721916E-2</v>
      </c>
      <c r="H39" s="100"/>
    </row>
    <row r="40" spans="1:8" x14ac:dyDescent="0.2">
      <c r="A40" s="4">
        <v>34</v>
      </c>
      <c r="B40" s="5" t="s">
        <v>698</v>
      </c>
      <c r="C40" s="5" t="s">
        <v>932</v>
      </c>
      <c r="D40" s="5" t="s">
        <v>22</v>
      </c>
      <c r="E40" s="6">
        <v>67000</v>
      </c>
      <c r="F40" s="7">
        <v>23.6175</v>
      </c>
      <c r="G40" s="8">
        <v>6.8661829999999997E-3</v>
      </c>
      <c r="H40" s="100"/>
    </row>
    <row r="41" spans="1:8" x14ac:dyDescent="0.2">
      <c r="A41" s="4">
        <v>35</v>
      </c>
      <c r="B41" s="5" t="s">
        <v>662</v>
      </c>
      <c r="C41" s="5" t="s">
        <v>663</v>
      </c>
      <c r="D41" s="5" t="s">
        <v>22</v>
      </c>
      <c r="E41" s="6">
        <v>65000</v>
      </c>
      <c r="F41" s="7">
        <v>22.6525</v>
      </c>
      <c r="G41" s="8">
        <v>6.5856339999999999E-3</v>
      </c>
      <c r="H41" s="100"/>
    </row>
    <row r="42" spans="1:8" x14ac:dyDescent="0.2">
      <c r="A42" s="15" t="s">
        <v>9</v>
      </c>
      <c r="B42" s="15" t="s">
        <v>9</v>
      </c>
      <c r="C42" s="3" t="s">
        <v>94</v>
      </c>
      <c r="D42" s="15" t="s">
        <v>9</v>
      </c>
      <c r="E42" s="15" t="s">
        <v>9</v>
      </c>
      <c r="F42" s="9">
        <v>3272.7975544999999</v>
      </c>
      <c r="G42" s="10">
        <v>0.95148208700000003</v>
      </c>
      <c r="H42" s="100"/>
    </row>
    <row r="43" spans="1:8" x14ac:dyDescent="0.2">
      <c r="A43" s="15" t="s">
        <v>9</v>
      </c>
      <c r="B43" s="15" t="s">
        <v>9</v>
      </c>
      <c r="C43" s="11" t="s">
        <v>9</v>
      </c>
      <c r="D43" s="15" t="s">
        <v>9</v>
      </c>
      <c r="E43" s="15" t="s">
        <v>9</v>
      </c>
      <c r="F43" s="12" t="s">
        <v>9</v>
      </c>
      <c r="G43" s="12" t="s">
        <v>9</v>
      </c>
      <c r="H43" s="100"/>
    </row>
    <row r="44" spans="1:8" x14ac:dyDescent="0.2">
      <c r="A44" s="15" t="s">
        <v>9</v>
      </c>
      <c r="B44" s="15" t="s">
        <v>9</v>
      </c>
      <c r="C44" s="3" t="s">
        <v>95</v>
      </c>
      <c r="D44" s="15" t="s">
        <v>9</v>
      </c>
      <c r="E44" s="15" t="s">
        <v>9</v>
      </c>
      <c r="F44" s="15" t="s">
        <v>9</v>
      </c>
      <c r="G44" s="15" t="s">
        <v>9</v>
      </c>
      <c r="H44" s="100"/>
    </row>
    <row r="45" spans="1:8" x14ac:dyDescent="0.2">
      <c r="A45" s="15" t="s">
        <v>9</v>
      </c>
      <c r="B45" s="15" t="s">
        <v>9</v>
      </c>
      <c r="C45" s="3" t="s">
        <v>94</v>
      </c>
      <c r="D45" s="15" t="s">
        <v>9</v>
      </c>
      <c r="E45" s="15" t="s">
        <v>9</v>
      </c>
      <c r="F45" s="13">
        <v>0</v>
      </c>
      <c r="G45" s="14">
        <v>0</v>
      </c>
      <c r="H45" s="100"/>
    </row>
    <row r="46" spans="1:8" x14ac:dyDescent="0.2">
      <c r="A46" s="15" t="s">
        <v>9</v>
      </c>
      <c r="B46" s="15" t="s">
        <v>9</v>
      </c>
      <c r="C46" s="11" t="s">
        <v>9</v>
      </c>
      <c r="D46" s="15" t="s">
        <v>9</v>
      </c>
      <c r="E46" s="15" t="s">
        <v>9</v>
      </c>
      <c r="F46" s="12" t="s">
        <v>9</v>
      </c>
      <c r="G46" s="12" t="s">
        <v>9</v>
      </c>
      <c r="H46" s="100"/>
    </row>
    <row r="47" spans="1:8" x14ac:dyDescent="0.2">
      <c r="A47" s="15" t="s">
        <v>9</v>
      </c>
      <c r="B47" s="15" t="s">
        <v>9</v>
      </c>
      <c r="C47" s="3" t="s">
        <v>96</v>
      </c>
      <c r="D47" s="15" t="s">
        <v>9</v>
      </c>
      <c r="E47" s="15" t="s">
        <v>9</v>
      </c>
      <c r="F47" s="15" t="s">
        <v>9</v>
      </c>
      <c r="G47" s="15" t="s">
        <v>9</v>
      </c>
      <c r="H47" s="100"/>
    </row>
    <row r="48" spans="1:8" x14ac:dyDescent="0.2">
      <c r="A48" s="15" t="s">
        <v>9</v>
      </c>
      <c r="B48" s="15" t="s">
        <v>9</v>
      </c>
      <c r="C48" s="3" t="s">
        <v>94</v>
      </c>
      <c r="D48" s="15" t="s">
        <v>9</v>
      </c>
      <c r="E48" s="15" t="s">
        <v>9</v>
      </c>
      <c r="F48" s="13">
        <v>0</v>
      </c>
      <c r="G48" s="14">
        <v>0</v>
      </c>
      <c r="H48" s="100"/>
    </row>
    <row r="49" spans="1:8" x14ac:dyDescent="0.2">
      <c r="A49" s="15" t="s">
        <v>9</v>
      </c>
      <c r="B49" s="15" t="s">
        <v>9</v>
      </c>
      <c r="C49" s="11" t="s">
        <v>9</v>
      </c>
      <c r="D49" s="15" t="s">
        <v>9</v>
      </c>
      <c r="E49" s="15" t="s">
        <v>9</v>
      </c>
      <c r="F49" s="12" t="s">
        <v>9</v>
      </c>
      <c r="G49" s="12" t="s">
        <v>9</v>
      </c>
      <c r="H49" s="100"/>
    </row>
    <row r="50" spans="1:8" x14ac:dyDescent="0.2">
      <c r="A50" s="15" t="s">
        <v>9</v>
      </c>
      <c r="B50" s="15" t="s">
        <v>9</v>
      </c>
      <c r="C50" s="3" t="s">
        <v>100</v>
      </c>
      <c r="D50" s="15" t="s">
        <v>9</v>
      </c>
      <c r="E50" s="15" t="s">
        <v>9</v>
      </c>
      <c r="F50" s="15" t="s">
        <v>9</v>
      </c>
      <c r="G50" s="15" t="s">
        <v>9</v>
      </c>
      <c r="H50" s="100"/>
    </row>
    <row r="51" spans="1:8" x14ac:dyDescent="0.2">
      <c r="A51" s="15" t="s">
        <v>9</v>
      </c>
      <c r="B51" s="15" t="s">
        <v>9</v>
      </c>
      <c r="C51" s="3" t="s">
        <v>94</v>
      </c>
      <c r="D51" s="15" t="s">
        <v>9</v>
      </c>
      <c r="E51" s="15" t="s">
        <v>9</v>
      </c>
      <c r="F51" s="13">
        <v>0</v>
      </c>
      <c r="G51" s="14">
        <v>0</v>
      </c>
      <c r="H51" s="100"/>
    </row>
    <row r="52" spans="1:8" x14ac:dyDescent="0.2">
      <c r="A52" s="15" t="s">
        <v>9</v>
      </c>
      <c r="B52" s="15" t="s">
        <v>9</v>
      </c>
      <c r="C52" s="11" t="s">
        <v>9</v>
      </c>
      <c r="D52" s="15" t="s">
        <v>9</v>
      </c>
      <c r="E52" s="15" t="s">
        <v>9</v>
      </c>
      <c r="F52" s="12" t="s">
        <v>9</v>
      </c>
      <c r="G52" s="12" t="s">
        <v>9</v>
      </c>
      <c r="H52" s="100"/>
    </row>
    <row r="53" spans="1:8" x14ac:dyDescent="0.2">
      <c r="A53" s="15" t="s">
        <v>9</v>
      </c>
      <c r="B53" s="15" t="s">
        <v>9</v>
      </c>
      <c r="C53" s="3" t="s">
        <v>101</v>
      </c>
      <c r="D53" s="15" t="s">
        <v>9</v>
      </c>
      <c r="E53" s="15" t="s">
        <v>9</v>
      </c>
      <c r="F53" s="12" t="s">
        <v>9</v>
      </c>
      <c r="G53" s="12" t="s">
        <v>9</v>
      </c>
      <c r="H53" s="100"/>
    </row>
    <row r="54" spans="1:8" x14ac:dyDescent="0.2">
      <c r="A54" s="15" t="s">
        <v>9</v>
      </c>
      <c r="B54" s="15" t="s">
        <v>9</v>
      </c>
      <c r="C54" s="3" t="s">
        <v>94</v>
      </c>
      <c r="D54" s="15" t="s">
        <v>9</v>
      </c>
      <c r="E54" s="15" t="s">
        <v>9</v>
      </c>
      <c r="F54" s="13">
        <v>0</v>
      </c>
      <c r="G54" s="14">
        <v>0</v>
      </c>
      <c r="H54" s="100"/>
    </row>
    <row r="55" spans="1:8" x14ac:dyDescent="0.2">
      <c r="A55" s="15" t="s">
        <v>9</v>
      </c>
      <c r="B55" s="15" t="s">
        <v>9</v>
      </c>
      <c r="C55" s="11" t="s">
        <v>9</v>
      </c>
      <c r="D55" s="15" t="s">
        <v>9</v>
      </c>
      <c r="E55" s="15" t="s">
        <v>9</v>
      </c>
      <c r="F55" s="12" t="s">
        <v>9</v>
      </c>
      <c r="G55" s="12" t="s">
        <v>9</v>
      </c>
      <c r="H55" s="100"/>
    </row>
    <row r="56" spans="1:8" x14ac:dyDescent="0.2">
      <c r="A56" s="15" t="s">
        <v>9</v>
      </c>
      <c r="B56" s="15" t="s">
        <v>9</v>
      </c>
      <c r="C56" s="3" t="s">
        <v>102</v>
      </c>
      <c r="D56" s="15" t="s">
        <v>9</v>
      </c>
      <c r="E56" s="15" t="s">
        <v>9</v>
      </c>
      <c r="F56" s="12" t="s">
        <v>9</v>
      </c>
      <c r="G56" s="12" t="s">
        <v>9</v>
      </c>
      <c r="H56" s="100"/>
    </row>
    <row r="57" spans="1:8" x14ac:dyDescent="0.2">
      <c r="A57" s="15" t="s">
        <v>9</v>
      </c>
      <c r="B57" s="15" t="s">
        <v>9</v>
      </c>
      <c r="C57" s="3" t="s">
        <v>94</v>
      </c>
      <c r="D57" s="15" t="s">
        <v>9</v>
      </c>
      <c r="E57" s="15" t="s">
        <v>9</v>
      </c>
      <c r="F57" s="13">
        <v>0</v>
      </c>
      <c r="G57" s="14">
        <v>0</v>
      </c>
      <c r="H57" s="100"/>
    </row>
    <row r="58" spans="1:8" x14ac:dyDescent="0.2">
      <c r="A58" s="15" t="s">
        <v>9</v>
      </c>
      <c r="B58" s="15" t="s">
        <v>9</v>
      </c>
      <c r="C58" s="11" t="s">
        <v>9</v>
      </c>
      <c r="D58" s="15" t="s">
        <v>9</v>
      </c>
      <c r="E58" s="15" t="s">
        <v>9</v>
      </c>
      <c r="F58" s="12" t="s">
        <v>9</v>
      </c>
      <c r="G58" s="12" t="s">
        <v>9</v>
      </c>
      <c r="H58" s="100"/>
    </row>
    <row r="59" spans="1:8" x14ac:dyDescent="0.2">
      <c r="A59" s="15" t="s">
        <v>9</v>
      </c>
      <c r="B59" s="15" t="s">
        <v>9</v>
      </c>
      <c r="C59" s="3" t="s">
        <v>104</v>
      </c>
      <c r="D59" s="15" t="s">
        <v>9</v>
      </c>
      <c r="E59" s="15" t="s">
        <v>9</v>
      </c>
      <c r="F59" s="9">
        <v>3272.7975544999999</v>
      </c>
      <c r="G59" s="10">
        <v>0.95148208700000003</v>
      </c>
      <c r="H59" s="100"/>
    </row>
    <row r="60" spans="1:8" x14ac:dyDescent="0.2">
      <c r="A60" s="15" t="s">
        <v>9</v>
      </c>
      <c r="B60" s="15" t="s">
        <v>9</v>
      </c>
      <c r="C60" s="11" t="s">
        <v>9</v>
      </c>
      <c r="D60" s="15" t="s">
        <v>9</v>
      </c>
      <c r="E60" s="15" t="s">
        <v>9</v>
      </c>
      <c r="F60" s="12" t="s">
        <v>9</v>
      </c>
      <c r="G60" s="12" t="s">
        <v>9</v>
      </c>
      <c r="H60" s="100"/>
    </row>
    <row r="61" spans="1:8" x14ac:dyDescent="0.2">
      <c r="A61" s="15" t="s">
        <v>9</v>
      </c>
      <c r="B61" s="15" t="s">
        <v>9</v>
      </c>
      <c r="C61" s="3" t="s">
        <v>105</v>
      </c>
      <c r="D61" s="15" t="s">
        <v>9</v>
      </c>
      <c r="E61" s="15" t="s">
        <v>9</v>
      </c>
      <c r="F61" s="12" t="s">
        <v>9</v>
      </c>
      <c r="G61" s="12" t="s">
        <v>9</v>
      </c>
      <c r="H61" s="100"/>
    </row>
    <row r="62" spans="1:8" ht="25.5" x14ac:dyDescent="0.2">
      <c r="A62" s="15" t="s">
        <v>9</v>
      </c>
      <c r="B62" s="15" t="s">
        <v>9</v>
      </c>
      <c r="C62" s="3" t="s">
        <v>11</v>
      </c>
      <c r="D62" s="15" t="s">
        <v>9</v>
      </c>
      <c r="E62" s="15" t="s">
        <v>9</v>
      </c>
      <c r="F62" s="12" t="s">
        <v>9</v>
      </c>
      <c r="G62" s="12" t="s">
        <v>9</v>
      </c>
      <c r="H62" s="100"/>
    </row>
    <row r="63" spans="1:8" x14ac:dyDescent="0.2">
      <c r="A63" s="15" t="s">
        <v>9</v>
      </c>
      <c r="B63" s="15" t="s">
        <v>9</v>
      </c>
      <c r="C63" s="3" t="s">
        <v>94</v>
      </c>
      <c r="D63" s="15" t="s">
        <v>9</v>
      </c>
      <c r="E63" s="15" t="s">
        <v>9</v>
      </c>
      <c r="F63" s="13">
        <v>0</v>
      </c>
      <c r="G63" s="14">
        <v>0</v>
      </c>
      <c r="H63" s="100"/>
    </row>
    <row r="64" spans="1:8" x14ac:dyDescent="0.2">
      <c r="A64" s="15" t="s">
        <v>9</v>
      </c>
      <c r="B64" s="15" t="s">
        <v>9</v>
      </c>
      <c r="C64" s="11" t="s">
        <v>9</v>
      </c>
      <c r="D64" s="15" t="s">
        <v>9</v>
      </c>
      <c r="E64" s="15" t="s">
        <v>9</v>
      </c>
      <c r="F64" s="12" t="s">
        <v>9</v>
      </c>
      <c r="G64" s="12" t="s">
        <v>9</v>
      </c>
      <c r="H64" s="100"/>
    </row>
    <row r="65" spans="1:8" x14ac:dyDescent="0.2">
      <c r="A65" s="15" t="s">
        <v>9</v>
      </c>
      <c r="B65" s="15" t="s">
        <v>9</v>
      </c>
      <c r="C65" s="3" t="s">
        <v>106</v>
      </c>
      <c r="D65" s="15" t="s">
        <v>9</v>
      </c>
      <c r="E65" s="15" t="s">
        <v>9</v>
      </c>
      <c r="F65" s="15" t="s">
        <v>9</v>
      </c>
      <c r="G65" s="15" t="s">
        <v>9</v>
      </c>
      <c r="H65" s="100"/>
    </row>
    <row r="66" spans="1:8" x14ac:dyDescent="0.2">
      <c r="A66" s="15" t="s">
        <v>9</v>
      </c>
      <c r="B66" s="15" t="s">
        <v>9</v>
      </c>
      <c r="C66" s="3" t="s">
        <v>94</v>
      </c>
      <c r="D66" s="15" t="s">
        <v>9</v>
      </c>
      <c r="E66" s="15" t="s">
        <v>9</v>
      </c>
      <c r="F66" s="13">
        <v>0</v>
      </c>
      <c r="G66" s="14">
        <v>0</v>
      </c>
      <c r="H66" s="100"/>
    </row>
    <row r="67" spans="1:8" x14ac:dyDescent="0.2">
      <c r="A67" s="15" t="s">
        <v>9</v>
      </c>
      <c r="B67" s="15" t="s">
        <v>9</v>
      </c>
      <c r="C67" s="11" t="s">
        <v>9</v>
      </c>
      <c r="D67" s="15" t="s">
        <v>9</v>
      </c>
      <c r="E67" s="15" t="s">
        <v>9</v>
      </c>
      <c r="F67" s="12" t="s">
        <v>9</v>
      </c>
      <c r="G67" s="12" t="s">
        <v>9</v>
      </c>
      <c r="H67" s="100"/>
    </row>
    <row r="68" spans="1:8" x14ac:dyDescent="0.2">
      <c r="A68" s="15" t="s">
        <v>9</v>
      </c>
      <c r="B68" s="15" t="s">
        <v>9</v>
      </c>
      <c r="C68" s="3" t="s">
        <v>107</v>
      </c>
      <c r="D68" s="15" t="s">
        <v>9</v>
      </c>
      <c r="E68" s="15" t="s">
        <v>9</v>
      </c>
      <c r="F68" s="15" t="s">
        <v>9</v>
      </c>
      <c r="G68" s="15" t="s">
        <v>9</v>
      </c>
      <c r="H68" s="100"/>
    </row>
    <row r="69" spans="1:8" x14ac:dyDescent="0.2">
      <c r="A69" s="15" t="s">
        <v>9</v>
      </c>
      <c r="B69" s="15" t="s">
        <v>9</v>
      </c>
      <c r="C69" s="3" t="s">
        <v>94</v>
      </c>
      <c r="D69" s="15" t="s">
        <v>9</v>
      </c>
      <c r="E69" s="15" t="s">
        <v>9</v>
      </c>
      <c r="F69" s="13">
        <v>0</v>
      </c>
      <c r="G69" s="14">
        <v>0</v>
      </c>
      <c r="H69" s="100"/>
    </row>
    <row r="70" spans="1:8" x14ac:dyDescent="0.2">
      <c r="A70" s="15" t="s">
        <v>9</v>
      </c>
      <c r="B70" s="15" t="s">
        <v>9</v>
      </c>
      <c r="C70" s="11" t="s">
        <v>9</v>
      </c>
      <c r="D70" s="15" t="s">
        <v>9</v>
      </c>
      <c r="E70" s="15" t="s">
        <v>9</v>
      </c>
      <c r="F70" s="12" t="s">
        <v>9</v>
      </c>
      <c r="G70" s="12" t="s">
        <v>9</v>
      </c>
      <c r="H70" s="100"/>
    </row>
    <row r="71" spans="1:8" x14ac:dyDescent="0.2">
      <c r="A71" s="15" t="s">
        <v>9</v>
      </c>
      <c r="B71" s="15" t="s">
        <v>9</v>
      </c>
      <c r="C71" s="3" t="s">
        <v>108</v>
      </c>
      <c r="D71" s="15" t="s">
        <v>9</v>
      </c>
      <c r="E71" s="15" t="s">
        <v>9</v>
      </c>
      <c r="F71" s="12" t="s">
        <v>9</v>
      </c>
      <c r="G71" s="12" t="s">
        <v>9</v>
      </c>
      <c r="H71" s="100"/>
    </row>
    <row r="72" spans="1:8" x14ac:dyDescent="0.2">
      <c r="A72" s="15" t="s">
        <v>9</v>
      </c>
      <c r="B72" s="15" t="s">
        <v>9</v>
      </c>
      <c r="C72" s="3" t="s">
        <v>94</v>
      </c>
      <c r="D72" s="15" t="s">
        <v>9</v>
      </c>
      <c r="E72" s="15" t="s">
        <v>9</v>
      </c>
      <c r="F72" s="13">
        <v>0</v>
      </c>
      <c r="G72" s="14">
        <v>0</v>
      </c>
      <c r="H72" s="100"/>
    </row>
    <row r="73" spans="1:8" x14ac:dyDescent="0.2">
      <c r="A73" s="15" t="s">
        <v>9</v>
      </c>
      <c r="B73" s="15" t="s">
        <v>9</v>
      </c>
      <c r="C73" s="11" t="s">
        <v>9</v>
      </c>
      <c r="D73" s="15" t="s">
        <v>9</v>
      </c>
      <c r="E73" s="15" t="s">
        <v>9</v>
      </c>
      <c r="F73" s="12" t="s">
        <v>9</v>
      </c>
      <c r="G73" s="12" t="s">
        <v>9</v>
      </c>
      <c r="H73" s="100"/>
    </row>
    <row r="74" spans="1:8" x14ac:dyDescent="0.2">
      <c r="A74" s="15" t="s">
        <v>9</v>
      </c>
      <c r="B74" s="15" t="s">
        <v>9</v>
      </c>
      <c r="C74" s="3" t="s">
        <v>109</v>
      </c>
      <c r="D74" s="15" t="s">
        <v>9</v>
      </c>
      <c r="E74" s="15" t="s">
        <v>9</v>
      </c>
      <c r="F74" s="9">
        <v>0</v>
      </c>
      <c r="G74" s="10">
        <v>0</v>
      </c>
      <c r="H74" s="100"/>
    </row>
    <row r="75" spans="1:8" x14ac:dyDescent="0.2">
      <c r="A75" s="15" t="s">
        <v>9</v>
      </c>
      <c r="B75" s="15" t="s">
        <v>9</v>
      </c>
      <c r="C75" s="11" t="s">
        <v>9</v>
      </c>
      <c r="D75" s="15" t="s">
        <v>9</v>
      </c>
      <c r="E75" s="15" t="s">
        <v>9</v>
      </c>
      <c r="F75" s="12" t="s">
        <v>9</v>
      </c>
      <c r="G75" s="12" t="s">
        <v>9</v>
      </c>
      <c r="H75" s="100"/>
    </row>
    <row r="76" spans="1:8" x14ac:dyDescent="0.2">
      <c r="A76" s="15" t="s">
        <v>9</v>
      </c>
      <c r="B76" s="15" t="s">
        <v>9</v>
      </c>
      <c r="C76" s="3" t="s">
        <v>110</v>
      </c>
      <c r="D76" s="15" t="s">
        <v>9</v>
      </c>
      <c r="E76" s="15" t="s">
        <v>9</v>
      </c>
      <c r="F76" s="12" t="s">
        <v>9</v>
      </c>
      <c r="G76" s="12" t="s">
        <v>9</v>
      </c>
      <c r="H76" s="100"/>
    </row>
    <row r="77" spans="1:8" x14ac:dyDescent="0.2">
      <c r="A77" s="15" t="s">
        <v>9</v>
      </c>
      <c r="B77" s="15" t="s">
        <v>9</v>
      </c>
      <c r="C77" s="3" t="s">
        <v>111</v>
      </c>
      <c r="D77" s="15" t="s">
        <v>9</v>
      </c>
      <c r="E77" s="15" t="s">
        <v>9</v>
      </c>
      <c r="F77" s="12" t="s">
        <v>9</v>
      </c>
      <c r="G77" s="12" t="s">
        <v>9</v>
      </c>
      <c r="H77" s="100"/>
    </row>
    <row r="78" spans="1:8" x14ac:dyDescent="0.2">
      <c r="A78" s="15" t="s">
        <v>9</v>
      </c>
      <c r="B78" s="15" t="s">
        <v>9</v>
      </c>
      <c r="C78" s="3" t="s">
        <v>94</v>
      </c>
      <c r="D78" s="15" t="s">
        <v>9</v>
      </c>
      <c r="E78" s="15" t="s">
        <v>9</v>
      </c>
      <c r="F78" s="13">
        <v>0</v>
      </c>
      <c r="G78" s="14">
        <v>0</v>
      </c>
      <c r="H78" s="100"/>
    </row>
    <row r="79" spans="1:8" x14ac:dyDescent="0.2">
      <c r="A79" s="15" t="s">
        <v>9</v>
      </c>
      <c r="B79" s="15" t="s">
        <v>9</v>
      </c>
      <c r="C79" s="11" t="s">
        <v>9</v>
      </c>
      <c r="D79" s="15" t="s">
        <v>9</v>
      </c>
      <c r="E79" s="15" t="s">
        <v>9</v>
      </c>
      <c r="F79" s="12" t="s">
        <v>9</v>
      </c>
      <c r="G79" s="12" t="s">
        <v>9</v>
      </c>
      <c r="H79" s="100"/>
    </row>
    <row r="80" spans="1:8" x14ac:dyDescent="0.2">
      <c r="A80" s="15" t="s">
        <v>9</v>
      </c>
      <c r="B80" s="15" t="s">
        <v>9</v>
      </c>
      <c r="C80" s="3" t="s">
        <v>112</v>
      </c>
      <c r="D80" s="15" t="s">
        <v>9</v>
      </c>
      <c r="E80" s="15" t="s">
        <v>9</v>
      </c>
      <c r="F80" s="12" t="s">
        <v>9</v>
      </c>
      <c r="G80" s="12" t="s">
        <v>9</v>
      </c>
      <c r="H80" s="100"/>
    </row>
    <row r="81" spans="1:8" x14ac:dyDescent="0.2">
      <c r="A81" s="15" t="s">
        <v>9</v>
      </c>
      <c r="B81" s="15" t="s">
        <v>9</v>
      </c>
      <c r="C81" s="3" t="s">
        <v>94</v>
      </c>
      <c r="D81" s="15" t="s">
        <v>9</v>
      </c>
      <c r="E81" s="15" t="s">
        <v>9</v>
      </c>
      <c r="F81" s="13">
        <v>0</v>
      </c>
      <c r="G81" s="14">
        <v>0</v>
      </c>
      <c r="H81" s="100"/>
    </row>
    <row r="82" spans="1:8" x14ac:dyDescent="0.2">
      <c r="A82" s="15" t="s">
        <v>9</v>
      </c>
      <c r="B82" s="15" t="s">
        <v>9</v>
      </c>
      <c r="C82" s="11" t="s">
        <v>9</v>
      </c>
      <c r="D82" s="15" t="s">
        <v>9</v>
      </c>
      <c r="E82" s="15" t="s">
        <v>9</v>
      </c>
      <c r="F82" s="12" t="s">
        <v>9</v>
      </c>
      <c r="G82" s="12" t="s">
        <v>9</v>
      </c>
      <c r="H82" s="100"/>
    </row>
    <row r="83" spans="1:8" x14ac:dyDescent="0.2">
      <c r="A83" s="15" t="s">
        <v>9</v>
      </c>
      <c r="B83" s="15" t="s">
        <v>9</v>
      </c>
      <c r="C83" s="3" t="s">
        <v>113</v>
      </c>
      <c r="D83" s="15" t="s">
        <v>9</v>
      </c>
      <c r="E83" s="15" t="s">
        <v>9</v>
      </c>
      <c r="F83" s="12" t="s">
        <v>9</v>
      </c>
      <c r="G83" s="12" t="s">
        <v>9</v>
      </c>
      <c r="H83" s="100"/>
    </row>
    <row r="84" spans="1:8" x14ac:dyDescent="0.2">
      <c r="A84" s="15" t="s">
        <v>9</v>
      </c>
      <c r="B84" s="15" t="s">
        <v>9</v>
      </c>
      <c r="C84" s="3" t="s">
        <v>94</v>
      </c>
      <c r="D84" s="15" t="s">
        <v>9</v>
      </c>
      <c r="E84" s="15" t="s">
        <v>9</v>
      </c>
      <c r="F84" s="13">
        <v>0</v>
      </c>
      <c r="G84" s="14">
        <v>0</v>
      </c>
      <c r="H84" s="100"/>
    </row>
    <row r="85" spans="1:8" x14ac:dyDescent="0.2">
      <c r="A85" s="15" t="s">
        <v>9</v>
      </c>
      <c r="B85" s="15" t="s">
        <v>9</v>
      </c>
      <c r="C85" s="11" t="s">
        <v>9</v>
      </c>
      <c r="D85" s="15" t="s">
        <v>9</v>
      </c>
      <c r="E85" s="15" t="s">
        <v>9</v>
      </c>
      <c r="F85" s="12" t="s">
        <v>9</v>
      </c>
      <c r="G85" s="12" t="s">
        <v>9</v>
      </c>
      <c r="H85" s="100"/>
    </row>
    <row r="86" spans="1:8" x14ac:dyDescent="0.2">
      <c r="A86" s="15" t="s">
        <v>9</v>
      </c>
      <c r="B86" s="15" t="s">
        <v>9</v>
      </c>
      <c r="C86" s="3" t="s">
        <v>114</v>
      </c>
      <c r="D86" s="15" t="s">
        <v>9</v>
      </c>
      <c r="E86" s="15" t="s">
        <v>9</v>
      </c>
      <c r="F86" s="12" t="s">
        <v>9</v>
      </c>
      <c r="G86" s="12" t="s">
        <v>9</v>
      </c>
      <c r="H86" s="100"/>
    </row>
    <row r="87" spans="1:8" x14ac:dyDescent="0.2">
      <c r="A87" s="4">
        <v>1</v>
      </c>
      <c r="B87" s="5"/>
      <c r="C87" s="5" t="s">
        <v>115</v>
      </c>
      <c r="D87" s="5"/>
      <c r="E87" s="15" t="s">
        <v>9</v>
      </c>
      <c r="F87" s="7">
        <v>112.84954</v>
      </c>
      <c r="G87" s="8">
        <v>3.2808113999999999E-2</v>
      </c>
      <c r="H87" s="99">
        <v>3.2516689338443991</v>
      </c>
    </row>
    <row r="88" spans="1:8" x14ac:dyDescent="0.2">
      <c r="A88" s="4">
        <v>2</v>
      </c>
      <c r="B88" s="5"/>
      <c r="C88" s="5" t="s">
        <v>116</v>
      </c>
      <c r="D88" s="5"/>
      <c r="E88" s="15" t="s">
        <v>9</v>
      </c>
      <c r="F88" s="7">
        <v>15.461408799999999</v>
      </c>
      <c r="G88" s="8">
        <v>4.4950090000000003E-3</v>
      </c>
      <c r="H88" s="100">
        <v>3.350000000000001</v>
      </c>
    </row>
    <row r="89" spans="1:8" x14ac:dyDescent="0.2">
      <c r="A89" s="15" t="s">
        <v>9</v>
      </c>
      <c r="B89" s="15" t="s">
        <v>9</v>
      </c>
      <c r="C89" s="3" t="s">
        <v>94</v>
      </c>
      <c r="D89" s="15" t="s">
        <v>9</v>
      </c>
      <c r="E89" s="15" t="s">
        <v>9</v>
      </c>
      <c r="F89" s="9">
        <v>128.31094880000001</v>
      </c>
      <c r="G89" s="10">
        <v>3.7303123000000001E-2</v>
      </c>
      <c r="H89" s="100"/>
    </row>
    <row r="90" spans="1:8" x14ac:dyDescent="0.2">
      <c r="A90" s="15" t="s">
        <v>9</v>
      </c>
      <c r="B90" s="15" t="s">
        <v>9</v>
      </c>
      <c r="C90" s="11" t="s">
        <v>9</v>
      </c>
      <c r="D90" s="15" t="s">
        <v>9</v>
      </c>
      <c r="E90" s="15" t="s">
        <v>9</v>
      </c>
      <c r="F90" s="12" t="s">
        <v>9</v>
      </c>
      <c r="G90" s="12" t="s">
        <v>9</v>
      </c>
      <c r="H90" s="100"/>
    </row>
    <row r="91" spans="1:8" x14ac:dyDescent="0.2">
      <c r="A91" s="15" t="s">
        <v>9</v>
      </c>
      <c r="B91" s="15" t="s">
        <v>9</v>
      </c>
      <c r="C91" s="3" t="s">
        <v>117</v>
      </c>
      <c r="D91" s="15" t="s">
        <v>9</v>
      </c>
      <c r="E91" s="15" t="s">
        <v>9</v>
      </c>
      <c r="F91" s="9">
        <v>128.31094880000001</v>
      </c>
      <c r="G91" s="10">
        <v>3.7303123000000001E-2</v>
      </c>
      <c r="H91" s="100"/>
    </row>
    <row r="92" spans="1:8" x14ac:dyDescent="0.2">
      <c r="A92" s="15" t="s">
        <v>9</v>
      </c>
      <c r="B92" s="15" t="s">
        <v>9</v>
      </c>
      <c r="C92" s="12" t="s">
        <v>9</v>
      </c>
      <c r="D92" s="15" t="s">
        <v>9</v>
      </c>
      <c r="E92" s="15" t="s">
        <v>9</v>
      </c>
      <c r="F92" s="15" t="s">
        <v>9</v>
      </c>
      <c r="G92" s="15" t="s">
        <v>9</v>
      </c>
      <c r="H92" s="100"/>
    </row>
    <row r="93" spans="1:8" x14ac:dyDescent="0.2">
      <c r="A93" s="15" t="s">
        <v>9</v>
      </c>
      <c r="B93" s="15" t="s">
        <v>9</v>
      </c>
      <c r="C93" s="3" t="s">
        <v>118</v>
      </c>
      <c r="D93" s="15" t="s">
        <v>9</v>
      </c>
      <c r="E93" s="15" t="s">
        <v>9</v>
      </c>
      <c r="F93" s="15" t="s">
        <v>9</v>
      </c>
      <c r="G93" s="15" t="s">
        <v>9</v>
      </c>
      <c r="H93" s="100"/>
    </row>
    <row r="94" spans="1:8" x14ac:dyDescent="0.2">
      <c r="A94" s="15" t="s">
        <v>9</v>
      </c>
      <c r="B94" s="15" t="s">
        <v>9</v>
      </c>
      <c r="C94" s="3" t="s">
        <v>119</v>
      </c>
      <c r="D94" s="15" t="s">
        <v>9</v>
      </c>
      <c r="E94" s="15" t="s">
        <v>9</v>
      </c>
      <c r="F94" s="15" t="s">
        <v>9</v>
      </c>
      <c r="G94" s="15" t="s">
        <v>9</v>
      </c>
      <c r="H94" s="100"/>
    </row>
    <row r="95" spans="1:8" x14ac:dyDescent="0.2">
      <c r="A95" s="15" t="s">
        <v>9</v>
      </c>
      <c r="B95" s="15" t="s">
        <v>9</v>
      </c>
      <c r="C95" s="3" t="s">
        <v>94</v>
      </c>
      <c r="D95" s="15" t="s">
        <v>9</v>
      </c>
      <c r="E95" s="15" t="s">
        <v>9</v>
      </c>
      <c r="F95" s="13">
        <v>0</v>
      </c>
      <c r="G95" s="14">
        <v>0</v>
      </c>
      <c r="H95" s="100"/>
    </row>
    <row r="96" spans="1:8" x14ac:dyDescent="0.2">
      <c r="A96" s="15" t="s">
        <v>9</v>
      </c>
      <c r="B96" s="15" t="s">
        <v>9</v>
      </c>
      <c r="C96" s="11" t="s">
        <v>9</v>
      </c>
      <c r="D96" s="15" t="s">
        <v>9</v>
      </c>
      <c r="E96" s="15" t="s">
        <v>9</v>
      </c>
      <c r="F96" s="12" t="s">
        <v>9</v>
      </c>
      <c r="G96" s="12" t="s">
        <v>9</v>
      </c>
      <c r="H96" s="100"/>
    </row>
    <row r="97" spans="1:8" x14ac:dyDescent="0.2">
      <c r="A97" s="15" t="s">
        <v>9</v>
      </c>
      <c r="B97" s="15" t="s">
        <v>9</v>
      </c>
      <c r="C97" s="3" t="s">
        <v>120</v>
      </c>
      <c r="D97" s="15" t="s">
        <v>9</v>
      </c>
      <c r="E97" s="15" t="s">
        <v>9</v>
      </c>
      <c r="F97" s="15" t="s">
        <v>9</v>
      </c>
      <c r="G97" s="15" t="s">
        <v>9</v>
      </c>
      <c r="H97" s="100"/>
    </row>
    <row r="98" spans="1:8" x14ac:dyDescent="0.2">
      <c r="A98" s="15" t="s">
        <v>9</v>
      </c>
      <c r="B98" s="15" t="s">
        <v>9</v>
      </c>
      <c r="C98" s="3" t="s">
        <v>121</v>
      </c>
      <c r="D98" s="15" t="s">
        <v>9</v>
      </c>
      <c r="E98" s="15" t="s">
        <v>9</v>
      </c>
      <c r="F98" s="15" t="s">
        <v>9</v>
      </c>
      <c r="G98" s="15" t="s">
        <v>9</v>
      </c>
      <c r="H98" s="100"/>
    </row>
    <row r="99" spans="1:8" x14ac:dyDescent="0.2">
      <c r="A99" s="15" t="s">
        <v>9</v>
      </c>
      <c r="B99" s="15" t="s">
        <v>9</v>
      </c>
      <c r="C99" s="3" t="s">
        <v>94</v>
      </c>
      <c r="D99" s="15" t="s">
        <v>9</v>
      </c>
      <c r="E99" s="15" t="s">
        <v>9</v>
      </c>
      <c r="F99" s="13">
        <v>0</v>
      </c>
      <c r="G99" s="14">
        <v>0</v>
      </c>
      <c r="H99" s="100"/>
    </row>
    <row r="100" spans="1:8" x14ac:dyDescent="0.2">
      <c r="A100" s="15" t="s">
        <v>9</v>
      </c>
      <c r="B100" s="15" t="s">
        <v>9</v>
      </c>
      <c r="C100" s="11" t="s">
        <v>9</v>
      </c>
      <c r="D100" s="15" t="s">
        <v>9</v>
      </c>
      <c r="E100" s="15" t="s">
        <v>9</v>
      </c>
      <c r="F100" s="12" t="s">
        <v>9</v>
      </c>
      <c r="G100" s="12" t="s">
        <v>9</v>
      </c>
      <c r="H100" s="100"/>
    </row>
    <row r="101" spans="1:8" x14ac:dyDescent="0.2">
      <c r="A101" s="15" t="s">
        <v>9</v>
      </c>
      <c r="B101" s="15" t="s">
        <v>9</v>
      </c>
      <c r="C101" s="11" t="s">
        <v>9</v>
      </c>
      <c r="D101" s="15" t="s">
        <v>9</v>
      </c>
      <c r="E101" s="15" t="s">
        <v>9</v>
      </c>
      <c r="F101" s="12" t="s">
        <v>9</v>
      </c>
      <c r="G101" s="12" t="s">
        <v>9</v>
      </c>
      <c r="H101" s="100"/>
    </row>
    <row r="102" spans="1:8" ht="25.5" x14ac:dyDescent="0.2">
      <c r="A102" s="15" t="s">
        <v>9</v>
      </c>
      <c r="B102" s="15" t="s">
        <v>9</v>
      </c>
      <c r="C102" s="3" t="s">
        <v>122</v>
      </c>
      <c r="D102" s="15" t="s">
        <v>9</v>
      </c>
      <c r="E102" s="15" t="s">
        <v>9</v>
      </c>
      <c r="F102" s="12" t="s">
        <v>9</v>
      </c>
      <c r="G102" s="12" t="s">
        <v>9</v>
      </c>
      <c r="H102" s="100"/>
    </row>
    <row r="103" spans="1:8" x14ac:dyDescent="0.2">
      <c r="A103" s="15" t="s">
        <v>9</v>
      </c>
      <c r="B103" s="15" t="s">
        <v>9</v>
      </c>
      <c r="C103" s="3" t="s">
        <v>94</v>
      </c>
      <c r="D103" s="15" t="s">
        <v>9</v>
      </c>
      <c r="E103" s="15" t="s">
        <v>9</v>
      </c>
      <c r="F103" s="13">
        <v>0</v>
      </c>
      <c r="G103" s="14">
        <v>0</v>
      </c>
      <c r="H103" s="100"/>
    </row>
    <row r="104" spans="1:8" x14ac:dyDescent="0.2">
      <c r="A104" s="15" t="s">
        <v>9</v>
      </c>
      <c r="B104" s="15" t="s">
        <v>9</v>
      </c>
      <c r="C104" s="11" t="s">
        <v>9</v>
      </c>
      <c r="D104" s="15" t="s">
        <v>9</v>
      </c>
      <c r="E104" s="15" t="s">
        <v>9</v>
      </c>
      <c r="F104" s="12" t="s">
        <v>9</v>
      </c>
      <c r="G104" s="12" t="s">
        <v>9</v>
      </c>
      <c r="H104" s="100"/>
    </row>
    <row r="105" spans="1:8" x14ac:dyDescent="0.2">
      <c r="A105" s="15" t="s">
        <v>9</v>
      </c>
      <c r="B105" s="5" t="s">
        <v>9</v>
      </c>
      <c r="C105" s="5" t="s">
        <v>9</v>
      </c>
      <c r="D105" s="3" t="s">
        <v>9</v>
      </c>
      <c r="E105" s="15" t="s">
        <v>9</v>
      </c>
      <c r="F105" s="5" t="s">
        <v>9</v>
      </c>
      <c r="G105" s="15" t="s">
        <v>9</v>
      </c>
      <c r="H105" s="100"/>
    </row>
    <row r="106" spans="1:8" x14ac:dyDescent="0.2">
      <c r="A106" s="15" t="s">
        <v>9</v>
      </c>
      <c r="B106" s="5" t="s">
        <v>9</v>
      </c>
      <c r="C106" s="5" t="s">
        <v>124</v>
      </c>
      <c r="D106" s="5" t="s">
        <v>9</v>
      </c>
      <c r="E106" s="15" t="s">
        <v>9</v>
      </c>
      <c r="F106" s="7">
        <v>38.57532501</v>
      </c>
      <c r="G106" s="8">
        <v>1.1214788E-2</v>
      </c>
      <c r="H106" s="100"/>
    </row>
    <row r="107" spans="1:8" x14ac:dyDescent="0.2">
      <c r="A107" s="11" t="s">
        <v>9</v>
      </c>
      <c r="B107" s="11" t="s">
        <v>9</v>
      </c>
      <c r="C107" s="3" t="s">
        <v>125</v>
      </c>
      <c r="D107" s="16" t="s">
        <v>9</v>
      </c>
      <c r="E107" s="16" t="s">
        <v>9</v>
      </c>
      <c r="F107" s="9">
        <v>3439.6838283100001</v>
      </c>
      <c r="G107" s="10">
        <v>0.99999999799999995</v>
      </c>
      <c r="H107" s="100"/>
    </row>
    <row r="108" spans="1:8" x14ac:dyDescent="0.2">
      <c r="A108" s="17" t="s">
        <v>9</v>
      </c>
      <c r="B108" s="17" t="s">
        <v>9</v>
      </c>
      <c r="C108" s="17" t="s">
        <v>9</v>
      </c>
      <c r="D108" s="18" t="s">
        <v>9</v>
      </c>
      <c r="E108" s="18" t="s">
        <v>9</v>
      </c>
      <c r="F108" s="18" t="s">
        <v>9</v>
      </c>
      <c r="G108" s="18" t="s">
        <v>9</v>
      </c>
      <c r="H108" s="142"/>
    </row>
    <row r="109" spans="1:8" x14ac:dyDescent="0.2">
      <c r="A109" s="19" t="s">
        <v>9</v>
      </c>
      <c r="B109" s="254" t="s">
        <v>9</v>
      </c>
      <c r="C109" s="254"/>
      <c r="D109" s="254"/>
      <c r="E109" s="254"/>
      <c r="F109" s="254"/>
      <c r="G109" s="20" t="s">
        <v>9</v>
      </c>
      <c r="H109" s="142"/>
    </row>
    <row r="110" spans="1:8" x14ac:dyDescent="0.2">
      <c r="A110" s="19" t="s">
        <v>9</v>
      </c>
      <c r="B110" s="254" t="s">
        <v>9</v>
      </c>
      <c r="C110" s="254"/>
      <c r="D110" s="254"/>
      <c r="E110" s="254"/>
      <c r="F110" s="254"/>
      <c r="G110" s="20" t="s">
        <v>9</v>
      </c>
      <c r="H110" s="142"/>
    </row>
    <row r="111" spans="1:8" x14ac:dyDescent="0.2">
      <c r="A111" s="19" t="s">
        <v>9</v>
      </c>
      <c r="B111" s="19" t="s">
        <v>9</v>
      </c>
      <c r="C111" s="19" t="s">
        <v>9</v>
      </c>
      <c r="D111" s="20" t="s">
        <v>9</v>
      </c>
      <c r="E111" s="20" t="s">
        <v>9</v>
      </c>
      <c r="F111" s="20" t="s">
        <v>9</v>
      </c>
      <c r="G111" s="20" t="s">
        <v>9</v>
      </c>
      <c r="H111" s="142"/>
    </row>
    <row r="112" spans="1:8" x14ac:dyDescent="0.2">
      <c r="A112" s="19" t="s">
        <v>9</v>
      </c>
      <c r="B112" s="247" t="s">
        <v>127</v>
      </c>
      <c r="C112" s="248"/>
      <c r="D112" s="182" t="s">
        <v>9</v>
      </c>
      <c r="E112" s="21" t="s">
        <v>9</v>
      </c>
      <c r="F112" s="20" t="s">
        <v>9</v>
      </c>
      <c r="G112" s="20" t="s">
        <v>9</v>
      </c>
      <c r="H112" s="142"/>
    </row>
    <row r="113" spans="1:8" ht="28.5" customHeight="1" x14ac:dyDescent="0.2">
      <c r="A113" s="19" t="s">
        <v>9</v>
      </c>
      <c r="B113" s="242" t="s">
        <v>128</v>
      </c>
      <c r="C113" s="243"/>
      <c r="D113" s="3" t="s">
        <v>129</v>
      </c>
      <c r="E113" s="21" t="s">
        <v>9</v>
      </c>
      <c r="F113" s="20" t="s">
        <v>9</v>
      </c>
      <c r="G113" s="20" t="s">
        <v>9</v>
      </c>
      <c r="H113" s="142"/>
    </row>
    <row r="114" spans="1:8" x14ac:dyDescent="0.2">
      <c r="A114" s="19" t="s">
        <v>9</v>
      </c>
      <c r="B114" s="240" t="s">
        <v>130</v>
      </c>
      <c r="C114" s="241"/>
      <c r="D114" s="177" t="s">
        <v>129</v>
      </c>
      <c r="E114" s="21" t="s">
        <v>9</v>
      </c>
      <c r="F114" s="20" t="s">
        <v>9</v>
      </c>
      <c r="G114" s="20" t="s">
        <v>9</v>
      </c>
      <c r="H114" s="142"/>
    </row>
    <row r="115" spans="1:8" x14ac:dyDescent="0.2">
      <c r="A115" s="19" t="s">
        <v>9</v>
      </c>
      <c r="B115" s="240" t="s">
        <v>131</v>
      </c>
      <c r="C115" s="241"/>
      <c r="D115" s="182" t="s">
        <v>9</v>
      </c>
      <c r="E115" s="21" t="s">
        <v>9</v>
      </c>
      <c r="F115" s="20" t="s">
        <v>9</v>
      </c>
      <c r="G115" s="20" t="s">
        <v>9</v>
      </c>
      <c r="H115" s="142"/>
    </row>
    <row r="116" spans="1:8" ht="25.5" x14ac:dyDescent="0.2">
      <c r="A116" s="25" t="s">
        <v>9</v>
      </c>
      <c r="B116" s="23" t="s">
        <v>9</v>
      </c>
      <c r="C116" s="23" t="s">
        <v>132</v>
      </c>
      <c r="D116" s="23" t="s">
        <v>133</v>
      </c>
      <c r="E116" s="25" t="s">
        <v>9</v>
      </c>
      <c r="F116" s="25" t="s">
        <v>9</v>
      </c>
      <c r="G116" s="25" t="s">
        <v>9</v>
      </c>
      <c r="H116" s="142"/>
    </row>
    <row r="117" spans="1:8" x14ac:dyDescent="0.2">
      <c r="A117" s="25" t="s">
        <v>9</v>
      </c>
      <c r="B117" s="23" t="s">
        <v>134</v>
      </c>
      <c r="C117" s="23" t="s">
        <v>135</v>
      </c>
      <c r="D117" s="23" t="s">
        <v>136</v>
      </c>
      <c r="E117" s="25" t="s">
        <v>9</v>
      </c>
      <c r="F117" s="25" t="s">
        <v>9</v>
      </c>
      <c r="G117" s="25" t="s">
        <v>9</v>
      </c>
      <c r="H117" s="142"/>
    </row>
    <row r="118" spans="1:8" x14ac:dyDescent="0.2">
      <c r="A118" s="25" t="s">
        <v>9</v>
      </c>
      <c r="B118" s="183" t="s">
        <v>137</v>
      </c>
      <c r="C118" s="184">
        <v>11.4375</v>
      </c>
      <c r="D118" s="184">
        <v>11.9794</v>
      </c>
      <c r="E118" s="25" t="s">
        <v>9</v>
      </c>
      <c r="F118" s="73" t="s">
        <v>9</v>
      </c>
      <c r="G118" s="25" t="s">
        <v>9</v>
      </c>
      <c r="H118" s="142"/>
    </row>
    <row r="119" spans="1:8" x14ac:dyDescent="0.2">
      <c r="A119" s="25" t="s">
        <v>9</v>
      </c>
      <c r="B119" s="183" t="s">
        <v>921</v>
      </c>
      <c r="C119" s="184">
        <v>11.437099999999999</v>
      </c>
      <c r="D119" s="184">
        <v>11.978999999999999</v>
      </c>
      <c r="E119" s="25" t="s">
        <v>9</v>
      </c>
      <c r="F119" s="73" t="s">
        <v>9</v>
      </c>
      <c r="G119" s="25" t="s">
        <v>9</v>
      </c>
      <c r="H119" s="142"/>
    </row>
    <row r="120" spans="1:8" x14ac:dyDescent="0.2">
      <c r="A120" s="25" t="s">
        <v>9</v>
      </c>
      <c r="B120" s="183" t="s">
        <v>138</v>
      </c>
      <c r="C120" s="184">
        <v>11.138500000000001</v>
      </c>
      <c r="D120" s="184">
        <v>11.661199999999999</v>
      </c>
      <c r="E120" s="25" t="s">
        <v>9</v>
      </c>
      <c r="F120" s="73" t="s">
        <v>9</v>
      </c>
      <c r="G120" s="25" t="s">
        <v>9</v>
      </c>
      <c r="H120" s="142"/>
    </row>
    <row r="121" spans="1:8" x14ac:dyDescent="0.2">
      <c r="A121" s="25" t="s">
        <v>9</v>
      </c>
      <c r="B121" s="183" t="s">
        <v>922</v>
      </c>
      <c r="C121" s="184">
        <v>11.138500000000001</v>
      </c>
      <c r="D121" s="184">
        <v>11.661199999999999</v>
      </c>
      <c r="E121" s="25" t="s">
        <v>9</v>
      </c>
      <c r="F121" s="73" t="s">
        <v>9</v>
      </c>
      <c r="G121" s="25" t="s">
        <v>9</v>
      </c>
      <c r="H121" s="142"/>
    </row>
    <row r="122" spans="1:8" x14ac:dyDescent="0.2">
      <c r="A122" s="25" t="s">
        <v>9</v>
      </c>
      <c r="B122" s="22" t="s">
        <v>9</v>
      </c>
      <c r="C122" s="22" t="s">
        <v>9</v>
      </c>
      <c r="D122" s="22" t="s">
        <v>9</v>
      </c>
      <c r="E122" s="25" t="s">
        <v>9</v>
      </c>
      <c r="F122" s="25" t="s">
        <v>9</v>
      </c>
      <c r="G122" s="25" t="s">
        <v>9</v>
      </c>
      <c r="H122" s="142"/>
    </row>
    <row r="123" spans="1:8" x14ac:dyDescent="0.2">
      <c r="A123" s="25" t="s">
        <v>9</v>
      </c>
      <c r="B123" s="240" t="s">
        <v>1012</v>
      </c>
      <c r="C123" s="241"/>
      <c r="D123" s="177" t="s">
        <v>129</v>
      </c>
      <c r="E123" s="25" t="s">
        <v>9</v>
      </c>
      <c r="F123" s="25" t="s">
        <v>9</v>
      </c>
      <c r="G123" s="25" t="s">
        <v>9</v>
      </c>
      <c r="H123" s="142"/>
    </row>
    <row r="124" spans="1:8" x14ac:dyDescent="0.2">
      <c r="A124" s="25" t="s">
        <v>9</v>
      </c>
      <c r="B124" s="98"/>
      <c r="C124" s="98"/>
      <c r="D124" s="26" t="s">
        <v>9</v>
      </c>
      <c r="E124" s="25" t="s">
        <v>9</v>
      </c>
      <c r="F124" s="25" t="s">
        <v>9</v>
      </c>
      <c r="G124" s="25" t="s">
        <v>9</v>
      </c>
      <c r="H124" s="142"/>
    </row>
    <row r="125" spans="1:8" s="238" customFormat="1" ht="12.75" x14ac:dyDescent="0.2">
      <c r="B125" s="246" t="s">
        <v>923</v>
      </c>
      <c r="C125" s="246"/>
      <c r="D125" s="246"/>
      <c r="E125" s="246"/>
      <c r="F125" s="246"/>
    </row>
    <row r="126" spans="1:8" x14ac:dyDescent="0.2">
      <c r="A126" s="25" t="s">
        <v>9</v>
      </c>
      <c r="B126" s="185" t="s">
        <v>9</v>
      </c>
      <c r="C126" s="185" t="s">
        <v>9</v>
      </c>
      <c r="D126" s="22" t="s">
        <v>9</v>
      </c>
      <c r="E126" s="25" t="s">
        <v>9</v>
      </c>
      <c r="F126" s="25" t="s">
        <v>9</v>
      </c>
      <c r="G126" s="25" t="s">
        <v>9</v>
      </c>
      <c r="H126" s="142"/>
    </row>
    <row r="127" spans="1:8" x14ac:dyDescent="0.2">
      <c r="A127" s="25" t="s">
        <v>9</v>
      </c>
      <c r="B127" s="240" t="s">
        <v>139</v>
      </c>
      <c r="C127" s="241"/>
      <c r="D127" s="177" t="s">
        <v>129</v>
      </c>
      <c r="E127" s="25" t="s">
        <v>9</v>
      </c>
      <c r="F127" s="25" t="s">
        <v>9</v>
      </c>
      <c r="G127" s="25" t="s">
        <v>9</v>
      </c>
      <c r="H127" s="142"/>
    </row>
    <row r="128" spans="1:8" x14ac:dyDescent="0.2">
      <c r="A128" s="25" t="s">
        <v>9</v>
      </c>
      <c r="B128" s="240" t="s">
        <v>140</v>
      </c>
      <c r="C128" s="241"/>
      <c r="D128" s="177" t="s">
        <v>129</v>
      </c>
      <c r="E128" s="25" t="s">
        <v>9</v>
      </c>
      <c r="F128" s="25" t="s">
        <v>9</v>
      </c>
      <c r="G128" s="25" t="s">
        <v>9</v>
      </c>
      <c r="H128" s="142"/>
    </row>
    <row r="129" spans="1:8" x14ac:dyDescent="0.2">
      <c r="A129" s="25" t="s">
        <v>9</v>
      </c>
      <c r="B129" s="240" t="s">
        <v>141</v>
      </c>
      <c r="C129" s="241"/>
      <c r="D129" s="186">
        <v>0.4324503317375521</v>
      </c>
      <c r="E129" s="25" t="s">
        <v>9</v>
      </c>
      <c r="F129" s="73" t="s">
        <v>9</v>
      </c>
      <c r="G129" s="25" t="s">
        <v>9</v>
      </c>
      <c r="H129" s="142"/>
    </row>
    <row r="130" spans="1:8" x14ac:dyDescent="0.2">
      <c r="A130" s="25" t="s">
        <v>9</v>
      </c>
      <c r="B130" s="240" t="s">
        <v>142</v>
      </c>
      <c r="C130" s="241"/>
      <c r="D130" s="177" t="s">
        <v>129</v>
      </c>
      <c r="E130" s="25" t="s">
        <v>9</v>
      </c>
      <c r="F130" s="25" t="s">
        <v>9</v>
      </c>
      <c r="G130" s="25" t="s">
        <v>9</v>
      </c>
      <c r="H130" s="142"/>
    </row>
  </sheetData>
  <mergeCells count="15">
    <mergeCell ref="B112:C112"/>
    <mergeCell ref="B109:F109"/>
    <mergeCell ref="B110:F110"/>
    <mergeCell ref="A1:H1"/>
    <mergeCell ref="A2:H2"/>
    <mergeCell ref="A3:H3"/>
    <mergeCell ref="B129:C129"/>
    <mergeCell ref="B130:C130"/>
    <mergeCell ref="B113:C113"/>
    <mergeCell ref="B114:C114"/>
    <mergeCell ref="B115:C115"/>
    <mergeCell ref="B123:C123"/>
    <mergeCell ref="B127:C127"/>
    <mergeCell ref="B128:C128"/>
    <mergeCell ref="B125:F125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3">
    <outlinePr summaryBelow="0" summaryRight="0"/>
  </sheetPr>
  <dimension ref="A1:H115"/>
  <sheetViews>
    <sheetView showGridLines="0" workbookViewId="0">
      <selection activeCell="J1" sqref="J1"/>
    </sheetView>
  </sheetViews>
  <sheetFormatPr defaultRowHeight="15" x14ac:dyDescent="0.2"/>
  <cols>
    <col min="1" max="1" width="6.85546875" style="155" customWidth="1"/>
    <col min="2" max="2" width="20.5703125" style="155" customWidth="1"/>
    <col min="3" max="3" width="34.28515625" style="155" customWidth="1"/>
    <col min="4" max="4" width="17.85546875" style="155" customWidth="1"/>
    <col min="5" max="6" width="19.140625" style="155" customWidth="1"/>
    <col min="7" max="7" width="16.42578125" style="155" customWidth="1"/>
    <col min="8" max="16384" width="9.140625" style="155"/>
  </cols>
  <sheetData>
    <row r="1" spans="1:8" x14ac:dyDescent="0.2">
      <c r="A1" s="250" t="s">
        <v>0</v>
      </c>
      <c r="B1" s="250"/>
      <c r="C1" s="250"/>
      <c r="D1" s="250"/>
      <c r="E1" s="250"/>
      <c r="F1" s="250"/>
      <c r="G1" s="250"/>
      <c r="H1" s="250"/>
    </row>
    <row r="2" spans="1:8" x14ac:dyDescent="0.2">
      <c r="A2" s="251" t="s">
        <v>732</v>
      </c>
      <c r="B2" s="252"/>
      <c r="C2" s="252"/>
      <c r="D2" s="252"/>
      <c r="E2" s="252"/>
      <c r="F2" s="252"/>
      <c r="G2" s="252"/>
      <c r="H2" s="253"/>
    </row>
    <row r="3" spans="1:8" x14ac:dyDescent="0.2">
      <c r="A3" s="250" t="s">
        <v>1015</v>
      </c>
      <c r="B3" s="250"/>
      <c r="C3" s="250"/>
      <c r="D3" s="250"/>
      <c r="E3" s="250"/>
      <c r="F3" s="250"/>
      <c r="G3" s="250"/>
      <c r="H3" s="250"/>
    </row>
    <row r="4" spans="1:8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60" t="s">
        <v>6</v>
      </c>
      <c r="F4" s="160" t="s">
        <v>7</v>
      </c>
      <c r="G4" s="160" t="s">
        <v>8</v>
      </c>
      <c r="H4" s="161" t="s">
        <v>909</v>
      </c>
    </row>
    <row r="5" spans="1:8" x14ac:dyDescent="0.2">
      <c r="A5" s="15" t="s">
        <v>9</v>
      </c>
      <c r="B5" s="15" t="s">
        <v>9</v>
      </c>
      <c r="C5" s="3" t="s">
        <v>10</v>
      </c>
      <c r="D5" s="15" t="s">
        <v>9</v>
      </c>
      <c r="E5" s="15" t="s">
        <v>9</v>
      </c>
      <c r="F5" s="15" t="s">
        <v>9</v>
      </c>
      <c r="G5" s="15" t="s">
        <v>9</v>
      </c>
      <c r="H5" s="100"/>
    </row>
    <row r="6" spans="1:8" ht="25.5" x14ac:dyDescent="0.2">
      <c r="A6" s="15" t="s">
        <v>9</v>
      </c>
      <c r="B6" s="15" t="s">
        <v>9</v>
      </c>
      <c r="C6" s="3" t="s">
        <v>11</v>
      </c>
      <c r="D6" s="15" t="s">
        <v>9</v>
      </c>
      <c r="E6" s="15" t="s">
        <v>9</v>
      </c>
      <c r="F6" s="15" t="s">
        <v>9</v>
      </c>
      <c r="G6" s="15" t="s">
        <v>9</v>
      </c>
      <c r="H6" s="100"/>
    </row>
    <row r="7" spans="1:8" x14ac:dyDescent="0.2">
      <c r="A7" s="4">
        <v>1</v>
      </c>
      <c r="B7" s="5" t="s">
        <v>20</v>
      </c>
      <c r="C7" s="5" t="s">
        <v>21</v>
      </c>
      <c r="D7" s="5" t="s">
        <v>22</v>
      </c>
      <c r="E7" s="6">
        <v>53335</v>
      </c>
      <c r="F7" s="7">
        <v>320.27667500000001</v>
      </c>
      <c r="G7" s="8">
        <v>3.2536447000000003E-2</v>
      </c>
      <c r="H7" s="100"/>
    </row>
    <row r="8" spans="1:8" x14ac:dyDescent="0.2">
      <c r="A8" s="4">
        <v>2</v>
      </c>
      <c r="B8" s="5" t="s">
        <v>399</v>
      </c>
      <c r="C8" s="5" t="s">
        <v>400</v>
      </c>
      <c r="D8" s="5" t="s">
        <v>22</v>
      </c>
      <c r="E8" s="6">
        <v>85794</v>
      </c>
      <c r="F8" s="7">
        <v>303.28179</v>
      </c>
      <c r="G8" s="8">
        <v>3.0809961E-2</v>
      </c>
      <c r="H8" s="100"/>
    </row>
    <row r="9" spans="1:8" x14ac:dyDescent="0.2">
      <c r="A9" s="4">
        <v>3</v>
      </c>
      <c r="B9" s="5" t="s">
        <v>397</v>
      </c>
      <c r="C9" s="5" t="s">
        <v>398</v>
      </c>
      <c r="D9" s="5" t="s">
        <v>22</v>
      </c>
      <c r="E9" s="6">
        <v>37103</v>
      </c>
      <c r="F9" s="7">
        <v>265.249347</v>
      </c>
      <c r="G9" s="8">
        <v>2.6946299999999999E-2</v>
      </c>
      <c r="H9" s="100"/>
    </row>
    <row r="10" spans="1:8" x14ac:dyDescent="0.2">
      <c r="A10" s="4">
        <v>4</v>
      </c>
      <c r="B10" s="5" t="s">
        <v>29</v>
      </c>
      <c r="C10" s="5" t="s">
        <v>30</v>
      </c>
      <c r="D10" s="5" t="s">
        <v>31</v>
      </c>
      <c r="E10" s="6">
        <v>43773</v>
      </c>
      <c r="F10" s="7">
        <v>234.95157750000001</v>
      </c>
      <c r="G10" s="8">
        <v>2.3868393000000002E-2</v>
      </c>
      <c r="H10" s="100"/>
    </row>
    <row r="11" spans="1:8" x14ac:dyDescent="0.2">
      <c r="A11" s="4">
        <v>5</v>
      </c>
      <c r="B11" s="5" t="s">
        <v>12</v>
      </c>
      <c r="C11" s="5" t="s">
        <v>13</v>
      </c>
      <c r="D11" s="5" t="s">
        <v>14</v>
      </c>
      <c r="E11" s="6">
        <v>13916</v>
      </c>
      <c r="F11" s="7">
        <v>186.53702200000001</v>
      </c>
      <c r="G11" s="8">
        <v>1.8950028000000001E-2</v>
      </c>
      <c r="H11" s="100"/>
    </row>
    <row r="12" spans="1:8" ht="25.5" x14ac:dyDescent="0.2">
      <c r="A12" s="4">
        <v>6</v>
      </c>
      <c r="B12" s="5" t="s">
        <v>395</v>
      </c>
      <c r="C12" s="5" t="s">
        <v>396</v>
      </c>
      <c r="D12" s="5" t="s">
        <v>156</v>
      </c>
      <c r="E12" s="6">
        <v>6959</v>
      </c>
      <c r="F12" s="7">
        <v>168.414759</v>
      </c>
      <c r="G12" s="8">
        <v>1.7109012999999999E-2</v>
      </c>
      <c r="H12" s="100"/>
    </row>
    <row r="13" spans="1:8" x14ac:dyDescent="0.2">
      <c r="A13" s="4">
        <v>7</v>
      </c>
      <c r="B13" s="5" t="s">
        <v>367</v>
      </c>
      <c r="C13" s="5" t="s">
        <v>368</v>
      </c>
      <c r="D13" s="5" t="s">
        <v>22</v>
      </c>
      <c r="E13" s="6">
        <v>238139</v>
      </c>
      <c r="F13" s="7">
        <v>158.95778250000001</v>
      </c>
      <c r="G13" s="8">
        <v>1.6148292000000002E-2</v>
      </c>
      <c r="H13" s="100"/>
    </row>
    <row r="14" spans="1:8" x14ac:dyDescent="0.2">
      <c r="A14" s="4">
        <v>8</v>
      </c>
      <c r="B14" s="5" t="s">
        <v>297</v>
      </c>
      <c r="C14" s="5" t="s">
        <v>928</v>
      </c>
      <c r="D14" s="5" t="s">
        <v>22</v>
      </c>
      <c r="E14" s="6">
        <v>194762</v>
      </c>
      <c r="F14" s="7">
        <v>156.00436199999999</v>
      </c>
      <c r="G14" s="8">
        <v>1.5848259E-2</v>
      </c>
      <c r="H14" s="100"/>
    </row>
    <row r="15" spans="1:8" x14ac:dyDescent="0.2">
      <c r="A15" s="4">
        <v>9</v>
      </c>
      <c r="B15" s="5" t="s">
        <v>76</v>
      </c>
      <c r="C15" s="5" t="s">
        <v>77</v>
      </c>
      <c r="D15" s="5" t="s">
        <v>78</v>
      </c>
      <c r="E15" s="6">
        <v>90857</v>
      </c>
      <c r="F15" s="7">
        <v>124.655804</v>
      </c>
      <c r="G15" s="8">
        <v>1.2663604E-2</v>
      </c>
      <c r="H15" s="100"/>
    </row>
    <row r="16" spans="1:8" x14ac:dyDescent="0.2">
      <c r="A16" s="4">
        <v>10</v>
      </c>
      <c r="B16" s="5" t="s">
        <v>658</v>
      </c>
      <c r="C16" s="5" t="s">
        <v>659</v>
      </c>
      <c r="D16" s="5" t="s">
        <v>53</v>
      </c>
      <c r="E16" s="6">
        <v>113192</v>
      </c>
      <c r="F16" s="7">
        <v>115.965204</v>
      </c>
      <c r="G16" s="8">
        <v>1.1780738000000001E-2</v>
      </c>
      <c r="H16" s="100"/>
    </row>
    <row r="17" spans="1:8" x14ac:dyDescent="0.2">
      <c r="A17" s="4">
        <v>11</v>
      </c>
      <c r="B17" s="5" t="s">
        <v>69</v>
      </c>
      <c r="C17" s="5" t="s">
        <v>70</v>
      </c>
      <c r="D17" s="5" t="s">
        <v>17</v>
      </c>
      <c r="E17" s="6">
        <v>26353</v>
      </c>
      <c r="F17" s="7">
        <v>111.156954</v>
      </c>
      <c r="G17" s="8">
        <v>1.1292274999999999E-2</v>
      </c>
      <c r="H17" s="100"/>
    </row>
    <row r="18" spans="1:8" x14ac:dyDescent="0.2">
      <c r="A18" s="4">
        <v>12</v>
      </c>
      <c r="B18" s="5" t="s">
        <v>50</v>
      </c>
      <c r="C18" s="5" t="s">
        <v>51</v>
      </c>
      <c r="D18" s="5" t="s">
        <v>28</v>
      </c>
      <c r="E18" s="6">
        <v>12000</v>
      </c>
      <c r="F18" s="7">
        <v>106.134</v>
      </c>
      <c r="G18" s="8">
        <v>1.0782E-2</v>
      </c>
      <c r="H18" s="100"/>
    </row>
    <row r="19" spans="1:8" ht="25.5" x14ac:dyDescent="0.2">
      <c r="A19" s="4">
        <v>13</v>
      </c>
      <c r="B19" s="5" t="s">
        <v>67</v>
      </c>
      <c r="C19" s="5" t="s">
        <v>929</v>
      </c>
      <c r="D19" s="5" t="s">
        <v>25</v>
      </c>
      <c r="E19" s="6">
        <v>19593</v>
      </c>
      <c r="F19" s="7">
        <v>105.58667699999999</v>
      </c>
      <c r="G19" s="8">
        <v>1.0726398999999999E-2</v>
      </c>
      <c r="H19" s="100"/>
    </row>
    <row r="20" spans="1:8" x14ac:dyDescent="0.2">
      <c r="A20" s="4">
        <v>14</v>
      </c>
      <c r="B20" s="5" t="s">
        <v>650</v>
      </c>
      <c r="C20" s="5" t="s">
        <v>651</v>
      </c>
      <c r="D20" s="5" t="s">
        <v>17</v>
      </c>
      <c r="E20" s="6">
        <v>112455</v>
      </c>
      <c r="F20" s="7">
        <v>102.1653675</v>
      </c>
      <c r="G20" s="8">
        <v>1.0378833000000001E-2</v>
      </c>
      <c r="H20" s="100"/>
    </row>
    <row r="21" spans="1:8" x14ac:dyDescent="0.2">
      <c r="A21" s="4">
        <v>15</v>
      </c>
      <c r="B21" s="5" t="s">
        <v>85</v>
      </c>
      <c r="C21" s="5" t="s">
        <v>86</v>
      </c>
      <c r="D21" s="5" t="s">
        <v>78</v>
      </c>
      <c r="E21" s="6">
        <v>40349</v>
      </c>
      <c r="F21" s="7">
        <v>96.817425499999999</v>
      </c>
      <c r="G21" s="8">
        <v>9.8355430000000004E-3</v>
      </c>
      <c r="H21" s="100"/>
    </row>
    <row r="22" spans="1:8" x14ac:dyDescent="0.2">
      <c r="A22" s="4">
        <v>16</v>
      </c>
      <c r="B22" s="5" t="s">
        <v>320</v>
      </c>
      <c r="C22" s="5" t="s">
        <v>321</v>
      </c>
      <c r="D22" s="5" t="s">
        <v>47</v>
      </c>
      <c r="E22" s="6">
        <v>19687</v>
      </c>
      <c r="F22" s="7">
        <v>86.918104999999997</v>
      </c>
      <c r="G22" s="8">
        <v>8.8298850000000009E-3</v>
      </c>
      <c r="H22" s="100"/>
    </row>
    <row r="23" spans="1:8" x14ac:dyDescent="0.2">
      <c r="A23" s="4">
        <v>17</v>
      </c>
      <c r="B23" s="5" t="s">
        <v>634</v>
      </c>
      <c r="C23" s="5" t="s">
        <v>635</v>
      </c>
      <c r="D23" s="5" t="s">
        <v>91</v>
      </c>
      <c r="E23" s="6">
        <v>27807</v>
      </c>
      <c r="F23" s="7">
        <v>81.710869500000001</v>
      </c>
      <c r="G23" s="8">
        <v>8.30089E-3</v>
      </c>
      <c r="H23" s="100"/>
    </row>
    <row r="24" spans="1:8" x14ac:dyDescent="0.2">
      <c r="A24" s="4">
        <v>18</v>
      </c>
      <c r="B24" s="5" t="s">
        <v>413</v>
      </c>
      <c r="C24" s="5" t="s">
        <v>414</v>
      </c>
      <c r="D24" s="5" t="s">
        <v>47</v>
      </c>
      <c r="E24" s="6">
        <v>6892</v>
      </c>
      <c r="F24" s="7">
        <v>71.263279999999995</v>
      </c>
      <c r="G24" s="8">
        <v>7.2395339999999997E-3</v>
      </c>
      <c r="H24" s="100"/>
    </row>
    <row r="25" spans="1:8" ht="25.5" x14ac:dyDescent="0.2">
      <c r="A25" s="4">
        <v>19</v>
      </c>
      <c r="B25" s="5" t="s">
        <v>421</v>
      </c>
      <c r="C25" s="5" t="s">
        <v>422</v>
      </c>
      <c r="D25" s="5" t="s">
        <v>73</v>
      </c>
      <c r="E25" s="6">
        <v>31537</v>
      </c>
      <c r="F25" s="7">
        <v>63.893962000000002</v>
      </c>
      <c r="G25" s="8">
        <v>6.4908960000000003E-3</v>
      </c>
      <c r="H25" s="100"/>
    </row>
    <row r="26" spans="1:8" x14ac:dyDescent="0.2">
      <c r="A26" s="4">
        <v>20</v>
      </c>
      <c r="B26" s="5" t="s">
        <v>407</v>
      </c>
      <c r="C26" s="5" t="s">
        <v>408</v>
      </c>
      <c r="D26" s="5" t="s">
        <v>193</v>
      </c>
      <c r="E26" s="6">
        <v>9497</v>
      </c>
      <c r="F26" s="7">
        <v>62.153116500000003</v>
      </c>
      <c r="G26" s="8">
        <v>6.3140460000000002E-3</v>
      </c>
      <c r="H26" s="100"/>
    </row>
    <row r="27" spans="1:8" x14ac:dyDescent="0.2">
      <c r="A27" s="15" t="s">
        <v>9</v>
      </c>
      <c r="B27" s="15" t="s">
        <v>9</v>
      </c>
      <c r="C27" s="3" t="s">
        <v>94</v>
      </c>
      <c r="D27" s="15" t="s">
        <v>9</v>
      </c>
      <c r="E27" s="15" t="s">
        <v>9</v>
      </c>
      <c r="F27" s="9">
        <v>2922.0940799999998</v>
      </c>
      <c r="G27" s="10">
        <v>0.29685133600000002</v>
      </c>
      <c r="H27" s="100"/>
    </row>
    <row r="28" spans="1:8" x14ac:dyDescent="0.2">
      <c r="A28" s="15" t="s">
        <v>9</v>
      </c>
      <c r="B28" s="15" t="s">
        <v>9</v>
      </c>
      <c r="C28" s="11" t="s">
        <v>9</v>
      </c>
      <c r="D28" s="15" t="s">
        <v>9</v>
      </c>
      <c r="E28" s="15" t="s">
        <v>9</v>
      </c>
      <c r="F28" s="12" t="s">
        <v>9</v>
      </c>
      <c r="G28" s="12" t="s">
        <v>9</v>
      </c>
      <c r="H28" s="100"/>
    </row>
    <row r="29" spans="1:8" x14ac:dyDescent="0.2">
      <c r="A29" s="15" t="s">
        <v>9</v>
      </c>
      <c r="B29" s="15" t="s">
        <v>9</v>
      </c>
      <c r="C29" s="3" t="s">
        <v>95</v>
      </c>
      <c r="D29" s="15" t="s">
        <v>9</v>
      </c>
      <c r="E29" s="15" t="s">
        <v>9</v>
      </c>
      <c r="F29" s="15" t="s">
        <v>9</v>
      </c>
      <c r="G29" s="15" t="s">
        <v>9</v>
      </c>
      <c r="H29" s="100"/>
    </row>
    <row r="30" spans="1:8" x14ac:dyDescent="0.2">
      <c r="A30" s="15" t="s">
        <v>9</v>
      </c>
      <c r="B30" s="15" t="s">
        <v>9</v>
      </c>
      <c r="C30" s="3" t="s">
        <v>94</v>
      </c>
      <c r="D30" s="15" t="s">
        <v>9</v>
      </c>
      <c r="E30" s="15" t="s">
        <v>9</v>
      </c>
      <c r="F30" s="13">
        <v>0</v>
      </c>
      <c r="G30" s="14">
        <v>0</v>
      </c>
      <c r="H30" s="100"/>
    </row>
    <row r="31" spans="1:8" x14ac:dyDescent="0.2">
      <c r="A31" s="15" t="s">
        <v>9</v>
      </c>
      <c r="B31" s="15" t="s">
        <v>9</v>
      </c>
      <c r="C31" s="11" t="s">
        <v>9</v>
      </c>
      <c r="D31" s="15" t="s">
        <v>9</v>
      </c>
      <c r="E31" s="15" t="s">
        <v>9</v>
      </c>
      <c r="F31" s="12" t="s">
        <v>9</v>
      </c>
      <c r="G31" s="12" t="s">
        <v>9</v>
      </c>
      <c r="H31" s="100"/>
    </row>
    <row r="32" spans="1:8" x14ac:dyDescent="0.2">
      <c r="A32" s="15" t="s">
        <v>9</v>
      </c>
      <c r="B32" s="15" t="s">
        <v>9</v>
      </c>
      <c r="C32" s="3" t="s">
        <v>96</v>
      </c>
      <c r="D32" s="15" t="s">
        <v>9</v>
      </c>
      <c r="E32" s="15" t="s">
        <v>9</v>
      </c>
      <c r="F32" s="15" t="s">
        <v>9</v>
      </c>
      <c r="G32" s="15" t="s">
        <v>9</v>
      </c>
      <c r="H32" s="100"/>
    </row>
    <row r="33" spans="1:8" x14ac:dyDescent="0.2">
      <c r="A33" s="15" t="s">
        <v>9</v>
      </c>
      <c r="B33" s="15" t="s">
        <v>9</v>
      </c>
      <c r="C33" s="3" t="s">
        <v>94</v>
      </c>
      <c r="D33" s="15" t="s">
        <v>9</v>
      </c>
      <c r="E33" s="15" t="s">
        <v>9</v>
      </c>
      <c r="F33" s="13">
        <v>0</v>
      </c>
      <c r="G33" s="14">
        <v>0</v>
      </c>
      <c r="H33" s="100"/>
    </row>
    <row r="34" spans="1:8" x14ac:dyDescent="0.2">
      <c r="A34" s="15" t="s">
        <v>9</v>
      </c>
      <c r="B34" s="15" t="s">
        <v>9</v>
      </c>
      <c r="C34" s="11" t="s">
        <v>9</v>
      </c>
      <c r="D34" s="15" t="s">
        <v>9</v>
      </c>
      <c r="E34" s="15" t="s">
        <v>9</v>
      </c>
      <c r="F34" s="12" t="s">
        <v>9</v>
      </c>
      <c r="G34" s="12" t="s">
        <v>9</v>
      </c>
      <c r="H34" s="100"/>
    </row>
    <row r="35" spans="1:8" x14ac:dyDescent="0.2">
      <c r="A35" s="15" t="s">
        <v>9</v>
      </c>
      <c r="B35" s="15" t="s">
        <v>9</v>
      </c>
      <c r="C35" s="3" t="s">
        <v>100</v>
      </c>
      <c r="D35" s="15" t="s">
        <v>9</v>
      </c>
      <c r="E35" s="15" t="s">
        <v>9</v>
      </c>
      <c r="F35" s="15" t="s">
        <v>9</v>
      </c>
      <c r="G35" s="15" t="s">
        <v>9</v>
      </c>
      <c r="H35" s="100"/>
    </row>
    <row r="36" spans="1:8" x14ac:dyDescent="0.2">
      <c r="A36" s="15" t="s">
        <v>9</v>
      </c>
      <c r="B36" s="15" t="s">
        <v>9</v>
      </c>
      <c r="C36" s="3" t="s">
        <v>94</v>
      </c>
      <c r="D36" s="15" t="s">
        <v>9</v>
      </c>
      <c r="E36" s="15" t="s">
        <v>9</v>
      </c>
      <c r="F36" s="13">
        <v>0</v>
      </c>
      <c r="G36" s="14">
        <v>0</v>
      </c>
      <c r="H36" s="100"/>
    </row>
    <row r="37" spans="1:8" x14ac:dyDescent="0.2">
      <c r="A37" s="15" t="s">
        <v>9</v>
      </c>
      <c r="B37" s="15" t="s">
        <v>9</v>
      </c>
      <c r="C37" s="11" t="s">
        <v>9</v>
      </c>
      <c r="D37" s="15" t="s">
        <v>9</v>
      </c>
      <c r="E37" s="15" t="s">
        <v>9</v>
      </c>
      <c r="F37" s="12" t="s">
        <v>9</v>
      </c>
      <c r="G37" s="12" t="s">
        <v>9</v>
      </c>
      <c r="H37" s="100"/>
    </row>
    <row r="38" spans="1:8" x14ac:dyDescent="0.2">
      <c r="A38" s="15" t="s">
        <v>9</v>
      </c>
      <c r="B38" s="15" t="s">
        <v>9</v>
      </c>
      <c r="C38" s="3" t="s">
        <v>101</v>
      </c>
      <c r="D38" s="15" t="s">
        <v>9</v>
      </c>
      <c r="E38" s="15" t="s">
        <v>9</v>
      </c>
      <c r="F38" s="12" t="s">
        <v>9</v>
      </c>
      <c r="G38" s="12" t="s">
        <v>9</v>
      </c>
      <c r="H38" s="100"/>
    </row>
    <row r="39" spans="1:8" x14ac:dyDescent="0.2">
      <c r="A39" s="15" t="s">
        <v>9</v>
      </c>
      <c r="B39" s="15" t="s">
        <v>9</v>
      </c>
      <c r="C39" s="3" t="s">
        <v>94</v>
      </c>
      <c r="D39" s="15" t="s">
        <v>9</v>
      </c>
      <c r="E39" s="15" t="s">
        <v>9</v>
      </c>
      <c r="F39" s="13">
        <v>0</v>
      </c>
      <c r="G39" s="14">
        <v>0</v>
      </c>
      <c r="H39" s="100"/>
    </row>
    <row r="40" spans="1:8" x14ac:dyDescent="0.2">
      <c r="A40" s="15" t="s">
        <v>9</v>
      </c>
      <c r="B40" s="15" t="s">
        <v>9</v>
      </c>
      <c r="C40" s="11" t="s">
        <v>9</v>
      </c>
      <c r="D40" s="15" t="s">
        <v>9</v>
      </c>
      <c r="E40" s="15" t="s">
        <v>9</v>
      </c>
      <c r="F40" s="12" t="s">
        <v>9</v>
      </c>
      <c r="G40" s="12" t="s">
        <v>9</v>
      </c>
      <c r="H40" s="100"/>
    </row>
    <row r="41" spans="1:8" x14ac:dyDescent="0.2">
      <c r="A41" s="15" t="s">
        <v>9</v>
      </c>
      <c r="B41" s="15" t="s">
        <v>9</v>
      </c>
      <c r="C41" s="3" t="s">
        <v>102</v>
      </c>
      <c r="D41" s="15" t="s">
        <v>9</v>
      </c>
      <c r="E41" s="15" t="s">
        <v>9</v>
      </c>
      <c r="F41" s="12" t="s">
        <v>9</v>
      </c>
      <c r="G41" s="12" t="s">
        <v>9</v>
      </c>
      <c r="H41" s="100"/>
    </row>
    <row r="42" spans="1:8" x14ac:dyDescent="0.2">
      <c r="A42" s="15" t="s">
        <v>9</v>
      </c>
      <c r="B42" s="15" t="s">
        <v>9</v>
      </c>
      <c r="C42" s="3" t="s">
        <v>94</v>
      </c>
      <c r="D42" s="15" t="s">
        <v>9</v>
      </c>
      <c r="E42" s="15" t="s">
        <v>9</v>
      </c>
      <c r="F42" s="13">
        <v>0</v>
      </c>
      <c r="G42" s="14">
        <v>0</v>
      </c>
      <c r="H42" s="100"/>
    </row>
    <row r="43" spans="1:8" x14ac:dyDescent="0.2">
      <c r="A43" s="15" t="s">
        <v>9</v>
      </c>
      <c r="B43" s="15" t="s">
        <v>9</v>
      </c>
      <c r="C43" s="11" t="s">
        <v>9</v>
      </c>
      <c r="D43" s="15" t="s">
        <v>9</v>
      </c>
      <c r="E43" s="15" t="s">
        <v>9</v>
      </c>
      <c r="F43" s="12" t="s">
        <v>9</v>
      </c>
      <c r="G43" s="12" t="s">
        <v>9</v>
      </c>
      <c r="H43" s="100"/>
    </row>
    <row r="44" spans="1:8" x14ac:dyDescent="0.2">
      <c r="A44" s="15" t="s">
        <v>9</v>
      </c>
      <c r="B44" s="15" t="s">
        <v>9</v>
      </c>
      <c r="C44" s="3" t="s">
        <v>104</v>
      </c>
      <c r="D44" s="15" t="s">
        <v>9</v>
      </c>
      <c r="E44" s="15" t="s">
        <v>9</v>
      </c>
      <c r="F44" s="9">
        <v>2922.0940799999998</v>
      </c>
      <c r="G44" s="10">
        <v>0.29685133600000002</v>
      </c>
      <c r="H44" s="100"/>
    </row>
    <row r="45" spans="1:8" x14ac:dyDescent="0.2">
      <c r="A45" s="15" t="s">
        <v>9</v>
      </c>
      <c r="B45" s="15" t="s">
        <v>9</v>
      </c>
      <c r="C45" s="11" t="s">
        <v>9</v>
      </c>
      <c r="D45" s="15" t="s">
        <v>9</v>
      </c>
      <c r="E45" s="15" t="s">
        <v>9</v>
      </c>
      <c r="F45" s="12" t="s">
        <v>9</v>
      </c>
      <c r="G45" s="12" t="s">
        <v>9</v>
      </c>
      <c r="H45" s="100"/>
    </row>
    <row r="46" spans="1:8" x14ac:dyDescent="0.2">
      <c r="A46" s="15" t="s">
        <v>9</v>
      </c>
      <c r="B46" s="15" t="s">
        <v>9</v>
      </c>
      <c r="C46" s="3" t="s">
        <v>105</v>
      </c>
      <c r="D46" s="15" t="s">
        <v>9</v>
      </c>
      <c r="E46" s="15" t="s">
        <v>9</v>
      </c>
      <c r="F46" s="12" t="s">
        <v>9</v>
      </c>
      <c r="G46" s="12" t="s">
        <v>9</v>
      </c>
      <c r="H46" s="100"/>
    </row>
    <row r="47" spans="1:8" ht="25.5" x14ac:dyDescent="0.2">
      <c r="A47" s="15" t="s">
        <v>9</v>
      </c>
      <c r="B47" s="15" t="s">
        <v>9</v>
      </c>
      <c r="C47" s="3" t="s">
        <v>11</v>
      </c>
      <c r="D47" s="15" t="s">
        <v>9</v>
      </c>
      <c r="E47" s="15" t="s">
        <v>9</v>
      </c>
      <c r="F47" s="12" t="s">
        <v>9</v>
      </c>
      <c r="G47" s="12" t="s">
        <v>9</v>
      </c>
      <c r="H47" s="100"/>
    </row>
    <row r="48" spans="1:8" x14ac:dyDescent="0.2">
      <c r="A48" s="15" t="s">
        <v>9</v>
      </c>
      <c r="B48" s="15" t="s">
        <v>9</v>
      </c>
      <c r="C48" s="3" t="s">
        <v>94</v>
      </c>
      <c r="D48" s="15" t="s">
        <v>9</v>
      </c>
      <c r="E48" s="15" t="s">
        <v>9</v>
      </c>
      <c r="F48" s="13">
        <v>0</v>
      </c>
      <c r="G48" s="14">
        <v>0</v>
      </c>
      <c r="H48" s="100"/>
    </row>
    <row r="49" spans="1:8" x14ac:dyDescent="0.2">
      <c r="A49" s="15" t="s">
        <v>9</v>
      </c>
      <c r="B49" s="15" t="s">
        <v>9</v>
      </c>
      <c r="C49" s="11" t="s">
        <v>9</v>
      </c>
      <c r="D49" s="15" t="s">
        <v>9</v>
      </c>
      <c r="E49" s="15" t="s">
        <v>9</v>
      </c>
      <c r="F49" s="12" t="s">
        <v>9</v>
      </c>
      <c r="G49" s="12" t="s">
        <v>9</v>
      </c>
      <c r="H49" s="100"/>
    </row>
    <row r="50" spans="1:8" x14ac:dyDescent="0.2">
      <c r="A50" s="15" t="s">
        <v>9</v>
      </c>
      <c r="B50" s="15" t="s">
        <v>9</v>
      </c>
      <c r="C50" s="3" t="s">
        <v>106</v>
      </c>
      <c r="D50" s="15" t="s">
        <v>9</v>
      </c>
      <c r="E50" s="15" t="s">
        <v>9</v>
      </c>
      <c r="F50" s="15" t="s">
        <v>9</v>
      </c>
      <c r="G50" s="15" t="s">
        <v>9</v>
      </c>
      <c r="H50" s="100"/>
    </row>
    <row r="51" spans="1:8" x14ac:dyDescent="0.2">
      <c r="A51" s="15" t="s">
        <v>9</v>
      </c>
      <c r="B51" s="15" t="s">
        <v>9</v>
      </c>
      <c r="C51" s="3" t="s">
        <v>94</v>
      </c>
      <c r="D51" s="15" t="s">
        <v>9</v>
      </c>
      <c r="E51" s="15" t="s">
        <v>9</v>
      </c>
      <c r="F51" s="13">
        <v>0</v>
      </c>
      <c r="G51" s="14">
        <v>0</v>
      </c>
      <c r="H51" s="100"/>
    </row>
    <row r="52" spans="1:8" x14ac:dyDescent="0.2">
      <c r="A52" s="15" t="s">
        <v>9</v>
      </c>
      <c r="B52" s="15" t="s">
        <v>9</v>
      </c>
      <c r="C52" s="11" t="s">
        <v>9</v>
      </c>
      <c r="D52" s="15" t="s">
        <v>9</v>
      </c>
      <c r="E52" s="15" t="s">
        <v>9</v>
      </c>
      <c r="F52" s="12" t="s">
        <v>9</v>
      </c>
      <c r="G52" s="12" t="s">
        <v>9</v>
      </c>
      <c r="H52" s="100"/>
    </row>
    <row r="53" spans="1:8" x14ac:dyDescent="0.2">
      <c r="A53" s="15" t="s">
        <v>9</v>
      </c>
      <c r="B53" s="15" t="s">
        <v>9</v>
      </c>
      <c r="C53" s="3" t="s">
        <v>107</v>
      </c>
      <c r="D53" s="15" t="s">
        <v>9</v>
      </c>
      <c r="E53" s="15" t="s">
        <v>9</v>
      </c>
      <c r="F53" s="15" t="s">
        <v>9</v>
      </c>
      <c r="G53" s="15" t="s">
        <v>9</v>
      </c>
      <c r="H53" s="100"/>
    </row>
    <row r="54" spans="1:8" x14ac:dyDescent="0.2">
      <c r="A54" s="15" t="s">
        <v>9</v>
      </c>
      <c r="B54" s="15" t="s">
        <v>9</v>
      </c>
      <c r="C54" s="3" t="s">
        <v>94</v>
      </c>
      <c r="D54" s="15" t="s">
        <v>9</v>
      </c>
      <c r="E54" s="15" t="s">
        <v>9</v>
      </c>
      <c r="F54" s="13">
        <v>0</v>
      </c>
      <c r="G54" s="14">
        <v>0</v>
      </c>
      <c r="H54" s="100"/>
    </row>
    <row r="55" spans="1:8" x14ac:dyDescent="0.2">
      <c r="A55" s="15" t="s">
        <v>9</v>
      </c>
      <c r="B55" s="15" t="s">
        <v>9</v>
      </c>
      <c r="C55" s="11" t="s">
        <v>9</v>
      </c>
      <c r="D55" s="15" t="s">
        <v>9</v>
      </c>
      <c r="E55" s="15" t="s">
        <v>9</v>
      </c>
      <c r="F55" s="12" t="s">
        <v>9</v>
      </c>
      <c r="G55" s="12" t="s">
        <v>9</v>
      </c>
      <c r="H55" s="100"/>
    </row>
    <row r="56" spans="1:8" x14ac:dyDescent="0.2">
      <c r="A56" s="15" t="s">
        <v>9</v>
      </c>
      <c r="B56" s="15" t="s">
        <v>9</v>
      </c>
      <c r="C56" s="3" t="s">
        <v>108</v>
      </c>
      <c r="D56" s="15" t="s">
        <v>9</v>
      </c>
      <c r="E56" s="15" t="s">
        <v>9</v>
      </c>
      <c r="F56" s="12" t="s">
        <v>9</v>
      </c>
      <c r="G56" s="12" t="s">
        <v>9</v>
      </c>
      <c r="H56" s="100"/>
    </row>
    <row r="57" spans="1:8" x14ac:dyDescent="0.2">
      <c r="A57" s="15" t="s">
        <v>9</v>
      </c>
      <c r="B57" s="15" t="s">
        <v>9</v>
      </c>
      <c r="C57" s="3" t="s">
        <v>94</v>
      </c>
      <c r="D57" s="15" t="s">
        <v>9</v>
      </c>
      <c r="E57" s="15" t="s">
        <v>9</v>
      </c>
      <c r="F57" s="13">
        <v>0</v>
      </c>
      <c r="G57" s="14">
        <v>0</v>
      </c>
      <c r="H57" s="100"/>
    </row>
    <row r="58" spans="1:8" x14ac:dyDescent="0.2">
      <c r="A58" s="15" t="s">
        <v>9</v>
      </c>
      <c r="B58" s="15" t="s">
        <v>9</v>
      </c>
      <c r="C58" s="11" t="s">
        <v>9</v>
      </c>
      <c r="D58" s="15" t="s">
        <v>9</v>
      </c>
      <c r="E58" s="15" t="s">
        <v>9</v>
      </c>
      <c r="F58" s="12" t="s">
        <v>9</v>
      </c>
      <c r="G58" s="12" t="s">
        <v>9</v>
      </c>
      <c r="H58" s="100"/>
    </row>
    <row r="59" spans="1:8" x14ac:dyDescent="0.2">
      <c r="A59" s="15" t="s">
        <v>9</v>
      </c>
      <c r="B59" s="15" t="s">
        <v>9</v>
      </c>
      <c r="C59" s="3" t="s">
        <v>109</v>
      </c>
      <c r="D59" s="15" t="s">
        <v>9</v>
      </c>
      <c r="E59" s="15" t="s">
        <v>9</v>
      </c>
      <c r="F59" s="9">
        <v>0</v>
      </c>
      <c r="G59" s="10">
        <v>0</v>
      </c>
      <c r="H59" s="100"/>
    </row>
    <row r="60" spans="1:8" x14ac:dyDescent="0.2">
      <c r="A60" s="15" t="s">
        <v>9</v>
      </c>
      <c r="B60" s="15" t="s">
        <v>9</v>
      </c>
      <c r="C60" s="11" t="s">
        <v>9</v>
      </c>
      <c r="D60" s="15" t="s">
        <v>9</v>
      </c>
      <c r="E60" s="15" t="s">
        <v>9</v>
      </c>
      <c r="F60" s="12" t="s">
        <v>9</v>
      </c>
      <c r="G60" s="12" t="s">
        <v>9</v>
      </c>
      <c r="H60" s="100"/>
    </row>
    <row r="61" spans="1:8" x14ac:dyDescent="0.2">
      <c r="A61" s="15" t="s">
        <v>9</v>
      </c>
      <c r="B61" s="15" t="s">
        <v>9</v>
      </c>
      <c r="C61" s="3" t="s">
        <v>110</v>
      </c>
      <c r="D61" s="15" t="s">
        <v>9</v>
      </c>
      <c r="E61" s="15" t="s">
        <v>9</v>
      </c>
      <c r="F61" s="12" t="s">
        <v>9</v>
      </c>
      <c r="G61" s="12" t="s">
        <v>9</v>
      </c>
      <c r="H61" s="100"/>
    </row>
    <row r="62" spans="1:8" x14ac:dyDescent="0.2">
      <c r="A62" s="15" t="s">
        <v>9</v>
      </c>
      <c r="B62" s="15" t="s">
        <v>9</v>
      </c>
      <c r="C62" s="3" t="s">
        <v>111</v>
      </c>
      <c r="D62" s="15" t="s">
        <v>9</v>
      </c>
      <c r="E62" s="15" t="s">
        <v>9</v>
      </c>
      <c r="F62" s="12" t="s">
        <v>9</v>
      </c>
      <c r="G62" s="12" t="s">
        <v>9</v>
      </c>
      <c r="H62" s="100"/>
    </row>
    <row r="63" spans="1:8" x14ac:dyDescent="0.2">
      <c r="A63" s="15" t="s">
        <v>9</v>
      </c>
      <c r="B63" s="15" t="s">
        <v>9</v>
      </c>
      <c r="C63" s="3" t="s">
        <v>94</v>
      </c>
      <c r="D63" s="15" t="s">
        <v>9</v>
      </c>
      <c r="E63" s="15" t="s">
        <v>9</v>
      </c>
      <c r="F63" s="13">
        <v>0</v>
      </c>
      <c r="G63" s="14">
        <v>0</v>
      </c>
      <c r="H63" s="100"/>
    </row>
    <row r="64" spans="1:8" x14ac:dyDescent="0.2">
      <c r="A64" s="15" t="s">
        <v>9</v>
      </c>
      <c r="B64" s="15" t="s">
        <v>9</v>
      </c>
      <c r="C64" s="11" t="s">
        <v>9</v>
      </c>
      <c r="D64" s="15" t="s">
        <v>9</v>
      </c>
      <c r="E64" s="15" t="s">
        <v>9</v>
      </c>
      <c r="F64" s="12" t="s">
        <v>9</v>
      </c>
      <c r="G64" s="12" t="s">
        <v>9</v>
      </c>
      <c r="H64" s="100"/>
    </row>
    <row r="65" spans="1:8" x14ac:dyDescent="0.2">
      <c r="A65" s="15" t="s">
        <v>9</v>
      </c>
      <c r="B65" s="15" t="s">
        <v>9</v>
      </c>
      <c r="C65" s="3" t="s">
        <v>112</v>
      </c>
      <c r="D65" s="15" t="s">
        <v>9</v>
      </c>
      <c r="E65" s="15" t="s">
        <v>9</v>
      </c>
      <c r="F65" s="12" t="s">
        <v>9</v>
      </c>
      <c r="G65" s="12" t="s">
        <v>9</v>
      </c>
      <c r="H65" s="100"/>
    </row>
    <row r="66" spans="1:8" x14ac:dyDescent="0.2">
      <c r="A66" s="15" t="s">
        <v>9</v>
      </c>
      <c r="B66" s="15" t="s">
        <v>9</v>
      </c>
      <c r="C66" s="3" t="s">
        <v>94</v>
      </c>
      <c r="D66" s="15" t="s">
        <v>9</v>
      </c>
      <c r="E66" s="15" t="s">
        <v>9</v>
      </c>
      <c r="F66" s="13">
        <v>0</v>
      </c>
      <c r="G66" s="14">
        <v>0</v>
      </c>
      <c r="H66" s="100"/>
    </row>
    <row r="67" spans="1:8" x14ac:dyDescent="0.2">
      <c r="A67" s="15" t="s">
        <v>9</v>
      </c>
      <c r="B67" s="15" t="s">
        <v>9</v>
      </c>
      <c r="C67" s="11" t="s">
        <v>9</v>
      </c>
      <c r="D67" s="15" t="s">
        <v>9</v>
      </c>
      <c r="E67" s="15" t="s">
        <v>9</v>
      </c>
      <c r="F67" s="12" t="s">
        <v>9</v>
      </c>
      <c r="G67" s="12" t="s">
        <v>9</v>
      </c>
      <c r="H67" s="100"/>
    </row>
    <row r="68" spans="1:8" x14ac:dyDescent="0.2">
      <c r="A68" s="15" t="s">
        <v>9</v>
      </c>
      <c r="B68" s="15" t="s">
        <v>9</v>
      </c>
      <c r="C68" s="3" t="s">
        <v>113</v>
      </c>
      <c r="D68" s="15" t="s">
        <v>9</v>
      </c>
      <c r="E68" s="15" t="s">
        <v>9</v>
      </c>
      <c r="F68" s="12" t="s">
        <v>9</v>
      </c>
      <c r="G68" s="12" t="s">
        <v>9</v>
      </c>
      <c r="H68" s="100"/>
    </row>
    <row r="69" spans="1:8" x14ac:dyDescent="0.2">
      <c r="A69" s="15" t="s">
        <v>9</v>
      </c>
      <c r="B69" s="15" t="s">
        <v>9</v>
      </c>
      <c r="C69" s="3" t="s">
        <v>94</v>
      </c>
      <c r="D69" s="15" t="s">
        <v>9</v>
      </c>
      <c r="E69" s="15" t="s">
        <v>9</v>
      </c>
      <c r="F69" s="13">
        <v>0</v>
      </c>
      <c r="G69" s="14">
        <v>0</v>
      </c>
      <c r="H69" s="100"/>
    </row>
    <row r="70" spans="1:8" x14ac:dyDescent="0.2">
      <c r="A70" s="15" t="s">
        <v>9</v>
      </c>
      <c r="B70" s="15" t="s">
        <v>9</v>
      </c>
      <c r="C70" s="11" t="s">
        <v>9</v>
      </c>
      <c r="D70" s="15" t="s">
        <v>9</v>
      </c>
      <c r="E70" s="15" t="s">
        <v>9</v>
      </c>
      <c r="F70" s="12" t="s">
        <v>9</v>
      </c>
      <c r="G70" s="12" t="s">
        <v>9</v>
      </c>
      <c r="H70" s="100"/>
    </row>
    <row r="71" spans="1:8" x14ac:dyDescent="0.2">
      <c r="A71" s="15" t="s">
        <v>9</v>
      </c>
      <c r="B71" s="15" t="s">
        <v>9</v>
      </c>
      <c r="C71" s="3" t="s">
        <v>114</v>
      </c>
      <c r="D71" s="15" t="s">
        <v>9</v>
      </c>
      <c r="E71" s="15" t="s">
        <v>9</v>
      </c>
      <c r="F71" s="12" t="s">
        <v>9</v>
      </c>
      <c r="G71" s="12" t="s">
        <v>9</v>
      </c>
      <c r="H71" s="100"/>
    </row>
    <row r="72" spans="1:8" x14ac:dyDescent="0.2">
      <c r="A72" s="4">
        <v>1</v>
      </c>
      <c r="B72" s="5"/>
      <c r="C72" s="5" t="s">
        <v>115</v>
      </c>
      <c r="D72" s="5"/>
      <c r="E72" s="15" t="s">
        <v>9</v>
      </c>
      <c r="F72" s="7">
        <v>4597.2793288000003</v>
      </c>
      <c r="G72" s="8">
        <v>0.46703099199999998</v>
      </c>
      <c r="H72" s="99">
        <v>3.2516689338443991</v>
      </c>
    </row>
    <row r="73" spans="1:8" x14ac:dyDescent="0.2">
      <c r="A73" s="4">
        <v>2</v>
      </c>
      <c r="B73" s="5"/>
      <c r="C73" s="5" t="s">
        <v>116</v>
      </c>
      <c r="D73" s="5"/>
      <c r="E73" s="15" t="s">
        <v>9</v>
      </c>
      <c r="F73" s="7">
        <v>629.86923400000001</v>
      </c>
      <c r="G73" s="8">
        <v>6.3987508999999998E-2</v>
      </c>
      <c r="H73" s="100">
        <v>3.350000000000001</v>
      </c>
    </row>
    <row r="74" spans="1:8" x14ac:dyDescent="0.2">
      <c r="A74" s="15" t="s">
        <v>9</v>
      </c>
      <c r="B74" s="15" t="s">
        <v>9</v>
      </c>
      <c r="C74" s="3" t="s">
        <v>94</v>
      </c>
      <c r="D74" s="15" t="s">
        <v>9</v>
      </c>
      <c r="E74" s="15" t="s">
        <v>9</v>
      </c>
      <c r="F74" s="9">
        <v>5227.1485628</v>
      </c>
      <c r="G74" s="10">
        <v>0.53101850100000003</v>
      </c>
      <c r="H74" s="100"/>
    </row>
    <row r="75" spans="1:8" x14ac:dyDescent="0.2">
      <c r="A75" s="15" t="s">
        <v>9</v>
      </c>
      <c r="B75" s="15" t="s">
        <v>9</v>
      </c>
      <c r="C75" s="11" t="s">
        <v>9</v>
      </c>
      <c r="D75" s="15" t="s">
        <v>9</v>
      </c>
      <c r="E75" s="15" t="s">
        <v>9</v>
      </c>
      <c r="F75" s="12" t="s">
        <v>9</v>
      </c>
      <c r="G75" s="12" t="s">
        <v>9</v>
      </c>
      <c r="H75" s="100"/>
    </row>
    <row r="76" spans="1:8" x14ac:dyDescent="0.2">
      <c r="A76" s="15" t="s">
        <v>9</v>
      </c>
      <c r="B76" s="15" t="s">
        <v>9</v>
      </c>
      <c r="C76" s="3" t="s">
        <v>117</v>
      </c>
      <c r="D76" s="15" t="s">
        <v>9</v>
      </c>
      <c r="E76" s="15" t="s">
        <v>9</v>
      </c>
      <c r="F76" s="9">
        <v>5227.1485628</v>
      </c>
      <c r="G76" s="10">
        <v>0.53101850100000003</v>
      </c>
      <c r="H76" s="100"/>
    </row>
    <row r="77" spans="1:8" x14ac:dyDescent="0.2">
      <c r="A77" s="15" t="s">
        <v>9</v>
      </c>
      <c r="B77" s="15" t="s">
        <v>9</v>
      </c>
      <c r="C77" s="12" t="s">
        <v>9</v>
      </c>
      <c r="D77" s="15" t="s">
        <v>9</v>
      </c>
      <c r="E77" s="15" t="s">
        <v>9</v>
      </c>
      <c r="F77" s="15" t="s">
        <v>9</v>
      </c>
      <c r="G77" s="15" t="s">
        <v>9</v>
      </c>
      <c r="H77" s="100"/>
    </row>
    <row r="78" spans="1:8" x14ac:dyDescent="0.2">
      <c r="A78" s="15" t="s">
        <v>9</v>
      </c>
      <c r="B78" s="15" t="s">
        <v>9</v>
      </c>
      <c r="C78" s="3" t="s">
        <v>118</v>
      </c>
      <c r="D78" s="15" t="s">
        <v>9</v>
      </c>
      <c r="E78" s="15" t="s">
        <v>9</v>
      </c>
      <c r="F78" s="15" t="s">
        <v>9</v>
      </c>
      <c r="G78" s="15" t="s">
        <v>9</v>
      </c>
      <c r="H78" s="100"/>
    </row>
    <row r="79" spans="1:8" x14ac:dyDescent="0.2">
      <c r="A79" s="15" t="s">
        <v>9</v>
      </c>
      <c r="B79" s="15" t="s">
        <v>9</v>
      </c>
      <c r="C79" s="3" t="s">
        <v>119</v>
      </c>
      <c r="D79" s="15" t="s">
        <v>9</v>
      </c>
      <c r="E79" s="15" t="s">
        <v>9</v>
      </c>
      <c r="F79" s="15" t="s">
        <v>9</v>
      </c>
      <c r="G79" s="15" t="s">
        <v>9</v>
      </c>
      <c r="H79" s="100"/>
    </row>
    <row r="80" spans="1:8" x14ac:dyDescent="0.2">
      <c r="A80" s="15" t="s">
        <v>9</v>
      </c>
      <c r="B80" s="15" t="s">
        <v>9</v>
      </c>
      <c r="C80" s="3" t="s">
        <v>94</v>
      </c>
      <c r="D80" s="15" t="s">
        <v>9</v>
      </c>
      <c r="E80" s="15" t="s">
        <v>9</v>
      </c>
      <c r="F80" s="13">
        <v>0</v>
      </c>
      <c r="G80" s="14">
        <v>0</v>
      </c>
      <c r="H80" s="100"/>
    </row>
    <row r="81" spans="1:8" x14ac:dyDescent="0.2">
      <c r="A81" s="15" t="s">
        <v>9</v>
      </c>
      <c r="B81" s="15" t="s">
        <v>9</v>
      </c>
      <c r="C81" s="11" t="s">
        <v>9</v>
      </c>
      <c r="D81" s="15" t="s">
        <v>9</v>
      </c>
      <c r="E81" s="15" t="s">
        <v>9</v>
      </c>
      <c r="F81" s="12" t="s">
        <v>9</v>
      </c>
      <c r="G81" s="12" t="s">
        <v>9</v>
      </c>
      <c r="H81" s="100"/>
    </row>
    <row r="82" spans="1:8" x14ac:dyDescent="0.2">
      <c r="A82" s="15" t="s">
        <v>9</v>
      </c>
      <c r="B82" s="15" t="s">
        <v>9</v>
      </c>
      <c r="C82" s="3" t="s">
        <v>120</v>
      </c>
      <c r="D82" s="15" t="s">
        <v>9</v>
      </c>
      <c r="E82" s="15" t="s">
        <v>9</v>
      </c>
      <c r="F82" s="15" t="s">
        <v>9</v>
      </c>
      <c r="G82" s="15" t="s">
        <v>9</v>
      </c>
      <c r="H82" s="100"/>
    </row>
    <row r="83" spans="1:8" x14ac:dyDescent="0.2">
      <c r="A83" s="15" t="s">
        <v>9</v>
      </c>
      <c r="B83" s="15" t="s">
        <v>9</v>
      </c>
      <c r="C83" s="3" t="s">
        <v>121</v>
      </c>
      <c r="D83" s="15" t="s">
        <v>9</v>
      </c>
      <c r="E83" s="15" t="s">
        <v>9</v>
      </c>
      <c r="F83" s="15" t="s">
        <v>9</v>
      </c>
      <c r="G83" s="15" t="s">
        <v>9</v>
      </c>
      <c r="H83" s="100"/>
    </row>
    <row r="84" spans="1:8" x14ac:dyDescent="0.2">
      <c r="A84" s="15" t="s">
        <v>9</v>
      </c>
      <c r="B84" s="15" t="s">
        <v>9</v>
      </c>
      <c r="C84" s="3" t="s">
        <v>94</v>
      </c>
      <c r="D84" s="15" t="s">
        <v>9</v>
      </c>
      <c r="E84" s="15" t="s">
        <v>9</v>
      </c>
      <c r="F84" s="13">
        <v>0</v>
      </c>
      <c r="G84" s="14">
        <v>0</v>
      </c>
      <c r="H84" s="100"/>
    </row>
    <row r="85" spans="1:8" x14ac:dyDescent="0.2">
      <c r="A85" s="15" t="s">
        <v>9</v>
      </c>
      <c r="B85" s="15" t="s">
        <v>9</v>
      </c>
      <c r="C85" s="11" t="s">
        <v>9</v>
      </c>
      <c r="D85" s="15" t="s">
        <v>9</v>
      </c>
      <c r="E85" s="15" t="s">
        <v>9</v>
      </c>
      <c r="F85" s="12" t="s">
        <v>9</v>
      </c>
      <c r="G85" s="12" t="s">
        <v>9</v>
      </c>
      <c r="H85" s="100"/>
    </row>
    <row r="86" spans="1:8" x14ac:dyDescent="0.2">
      <c r="A86" s="15" t="s">
        <v>9</v>
      </c>
      <c r="B86" s="15" t="s">
        <v>9</v>
      </c>
      <c r="C86" s="11" t="s">
        <v>9</v>
      </c>
      <c r="D86" s="15" t="s">
        <v>9</v>
      </c>
      <c r="E86" s="15" t="s">
        <v>9</v>
      </c>
      <c r="F86" s="12" t="s">
        <v>9</v>
      </c>
      <c r="G86" s="12" t="s">
        <v>9</v>
      </c>
      <c r="H86" s="100"/>
    </row>
    <row r="87" spans="1:8" ht="25.5" x14ac:dyDescent="0.2">
      <c r="A87" s="15" t="s">
        <v>9</v>
      </c>
      <c r="B87" s="15" t="s">
        <v>9</v>
      </c>
      <c r="C87" s="3" t="s">
        <v>122</v>
      </c>
      <c r="D87" s="15" t="s">
        <v>9</v>
      </c>
      <c r="E87" s="15" t="s">
        <v>9</v>
      </c>
      <c r="F87" s="12" t="s">
        <v>9</v>
      </c>
      <c r="G87" s="12" t="s">
        <v>9</v>
      </c>
      <c r="H87" s="100"/>
    </row>
    <row r="88" spans="1:8" x14ac:dyDescent="0.2">
      <c r="A88" s="15" t="s">
        <v>9</v>
      </c>
      <c r="B88" s="15" t="s">
        <v>9</v>
      </c>
      <c r="C88" s="3" t="s">
        <v>94</v>
      </c>
      <c r="D88" s="15" t="s">
        <v>9</v>
      </c>
      <c r="E88" s="15" t="s">
        <v>9</v>
      </c>
      <c r="F88" s="13">
        <v>0</v>
      </c>
      <c r="G88" s="14">
        <v>0</v>
      </c>
      <c r="H88" s="100"/>
    </row>
    <row r="89" spans="1:8" x14ac:dyDescent="0.2">
      <c r="A89" s="15" t="s">
        <v>9</v>
      </c>
      <c r="B89" s="15" t="s">
        <v>9</v>
      </c>
      <c r="C89" s="11" t="s">
        <v>9</v>
      </c>
      <c r="D89" s="15" t="s">
        <v>9</v>
      </c>
      <c r="E89" s="15" t="s">
        <v>9</v>
      </c>
      <c r="F89" s="12" t="s">
        <v>9</v>
      </c>
      <c r="G89" s="12" t="s">
        <v>9</v>
      </c>
      <c r="H89" s="100"/>
    </row>
    <row r="90" spans="1:8" x14ac:dyDescent="0.2">
      <c r="A90" s="15" t="s">
        <v>9</v>
      </c>
      <c r="B90" s="5" t="s">
        <v>9</v>
      </c>
      <c r="C90" s="5" t="s">
        <v>9</v>
      </c>
      <c r="D90" s="3" t="s">
        <v>9</v>
      </c>
      <c r="E90" s="15" t="s">
        <v>9</v>
      </c>
      <c r="F90" s="5" t="s">
        <v>9</v>
      </c>
      <c r="G90" s="15" t="s">
        <v>9</v>
      </c>
      <c r="H90" s="100"/>
    </row>
    <row r="91" spans="1:8" x14ac:dyDescent="0.2">
      <c r="A91" s="15" t="s">
        <v>9</v>
      </c>
      <c r="B91" s="5" t="s">
        <v>9</v>
      </c>
      <c r="C91" s="5" t="s">
        <v>124</v>
      </c>
      <c r="D91" s="5" t="s">
        <v>9</v>
      </c>
      <c r="E91" s="15" t="s">
        <v>9</v>
      </c>
      <c r="F91" s="7">
        <v>1694.38530541</v>
      </c>
      <c r="G91" s="8">
        <v>0.172130165</v>
      </c>
      <c r="H91" s="100"/>
    </row>
    <row r="92" spans="1:8" x14ac:dyDescent="0.2">
      <c r="A92" s="11" t="s">
        <v>9</v>
      </c>
      <c r="B92" s="11" t="s">
        <v>9</v>
      </c>
      <c r="C92" s="3" t="s">
        <v>125</v>
      </c>
      <c r="D92" s="16" t="s">
        <v>9</v>
      </c>
      <c r="E92" s="16" t="s">
        <v>9</v>
      </c>
      <c r="F92" s="9">
        <v>9843.6279482099999</v>
      </c>
      <c r="G92" s="10">
        <v>1.0000000019999999</v>
      </c>
      <c r="H92" s="100"/>
    </row>
    <row r="93" spans="1:8" x14ac:dyDescent="0.2">
      <c r="A93" s="17" t="s">
        <v>9</v>
      </c>
      <c r="B93" s="17" t="s">
        <v>9</v>
      </c>
      <c r="C93" s="17" t="s">
        <v>9</v>
      </c>
      <c r="D93" s="18" t="s">
        <v>9</v>
      </c>
      <c r="E93" s="18" t="s">
        <v>9</v>
      </c>
      <c r="F93" s="18" t="s">
        <v>9</v>
      </c>
      <c r="G93" s="18" t="s">
        <v>9</v>
      </c>
      <c r="H93" s="142"/>
    </row>
    <row r="94" spans="1:8" x14ac:dyDescent="0.2">
      <c r="A94" s="19" t="s">
        <v>9</v>
      </c>
      <c r="B94" s="254" t="s">
        <v>9</v>
      </c>
      <c r="C94" s="254"/>
      <c r="D94" s="254"/>
      <c r="E94" s="254"/>
      <c r="F94" s="254"/>
      <c r="G94" s="20" t="s">
        <v>9</v>
      </c>
      <c r="H94" s="142"/>
    </row>
    <row r="95" spans="1:8" x14ac:dyDescent="0.2">
      <c r="A95" s="19" t="s">
        <v>9</v>
      </c>
      <c r="B95" s="254" t="s">
        <v>9</v>
      </c>
      <c r="C95" s="254"/>
      <c r="D95" s="254"/>
      <c r="E95" s="254"/>
      <c r="F95" s="254"/>
      <c r="G95" s="20" t="s">
        <v>9</v>
      </c>
      <c r="H95" s="142"/>
    </row>
    <row r="96" spans="1:8" x14ac:dyDescent="0.2">
      <c r="A96" s="19" t="s">
        <v>9</v>
      </c>
      <c r="B96" s="19" t="s">
        <v>9</v>
      </c>
      <c r="C96" s="19" t="s">
        <v>9</v>
      </c>
      <c r="D96" s="20" t="s">
        <v>9</v>
      </c>
      <c r="E96" s="20" t="s">
        <v>9</v>
      </c>
      <c r="F96" s="20" t="s">
        <v>9</v>
      </c>
      <c r="G96" s="20" t="s">
        <v>9</v>
      </c>
      <c r="H96" s="142"/>
    </row>
    <row r="97" spans="1:8" x14ac:dyDescent="0.2">
      <c r="A97" s="19" t="s">
        <v>9</v>
      </c>
      <c r="B97" s="272" t="s">
        <v>127</v>
      </c>
      <c r="C97" s="273"/>
      <c r="D97" s="12" t="s">
        <v>9</v>
      </c>
      <c r="E97" s="21" t="s">
        <v>9</v>
      </c>
      <c r="F97" s="20" t="s">
        <v>9</v>
      </c>
      <c r="G97" s="20" t="s">
        <v>9</v>
      </c>
      <c r="H97" s="142"/>
    </row>
    <row r="98" spans="1:8" ht="28.5" customHeight="1" x14ac:dyDescent="0.2">
      <c r="A98" s="19" t="s">
        <v>9</v>
      </c>
      <c r="B98" s="242" t="s">
        <v>128</v>
      </c>
      <c r="C98" s="243"/>
      <c r="D98" s="3" t="s">
        <v>129</v>
      </c>
      <c r="E98" s="21" t="s">
        <v>9</v>
      </c>
      <c r="F98" s="20" t="s">
        <v>9</v>
      </c>
      <c r="G98" s="20" t="s">
        <v>9</v>
      </c>
      <c r="H98" s="142"/>
    </row>
    <row r="99" spans="1:8" s="181" customFormat="1" x14ac:dyDescent="0.2">
      <c r="A99" s="176" t="s">
        <v>9</v>
      </c>
      <c r="B99" s="240" t="s">
        <v>130</v>
      </c>
      <c r="C99" s="241"/>
      <c r="D99" s="177" t="s">
        <v>129</v>
      </c>
      <c r="E99" s="178" t="s">
        <v>9</v>
      </c>
      <c r="F99" s="179" t="s">
        <v>9</v>
      </c>
      <c r="G99" s="179" t="s">
        <v>9</v>
      </c>
      <c r="H99" s="180"/>
    </row>
    <row r="100" spans="1:8" s="181" customFormat="1" x14ac:dyDescent="0.2">
      <c r="A100" s="176" t="s">
        <v>9</v>
      </c>
      <c r="B100" s="240" t="s">
        <v>131</v>
      </c>
      <c r="C100" s="241"/>
      <c r="D100" s="182" t="s">
        <v>9</v>
      </c>
      <c r="E100" s="178" t="s">
        <v>9</v>
      </c>
      <c r="F100" s="179" t="s">
        <v>9</v>
      </c>
      <c r="G100" s="179" t="s">
        <v>9</v>
      </c>
      <c r="H100" s="180"/>
    </row>
    <row r="101" spans="1:8" s="181" customFormat="1" ht="25.5" x14ac:dyDescent="0.2">
      <c r="A101" s="22" t="s">
        <v>9</v>
      </c>
      <c r="B101" s="23" t="s">
        <v>9</v>
      </c>
      <c r="C101" s="23" t="s">
        <v>132</v>
      </c>
      <c r="D101" s="23" t="s">
        <v>133</v>
      </c>
      <c r="E101" s="22" t="s">
        <v>9</v>
      </c>
      <c r="F101" s="22" t="s">
        <v>9</v>
      </c>
      <c r="G101" s="22" t="s">
        <v>9</v>
      </c>
      <c r="H101" s="180"/>
    </row>
    <row r="102" spans="1:8" s="181" customFormat="1" x14ac:dyDescent="0.2">
      <c r="A102" s="22" t="s">
        <v>9</v>
      </c>
      <c r="B102" s="23" t="s">
        <v>134</v>
      </c>
      <c r="C102" s="23" t="s">
        <v>135</v>
      </c>
      <c r="D102" s="23" t="s">
        <v>136</v>
      </c>
      <c r="E102" s="22" t="s">
        <v>9</v>
      </c>
      <c r="F102" s="22" t="s">
        <v>9</v>
      </c>
      <c r="G102" s="22" t="s">
        <v>9</v>
      </c>
      <c r="H102" s="180"/>
    </row>
    <row r="103" spans="1:8" s="181" customFormat="1" x14ac:dyDescent="0.2">
      <c r="A103" s="22" t="s">
        <v>9</v>
      </c>
      <c r="B103" s="183" t="s">
        <v>137</v>
      </c>
      <c r="C103" s="184">
        <v>13.6959</v>
      </c>
      <c r="D103" s="184">
        <v>13.5467</v>
      </c>
      <c r="E103" s="22" t="s">
        <v>9</v>
      </c>
      <c r="F103" s="185" t="s">
        <v>9</v>
      </c>
      <c r="G103" s="22" t="s">
        <v>9</v>
      </c>
      <c r="H103" s="180"/>
    </row>
    <row r="104" spans="1:8" s="181" customFormat="1" x14ac:dyDescent="0.2">
      <c r="A104" s="22" t="s">
        <v>9</v>
      </c>
      <c r="B104" s="183" t="s">
        <v>921</v>
      </c>
      <c r="C104" s="184">
        <v>13.6959</v>
      </c>
      <c r="D104" s="184">
        <v>13.5467</v>
      </c>
      <c r="E104" s="22" t="s">
        <v>9</v>
      </c>
      <c r="F104" s="185" t="s">
        <v>9</v>
      </c>
      <c r="G104" s="22" t="s">
        <v>9</v>
      </c>
      <c r="H104" s="180"/>
    </row>
    <row r="105" spans="1:8" s="181" customFormat="1" x14ac:dyDescent="0.2">
      <c r="A105" s="22" t="s">
        <v>9</v>
      </c>
      <c r="B105" s="183" t="s">
        <v>138</v>
      </c>
      <c r="C105" s="184">
        <v>13.260199999999999</v>
      </c>
      <c r="D105" s="184">
        <v>13.1122</v>
      </c>
      <c r="E105" s="22" t="s">
        <v>9</v>
      </c>
      <c r="F105" s="185" t="s">
        <v>9</v>
      </c>
      <c r="G105" s="22" t="s">
        <v>9</v>
      </c>
      <c r="H105" s="180"/>
    </row>
    <row r="106" spans="1:8" s="181" customFormat="1" x14ac:dyDescent="0.2">
      <c r="A106" s="22" t="s">
        <v>9</v>
      </c>
      <c r="B106" s="183" t="s">
        <v>922</v>
      </c>
      <c r="C106" s="184">
        <v>13.260199999999999</v>
      </c>
      <c r="D106" s="184">
        <v>13.1122</v>
      </c>
      <c r="E106" s="22" t="s">
        <v>9</v>
      </c>
      <c r="F106" s="185" t="s">
        <v>9</v>
      </c>
      <c r="G106" s="22" t="s">
        <v>9</v>
      </c>
      <c r="H106" s="180"/>
    </row>
    <row r="107" spans="1:8" s="181" customFormat="1" x14ac:dyDescent="0.2">
      <c r="A107" s="22" t="s">
        <v>9</v>
      </c>
      <c r="B107" s="22" t="s">
        <v>9</v>
      </c>
      <c r="C107" s="22" t="s">
        <v>9</v>
      </c>
      <c r="D107" s="22" t="s">
        <v>9</v>
      </c>
      <c r="E107" s="22" t="s">
        <v>9</v>
      </c>
      <c r="F107" s="22" t="s">
        <v>9</v>
      </c>
      <c r="G107" s="22" t="s">
        <v>9</v>
      </c>
      <c r="H107" s="180"/>
    </row>
    <row r="108" spans="1:8" s="181" customFormat="1" x14ac:dyDescent="0.2">
      <c r="A108" s="22" t="s">
        <v>9</v>
      </c>
      <c r="B108" s="240" t="s">
        <v>1012</v>
      </c>
      <c r="C108" s="241"/>
      <c r="D108" s="177" t="s">
        <v>129</v>
      </c>
      <c r="E108" s="22" t="s">
        <v>9</v>
      </c>
      <c r="F108" s="22" t="s">
        <v>9</v>
      </c>
      <c r="G108" s="22" t="s">
        <v>9</v>
      </c>
      <c r="H108" s="180"/>
    </row>
    <row r="109" spans="1:8" s="181" customFormat="1" x14ac:dyDescent="0.2">
      <c r="A109" s="22" t="s">
        <v>9</v>
      </c>
      <c r="B109" s="98"/>
      <c r="C109" s="98"/>
      <c r="D109" s="26" t="s">
        <v>9</v>
      </c>
      <c r="E109" s="22" t="s">
        <v>9</v>
      </c>
      <c r="F109" s="22" t="s">
        <v>9</v>
      </c>
      <c r="G109" s="22" t="s">
        <v>9</v>
      </c>
      <c r="H109" s="180"/>
    </row>
    <row r="110" spans="1:8" s="238" customFormat="1" ht="12.75" x14ac:dyDescent="0.2">
      <c r="B110" s="246" t="s">
        <v>923</v>
      </c>
      <c r="C110" s="246"/>
      <c r="D110" s="246"/>
      <c r="E110" s="246"/>
      <c r="F110" s="246"/>
    </row>
    <row r="111" spans="1:8" s="181" customFormat="1" x14ac:dyDescent="0.2">
      <c r="A111" s="22" t="s">
        <v>9</v>
      </c>
      <c r="B111" s="185" t="s">
        <v>9</v>
      </c>
      <c r="C111" s="185" t="s">
        <v>9</v>
      </c>
      <c r="D111" s="22" t="s">
        <v>9</v>
      </c>
      <c r="E111" s="22" t="s">
        <v>9</v>
      </c>
      <c r="F111" s="22" t="s">
        <v>9</v>
      </c>
      <c r="G111" s="22" t="s">
        <v>9</v>
      </c>
      <c r="H111" s="180"/>
    </row>
    <row r="112" spans="1:8" s="181" customFormat="1" x14ac:dyDescent="0.2">
      <c r="A112" s="22" t="s">
        <v>9</v>
      </c>
      <c r="B112" s="240" t="s">
        <v>139</v>
      </c>
      <c r="C112" s="241"/>
      <c r="D112" s="177" t="s">
        <v>129</v>
      </c>
      <c r="E112" s="22" t="s">
        <v>9</v>
      </c>
      <c r="F112" s="22" t="s">
        <v>9</v>
      </c>
      <c r="G112" s="22" t="s">
        <v>9</v>
      </c>
      <c r="H112" s="180"/>
    </row>
    <row r="113" spans="1:8" s="181" customFormat="1" x14ac:dyDescent="0.2">
      <c r="A113" s="22" t="s">
        <v>9</v>
      </c>
      <c r="B113" s="240" t="s">
        <v>140</v>
      </c>
      <c r="C113" s="241"/>
      <c r="D113" s="177" t="s">
        <v>129</v>
      </c>
      <c r="E113" s="22" t="s">
        <v>9</v>
      </c>
      <c r="F113" s="22" t="s">
        <v>9</v>
      </c>
      <c r="G113" s="22" t="s">
        <v>9</v>
      </c>
      <c r="H113" s="180"/>
    </row>
    <row r="114" spans="1:8" s="181" customFormat="1" x14ac:dyDescent="0.2">
      <c r="A114" s="22" t="s">
        <v>9</v>
      </c>
      <c r="B114" s="240" t="s">
        <v>141</v>
      </c>
      <c r="C114" s="241"/>
      <c r="D114" s="186">
        <v>0.4673229342781639</v>
      </c>
      <c r="E114" s="22" t="s">
        <v>9</v>
      </c>
      <c r="F114" s="185" t="s">
        <v>9</v>
      </c>
      <c r="G114" s="22" t="s">
        <v>9</v>
      </c>
      <c r="H114" s="180"/>
    </row>
    <row r="115" spans="1:8" s="181" customFormat="1" x14ac:dyDescent="0.2">
      <c r="A115" s="22" t="s">
        <v>9</v>
      </c>
      <c r="B115" s="240" t="s">
        <v>142</v>
      </c>
      <c r="C115" s="241"/>
      <c r="D115" s="177" t="s">
        <v>129</v>
      </c>
      <c r="E115" s="22" t="s">
        <v>9</v>
      </c>
      <c r="F115" s="22" t="s">
        <v>9</v>
      </c>
      <c r="G115" s="22" t="s">
        <v>9</v>
      </c>
      <c r="H115" s="180"/>
    </row>
  </sheetData>
  <mergeCells count="15">
    <mergeCell ref="B97:C97"/>
    <mergeCell ref="B94:F94"/>
    <mergeCell ref="B95:F95"/>
    <mergeCell ref="A1:H1"/>
    <mergeCell ref="A2:H2"/>
    <mergeCell ref="A3:H3"/>
    <mergeCell ref="B114:C114"/>
    <mergeCell ref="B115:C115"/>
    <mergeCell ref="B98:C98"/>
    <mergeCell ref="B99:C99"/>
    <mergeCell ref="B100:C100"/>
    <mergeCell ref="B108:C108"/>
    <mergeCell ref="B112:C112"/>
    <mergeCell ref="B113:C113"/>
    <mergeCell ref="B110:F110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4">
    <outlinePr summaryBelow="0" summaryRight="0"/>
  </sheetPr>
  <dimension ref="A1:H137"/>
  <sheetViews>
    <sheetView showGridLines="0" workbookViewId="0">
      <selection activeCell="J1" sqref="J1"/>
    </sheetView>
  </sheetViews>
  <sheetFormatPr defaultRowHeight="15" x14ac:dyDescent="0.2"/>
  <cols>
    <col min="1" max="1" width="6.85546875" style="155" customWidth="1"/>
    <col min="2" max="2" width="20.5703125" style="155" customWidth="1"/>
    <col min="3" max="3" width="34.28515625" style="155" customWidth="1"/>
    <col min="4" max="4" width="17.85546875" style="155" customWidth="1"/>
    <col min="5" max="6" width="19.140625" style="155" customWidth="1"/>
    <col min="7" max="7" width="16.42578125" style="155" customWidth="1"/>
    <col min="8" max="8" width="8.42578125" style="155" bestFit="1" customWidth="1"/>
    <col min="9" max="16384" width="9.140625" style="155"/>
  </cols>
  <sheetData>
    <row r="1" spans="1:8" x14ac:dyDescent="0.2">
      <c r="A1" s="250" t="s">
        <v>0</v>
      </c>
      <c r="B1" s="250"/>
      <c r="C1" s="250"/>
      <c r="D1" s="250"/>
      <c r="E1" s="250"/>
      <c r="F1" s="250"/>
      <c r="G1" s="250"/>
      <c r="H1" s="250"/>
    </row>
    <row r="2" spans="1:8" x14ac:dyDescent="0.2">
      <c r="A2" s="251" t="s">
        <v>733</v>
      </c>
      <c r="B2" s="252"/>
      <c r="C2" s="252"/>
      <c r="D2" s="252"/>
      <c r="E2" s="252"/>
      <c r="F2" s="252"/>
      <c r="G2" s="252"/>
      <c r="H2" s="253"/>
    </row>
    <row r="3" spans="1:8" x14ac:dyDescent="0.2">
      <c r="A3" s="250" t="s">
        <v>1015</v>
      </c>
      <c r="B3" s="250"/>
      <c r="C3" s="250"/>
      <c r="D3" s="250"/>
      <c r="E3" s="250"/>
      <c r="F3" s="250"/>
      <c r="G3" s="250"/>
      <c r="H3" s="250"/>
    </row>
    <row r="4" spans="1:8" ht="30" x14ac:dyDescent="0.2">
      <c r="A4" s="159" t="s">
        <v>2</v>
      </c>
      <c r="B4" s="159" t="s">
        <v>3</v>
      </c>
      <c r="C4" s="159" t="s">
        <v>4</v>
      </c>
      <c r="D4" s="159" t="s">
        <v>5</v>
      </c>
      <c r="E4" s="160" t="s">
        <v>6</v>
      </c>
      <c r="F4" s="160" t="s">
        <v>7</v>
      </c>
      <c r="G4" s="160" t="s">
        <v>8</v>
      </c>
      <c r="H4" s="161" t="s">
        <v>909</v>
      </c>
    </row>
    <row r="5" spans="1:8" x14ac:dyDescent="0.2">
      <c r="A5" s="15" t="s">
        <v>9</v>
      </c>
      <c r="B5" s="15" t="s">
        <v>9</v>
      </c>
      <c r="C5" s="3" t="s">
        <v>10</v>
      </c>
      <c r="D5" s="15" t="s">
        <v>9</v>
      </c>
      <c r="E5" s="15" t="s">
        <v>9</v>
      </c>
      <c r="F5" s="15" t="s">
        <v>9</v>
      </c>
      <c r="G5" s="15" t="s">
        <v>9</v>
      </c>
      <c r="H5" s="100"/>
    </row>
    <row r="6" spans="1:8" ht="25.5" x14ac:dyDescent="0.2">
      <c r="A6" s="15" t="s">
        <v>9</v>
      </c>
      <c r="B6" s="15" t="s">
        <v>9</v>
      </c>
      <c r="C6" s="3" t="s">
        <v>11</v>
      </c>
      <c r="D6" s="15" t="s">
        <v>9</v>
      </c>
      <c r="E6" s="15" t="s">
        <v>9</v>
      </c>
      <c r="F6" s="15" t="s">
        <v>9</v>
      </c>
      <c r="G6" s="15" t="s">
        <v>9</v>
      </c>
      <c r="H6" s="100"/>
    </row>
    <row r="7" spans="1:8" x14ac:dyDescent="0.2">
      <c r="A7" s="4">
        <v>1</v>
      </c>
      <c r="B7" s="5" t="s">
        <v>20</v>
      </c>
      <c r="C7" s="5" t="s">
        <v>21</v>
      </c>
      <c r="D7" s="5" t="s">
        <v>22</v>
      </c>
      <c r="E7" s="6">
        <v>180295</v>
      </c>
      <c r="F7" s="7">
        <v>1082.6714750000001</v>
      </c>
      <c r="G7" s="8">
        <v>7.5871068999999999E-2</v>
      </c>
      <c r="H7" s="100"/>
    </row>
    <row r="8" spans="1:8" x14ac:dyDescent="0.2">
      <c r="A8" s="4">
        <v>2</v>
      </c>
      <c r="B8" s="5" t="s">
        <v>399</v>
      </c>
      <c r="C8" s="5" t="s">
        <v>400</v>
      </c>
      <c r="D8" s="5" t="s">
        <v>22</v>
      </c>
      <c r="E8" s="6">
        <v>264724</v>
      </c>
      <c r="F8" s="7">
        <v>935.79934000000003</v>
      </c>
      <c r="G8" s="8">
        <v>6.5578615000000007E-2</v>
      </c>
      <c r="H8" s="100"/>
    </row>
    <row r="9" spans="1:8" x14ac:dyDescent="0.2">
      <c r="A9" s="4">
        <v>3</v>
      </c>
      <c r="B9" s="5" t="s">
        <v>397</v>
      </c>
      <c r="C9" s="5" t="s">
        <v>398</v>
      </c>
      <c r="D9" s="5" t="s">
        <v>22</v>
      </c>
      <c r="E9" s="6">
        <v>120791</v>
      </c>
      <c r="F9" s="7">
        <v>863.53485899999998</v>
      </c>
      <c r="G9" s="8">
        <v>6.0514490999999997E-2</v>
      </c>
      <c r="H9" s="100"/>
    </row>
    <row r="10" spans="1:8" x14ac:dyDescent="0.2">
      <c r="A10" s="4">
        <v>4</v>
      </c>
      <c r="B10" s="5" t="s">
        <v>12</v>
      </c>
      <c r="C10" s="5" t="s">
        <v>13</v>
      </c>
      <c r="D10" s="5" t="s">
        <v>14</v>
      </c>
      <c r="E10" s="6">
        <v>49460</v>
      </c>
      <c r="F10" s="7">
        <v>662.98657000000003</v>
      </c>
      <c r="G10" s="8">
        <v>4.6460538000000003E-2</v>
      </c>
      <c r="H10" s="100"/>
    </row>
    <row r="11" spans="1:8" x14ac:dyDescent="0.2">
      <c r="A11" s="4">
        <v>5</v>
      </c>
      <c r="B11" s="5" t="s">
        <v>29</v>
      </c>
      <c r="C11" s="5" t="s">
        <v>30</v>
      </c>
      <c r="D11" s="5" t="s">
        <v>31</v>
      </c>
      <c r="E11" s="6">
        <v>117223</v>
      </c>
      <c r="F11" s="7">
        <v>629.19445250000001</v>
      </c>
      <c r="G11" s="8">
        <v>4.4092465999999997E-2</v>
      </c>
      <c r="H11" s="100"/>
    </row>
    <row r="12" spans="1:8" x14ac:dyDescent="0.2">
      <c r="A12" s="4">
        <v>6</v>
      </c>
      <c r="B12" s="5" t="s">
        <v>177</v>
      </c>
      <c r="C12" s="5" t="s">
        <v>178</v>
      </c>
      <c r="D12" s="5" t="s">
        <v>47</v>
      </c>
      <c r="E12" s="6">
        <v>48594</v>
      </c>
      <c r="F12" s="7">
        <v>513.00685799999997</v>
      </c>
      <c r="G12" s="8">
        <v>3.5950312999999998E-2</v>
      </c>
      <c r="H12" s="100"/>
    </row>
    <row r="13" spans="1:8" ht="25.5" x14ac:dyDescent="0.2">
      <c r="A13" s="4">
        <v>7</v>
      </c>
      <c r="B13" s="5" t="s">
        <v>395</v>
      </c>
      <c r="C13" s="5" t="s">
        <v>396</v>
      </c>
      <c r="D13" s="5" t="s">
        <v>156</v>
      </c>
      <c r="E13" s="6">
        <v>19332</v>
      </c>
      <c r="F13" s="7">
        <v>467.85373199999998</v>
      </c>
      <c r="G13" s="8">
        <v>3.2786087999999998E-2</v>
      </c>
      <c r="H13" s="100"/>
    </row>
    <row r="14" spans="1:8" x14ac:dyDescent="0.2">
      <c r="A14" s="4">
        <v>8</v>
      </c>
      <c r="B14" s="5" t="s">
        <v>69</v>
      </c>
      <c r="C14" s="5" t="s">
        <v>70</v>
      </c>
      <c r="D14" s="5" t="s">
        <v>17</v>
      </c>
      <c r="E14" s="6">
        <v>107368</v>
      </c>
      <c r="F14" s="7">
        <v>452.87822399999999</v>
      </c>
      <c r="G14" s="8">
        <v>3.1736640000000003E-2</v>
      </c>
      <c r="H14" s="100"/>
    </row>
    <row r="15" spans="1:8" x14ac:dyDescent="0.2">
      <c r="A15" s="4">
        <v>9</v>
      </c>
      <c r="B15" s="5" t="s">
        <v>297</v>
      </c>
      <c r="C15" s="5" t="s">
        <v>928</v>
      </c>
      <c r="D15" s="5" t="s">
        <v>22</v>
      </c>
      <c r="E15" s="6">
        <v>508830</v>
      </c>
      <c r="F15" s="7">
        <v>407.57283000000001</v>
      </c>
      <c r="G15" s="8">
        <v>2.8561744999999999E-2</v>
      </c>
      <c r="H15" s="100"/>
    </row>
    <row r="16" spans="1:8" x14ac:dyDescent="0.2">
      <c r="A16" s="4">
        <v>10</v>
      </c>
      <c r="B16" s="5" t="s">
        <v>367</v>
      </c>
      <c r="C16" s="5" t="s">
        <v>368</v>
      </c>
      <c r="D16" s="5" t="s">
        <v>22</v>
      </c>
      <c r="E16" s="6">
        <v>585620</v>
      </c>
      <c r="F16" s="7">
        <v>390.90134999999998</v>
      </c>
      <c r="G16" s="8">
        <v>2.7393447000000001E-2</v>
      </c>
      <c r="H16" s="100"/>
    </row>
    <row r="17" spans="1:8" x14ac:dyDescent="0.2">
      <c r="A17" s="4">
        <v>11</v>
      </c>
      <c r="B17" s="5" t="s">
        <v>76</v>
      </c>
      <c r="C17" s="5" t="s">
        <v>77</v>
      </c>
      <c r="D17" s="5" t="s">
        <v>78</v>
      </c>
      <c r="E17" s="6">
        <v>281715</v>
      </c>
      <c r="F17" s="7">
        <v>386.51298000000003</v>
      </c>
      <c r="G17" s="8">
        <v>2.7085919999999999E-2</v>
      </c>
      <c r="H17" s="100"/>
    </row>
    <row r="18" spans="1:8" ht="25.5" x14ac:dyDescent="0.2">
      <c r="A18" s="4">
        <v>12</v>
      </c>
      <c r="B18" s="5" t="s">
        <v>348</v>
      </c>
      <c r="C18" s="5" t="s">
        <v>349</v>
      </c>
      <c r="D18" s="5" t="s">
        <v>156</v>
      </c>
      <c r="E18" s="6">
        <v>229311</v>
      </c>
      <c r="F18" s="7">
        <v>371.13985350000002</v>
      </c>
      <c r="G18" s="8">
        <v>2.6008607E-2</v>
      </c>
      <c r="H18" s="100"/>
    </row>
    <row r="19" spans="1:8" ht="25.5" x14ac:dyDescent="0.2">
      <c r="A19" s="4">
        <v>13</v>
      </c>
      <c r="B19" s="5" t="s">
        <v>23</v>
      </c>
      <c r="C19" s="5" t="s">
        <v>24</v>
      </c>
      <c r="D19" s="5" t="s">
        <v>25</v>
      </c>
      <c r="E19" s="6">
        <v>155079</v>
      </c>
      <c r="F19" s="7">
        <v>363.89287350000001</v>
      </c>
      <c r="G19" s="8">
        <v>2.5500755999999999E-2</v>
      </c>
      <c r="H19" s="100"/>
    </row>
    <row r="20" spans="1:8" x14ac:dyDescent="0.2">
      <c r="A20" s="4">
        <v>14</v>
      </c>
      <c r="B20" s="5" t="s">
        <v>658</v>
      </c>
      <c r="C20" s="5" t="s">
        <v>659</v>
      </c>
      <c r="D20" s="5" t="s">
        <v>53</v>
      </c>
      <c r="E20" s="6">
        <v>354433</v>
      </c>
      <c r="F20" s="7">
        <v>363.11660849999998</v>
      </c>
      <c r="G20" s="8">
        <v>2.5446356999999999E-2</v>
      </c>
      <c r="H20" s="100"/>
    </row>
    <row r="21" spans="1:8" x14ac:dyDescent="0.2">
      <c r="A21" s="4">
        <v>15</v>
      </c>
      <c r="B21" s="5" t="s">
        <v>212</v>
      </c>
      <c r="C21" s="5" t="s">
        <v>213</v>
      </c>
      <c r="D21" s="5" t="s">
        <v>38</v>
      </c>
      <c r="E21" s="6">
        <v>44408</v>
      </c>
      <c r="F21" s="7">
        <v>318.360952</v>
      </c>
      <c r="G21" s="8">
        <v>2.2309986E-2</v>
      </c>
      <c r="H21" s="100"/>
    </row>
    <row r="22" spans="1:8" ht="25.5" x14ac:dyDescent="0.2">
      <c r="A22" s="4">
        <v>16</v>
      </c>
      <c r="B22" s="5" t="s">
        <v>152</v>
      </c>
      <c r="C22" s="5" t="s">
        <v>153</v>
      </c>
      <c r="D22" s="5" t="s">
        <v>1001</v>
      </c>
      <c r="E22" s="6">
        <v>190655</v>
      </c>
      <c r="F22" s="7">
        <v>311.14895999999999</v>
      </c>
      <c r="G22" s="8">
        <v>2.1804587E-2</v>
      </c>
      <c r="H22" s="100"/>
    </row>
    <row r="23" spans="1:8" x14ac:dyDescent="0.2">
      <c r="A23" s="4">
        <v>17</v>
      </c>
      <c r="B23" s="5" t="s">
        <v>650</v>
      </c>
      <c r="C23" s="5" t="s">
        <v>651</v>
      </c>
      <c r="D23" s="5" t="s">
        <v>17</v>
      </c>
      <c r="E23" s="6">
        <v>341430</v>
      </c>
      <c r="F23" s="7">
        <v>310.18915500000003</v>
      </c>
      <c r="G23" s="8">
        <v>2.1737326000000001E-2</v>
      </c>
      <c r="H23" s="100"/>
    </row>
    <row r="24" spans="1:8" ht="25.5" x14ac:dyDescent="0.2">
      <c r="A24" s="4">
        <v>18</v>
      </c>
      <c r="B24" s="5" t="s">
        <v>67</v>
      </c>
      <c r="C24" s="5" t="s">
        <v>929</v>
      </c>
      <c r="D24" s="5" t="s">
        <v>25</v>
      </c>
      <c r="E24" s="6">
        <v>56690</v>
      </c>
      <c r="F24" s="7">
        <v>305.50241</v>
      </c>
      <c r="G24" s="8">
        <v>2.140889E-2</v>
      </c>
      <c r="H24" s="100"/>
    </row>
    <row r="25" spans="1:8" x14ac:dyDescent="0.2">
      <c r="A25" s="4">
        <v>19</v>
      </c>
      <c r="B25" s="5" t="s">
        <v>438</v>
      </c>
      <c r="C25" s="5" t="s">
        <v>390</v>
      </c>
      <c r="D25" s="5" t="s">
        <v>272</v>
      </c>
      <c r="E25" s="6">
        <v>169176</v>
      </c>
      <c r="F25" s="7">
        <v>296.05799999999999</v>
      </c>
      <c r="G25" s="8">
        <v>2.0747048000000001E-2</v>
      </c>
      <c r="H25" s="100"/>
    </row>
    <row r="26" spans="1:8" x14ac:dyDescent="0.2">
      <c r="A26" s="4">
        <v>20</v>
      </c>
      <c r="B26" s="5" t="s">
        <v>85</v>
      </c>
      <c r="C26" s="5" t="s">
        <v>86</v>
      </c>
      <c r="D26" s="5" t="s">
        <v>78</v>
      </c>
      <c r="E26" s="6">
        <v>122647</v>
      </c>
      <c r="F26" s="7">
        <v>294.29147649999999</v>
      </c>
      <c r="G26" s="8">
        <v>2.0623254000000001E-2</v>
      </c>
      <c r="H26" s="100"/>
    </row>
    <row r="27" spans="1:8" x14ac:dyDescent="0.2">
      <c r="A27" s="4">
        <v>21</v>
      </c>
      <c r="B27" s="5" t="s">
        <v>50</v>
      </c>
      <c r="C27" s="5" t="s">
        <v>51</v>
      </c>
      <c r="D27" s="5" t="s">
        <v>28</v>
      </c>
      <c r="E27" s="6">
        <v>32643</v>
      </c>
      <c r="F27" s="7">
        <v>288.71101349999998</v>
      </c>
      <c r="G27" s="8">
        <v>2.0232188000000002E-2</v>
      </c>
      <c r="H27" s="100"/>
    </row>
    <row r="28" spans="1:8" x14ac:dyDescent="0.2">
      <c r="A28" s="4">
        <v>22</v>
      </c>
      <c r="B28" s="5" t="s">
        <v>634</v>
      </c>
      <c r="C28" s="5" t="s">
        <v>635</v>
      </c>
      <c r="D28" s="5" t="s">
        <v>91</v>
      </c>
      <c r="E28" s="6">
        <v>96213</v>
      </c>
      <c r="F28" s="7">
        <v>282.7219005</v>
      </c>
      <c r="G28" s="8">
        <v>1.9812485000000001E-2</v>
      </c>
      <c r="H28" s="100"/>
    </row>
    <row r="29" spans="1:8" x14ac:dyDescent="0.2">
      <c r="A29" s="4">
        <v>23</v>
      </c>
      <c r="B29" s="5" t="s">
        <v>320</v>
      </c>
      <c r="C29" s="5" t="s">
        <v>321</v>
      </c>
      <c r="D29" s="5" t="s">
        <v>47</v>
      </c>
      <c r="E29" s="6">
        <v>58801</v>
      </c>
      <c r="F29" s="7">
        <v>259.60641500000003</v>
      </c>
      <c r="G29" s="8">
        <v>1.8192607E-2</v>
      </c>
      <c r="H29" s="100"/>
    </row>
    <row r="30" spans="1:8" x14ac:dyDescent="0.2">
      <c r="A30" s="4">
        <v>24</v>
      </c>
      <c r="B30" s="5" t="s">
        <v>413</v>
      </c>
      <c r="C30" s="5" t="s">
        <v>414</v>
      </c>
      <c r="D30" s="5" t="s">
        <v>47</v>
      </c>
      <c r="E30" s="6">
        <v>24230</v>
      </c>
      <c r="F30" s="7">
        <v>250.53819999999999</v>
      </c>
      <c r="G30" s="8">
        <v>1.7557126999999999E-2</v>
      </c>
      <c r="H30" s="100"/>
    </row>
    <row r="31" spans="1:8" x14ac:dyDescent="0.2">
      <c r="A31" s="4">
        <v>25</v>
      </c>
      <c r="B31" s="5" t="s">
        <v>516</v>
      </c>
      <c r="C31" s="5" t="s">
        <v>517</v>
      </c>
      <c r="D31" s="5" t="s">
        <v>156</v>
      </c>
      <c r="E31" s="6">
        <v>289100</v>
      </c>
      <c r="F31" s="7">
        <v>232.29185000000001</v>
      </c>
      <c r="G31" s="8">
        <v>1.6278465999999998E-2</v>
      </c>
      <c r="H31" s="100"/>
    </row>
    <row r="32" spans="1:8" x14ac:dyDescent="0.2">
      <c r="A32" s="4">
        <v>26</v>
      </c>
      <c r="B32" s="5" t="s">
        <v>593</v>
      </c>
      <c r="C32" s="5" t="s">
        <v>930</v>
      </c>
      <c r="D32" s="5" t="s">
        <v>594</v>
      </c>
      <c r="E32" s="6">
        <v>146319</v>
      </c>
      <c r="F32" s="7">
        <v>227.8918425</v>
      </c>
      <c r="G32" s="8">
        <v>1.5970123999999999E-2</v>
      </c>
      <c r="H32" s="100"/>
    </row>
    <row r="33" spans="1:8" x14ac:dyDescent="0.2">
      <c r="A33" s="4">
        <v>27</v>
      </c>
      <c r="B33" s="5" t="s">
        <v>83</v>
      </c>
      <c r="C33" s="5" t="s">
        <v>84</v>
      </c>
      <c r="D33" s="5" t="s">
        <v>28</v>
      </c>
      <c r="E33" s="6">
        <v>27142</v>
      </c>
      <c r="F33" s="7">
        <v>227.34139200000001</v>
      </c>
      <c r="G33" s="8">
        <v>1.5931549999999999E-2</v>
      </c>
      <c r="H33" s="100"/>
    </row>
    <row r="34" spans="1:8" x14ac:dyDescent="0.2">
      <c r="A34" s="4">
        <v>28</v>
      </c>
      <c r="B34" s="5" t="s">
        <v>270</v>
      </c>
      <c r="C34" s="5" t="s">
        <v>271</v>
      </c>
      <c r="D34" s="5" t="s">
        <v>272</v>
      </c>
      <c r="E34" s="6">
        <v>173000</v>
      </c>
      <c r="F34" s="7">
        <v>225.50550000000001</v>
      </c>
      <c r="G34" s="8">
        <v>1.5802895000000001E-2</v>
      </c>
      <c r="H34" s="100"/>
    </row>
    <row r="35" spans="1:8" x14ac:dyDescent="0.2">
      <c r="A35" s="4">
        <v>29</v>
      </c>
      <c r="B35" s="5" t="s">
        <v>475</v>
      </c>
      <c r="C35" s="5" t="s">
        <v>476</v>
      </c>
      <c r="D35" s="5" t="s">
        <v>17</v>
      </c>
      <c r="E35" s="6">
        <v>173130</v>
      </c>
      <c r="F35" s="7">
        <v>217.71097499999999</v>
      </c>
      <c r="G35" s="8">
        <v>1.5256673E-2</v>
      </c>
      <c r="H35" s="100"/>
    </row>
    <row r="36" spans="1:8" x14ac:dyDescent="0.2">
      <c r="A36" s="4">
        <v>30</v>
      </c>
      <c r="B36" s="5" t="s">
        <v>664</v>
      </c>
      <c r="C36" s="5" t="s">
        <v>665</v>
      </c>
      <c r="D36" s="5" t="s">
        <v>22</v>
      </c>
      <c r="E36" s="6">
        <v>22455</v>
      </c>
      <c r="F36" s="7">
        <v>209.94302250000001</v>
      </c>
      <c r="G36" s="8">
        <v>1.4712312999999999E-2</v>
      </c>
      <c r="H36" s="100"/>
    </row>
    <row r="37" spans="1:8" x14ac:dyDescent="0.2">
      <c r="A37" s="4">
        <v>31</v>
      </c>
      <c r="B37" s="5" t="s">
        <v>52</v>
      </c>
      <c r="C37" s="5" t="s">
        <v>931</v>
      </c>
      <c r="D37" s="5" t="s">
        <v>53</v>
      </c>
      <c r="E37" s="6">
        <v>207291</v>
      </c>
      <c r="F37" s="7">
        <v>204.90715349999999</v>
      </c>
      <c r="G37" s="8">
        <v>1.4359411000000001E-2</v>
      </c>
      <c r="H37" s="100"/>
    </row>
    <row r="38" spans="1:8" ht="25.5" x14ac:dyDescent="0.2">
      <c r="A38" s="4">
        <v>32</v>
      </c>
      <c r="B38" s="5" t="s">
        <v>421</v>
      </c>
      <c r="C38" s="5" t="s">
        <v>422</v>
      </c>
      <c r="D38" s="5" t="s">
        <v>73</v>
      </c>
      <c r="E38" s="6">
        <v>95000</v>
      </c>
      <c r="F38" s="7">
        <v>192.47</v>
      </c>
      <c r="G38" s="8">
        <v>1.3487845E-2</v>
      </c>
      <c r="H38" s="100"/>
    </row>
    <row r="39" spans="1:8" ht="25.5" x14ac:dyDescent="0.2">
      <c r="A39" s="4">
        <v>33</v>
      </c>
      <c r="B39" s="5" t="s">
        <v>506</v>
      </c>
      <c r="C39" s="5" t="s">
        <v>507</v>
      </c>
      <c r="D39" s="5" t="s">
        <v>25</v>
      </c>
      <c r="E39" s="6">
        <v>10132</v>
      </c>
      <c r="F39" s="7">
        <v>190.628514</v>
      </c>
      <c r="G39" s="8">
        <v>1.3358798E-2</v>
      </c>
      <c r="H39" s="100"/>
    </row>
    <row r="40" spans="1:8" x14ac:dyDescent="0.2">
      <c r="A40" s="4">
        <v>34</v>
      </c>
      <c r="B40" s="5" t="s">
        <v>514</v>
      </c>
      <c r="C40" s="5" t="s">
        <v>515</v>
      </c>
      <c r="D40" s="5" t="s">
        <v>188</v>
      </c>
      <c r="E40" s="6">
        <v>16170</v>
      </c>
      <c r="F40" s="7">
        <v>189.49623</v>
      </c>
      <c r="G40" s="8">
        <v>1.327945E-2</v>
      </c>
      <c r="H40" s="100"/>
    </row>
    <row r="41" spans="1:8" ht="25.5" x14ac:dyDescent="0.2">
      <c r="A41" s="4">
        <v>35</v>
      </c>
      <c r="B41" s="5" t="s">
        <v>233</v>
      </c>
      <c r="C41" s="5" t="s">
        <v>234</v>
      </c>
      <c r="D41" s="5" t="s">
        <v>1001</v>
      </c>
      <c r="E41" s="6">
        <v>63000</v>
      </c>
      <c r="F41" s="7">
        <v>177.97499999999999</v>
      </c>
      <c r="G41" s="8">
        <v>1.2472069000000001E-2</v>
      </c>
      <c r="H41" s="100"/>
    </row>
    <row r="42" spans="1:8" x14ac:dyDescent="0.2">
      <c r="A42" s="4">
        <v>36</v>
      </c>
      <c r="B42" s="5" t="s">
        <v>638</v>
      </c>
      <c r="C42" s="5" t="s">
        <v>639</v>
      </c>
      <c r="D42" s="5" t="s">
        <v>53</v>
      </c>
      <c r="E42" s="6">
        <v>67783</v>
      </c>
      <c r="F42" s="7">
        <v>149.15649149999999</v>
      </c>
      <c r="G42" s="8">
        <v>1.0452536E-2</v>
      </c>
      <c r="H42" s="100"/>
    </row>
    <row r="43" spans="1:8" x14ac:dyDescent="0.2">
      <c r="A43" s="4">
        <v>37</v>
      </c>
      <c r="B43" s="5" t="s">
        <v>407</v>
      </c>
      <c r="C43" s="5" t="s">
        <v>408</v>
      </c>
      <c r="D43" s="5" t="s">
        <v>193</v>
      </c>
      <c r="E43" s="6">
        <v>22605</v>
      </c>
      <c r="F43" s="7">
        <v>147.9384225</v>
      </c>
      <c r="G43" s="8">
        <v>1.0367176000000001E-2</v>
      </c>
      <c r="H43" s="100"/>
    </row>
    <row r="44" spans="1:8" x14ac:dyDescent="0.2">
      <c r="A44" s="4">
        <v>38</v>
      </c>
      <c r="B44" s="5" t="s">
        <v>698</v>
      </c>
      <c r="C44" s="5" t="s">
        <v>932</v>
      </c>
      <c r="D44" s="5" t="s">
        <v>22</v>
      </c>
      <c r="E44" s="6">
        <v>310000</v>
      </c>
      <c r="F44" s="7">
        <v>109.27500000000001</v>
      </c>
      <c r="G44" s="8">
        <v>7.6577349999999997E-3</v>
      </c>
      <c r="H44" s="100"/>
    </row>
    <row r="45" spans="1:8" x14ac:dyDescent="0.2">
      <c r="A45" s="4">
        <v>39</v>
      </c>
      <c r="B45" s="5" t="s">
        <v>662</v>
      </c>
      <c r="C45" s="5" t="s">
        <v>663</v>
      </c>
      <c r="D45" s="5" t="s">
        <v>22</v>
      </c>
      <c r="E45" s="6">
        <v>310000</v>
      </c>
      <c r="F45" s="7">
        <v>108.035</v>
      </c>
      <c r="G45" s="8">
        <v>7.5708390000000002E-3</v>
      </c>
      <c r="H45" s="100"/>
    </row>
    <row r="46" spans="1:8" x14ac:dyDescent="0.2">
      <c r="A46" s="4">
        <v>40</v>
      </c>
      <c r="B46" s="5" t="s">
        <v>284</v>
      </c>
      <c r="C46" s="5" t="s">
        <v>285</v>
      </c>
      <c r="D46" s="5" t="s">
        <v>1005</v>
      </c>
      <c r="E46" s="6">
        <v>405195</v>
      </c>
      <c r="F46" s="7">
        <v>101.703945</v>
      </c>
      <c r="G46" s="8">
        <v>7.1271729999999997E-3</v>
      </c>
      <c r="H46" s="100"/>
    </row>
    <row r="47" spans="1:8" x14ac:dyDescent="0.2">
      <c r="A47" s="4">
        <v>41</v>
      </c>
      <c r="B47" s="5" t="s">
        <v>716</v>
      </c>
      <c r="C47" s="5" t="s">
        <v>717</v>
      </c>
      <c r="D47" s="5" t="s">
        <v>156</v>
      </c>
      <c r="E47" s="6">
        <v>40386</v>
      </c>
      <c r="F47" s="7">
        <v>81.822035999999997</v>
      </c>
      <c r="G47" s="8">
        <v>5.7338959999999996E-3</v>
      </c>
      <c r="H47" s="100"/>
    </row>
    <row r="48" spans="1:8" x14ac:dyDescent="0.2">
      <c r="A48" s="15" t="s">
        <v>9</v>
      </c>
      <c r="B48" s="15" t="s">
        <v>9</v>
      </c>
      <c r="C48" s="3" t="s">
        <v>94</v>
      </c>
      <c r="D48" s="15" t="s">
        <v>9</v>
      </c>
      <c r="E48" s="15" t="s">
        <v>9</v>
      </c>
      <c r="F48" s="9">
        <v>13802.282863</v>
      </c>
      <c r="G48" s="10">
        <v>0.96723149900000005</v>
      </c>
      <c r="H48" s="100"/>
    </row>
    <row r="49" spans="1:8" x14ac:dyDescent="0.2">
      <c r="A49" s="15" t="s">
        <v>9</v>
      </c>
      <c r="B49" s="15" t="s">
        <v>9</v>
      </c>
      <c r="C49" s="11" t="s">
        <v>9</v>
      </c>
      <c r="D49" s="15" t="s">
        <v>9</v>
      </c>
      <c r="E49" s="15" t="s">
        <v>9</v>
      </c>
      <c r="F49" s="12" t="s">
        <v>9</v>
      </c>
      <c r="G49" s="12" t="s">
        <v>9</v>
      </c>
      <c r="H49" s="100"/>
    </row>
    <row r="50" spans="1:8" x14ac:dyDescent="0.2">
      <c r="A50" s="15" t="s">
        <v>9</v>
      </c>
      <c r="B50" s="15" t="s">
        <v>9</v>
      </c>
      <c r="C50" s="3" t="s">
        <v>95</v>
      </c>
      <c r="D50" s="15" t="s">
        <v>9</v>
      </c>
      <c r="E50" s="15" t="s">
        <v>9</v>
      </c>
      <c r="F50" s="15" t="s">
        <v>9</v>
      </c>
      <c r="G50" s="15" t="s">
        <v>9</v>
      </c>
      <c r="H50" s="100"/>
    </row>
    <row r="51" spans="1:8" x14ac:dyDescent="0.2">
      <c r="A51" s="15" t="s">
        <v>9</v>
      </c>
      <c r="B51" s="15" t="s">
        <v>9</v>
      </c>
      <c r="C51" s="3" t="s">
        <v>94</v>
      </c>
      <c r="D51" s="15" t="s">
        <v>9</v>
      </c>
      <c r="E51" s="15" t="s">
        <v>9</v>
      </c>
      <c r="F51" s="13">
        <v>0</v>
      </c>
      <c r="G51" s="14">
        <v>0</v>
      </c>
      <c r="H51" s="100"/>
    </row>
    <row r="52" spans="1:8" x14ac:dyDescent="0.2">
      <c r="A52" s="15" t="s">
        <v>9</v>
      </c>
      <c r="B52" s="15" t="s">
        <v>9</v>
      </c>
      <c r="C52" s="11" t="s">
        <v>9</v>
      </c>
      <c r="D52" s="15" t="s">
        <v>9</v>
      </c>
      <c r="E52" s="15" t="s">
        <v>9</v>
      </c>
      <c r="F52" s="12" t="s">
        <v>9</v>
      </c>
      <c r="G52" s="12" t="s">
        <v>9</v>
      </c>
      <c r="H52" s="100"/>
    </row>
    <row r="53" spans="1:8" x14ac:dyDescent="0.2">
      <c r="A53" s="15" t="s">
        <v>9</v>
      </c>
      <c r="B53" s="15" t="s">
        <v>9</v>
      </c>
      <c r="C53" s="3" t="s">
        <v>96</v>
      </c>
      <c r="D53" s="15" t="s">
        <v>9</v>
      </c>
      <c r="E53" s="15" t="s">
        <v>9</v>
      </c>
      <c r="F53" s="15" t="s">
        <v>9</v>
      </c>
      <c r="G53" s="15" t="s">
        <v>9</v>
      </c>
      <c r="H53" s="100"/>
    </row>
    <row r="54" spans="1:8" x14ac:dyDescent="0.2">
      <c r="A54" s="15" t="s">
        <v>9</v>
      </c>
      <c r="B54" s="15" t="s">
        <v>9</v>
      </c>
      <c r="C54" s="3" t="s">
        <v>94</v>
      </c>
      <c r="D54" s="15" t="s">
        <v>9</v>
      </c>
      <c r="E54" s="15" t="s">
        <v>9</v>
      </c>
      <c r="F54" s="13">
        <v>0</v>
      </c>
      <c r="G54" s="14">
        <v>0</v>
      </c>
      <c r="H54" s="100"/>
    </row>
    <row r="55" spans="1:8" x14ac:dyDescent="0.2">
      <c r="A55" s="15" t="s">
        <v>9</v>
      </c>
      <c r="B55" s="15" t="s">
        <v>9</v>
      </c>
      <c r="C55" s="11" t="s">
        <v>9</v>
      </c>
      <c r="D55" s="15" t="s">
        <v>9</v>
      </c>
      <c r="E55" s="15" t="s">
        <v>9</v>
      </c>
      <c r="F55" s="12" t="s">
        <v>9</v>
      </c>
      <c r="G55" s="12" t="s">
        <v>9</v>
      </c>
      <c r="H55" s="100"/>
    </row>
    <row r="56" spans="1:8" x14ac:dyDescent="0.2">
      <c r="A56" s="15" t="s">
        <v>9</v>
      </c>
      <c r="B56" s="15" t="s">
        <v>9</v>
      </c>
      <c r="C56" s="3" t="s">
        <v>100</v>
      </c>
      <c r="D56" s="15" t="s">
        <v>9</v>
      </c>
      <c r="E56" s="15" t="s">
        <v>9</v>
      </c>
      <c r="F56" s="15" t="s">
        <v>9</v>
      </c>
      <c r="G56" s="15" t="s">
        <v>9</v>
      </c>
      <c r="H56" s="100"/>
    </row>
    <row r="57" spans="1:8" x14ac:dyDescent="0.2">
      <c r="A57" s="15" t="s">
        <v>9</v>
      </c>
      <c r="B57" s="15" t="s">
        <v>9</v>
      </c>
      <c r="C57" s="3" t="s">
        <v>94</v>
      </c>
      <c r="D57" s="15" t="s">
        <v>9</v>
      </c>
      <c r="E57" s="15" t="s">
        <v>9</v>
      </c>
      <c r="F57" s="13">
        <v>0</v>
      </c>
      <c r="G57" s="14">
        <v>0</v>
      </c>
      <c r="H57" s="100"/>
    </row>
    <row r="58" spans="1:8" x14ac:dyDescent="0.2">
      <c r="A58" s="15" t="s">
        <v>9</v>
      </c>
      <c r="B58" s="15" t="s">
        <v>9</v>
      </c>
      <c r="C58" s="11" t="s">
        <v>9</v>
      </c>
      <c r="D58" s="15" t="s">
        <v>9</v>
      </c>
      <c r="E58" s="15" t="s">
        <v>9</v>
      </c>
      <c r="F58" s="12" t="s">
        <v>9</v>
      </c>
      <c r="G58" s="12" t="s">
        <v>9</v>
      </c>
      <c r="H58" s="100"/>
    </row>
    <row r="59" spans="1:8" x14ac:dyDescent="0.2">
      <c r="A59" s="15" t="s">
        <v>9</v>
      </c>
      <c r="B59" s="15" t="s">
        <v>9</v>
      </c>
      <c r="C59" s="3" t="s">
        <v>101</v>
      </c>
      <c r="D59" s="15" t="s">
        <v>9</v>
      </c>
      <c r="E59" s="15" t="s">
        <v>9</v>
      </c>
      <c r="F59" s="12" t="s">
        <v>9</v>
      </c>
      <c r="G59" s="12" t="s">
        <v>9</v>
      </c>
      <c r="H59" s="100"/>
    </row>
    <row r="60" spans="1:8" ht="25.5" x14ac:dyDescent="0.2">
      <c r="A60" s="4">
        <v>1</v>
      </c>
      <c r="B60" s="5" t="s">
        <v>970</v>
      </c>
      <c r="C60" s="5" t="s">
        <v>971</v>
      </c>
      <c r="D60" s="5" t="s">
        <v>156</v>
      </c>
      <c r="E60" s="6">
        <v>21600</v>
      </c>
      <c r="F60" s="7">
        <v>158.99760000000001</v>
      </c>
      <c r="G60" s="8">
        <v>1.114218E-2</v>
      </c>
      <c r="H60" s="100"/>
    </row>
    <row r="61" spans="1:8" x14ac:dyDescent="0.2">
      <c r="A61" s="15" t="s">
        <v>9</v>
      </c>
      <c r="B61" s="15" t="s">
        <v>9</v>
      </c>
      <c r="C61" s="3" t="s">
        <v>94</v>
      </c>
      <c r="D61" s="15" t="s">
        <v>9</v>
      </c>
      <c r="E61" s="15" t="s">
        <v>9</v>
      </c>
      <c r="F61" s="13">
        <f>SUM(F60)</f>
        <v>158.99760000000001</v>
      </c>
      <c r="G61" s="14">
        <f>SUM(G60)</f>
        <v>1.114218E-2</v>
      </c>
      <c r="H61" s="100"/>
    </row>
    <row r="62" spans="1:8" x14ac:dyDescent="0.2">
      <c r="A62" s="15" t="s">
        <v>9</v>
      </c>
      <c r="B62" s="15" t="s">
        <v>9</v>
      </c>
      <c r="C62" s="11" t="s">
        <v>9</v>
      </c>
      <c r="D62" s="15" t="s">
        <v>9</v>
      </c>
      <c r="E62" s="15" t="s">
        <v>9</v>
      </c>
      <c r="F62" s="12" t="s">
        <v>9</v>
      </c>
      <c r="G62" s="12" t="s">
        <v>9</v>
      </c>
      <c r="H62" s="100"/>
    </row>
    <row r="63" spans="1:8" x14ac:dyDescent="0.2">
      <c r="A63" s="15" t="s">
        <v>9</v>
      </c>
      <c r="B63" s="15" t="s">
        <v>9</v>
      </c>
      <c r="C63" s="3" t="s">
        <v>102</v>
      </c>
      <c r="D63" s="15" t="s">
        <v>9</v>
      </c>
      <c r="E63" s="15" t="s">
        <v>9</v>
      </c>
      <c r="F63" s="12" t="s">
        <v>9</v>
      </c>
      <c r="G63" s="12" t="s">
        <v>9</v>
      </c>
      <c r="H63" s="100"/>
    </row>
    <row r="64" spans="1:8" x14ac:dyDescent="0.2">
      <c r="A64" s="15" t="s">
        <v>9</v>
      </c>
      <c r="B64" s="15" t="s">
        <v>9</v>
      </c>
      <c r="C64" s="3" t="s">
        <v>94</v>
      </c>
      <c r="D64" s="15" t="s">
        <v>9</v>
      </c>
      <c r="E64" s="15" t="s">
        <v>9</v>
      </c>
      <c r="F64" s="13">
        <v>0</v>
      </c>
      <c r="G64" s="14">
        <v>0</v>
      </c>
      <c r="H64" s="100"/>
    </row>
    <row r="65" spans="1:8" x14ac:dyDescent="0.2">
      <c r="A65" s="15" t="s">
        <v>9</v>
      </c>
      <c r="B65" s="15" t="s">
        <v>9</v>
      </c>
      <c r="C65" s="11" t="s">
        <v>9</v>
      </c>
      <c r="D65" s="15" t="s">
        <v>9</v>
      </c>
      <c r="E65" s="15" t="s">
        <v>9</v>
      </c>
      <c r="F65" s="12" t="s">
        <v>9</v>
      </c>
      <c r="G65" s="12" t="s">
        <v>9</v>
      </c>
      <c r="H65" s="100"/>
    </row>
    <row r="66" spans="1:8" x14ac:dyDescent="0.2">
      <c r="A66" s="15" t="s">
        <v>9</v>
      </c>
      <c r="B66" s="15" t="s">
        <v>9</v>
      </c>
      <c r="C66" s="3" t="s">
        <v>104</v>
      </c>
      <c r="D66" s="15" t="s">
        <v>9</v>
      </c>
      <c r="E66" s="15" t="s">
        <v>9</v>
      </c>
      <c r="F66" s="9">
        <f>+F61+F48</f>
        <v>13961.280463000001</v>
      </c>
      <c r="G66" s="10">
        <f>+G61+G48</f>
        <v>0.97837367900000005</v>
      </c>
      <c r="H66" s="100"/>
    </row>
    <row r="67" spans="1:8" x14ac:dyDescent="0.2">
      <c r="A67" s="15" t="s">
        <v>9</v>
      </c>
      <c r="B67" s="15" t="s">
        <v>9</v>
      </c>
      <c r="C67" s="11" t="s">
        <v>9</v>
      </c>
      <c r="D67" s="15" t="s">
        <v>9</v>
      </c>
      <c r="E67" s="15" t="s">
        <v>9</v>
      </c>
      <c r="F67" s="12" t="s">
        <v>9</v>
      </c>
      <c r="G67" s="12" t="s">
        <v>9</v>
      </c>
      <c r="H67" s="100"/>
    </row>
    <row r="68" spans="1:8" x14ac:dyDescent="0.2">
      <c r="A68" s="15" t="s">
        <v>9</v>
      </c>
      <c r="B68" s="15" t="s">
        <v>9</v>
      </c>
      <c r="C68" s="3" t="s">
        <v>105</v>
      </c>
      <c r="D68" s="15" t="s">
        <v>9</v>
      </c>
      <c r="E68" s="15" t="s">
        <v>9</v>
      </c>
      <c r="F68" s="12" t="s">
        <v>9</v>
      </c>
      <c r="G68" s="12" t="s">
        <v>9</v>
      </c>
      <c r="H68" s="100"/>
    </row>
    <row r="69" spans="1:8" ht="25.5" x14ac:dyDescent="0.2">
      <c r="A69" s="15" t="s">
        <v>9</v>
      </c>
      <c r="B69" s="15" t="s">
        <v>9</v>
      </c>
      <c r="C69" s="3" t="s">
        <v>11</v>
      </c>
      <c r="D69" s="15" t="s">
        <v>9</v>
      </c>
      <c r="E69" s="15" t="s">
        <v>9</v>
      </c>
      <c r="F69" s="12" t="s">
        <v>9</v>
      </c>
      <c r="G69" s="12" t="s">
        <v>9</v>
      </c>
      <c r="H69" s="100"/>
    </row>
    <row r="70" spans="1:8" x14ac:dyDescent="0.2">
      <c r="A70" s="15" t="s">
        <v>9</v>
      </c>
      <c r="B70" s="15" t="s">
        <v>9</v>
      </c>
      <c r="C70" s="3" t="s">
        <v>94</v>
      </c>
      <c r="D70" s="15" t="s">
        <v>9</v>
      </c>
      <c r="E70" s="15" t="s">
        <v>9</v>
      </c>
      <c r="F70" s="13">
        <v>0</v>
      </c>
      <c r="G70" s="14">
        <v>0</v>
      </c>
      <c r="H70" s="100"/>
    </row>
    <row r="71" spans="1:8" x14ac:dyDescent="0.2">
      <c r="A71" s="15" t="s">
        <v>9</v>
      </c>
      <c r="B71" s="15" t="s">
        <v>9</v>
      </c>
      <c r="C71" s="11" t="s">
        <v>9</v>
      </c>
      <c r="D71" s="15" t="s">
        <v>9</v>
      </c>
      <c r="E71" s="15" t="s">
        <v>9</v>
      </c>
      <c r="F71" s="12" t="s">
        <v>9</v>
      </c>
      <c r="G71" s="12" t="s">
        <v>9</v>
      </c>
      <c r="H71" s="100"/>
    </row>
    <row r="72" spans="1:8" x14ac:dyDescent="0.2">
      <c r="A72" s="15" t="s">
        <v>9</v>
      </c>
      <c r="B72" s="15" t="s">
        <v>9</v>
      </c>
      <c r="C72" s="3" t="s">
        <v>106</v>
      </c>
      <c r="D72" s="15" t="s">
        <v>9</v>
      </c>
      <c r="E72" s="15" t="s">
        <v>9</v>
      </c>
      <c r="F72" s="15" t="s">
        <v>9</v>
      </c>
      <c r="G72" s="15" t="s">
        <v>9</v>
      </c>
      <c r="H72" s="100"/>
    </row>
    <row r="73" spans="1:8" x14ac:dyDescent="0.2">
      <c r="A73" s="15" t="s">
        <v>9</v>
      </c>
      <c r="B73" s="15" t="s">
        <v>9</v>
      </c>
      <c r="C73" s="3" t="s">
        <v>94</v>
      </c>
      <c r="D73" s="15" t="s">
        <v>9</v>
      </c>
      <c r="E73" s="15" t="s">
        <v>9</v>
      </c>
      <c r="F73" s="13">
        <v>0</v>
      </c>
      <c r="G73" s="14">
        <v>0</v>
      </c>
      <c r="H73" s="100"/>
    </row>
    <row r="74" spans="1:8" x14ac:dyDescent="0.2">
      <c r="A74" s="15" t="s">
        <v>9</v>
      </c>
      <c r="B74" s="15" t="s">
        <v>9</v>
      </c>
      <c r="C74" s="11" t="s">
        <v>9</v>
      </c>
      <c r="D74" s="15" t="s">
        <v>9</v>
      </c>
      <c r="E74" s="15" t="s">
        <v>9</v>
      </c>
      <c r="F74" s="12" t="s">
        <v>9</v>
      </c>
      <c r="G74" s="12" t="s">
        <v>9</v>
      </c>
      <c r="H74" s="100"/>
    </row>
    <row r="75" spans="1:8" x14ac:dyDescent="0.2">
      <c r="A75" s="15" t="s">
        <v>9</v>
      </c>
      <c r="B75" s="15" t="s">
        <v>9</v>
      </c>
      <c r="C75" s="3" t="s">
        <v>107</v>
      </c>
      <c r="D75" s="15" t="s">
        <v>9</v>
      </c>
      <c r="E75" s="15" t="s">
        <v>9</v>
      </c>
      <c r="F75" s="15" t="s">
        <v>9</v>
      </c>
      <c r="G75" s="15" t="s">
        <v>9</v>
      </c>
      <c r="H75" s="100"/>
    </row>
    <row r="76" spans="1:8" x14ac:dyDescent="0.2">
      <c r="A76" s="15" t="s">
        <v>9</v>
      </c>
      <c r="B76" s="15" t="s">
        <v>9</v>
      </c>
      <c r="C76" s="3" t="s">
        <v>94</v>
      </c>
      <c r="D76" s="15" t="s">
        <v>9</v>
      </c>
      <c r="E76" s="15" t="s">
        <v>9</v>
      </c>
      <c r="F76" s="13">
        <v>0</v>
      </c>
      <c r="G76" s="14">
        <v>0</v>
      </c>
      <c r="H76" s="100"/>
    </row>
    <row r="77" spans="1:8" x14ac:dyDescent="0.2">
      <c r="A77" s="15" t="s">
        <v>9</v>
      </c>
      <c r="B77" s="15" t="s">
        <v>9</v>
      </c>
      <c r="C77" s="11" t="s">
        <v>9</v>
      </c>
      <c r="D77" s="15" t="s">
        <v>9</v>
      </c>
      <c r="E77" s="15" t="s">
        <v>9</v>
      </c>
      <c r="F77" s="12" t="s">
        <v>9</v>
      </c>
      <c r="G77" s="12" t="s">
        <v>9</v>
      </c>
      <c r="H77" s="100"/>
    </row>
    <row r="78" spans="1:8" x14ac:dyDescent="0.2">
      <c r="A78" s="15" t="s">
        <v>9</v>
      </c>
      <c r="B78" s="15" t="s">
        <v>9</v>
      </c>
      <c r="C78" s="3" t="s">
        <v>108</v>
      </c>
      <c r="D78" s="15" t="s">
        <v>9</v>
      </c>
      <c r="E78" s="15" t="s">
        <v>9</v>
      </c>
      <c r="F78" s="12" t="s">
        <v>9</v>
      </c>
      <c r="G78" s="12" t="s">
        <v>9</v>
      </c>
      <c r="H78" s="100"/>
    </row>
    <row r="79" spans="1:8" x14ac:dyDescent="0.2">
      <c r="A79" s="15" t="s">
        <v>9</v>
      </c>
      <c r="B79" s="15" t="s">
        <v>9</v>
      </c>
      <c r="C79" s="3" t="s">
        <v>94</v>
      </c>
      <c r="D79" s="15" t="s">
        <v>9</v>
      </c>
      <c r="E79" s="15" t="s">
        <v>9</v>
      </c>
      <c r="F79" s="13">
        <v>0</v>
      </c>
      <c r="G79" s="14">
        <v>0</v>
      </c>
      <c r="H79" s="100"/>
    </row>
    <row r="80" spans="1:8" x14ac:dyDescent="0.2">
      <c r="A80" s="15" t="s">
        <v>9</v>
      </c>
      <c r="B80" s="15" t="s">
        <v>9</v>
      </c>
      <c r="C80" s="11" t="s">
        <v>9</v>
      </c>
      <c r="D80" s="15" t="s">
        <v>9</v>
      </c>
      <c r="E80" s="15" t="s">
        <v>9</v>
      </c>
      <c r="F80" s="12" t="s">
        <v>9</v>
      </c>
      <c r="G80" s="12" t="s">
        <v>9</v>
      </c>
      <c r="H80" s="100"/>
    </row>
    <row r="81" spans="1:8" x14ac:dyDescent="0.2">
      <c r="A81" s="15" t="s">
        <v>9</v>
      </c>
      <c r="B81" s="15" t="s">
        <v>9</v>
      </c>
      <c r="C81" s="3" t="s">
        <v>109</v>
      </c>
      <c r="D81" s="15" t="s">
        <v>9</v>
      </c>
      <c r="E81" s="15" t="s">
        <v>9</v>
      </c>
      <c r="F81" s="9">
        <v>0</v>
      </c>
      <c r="G81" s="10">
        <v>0</v>
      </c>
      <c r="H81" s="100"/>
    </row>
    <row r="82" spans="1:8" x14ac:dyDescent="0.2">
      <c r="A82" s="15" t="s">
        <v>9</v>
      </c>
      <c r="B82" s="15" t="s">
        <v>9</v>
      </c>
      <c r="C82" s="11" t="s">
        <v>9</v>
      </c>
      <c r="D82" s="15" t="s">
        <v>9</v>
      </c>
      <c r="E82" s="15" t="s">
        <v>9</v>
      </c>
      <c r="F82" s="12" t="s">
        <v>9</v>
      </c>
      <c r="G82" s="12" t="s">
        <v>9</v>
      </c>
      <c r="H82" s="100"/>
    </row>
    <row r="83" spans="1:8" x14ac:dyDescent="0.2">
      <c r="A83" s="15" t="s">
        <v>9</v>
      </c>
      <c r="B83" s="15" t="s">
        <v>9</v>
      </c>
      <c r="C83" s="3" t="s">
        <v>110</v>
      </c>
      <c r="D83" s="15" t="s">
        <v>9</v>
      </c>
      <c r="E83" s="15" t="s">
        <v>9</v>
      </c>
      <c r="F83" s="12" t="s">
        <v>9</v>
      </c>
      <c r="G83" s="12" t="s">
        <v>9</v>
      </c>
      <c r="H83" s="100"/>
    </row>
    <row r="84" spans="1:8" x14ac:dyDescent="0.2">
      <c r="A84" s="15" t="s">
        <v>9</v>
      </c>
      <c r="B84" s="15" t="s">
        <v>9</v>
      </c>
      <c r="C84" s="3" t="s">
        <v>111</v>
      </c>
      <c r="D84" s="15" t="s">
        <v>9</v>
      </c>
      <c r="E84" s="15" t="s">
        <v>9</v>
      </c>
      <c r="F84" s="12" t="s">
        <v>9</v>
      </c>
      <c r="G84" s="12" t="s">
        <v>9</v>
      </c>
      <c r="H84" s="100"/>
    </row>
    <row r="85" spans="1:8" x14ac:dyDescent="0.2">
      <c r="A85" s="15" t="s">
        <v>9</v>
      </c>
      <c r="B85" s="15" t="s">
        <v>9</v>
      </c>
      <c r="C85" s="3" t="s">
        <v>94</v>
      </c>
      <c r="D85" s="15" t="s">
        <v>9</v>
      </c>
      <c r="E85" s="15" t="s">
        <v>9</v>
      </c>
      <c r="F85" s="13">
        <v>0</v>
      </c>
      <c r="G85" s="14">
        <v>0</v>
      </c>
      <c r="H85" s="100"/>
    </row>
    <row r="86" spans="1:8" x14ac:dyDescent="0.2">
      <c r="A86" s="15" t="s">
        <v>9</v>
      </c>
      <c r="B86" s="15" t="s">
        <v>9</v>
      </c>
      <c r="C86" s="11" t="s">
        <v>9</v>
      </c>
      <c r="D86" s="15" t="s">
        <v>9</v>
      </c>
      <c r="E86" s="15" t="s">
        <v>9</v>
      </c>
      <c r="F86" s="12" t="s">
        <v>9</v>
      </c>
      <c r="G86" s="12" t="s">
        <v>9</v>
      </c>
      <c r="H86" s="100"/>
    </row>
    <row r="87" spans="1:8" x14ac:dyDescent="0.2">
      <c r="A87" s="15" t="s">
        <v>9</v>
      </c>
      <c r="B87" s="15" t="s">
        <v>9</v>
      </c>
      <c r="C87" s="3" t="s">
        <v>112</v>
      </c>
      <c r="D87" s="15" t="s">
        <v>9</v>
      </c>
      <c r="E87" s="15" t="s">
        <v>9</v>
      </c>
      <c r="F87" s="12" t="s">
        <v>9</v>
      </c>
      <c r="G87" s="12" t="s">
        <v>9</v>
      </c>
      <c r="H87" s="100"/>
    </row>
    <row r="88" spans="1:8" x14ac:dyDescent="0.2">
      <c r="A88" s="15" t="s">
        <v>9</v>
      </c>
      <c r="B88" s="15" t="s">
        <v>9</v>
      </c>
      <c r="C88" s="3" t="s">
        <v>94</v>
      </c>
      <c r="D88" s="15" t="s">
        <v>9</v>
      </c>
      <c r="E88" s="15" t="s">
        <v>9</v>
      </c>
      <c r="F88" s="13">
        <v>0</v>
      </c>
      <c r="G88" s="14">
        <v>0</v>
      </c>
      <c r="H88" s="100"/>
    </row>
    <row r="89" spans="1:8" x14ac:dyDescent="0.2">
      <c r="A89" s="15" t="s">
        <v>9</v>
      </c>
      <c r="B89" s="15" t="s">
        <v>9</v>
      </c>
      <c r="C89" s="11" t="s">
        <v>9</v>
      </c>
      <c r="D89" s="15" t="s">
        <v>9</v>
      </c>
      <c r="E89" s="15" t="s">
        <v>9</v>
      </c>
      <c r="F89" s="12" t="s">
        <v>9</v>
      </c>
      <c r="G89" s="12" t="s">
        <v>9</v>
      </c>
      <c r="H89" s="100"/>
    </row>
    <row r="90" spans="1:8" x14ac:dyDescent="0.2">
      <c r="A90" s="15" t="s">
        <v>9</v>
      </c>
      <c r="B90" s="15" t="s">
        <v>9</v>
      </c>
      <c r="C90" s="3" t="s">
        <v>113</v>
      </c>
      <c r="D90" s="15" t="s">
        <v>9</v>
      </c>
      <c r="E90" s="15" t="s">
        <v>9</v>
      </c>
      <c r="F90" s="12" t="s">
        <v>9</v>
      </c>
      <c r="G90" s="12" t="s">
        <v>9</v>
      </c>
      <c r="H90" s="100"/>
    </row>
    <row r="91" spans="1:8" x14ac:dyDescent="0.2">
      <c r="A91" s="15" t="s">
        <v>9</v>
      </c>
      <c r="B91" s="15" t="s">
        <v>9</v>
      </c>
      <c r="C91" s="3" t="s">
        <v>94</v>
      </c>
      <c r="D91" s="15" t="s">
        <v>9</v>
      </c>
      <c r="E91" s="15" t="s">
        <v>9</v>
      </c>
      <c r="F91" s="13">
        <v>0</v>
      </c>
      <c r="G91" s="14">
        <v>0</v>
      </c>
      <c r="H91" s="100"/>
    </row>
    <row r="92" spans="1:8" x14ac:dyDescent="0.2">
      <c r="A92" s="15" t="s">
        <v>9</v>
      </c>
      <c r="B92" s="15" t="s">
        <v>9</v>
      </c>
      <c r="C92" s="11" t="s">
        <v>9</v>
      </c>
      <c r="D92" s="15" t="s">
        <v>9</v>
      </c>
      <c r="E92" s="15" t="s">
        <v>9</v>
      </c>
      <c r="F92" s="12" t="s">
        <v>9</v>
      </c>
      <c r="G92" s="12" t="s">
        <v>9</v>
      </c>
      <c r="H92" s="100"/>
    </row>
    <row r="93" spans="1:8" x14ac:dyDescent="0.2">
      <c r="A93" s="15" t="s">
        <v>9</v>
      </c>
      <c r="B93" s="15" t="s">
        <v>9</v>
      </c>
      <c r="C93" s="3" t="s">
        <v>114</v>
      </c>
      <c r="D93" s="15" t="s">
        <v>9</v>
      </c>
      <c r="E93" s="15" t="s">
        <v>9</v>
      </c>
      <c r="F93" s="12" t="s">
        <v>9</v>
      </c>
      <c r="G93" s="12" t="s">
        <v>9</v>
      </c>
      <c r="H93" s="100"/>
    </row>
    <row r="94" spans="1:8" x14ac:dyDescent="0.2">
      <c r="A94" s="4">
        <v>1</v>
      </c>
      <c r="B94" s="5"/>
      <c r="C94" s="5" t="s">
        <v>115</v>
      </c>
      <c r="D94" s="5"/>
      <c r="E94" s="15" t="s">
        <v>9</v>
      </c>
      <c r="F94" s="7">
        <v>274.52882940000001</v>
      </c>
      <c r="G94" s="8">
        <v>1.9238333999999999E-2</v>
      </c>
      <c r="H94" s="99">
        <v>3.2516689338443991</v>
      </c>
    </row>
    <row r="95" spans="1:8" x14ac:dyDescent="0.2">
      <c r="A95" s="4">
        <v>2</v>
      </c>
      <c r="B95" s="5"/>
      <c r="C95" s="5" t="s">
        <v>116</v>
      </c>
      <c r="D95" s="5"/>
      <c r="E95" s="15" t="s">
        <v>9</v>
      </c>
      <c r="F95" s="7">
        <v>37.612946600000001</v>
      </c>
      <c r="G95" s="8">
        <v>2.6358269999999999E-3</v>
      </c>
      <c r="H95" s="100">
        <v>3.350000000000001</v>
      </c>
    </row>
    <row r="96" spans="1:8" x14ac:dyDescent="0.2">
      <c r="A96" s="15" t="s">
        <v>9</v>
      </c>
      <c r="B96" s="15" t="s">
        <v>9</v>
      </c>
      <c r="C96" s="3" t="s">
        <v>94</v>
      </c>
      <c r="D96" s="15" t="s">
        <v>9</v>
      </c>
      <c r="E96" s="15" t="s">
        <v>9</v>
      </c>
      <c r="F96" s="9">
        <v>312.14177599999999</v>
      </c>
      <c r="G96" s="10">
        <v>2.1874161E-2</v>
      </c>
      <c r="H96" s="100"/>
    </row>
    <row r="97" spans="1:8" x14ac:dyDescent="0.2">
      <c r="A97" s="15" t="s">
        <v>9</v>
      </c>
      <c r="B97" s="15" t="s">
        <v>9</v>
      </c>
      <c r="C97" s="11" t="s">
        <v>9</v>
      </c>
      <c r="D97" s="15" t="s">
        <v>9</v>
      </c>
      <c r="E97" s="15" t="s">
        <v>9</v>
      </c>
      <c r="F97" s="12" t="s">
        <v>9</v>
      </c>
      <c r="G97" s="12" t="s">
        <v>9</v>
      </c>
      <c r="H97" s="100"/>
    </row>
    <row r="98" spans="1:8" x14ac:dyDescent="0.2">
      <c r="A98" s="15" t="s">
        <v>9</v>
      </c>
      <c r="B98" s="15" t="s">
        <v>9</v>
      </c>
      <c r="C98" s="3" t="s">
        <v>117</v>
      </c>
      <c r="D98" s="15" t="s">
        <v>9</v>
      </c>
      <c r="E98" s="15" t="s">
        <v>9</v>
      </c>
      <c r="F98" s="9">
        <v>312.14177599999999</v>
      </c>
      <c r="G98" s="10">
        <v>2.1874161E-2</v>
      </c>
      <c r="H98" s="100"/>
    </row>
    <row r="99" spans="1:8" x14ac:dyDescent="0.2">
      <c r="A99" s="15" t="s">
        <v>9</v>
      </c>
      <c r="B99" s="15" t="s">
        <v>9</v>
      </c>
      <c r="C99" s="12" t="s">
        <v>9</v>
      </c>
      <c r="D99" s="15" t="s">
        <v>9</v>
      </c>
      <c r="E99" s="15" t="s">
        <v>9</v>
      </c>
      <c r="F99" s="15" t="s">
        <v>9</v>
      </c>
      <c r="G99" s="15" t="s">
        <v>9</v>
      </c>
      <c r="H99" s="100"/>
    </row>
    <row r="100" spans="1:8" x14ac:dyDescent="0.2">
      <c r="A100" s="15" t="s">
        <v>9</v>
      </c>
      <c r="B100" s="15" t="s">
        <v>9</v>
      </c>
      <c r="C100" s="3" t="s">
        <v>118</v>
      </c>
      <c r="D100" s="15" t="s">
        <v>9</v>
      </c>
      <c r="E100" s="15" t="s">
        <v>9</v>
      </c>
      <c r="F100" s="15" t="s">
        <v>9</v>
      </c>
      <c r="G100" s="15" t="s">
        <v>9</v>
      </c>
      <c r="H100" s="100"/>
    </row>
    <row r="101" spans="1:8" x14ac:dyDescent="0.2">
      <c r="A101" s="15" t="s">
        <v>9</v>
      </c>
      <c r="B101" s="15" t="s">
        <v>9</v>
      </c>
      <c r="C101" s="3" t="s">
        <v>119</v>
      </c>
      <c r="D101" s="15" t="s">
        <v>9</v>
      </c>
      <c r="E101" s="15" t="s">
        <v>9</v>
      </c>
      <c r="F101" s="15" t="s">
        <v>9</v>
      </c>
      <c r="G101" s="15" t="s">
        <v>9</v>
      </c>
      <c r="H101" s="100"/>
    </row>
    <row r="102" spans="1:8" x14ac:dyDescent="0.2">
      <c r="A102" s="15" t="s">
        <v>9</v>
      </c>
      <c r="B102" s="15" t="s">
        <v>9</v>
      </c>
      <c r="C102" s="3" t="s">
        <v>94</v>
      </c>
      <c r="D102" s="15" t="s">
        <v>9</v>
      </c>
      <c r="E102" s="15" t="s">
        <v>9</v>
      </c>
      <c r="F102" s="13">
        <v>0</v>
      </c>
      <c r="G102" s="14">
        <v>0</v>
      </c>
      <c r="H102" s="100"/>
    </row>
    <row r="103" spans="1:8" x14ac:dyDescent="0.2">
      <c r="A103" s="15" t="s">
        <v>9</v>
      </c>
      <c r="B103" s="15" t="s">
        <v>9</v>
      </c>
      <c r="C103" s="11" t="s">
        <v>9</v>
      </c>
      <c r="D103" s="15" t="s">
        <v>9</v>
      </c>
      <c r="E103" s="15" t="s">
        <v>9</v>
      </c>
      <c r="F103" s="12" t="s">
        <v>9</v>
      </c>
      <c r="G103" s="12" t="s">
        <v>9</v>
      </c>
      <c r="H103" s="100"/>
    </row>
    <row r="104" spans="1:8" x14ac:dyDescent="0.2">
      <c r="A104" s="15" t="s">
        <v>9</v>
      </c>
      <c r="B104" s="15" t="s">
        <v>9</v>
      </c>
      <c r="C104" s="3" t="s">
        <v>120</v>
      </c>
      <c r="D104" s="15" t="s">
        <v>9</v>
      </c>
      <c r="E104" s="15" t="s">
        <v>9</v>
      </c>
      <c r="F104" s="15" t="s">
        <v>9</v>
      </c>
      <c r="G104" s="15" t="s">
        <v>9</v>
      </c>
      <c r="H104" s="100"/>
    </row>
    <row r="105" spans="1:8" x14ac:dyDescent="0.2">
      <c r="A105" s="15" t="s">
        <v>9</v>
      </c>
      <c r="B105" s="15" t="s">
        <v>9</v>
      </c>
      <c r="C105" s="3" t="s">
        <v>121</v>
      </c>
      <c r="D105" s="15" t="s">
        <v>9</v>
      </c>
      <c r="E105" s="15" t="s">
        <v>9</v>
      </c>
      <c r="F105" s="15" t="s">
        <v>9</v>
      </c>
      <c r="G105" s="15" t="s">
        <v>9</v>
      </c>
      <c r="H105" s="100"/>
    </row>
    <row r="106" spans="1:8" x14ac:dyDescent="0.2">
      <c r="A106" s="15" t="s">
        <v>9</v>
      </c>
      <c r="B106" s="15" t="s">
        <v>9</v>
      </c>
      <c r="C106" s="3" t="s">
        <v>94</v>
      </c>
      <c r="D106" s="15" t="s">
        <v>9</v>
      </c>
      <c r="E106" s="15" t="s">
        <v>9</v>
      </c>
      <c r="F106" s="13">
        <v>0</v>
      </c>
      <c r="G106" s="14">
        <v>0</v>
      </c>
      <c r="H106" s="100"/>
    </row>
    <row r="107" spans="1:8" x14ac:dyDescent="0.2">
      <c r="A107" s="15" t="s">
        <v>9</v>
      </c>
      <c r="B107" s="15" t="s">
        <v>9</v>
      </c>
      <c r="C107" s="11" t="s">
        <v>9</v>
      </c>
      <c r="D107" s="15" t="s">
        <v>9</v>
      </c>
      <c r="E107" s="15" t="s">
        <v>9</v>
      </c>
      <c r="F107" s="12" t="s">
        <v>9</v>
      </c>
      <c r="G107" s="12" t="s">
        <v>9</v>
      </c>
      <c r="H107" s="100"/>
    </row>
    <row r="108" spans="1:8" x14ac:dyDescent="0.2">
      <c r="A108" s="15" t="s">
        <v>9</v>
      </c>
      <c r="B108" s="15" t="s">
        <v>9</v>
      </c>
      <c r="C108" s="11" t="s">
        <v>9</v>
      </c>
      <c r="D108" s="15" t="s">
        <v>9</v>
      </c>
      <c r="E108" s="15" t="s">
        <v>9</v>
      </c>
      <c r="F108" s="12" t="s">
        <v>9</v>
      </c>
      <c r="G108" s="12" t="s">
        <v>9</v>
      </c>
      <c r="H108" s="100"/>
    </row>
    <row r="109" spans="1:8" ht="25.5" x14ac:dyDescent="0.2">
      <c r="A109" s="15" t="s">
        <v>9</v>
      </c>
      <c r="B109" s="15" t="s">
        <v>9</v>
      </c>
      <c r="C109" s="3" t="s">
        <v>122</v>
      </c>
      <c r="D109" s="15" t="s">
        <v>9</v>
      </c>
      <c r="E109" s="15" t="s">
        <v>9</v>
      </c>
      <c r="F109" s="12" t="s">
        <v>9</v>
      </c>
      <c r="G109" s="12" t="s">
        <v>9</v>
      </c>
      <c r="H109" s="100"/>
    </row>
    <row r="110" spans="1:8" x14ac:dyDescent="0.2">
      <c r="A110" s="15" t="s">
        <v>9</v>
      </c>
      <c r="B110" s="15" t="s">
        <v>9</v>
      </c>
      <c r="C110" s="3" t="s">
        <v>94</v>
      </c>
      <c r="D110" s="15" t="s">
        <v>9</v>
      </c>
      <c r="E110" s="15" t="s">
        <v>9</v>
      </c>
      <c r="F110" s="13">
        <v>0</v>
      </c>
      <c r="G110" s="14">
        <v>0</v>
      </c>
      <c r="H110" s="100"/>
    </row>
    <row r="111" spans="1:8" x14ac:dyDescent="0.2">
      <c r="A111" s="15" t="s">
        <v>9</v>
      </c>
      <c r="B111" s="15" t="s">
        <v>9</v>
      </c>
      <c r="C111" s="11" t="s">
        <v>9</v>
      </c>
      <c r="D111" s="15" t="s">
        <v>9</v>
      </c>
      <c r="E111" s="15" t="s">
        <v>9</v>
      </c>
      <c r="F111" s="12" t="s">
        <v>9</v>
      </c>
      <c r="G111" s="12" t="s">
        <v>9</v>
      </c>
      <c r="H111" s="100"/>
    </row>
    <row r="112" spans="1:8" x14ac:dyDescent="0.2">
      <c r="A112" s="15" t="s">
        <v>9</v>
      </c>
      <c r="B112" s="5" t="s">
        <v>9</v>
      </c>
      <c r="C112" s="5" t="s">
        <v>9</v>
      </c>
      <c r="D112" s="3" t="s">
        <v>9</v>
      </c>
      <c r="E112" s="15" t="s">
        <v>9</v>
      </c>
      <c r="F112" s="5" t="s">
        <v>9</v>
      </c>
      <c r="G112" s="15" t="s">
        <v>9</v>
      </c>
      <c r="H112" s="100"/>
    </row>
    <row r="113" spans="1:8" x14ac:dyDescent="0.2">
      <c r="A113" s="15" t="s">
        <v>9</v>
      </c>
      <c r="B113" s="5" t="s">
        <v>9</v>
      </c>
      <c r="C113" s="5" t="s">
        <v>124</v>
      </c>
      <c r="D113" s="5" t="s">
        <v>9</v>
      </c>
      <c r="E113" s="15" t="s">
        <v>9</v>
      </c>
      <c r="F113" s="7">
        <v>-3.5366167800000001</v>
      </c>
      <c r="G113" s="8">
        <v>-2.4783800000000001E-4</v>
      </c>
      <c r="H113" s="100"/>
    </row>
    <row r="114" spans="1:8" x14ac:dyDescent="0.2">
      <c r="A114" s="11" t="s">
        <v>9</v>
      </c>
      <c r="B114" s="11" t="s">
        <v>9</v>
      </c>
      <c r="C114" s="3" t="s">
        <v>125</v>
      </c>
      <c r="D114" s="16" t="s">
        <v>9</v>
      </c>
      <c r="E114" s="16" t="s">
        <v>9</v>
      </c>
      <c r="F114" s="9">
        <v>14269.885622220001</v>
      </c>
      <c r="G114" s="10">
        <v>1</v>
      </c>
      <c r="H114" s="100"/>
    </row>
    <row r="115" spans="1:8" x14ac:dyDescent="0.2">
      <c r="A115" s="17" t="s">
        <v>9</v>
      </c>
      <c r="B115" s="17" t="s">
        <v>9</v>
      </c>
      <c r="C115" s="17" t="s">
        <v>9</v>
      </c>
      <c r="D115" s="18" t="s">
        <v>9</v>
      </c>
      <c r="E115" s="18" t="s">
        <v>9</v>
      </c>
      <c r="F115" s="18" t="s">
        <v>9</v>
      </c>
      <c r="G115" s="18" t="s">
        <v>9</v>
      </c>
      <c r="H115" s="142"/>
    </row>
    <row r="116" spans="1:8" x14ac:dyDescent="0.2">
      <c r="A116" s="19" t="s">
        <v>9</v>
      </c>
      <c r="B116" s="254" t="s">
        <v>9</v>
      </c>
      <c r="C116" s="254"/>
      <c r="D116" s="254"/>
      <c r="E116" s="254"/>
      <c r="F116" s="254"/>
      <c r="G116" s="20" t="s">
        <v>9</v>
      </c>
      <c r="H116" s="142"/>
    </row>
    <row r="117" spans="1:8" x14ac:dyDescent="0.2">
      <c r="A117" s="19" t="s">
        <v>9</v>
      </c>
      <c r="B117" s="254" t="s">
        <v>9</v>
      </c>
      <c r="C117" s="254"/>
      <c r="D117" s="254"/>
      <c r="E117" s="254"/>
      <c r="F117" s="254"/>
      <c r="G117" s="20" t="s">
        <v>9</v>
      </c>
      <c r="H117" s="142"/>
    </row>
    <row r="118" spans="1:8" x14ac:dyDescent="0.2">
      <c r="A118" s="19" t="s">
        <v>9</v>
      </c>
      <c r="B118" s="19" t="s">
        <v>9</v>
      </c>
      <c r="C118" s="19" t="s">
        <v>9</v>
      </c>
      <c r="D118" s="20" t="s">
        <v>9</v>
      </c>
      <c r="E118" s="20" t="s">
        <v>9</v>
      </c>
      <c r="F118" s="20" t="s">
        <v>9</v>
      </c>
      <c r="G118" s="20" t="s">
        <v>9</v>
      </c>
      <c r="H118" s="142"/>
    </row>
    <row r="119" spans="1:8" x14ac:dyDescent="0.2">
      <c r="A119" s="19" t="s">
        <v>9</v>
      </c>
      <c r="B119" s="272" t="s">
        <v>127</v>
      </c>
      <c r="C119" s="273"/>
      <c r="D119" s="12" t="s">
        <v>9</v>
      </c>
      <c r="E119" s="21" t="s">
        <v>9</v>
      </c>
      <c r="F119" s="20" t="s">
        <v>9</v>
      </c>
      <c r="G119" s="20" t="s">
        <v>9</v>
      </c>
      <c r="H119" s="142"/>
    </row>
    <row r="120" spans="1:8" ht="28.5" customHeight="1" x14ac:dyDescent="0.2">
      <c r="A120" s="19" t="s">
        <v>9</v>
      </c>
      <c r="B120" s="242" t="s">
        <v>128</v>
      </c>
      <c r="C120" s="243"/>
      <c r="D120" s="3" t="s">
        <v>129</v>
      </c>
      <c r="E120" s="21" t="s">
        <v>9</v>
      </c>
      <c r="F120" s="20" t="s">
        <v>9</v>
      </c>
      <c r="G120" s="20" t="s">
        <v>9</v>
      </c>
      <c r="H120" s="142"/>
    </row>
    <row r="121" spans="1:8" x14ac:dyDescent="0.2">
      <c r="A121" s="19" t="s">
        <v>9</v>
      </c>
      <c r="B121" s="242" t="s">
        <v>130</v>
      </c>
      <c r="C121" s="243"/>
      <c r="D121" s="3" t="s">
        <v>129</v>
      </c>
      <c r="E121" s="21" t="s">
        <v>9</v>
      </c>
      <c r="F121" s="20" t="s">
        <v>9</v>
      </c>
      <c r="G121" s="20" t="s">
        <v>9</v>
      </c>
      <c r="H121" s="142"/>
    </row>
    <row r="122" spans="1:8" x14ac:dyDescent="0.2">
      <c r="A122" s="19" t="s">
        <v>9</v>
      </c>
      <c r="B122" s="242" t="s">
        <v>131</v>
      </c>
      <c r="C122" s="243"/>
      <c r="D122" s="12" t="s">
        <v>9</v>
      </c>
      <c r="E122" s="21" t="s">
        <v>9</v>
      </c>
      <c r="F122" s="20" t="s">
        <v>9</v>
      </c>
      <c r="G122" s="20" t="s">
        <v>9</v>
      </c>
      <c r="H122" s="142"/>
    </row>
    <row r="123" spans="1:8" ht="25.5" x14ac:dyDescent="0.2">
      <c r="A123" s="25" t="s">
        <v>9</v>
      </c>
      <c r="B123" s="16" t="s">
        <v>9</v>
      </c>
      <c r="C123" s="16" t="s">
        <v>132</v>
      </c>
      <c r="D123" s="16" t="s">
        <v>133</v>
      </c>
      <c r="E123" s="25" t="s">
        <v>9</v>
      </c>
      <c r="F123" s="25" t="s">
        <v>9</v>
      </c>
      <c r="G123" s="25" t="s">
        <v>9</v>
      </c>
      <c r="H123" s="142"/>
    </row>
    <row r="124" spans="1:8" x14ac:dyDescent="0.2">
      <c r="A124" s="25" t="s">
        <v>9</v>
      </c>
      <c r="B124" s="16" t="s">
        <v>134</v>
      </c>
      <c r="C124" s="16" t="s">
        <v>135</v>
      </c>
      <c r="D124" s="16" t="s">
        <v>136</v>
      </c>
      <c r="E124" s="25" t="s">
        <v>9</v>
      </c>
      <c r="F124" s="25" t="s">
        <v>9</v>
      </c>
      <c r="G124" s="25" t="s">
        <v>9</v>
      </c>
      <c r="H124" s="142"/>
    </row>
    <row r="125" spans="1:8" x14ac:dyDescent="0.2">
      <c r="A125" s="25" t="s">
        <v>9</v>
      </c>
      <c r="B125" s="5" t="s">
        <v>137</v>
      </c>
      <c r="C125" s="24">
        <v>13.782</v>
      </c>
      <c r="D125" s="24">
        <v>13.8203</v>
      </c>
      <c r="E125" s="25" t="s">
        <v>9</v>
      </c>
      <c r="F125" s="73" t="s">
        <v>9</v>
      </c>
      <c r="G125" s="25" t="s">
        <v>9</v>
      </c>
      <c r="H125" s="142"/>
    </row>
    <row r="126" spans="1:8" x14ac:dyDescent="0.2">
      <c r="A126" s="25" t="s">
        <v>9</v>
      </c>
      <c r="B126" s="5" t="s">
        <v>921</v>
      </c>
      <c r="C126" s="24">
        <v>13.7819</v>
      </c>
      <c r="D126" s="24">
        <v>13.8203</v>
      </c>
      <c r="E126" s="25" t="s">
        <v>9</v>
      </c>
      <c r="F126" s="73" t="s">
        <v>9</v>
      </c>
      <c r="G126" s="25" t="s">
        <v>9</v>
      </c>
      <c r="H126" s="142"/>
    </row>
    <row r="127" spans="1:8" x14ac:dyDescent="0.2">
      <c r="A127" s="25" t="s">
        <v>9</v>
      </c>
      <c r="B127" s="5" t="s">
        <v>138</v>
      </c>
      <c r="C127" s="24">
        <v>13.2742</v>
      </c>
      <c r="D127" s="24">
        <v>13.3042</v>
      </c>
      <c r="E127" s="25" t="s">
        <v>9</v>
      </c>
      <c r="F127" s="73" t="s">
        <v>9</v>
      </c>
      <c r="G127" s="25" t="s">
        <v>9</v>
      </c>
      <c r="H127" s="142"/>
    </row>
    <row r="128" spans="1:8" x14ac:dyDescent="0.2">
      <c r="A128" s="25" t="s">
        <v>9</v>
      </c>
      <c r="B128" s="5" t="s">
        <v>922</v>
      </c>
      <c r="C128" s="24">
        <v>13.2742</v>
      </c>
      <c r="D128" s="24">
        <v>13.3042</v>
      </c>
      <c r="E128" s="25" t="s">
        <v>9</v>
      </c>
      <c r="F128" s="73" t="s">
        <v>9</v>
      </c>
      <c r="G128" s="25" t="s">
        <v>9</v>
      </c>
      <c r="H128" s="142"/>
    </row>
    <row r="129" spans="1:8" x14ac:dyDescent="0.2">
      <c r="A129" s="25" t="s">
        <v>9</v>
      </c>
      <c r="B129" s="25" t="s">
        <v>9</v>
      </c>
      <c r="C129" s="25" t="s">
        <v>9</v>
      </c>
      <c r="D129" s="25" t="s">
        <v>9</v>
      </c>
      <c r="E129" s="25" t="s">
        <v>9</v>
      </c>
      <c r="F129" s="25" t="s">
        <v>9</v>
      </c>
      <c r="G129" s="25" t="s">
        <v>9</v>
      </c>
      <c r="H129" s="142"/>
    </row>
    <row r="130" spans="1:8" x14ac:dyDescent="0.2">
      <c r="A130" s="25" t="s">
        <v>9</v>
      </c>
      <c r="B130" s="244" t="s">
        <v>1012</v>
      </c>
      <c r="C130" s="245"/>
      <c r="D130" s="3" t="s">
        <v>129</v>
      </c>
      <c r="E130" s="25" t="s">
        <v>9</v>
      </c>
      <c r="F130" s="25" t="s">
        <v>9</v>
      </c>
      <c r="G130" s="25" t="s">
        <v>9</v>
      </c>
      <c r="H130" s="142"/>
    </row>
    <row r="131" spans="1:8" x14ac:dyDescent="0.2">
      <c r="A131" s="25" t="s">
        <v>9</v>
      </c>
      <c r="B131" s="143"/>
      <c r="C131" s="143"/>
      <c r="D131" s="144" t="s">
        <v>9</v>
      </c>
      <c r="E131" s="25" t="s">
        <v>9</v>
      </c>
      <c r="F131" s="25" t="s">
        <v>9</v>
      </c>
      <c r="G131" s="25" t="s">
        <v>9</v>
      </c>
      <c r="H131" s="142"/>
    </row>
    <row r="132" spans="1:8" s="238" customFormat="1" ht="12.75" x14ac:dyDescent="0.2">
      <c r="B132" s="246" t="s">
        <v>923</v>
      </c>
      <c r="C132" s="246"/>
      <c r="D132" s="246"/>
      <c r="E132" s="246"/>
      <c r="F132" s="246"/>
    </row>
    <row r="133" spans="1:8" x14ac:dyDescent="0.2">
      <c r="A133" s="25" t="s">
        <v>9</v>
      </c>
      <c r="B133" s="73" t="s">
        <v>9</v>
      </c>
      <c r="C133" s="73" t="s">
        <v>9</v>
      </c>
      <c r="D133" s="25" t="s">
        <v>9</v>
      </c>
      <c r="E133" s="25" t="s">
        <v>9</v>
      </c>
      <c r="F133" s="25" t="s">
        <v>9</v>
      </c>
      <c r="G133" s="25" t="s">
        <v>9</v>
      </c>
      <c r="H133" s="142"/>
    </row>
    <row r="134" spans="1:8" x14ac:dyDescent="0.2">
      <c r="A134" s="25" t="s">
        <v>9</v>
      </c>
      <c r="B134" s="240" t="s">
        <v>139</v>
      </c>
      <c r="C134" s="241"/>
      <c r="D134" s="3" t="s">
        <v>129</v>
      </c>
      <c r="E134" s="25" t="s">
        <v>9</v>
      </c>
      <c r="F134" s="25" t="s">
        <v>9</v>
      </c>
      <c r="G134" s="25" t="s">
        <v>9</v>
      </c>
      <c r="H134" s="142"/>
    </row>
    <row r="135" spans="1:8" x14ac:dyDescent="0.2">
      <c r="A135" s="25" t="s">
        <v>9</v>
      </c>
      <c r="B135" s="240" t="s">
        <v>140</v>
      </c>
      <c r="C135" s="241"/>
      <c r="D135" s="3" t="s">
        <v>129</v>
      </c>
      <c r="E135" s="25" t="s">
        <v>9</v>
      </c>
      <c r="F135" s="25" t="s">
        <v>9</v>
      </c>
      <c r="G135" s="25" t="s">
        <v>9</v>
      </c>
      <c r="H135" s="142"/>
    </row>
    <row r="136" spans="1:8" x14ac:dyDescent="0.2">
      <c r="A136" s="25" t="s">
        <v>9</v>
      </c>
      <c r="B136" s="240" t="s">
        <v>141</v>
      </c>
      <c r="C136" s="241"/>
      <c r="D136" s="27">
        <v>0.47474714821555697</v>
      </c>
      <c r="E136" s="25" t="s">
        <v>9</v>
      </c>
      <c r="F136" s="73" t="s">
        <v>9</v>
      </c>
      <c r="G136" s="25" t="s">
        <v>9</v>
      </c>
      <c r="H136" s="142"/>
    </row>
    <row r="137" spans="1:8" x14ac:dyDescent="0.2">
      <c r="A137" s="25" t="s">
        <v>9</v>
      </c>
      <c r="B137" s="240" t="s">
        <v>142</v>
      </c>
      <c r="C137" s="241"/>
      <c r="D137" s="3" t="s">
        <v>129</v>
      </c>
      <c r="E137" s="25" t="s">
        <v>9</v>
      </c>
      <c r="F137" s="25" t="s">
        <v>9</v>
      </c>
      <c r="G137" s="25" t="s">
        <v>9</v>
      </c>
      <c r="H137" s="142"/>
    </row>
  </sheetData>
  <mergeCells count="15">
    <mergeCell ref="B119:C119"/>
    <mergeCell ref="B116:F116"/>
    <mergeCell ref="B117:F117"/>
    <mergeCell ref="A1:H1"/>
    <mergeCell ref="A2:H2"/>
    <mergeCell ref="A3:H3"/>
    <mergeCell ref="B136:C136"/>
    <mergeCell ref="B137:C137"/>
    <mergeCell ref="B120:C120"/>
    <mergeCell ref="B121:C121"/>
    <mergeCell ref="B122:C122"/>
    <mergeCell ref="B130:C130"/>
    <mergeCell ref="B134:C134"/>
    <mergeCell ref="B135:C135"/>
    <mergeCell ref="B132:F132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3AFE6-BAB1-49BC-9D18-6589DADB66D4}">
  <sheetPr codeName="Sheet45"/>
  <dimension ref="A1:K1558"/>
  <sheetViews>
    <sheetView workbookViewId="0">
      <selection activeCell="A2" sqref="A2:H2"/>
    </sheetView>
  </sheetViews>
  <sheetFormatPr defaultRowHeight="15" x14ac:dyDescent="0.25"/>
  <cols>
    <col min="1" max="1" width="5.42578125" style="28" bestFit="1" customWidth="1"/>
    <col min="2" max="2" width="19.7109375" style="28" bestFit="1" customWidth="1"/>
    <col min="3" max="3" width="40.28515625" style="28" bestFit="1" customWidth="1"/>
    <col min="4" max="4" width="15.28515625" style="28" bestFit="1" customWidth="1"/>
    <col min="5" max="5" width="11.42578125" style="28" bestFit="1" customWidth="1"/>
    <col min="6" max="6" width="10.140625" style="28" bestFit="1" customWidth="1"/>
    <col min="7" max="7" width="8.5703125" style="28" bestFit="1" customWidth="1"/>
    <col min="8" max="8" width="8.42578125" style="28" bestFit="1" customWidth="1"/>
    <col min="9" max="10" width="9.140625" style="28"/>
    <col min="11" max="11" width="10.5703125" style="28" bestFit="1" customWidth="1"/>
    <col min="12" max="250" width="9.140625" style="28"/>
    <col min="251" max="251" width="5.42578125" style="28" bestFit="1" customWidth="1"/>
    <col min="252" max="252" width="20.42578125" style="28" bestFit="1" customWidth="1"/>
    <col min="253" max="253" width="41.42578125" style="28" customWidth="1"/>
    <col min="254" max="254" width="15.28515625" style="28" bestFit="1" customWidth="1"/>
    <col min="255" max="255" width="16.7109375" style="28" bestFit="1" customWidth="1"/>
    <col min="256" max="256" width="11.28515625" style="28" bestFit="1" customWidth="1"/>
    <col min="257" max="257" width="14" style="28" bestFit="1" customWidth="1"/>
    <col min="258" max="258" width="11.85546875" style="28" bestFit="1" customWidth="1"/>
    <col min="259" max="259" width="14.85546875" style="28" bestFit="1" customWidth="1"/>
    <col min="260" max="260" width="9.7109375" style="28" customWidth="1"/>
    <col min="261" max="261" width="4.85546875" style="28" customWidth="1"/>
    <col min="262" max="506" width="9.140625" style="28"/>
    <col min="507" max="507" width="5.42578125" style="28" bestFit="1" customWidth="1"/>
    <col min="508" max="508" width="20.42578125" style="28" bestFit="1" customWidth="1"/>
    <col min="509" max="509" width="41.42578125" style="28" customWidth="1"/>
    <col min="510" max="510" width="15.28515625" style="28" bestFit="1" customWidth="1"/>
    <col min="511" max="511" width="16.7109375" style="28" bestFit="1" customWidth="1"/>
    <col min="512" max="512" width="11.28515625" style="28" bestFit="1" customWidth="1"/>
    <col min="513" max="513" width="14" style="28" bestFit="1" customWidth="1"/>
    <col min="514" max="514" width="11.85546875" style="28" bestFit="1" customWidth="1"/>
    <col min="515" max="515" width="14.85546875" style="28" bestFit="1" customWidth="1"/>
    <col min="516" max="516" width="9.7109375" style="28" customWidth="1"/>
    <col min="517" max="517" width="4.85546875" style="28" customWidth="1"/>
    <col min="518" max="762" width="9.140625" style="28"/>
    <col min="763" max="763" width="5.42578125" style="28" bestFit="1" customWidth="1"/>
    <col min="764" max="764" width="20.42578125" style="28" bestFit="1" customWidth="1"/>
    <col min="765" max="765" width="41.42578125" style="28" customWidth="1"/>
    <col min="766" max="766" width="15.28515625" style="28" bestFit="1" customWidth="1"/>
    <col min="767" max="767" width="16.7109375" style="28" bestFit="1" customWidth="1"/>
    <col min="768" max="768" width="11.28515625" style="28" bestFit="1" customWidth="1"/>
    <col min="769" max="769" width="14" style="28" bestFit="1" customWidth="1"/>
    <col min="770" max="770" width="11.85546875" style="28" bestFit="1" customWidth="1"/>
    <col min="771" max="771" width="14.85546875" style="28" bestFit="1" customWidth="1"/>
    <col min="772" max="772" width="9.7109375" style="28" customWidth="1"/>
    <col min="773" max="773" width="4.85546875" style="28" customWidth="1"/>
    <col min="774" max="1018" width="9.140625" style="28"/>
    <col min="1019" max="1019" width="5.42578125" style="28" bestFit="1" customWidth="1"/>
    <col min="1020" max="1020" width="20.42578125" style="28" bestFit="1" customWidth="1"/>
    <col min="1021" max="1021" width="41.42578125" style="28" customWidth="1"/>
    <col min="1022" max="1022" width="15.28515625" style="28" bestFit="1" customWidth="1"/>
    <col min="1023" max="1023" width="16.7109375" style="28" bestFit="1" customWidth="1"/>
    <col min="1024" max="1024" width="11.28515625" style="28" bestFit="1" customWidth="1"/>
    <col min="1025" max="1025" width="14" style="28" bestFit="1" customWidth="1"/>
    <col min="1026" max="1026" width="11.85546875" style="28" bestFit="1" customWidth="1"/>
    <col min="1027" max="1027" width="14.85546875" style="28" bestFit="1" customWidth="1"/>
    <col min="1028" max="1028" width="9.7109375" style="28" customWidth="1"/>
    <col min="1029" max="1029" width="4.85546875" style="28" customWidth="1"/>
    <col min="1030" max="1274" width="9.140625" style="28"/>
    <col min="1275" max="1275" width="5.42578125" style="28" bestFit="1" customWidth="1"/>
    <col min="1276" max="1276" width="20.42578125" style="28" bestFit="1" customWidth="1"/>
    <col min="1277" max="1277" width="41.42578125" style="28" customWidth="1"/>
    <col min="1278" max="1278" width="15.28515625" style="28" bestFit="1" customWidth="1"/>
    <col min="1279" max="1279" width="16.7109375" style="28" bestFit="1" customWidth="1"/>
    <col min="1280" max="1280" width="11.28515625" style="28" bestFit="1" customWidth="1"/>
    <col min="1281" max="1281" width="14" style="28" bestFit="1" customWidth="1"/>
    <col min="1282" max="1282" width="11.85546875" style="28" bestFit="1" customWidth="1"/>
    <col min="1283" max="1283" width="14.85546875" style="28" bestFit="1" customWidth="1"/>
    <col min="1284" max="1284" width="9.7109375" style="28" customWidth="1"/>
    <col min="1285" max="1285" width="4.85546875" style="28" customWidth="1"/>
    <col min="1286" max="1530" width="9.140625" style="28"/>
    <col min="1531" max="1531" width="5.42578125" style="28" bestFit="1" customWidth="1"/>
    <col min="1532" max="1532" width="20.42578125" style="28" bestFit="1" customWidth="1"/>
    <col min="1533" max="1533" width="41.42578125" style="28" customWidth="1"/>
    <col min="1534" max="1534" width="15.28515625" style="28" bestFit="1" customWidth="1"/>
    <col min="1535" max="1535" width="16.7109375" style="28" bestFit="1" customWidth="1"/>
    <col min="1536" max="1536" width="11.28515625" style="28" bestFit="1" customWidth="1"/>
    <col min="1537" max="1537" width="14" style="28" bestFit="1" customWidth="1"/>
    <col min="1538" max="1538" width="11.85546875" style="28" bestFit="1" customWidth="1"/>
    <col min="1539" max="1539" width="14.85546875" style="28" bestFit="1" customWidth="1"/>
    <col min="1540" max="1540" width="9.7109375" style="28" customWidth="1"/>
    <col min="1541" max="1541" width="4.85546875" style="28" customWidth="1"/>
    <col min="1542" max="1786" width="9.140625" style="28"/>
    <col min="1787" max="1787" width="5.42578125" style="28" bestFit="1" customWidth="1"/>
    <col min="1788" max="1788" width="20.42578125" style="28" bestFit="1" customWidth="1"/>
    <col min="1789" max="1789" width="41.42578125" style="28" customWidth="1"/>
    <col min="1790" max="1790" width="15.28515625" style="28" bestFit="1" customWidth="1"/>
    <col min="1791" max="1791" width="16.7109375" style="28" bestFit="1" customWidth="1"/>
    <col min="1792" max="1792" width="11.28515625" style="28" bestFit="1" customWidth="1"/>
    <col min="1793" max="1793" width="14" style="28" bestFit="1" customWidth="1"/>
    <col min="1794" max="1794" width="11.85546875" style="28" bestFit="1" customWidth="1"/>
    <col min="1795" max="1795" width="14.85546875" style="28" bestFit="1" customWidth="1"/>
    <col min="1796" max="1796" width="9.7109375" style="28" customWidth="1"/>
    <col min="1797" max="1797" width="4.85546875" style="28" customWidth="1"/>
    <col min="1798" max="2042" width="9.140625" style="28"/>
    <col min="2043" max="2043" width="5.42578125" style="28" bestFit="1" customWidth="1"/>
    <col min="2044" max="2044" width="20.42578125" style="28" bestFit="1" customWidth="1"/>
    <col min="2045" max="2045" width="41.42578125" style="28" customWidth="1"/>
    <col min="2046" max="2046" width="15.28515625" style="28" bestFit="1" customWidth="1"/>
    <col min="2047" max="2047" width="16.7109375" style="28" bestFit="1" customWidth="1"/>
    <col min="2048" max="2048" width="11.28515625" style="28" bestFit="1" customWidth="1"/>
    <col min="2049" max="2049" width="14" style="28" bestFit="1" customWidth="1"/>
    <col min="2050" max="2050" width="11.85546875" style="28" bestFit="1" customWidth="1"/>
    <col min="2051" max="2051" width="14.85546875" style="28" bestFit="1" customWidth="1"/>
    <col min="2052" max="2052" width="9.7109375" style="28" customWidth="1"/>
    <col min="2053" max="2053" width="4.85546875" style="28" customWidth="1"/>
    <col min="2054" max="2298" width="9.140625" style="28"/>
    <col min="2299" max="2299" width="5.42578125" style="28" bestFit="1" customWidth="1"/>
    <col min="2300" max="2300" width="20.42578125" style="28" bestFit="1" customWidth="1"/>
    <col min="2301" max="2301" width="41.42578125" style="28" customWidth="1"/>
    <col min="2302" max="2302" width="15.28515625" style="28" bestFit="1" customWidth="1"/>
    <col min="2303" max="2303" width="16.7109375" style="28" bestFit="1" customWidth="1"/>
    <col min="2304" max="2304" width="11.28515625" style="28" bestFit="1" customWidth="1"/>
    <col min="2305" max="2305" width="14" style="28" bestFit="1" customWidth="1"/>
    <col min="2306" max="2306" width="11.85546875" style="28" bestFit="1" customWidth="1"/>
    <col min="2307" max="2307" width="14.85546875" style="28" bestFit="1" customWidth="1"/>
    <col min="2308" max="2308" width="9.7109375" style="28" customWidth="1"/>
    <col min="2309" max="2309" width="4.85546875" style="28" customWidth="1"/>
    <col min="2310" max="2554" width="9.140625" style="28"/>
    <col min="2555" max="2555" width="5.42578125" style="28" bestFit="1" customWidth="1"/>
    <col min="2556" max="2556" width="20.42578125" style="28" bestFit="1" customWidth="1"/>
    <col min="2557" max="2557" width="41.42578125" style="28" customWidth="1"/>
    <col min="2558" max="2558" width="15.28515625" style="28" bestFit="1" customWidth="1"/>
    <col min="2559" max="2559" width="16.7109375" style="28" bestFit="1" customWidth="1"/>
    <col min="2560" max="2560" width="11.28515625" style="28" bestFit="1" customWidth="1"/>
    <col min="2561" max="2561" width="14" style="28" bestFit="1" customWidth="1"/>
    <col min="2562" max="2562" width="11.85546875" style="28" bestFit="1" customWidth="1"/>
    <col min="2563" max="2563" width="14.85546875" style="28" bestFit="1" customWidth="1"/>
    <col min="2564" max="2564" width="9.7109375" style="28" customWidth="1"/>
    <col min="2565" max="2565" width="4.85546875" style="28" customWidth="1"/>
    <col min="2566" max="2810" width="9.140625" style="28"/>
    <col min="2811" max="2811" width="5.42578125" style="28" bestFit="1" customWidth="1"/>
    <col min="2812" max="2812" width="20.42578125" style="28" bestFit="1" customWidth="1"/>
    <col min="2813" max="2813" width="41.42578125" style="28" customWidth="1"/>
    <col min="2814" max="2814" width="15.28515625" style="28" bestFit="1" customWidth="1"/>
    <col min="2815" max="2815" width="16.7109375" style="28" bestFit="1" customWidth="1"/>
    <col min="2816" max="2816" width="11.28515625" style="28" bestFit="1" customWidth="1"/>
    <col min="2817" max="2817" width="14" style="28" bestFit="1" customWidth="1"/>
    <col min="2818" max="2818" width="11.85546875" style="28" bestFit="1" customWidth="1"/>
    <col min="2819" max="2819" width="14.85546875" style="28" bestFit="1" customWidth="1"/>
    <col min="2820" max="2820" width="9.7109375" style="28" customWidth="1"/>
    <col min="2821" max="2821" width="4.85546875" style="28" customWidth="1"/>
    <col min="2822" max="3066" width="9.140625" style="28"/>
    <col min="3067" max="3067" width="5.42578125" style="28" bestFit="1" customWidth="1"/>
    <col min="3068" max="3068" width="20.42578125" style="28" bestFit="1" customWidth="1"/>
    <col min="3069" max="3069" width="41.42578125" style="28" customWidth="1"/>
    <col min="3070" max="3070" width="15.28515625" style="28" bestFit="1" customWidth="1"/>
    <col min="3071" max="3071" width="16.7109375" style="28" bestFit="1" customWidth="1"/>
    <col min="3072" max="3072" width="11.28515625" style="28" bestFit="1" customWidth="1"/>
    <col min="3073" max="3073" width="14" style="28" bestFit="1" customWidth="1"/>
    <col min="3074" max="3074" width="11.85546875" style="28" bestFit="1" customWidth="1"/>
    <col min="3075" max="3075" width="14.85546875" style="28" bestFit="1" customWidth="1"/>
    <col min="3076" max="3076" width="9.7109375" style="28" customWidth="1"/>
    <col min="3077" max="3077" width="4.85546875" style="28" customWidth="1"/>
    <col min="3078" max="3322" width="9.140625" style="28"/>
    <col min="3323" max="3323" width="5.42578125" style="28" bestFit="1" customWidth="1"/>
    <col min="3324" max="3324" width="20.42578125" style="28" bestFit="1" customWidth="1"/>
    <col min="3325" max="3325" width="41.42578125" style="28" customWidth="1"/>
    <col min="3326" max="3326" width="15.28515625" style="28" bestFit="1" customWidth="1"/>
    <col min="3327" max="3327" width="16.7109375" style="28" bestFit="1" customWidth="1"/>
    <col min="3328" max="3328" width="11.28515625" style="28" bestFit="1" customWidth="1"/>
    <col min="3329" max="3329" width="14" style="28" bestFit="1" customWidth="1"/>
    <col min="3330" max="3330" width="11.85546875" style="28" bestFit="1" customWidth="1"/>
    <col min="3331" max="3331" width="14.85546875" style="28" bestFit="1" customWidth="1"/>
    <col min="3332" max="3332" width="9.7109375" style="28" customWidth="1"/>
    <col min="3333" max="3333" width="4.85546875" style="28" customWidth="1"/>
    <col min="3334" max="3578" width="9.140625" style="28"/>
    <col min="3579" max="3579" width="5.42578125" style="28" bestFit="1" customWidth="1"/>
    <col min="3580" max="3580" width="20.42578125" style="28" bestFit="1" customWidth="1"/>
    <col min="3581" max="3581" width="41.42578125" style="28" customWidth="1"/>
    <col min="3582" max="3582" width="15.28515625" style="28" bestFit="1" customWidth="1"/>
    <col min="3583" max="3583" width="16.7109375" style="28" bestFit="1" customWidth="1"/>
    <col min="3584" max="3584" width="11.28515625" style="28" bestFit="1" customWidth="1"/>
    <col min="3585" max="3585" width="14" style="28" bestFit="1" customWidth="1"/>
    <col min="3586" max="3586" width="11.85546875" style="28" bestFit="1" customWidth="1"/>
    <col min="3587" max="3587" width="14.85546875" style="28" bestFit="1" customWidth="1"/>
    <col min="3588" max="3588" width="9.7109375" style="28" customWidth="1"/>
    <col min="3589" max="3589" width="4.85546875" style="28" customWidth="1"/>
    <col min="3590" max="3834" width="9.140625" style="28"/>
    <col min="3835" max="3835" width="5.42578125" style="28" bestFit="1" customWidth="1"/>
    <col min="3836" max="3836" width="20.42578125" style="28" bestFit="1" customWidth="1"/>
    <col min="3837" max="3837" width="41.42578125" style="28" customWidth="1"/>
    <col min="3838" max="3838" width="15.28515625" style="28" bestFit="1" customWidth="1"/>
    <col min="3839" max="3839" width="16.7109375" style="28" bestFit="1" customWidth="1"/>
    <col min="3840" max="3840" width="11.28515625" style="28" bestFit="1" customWidth="1"/>
    <col min="3841" max="3841" width="14" style="28" bestFit="1" customWidth="1"/>
    <col min="3842" max="3842" width="11.85546875" style="28" bestFit="1" customWidth="1"/>
    <col min="3843" max="3843" width="14.85546875" style="28" bestFit="1" customWidth="1"/>
    <col min="3844" max="3844" width="9.7109375" style="28" customWidth="1"/>
    <col min="3845" max="3845" width="4.85546875" style="28" customWidth="1"/>
    <col min="3846" max="4090" width="9.140625" style="28"/>
    <col min="4091" max="4091" width="5.42578125" style="28" bestFit="1" customWidth="1"/>
    <col min="4092" max="4092" width="20.42578125" style="28" bestFit="1" customWidth="1"/>
    <col min="4093" max="4093" width="41.42578125" style="28" customWidth="1"/>
    <col min="4094" max="4094" width="15.28515625" style="28" bestFit="1" customWidth="1"/>
    <col min="4095" max="4095" width="16.7109375" style="28" bestFit="1" customWidth="1"/>
    <col min="4096" max="4096" width="11.28515625" style="28" bestFit="1" customWidth="1"/>
    <col min="4097" max="4097" width="14" style="28" bestFit="1" customWidth="1"/>
    <col min="4098" max="4098" width="11.85546875" style="28" bestFit="1" customWidth="1"/>
    <col min="4099" max="4099" width="14.85546875" style="28" bestFit="1" customWidth="1"/>
    <col min="4100" max="4100" width="9.7109375" style="28" customWidth="1"/>
    <col min="4101" max="4101" width="4.85546875" style="28" customWidth="1"/>
    <col min="4102" max="4346" width="9.140625" style="28"/>
    <col min="4347" max="4347" width="5.42578125" style="28" bestFit="1" customWidth="1"/>
    <col min="4348" max="4348" width="20.42578125" style="28" bestFit="1" customWidth="1"/>
    <col min="4349" max="4349" width="41.42578125" style="28" customWidth="1"/>
    <col min="4350" max="4350" width="15.28515625" style="28" bestFit="1" customWidth="1"/>
    <col min="4351" max="4351" width="16.7109375" style="28" bestFit="1" customWidth="1"/>
    <col min="4352" max="4352" width="11.28515625" style="28" bestFit="1" customWidth="1"/>
    <col min="4353" max="4353" width="14" style="28" bestFit="1" customWidth="1"/>
    <col min="4354" max="4354" width="11.85546875" style="28" bestFit="1" customWidth="1"/>
    <col min="4355" max="4355" width="14.85546875" style="28" bestFit="1" customWidth="1"/>
    <col min="4356" max="4356" width="9.7109375" style="28" customWidth="1"/>
    <col min="4357" max="4357" width="4.85546875" style="28" customWidth="1"/>
    <col min="4358" max="4602" width="9.140625" style="28"/>
    <col min="4603" max="4603" width="5.42578125" style="28" bestFit="1" customWidth="1"/>
    <col min="4604" max="4604" width="20.42578125" style="28" bestFit="1" customWidth="1"/>
    <col min="4605" max="4605" width="41.42578125" style="28" customWidth="1"/>
    <col min="4606" max="4606" width="15.28515625" style="28" bestFit="1" customWidth="1"/>
    <col min="4607" max="4607" width="16.7109375" style="28" bestFit="1" customWidth="1"/>
    <col min="4608" max="4608" width="11.28515625" style="28" bestFit="1" customWidth="1"/>
    <col min="4609" max="4609" width="14" style="28" bestFit="1" customWidth="1"/>
    <col min="4610" max="4610" width="11.85546875" style="28" bestFit="1" customWidth="1"/>
    <col min="4611" max="4611" width="14.85546875" style="28" bestFit="1" customWidth="1"/>
    <col min="4612" max="4612" width="9.7109375" style="28" customWidth="1"/>
    <col min="4613" max="4613" width="4.85546875" style="28" customWidth="1"/>
    <col min="4614" max="4858" width="9.140625" style="28"/>
    <col min="4859" max="4859" width="5.42578125" style="28" bestFit="1" customWidth="1"/>
    <col min="4860" max="4860" width="20.42578125" style="28" bestFit="1" customWidth="1"/>
    <col min="4861" max="4861" width="41.42578125" style="28" customWidth="1"/>
    <col min="4862" max="4862" width="15.28515625" style="28" bestFit="1" customWidth="1"/>
    <col min="4863" max="4863" width="16.7109375" style="28" bestFit="1" customWidth="1"/>
    <col min="4864" max="4864" width="11.28515625" style="28" bestFit="1" customWidth="1"/>
    <col min="4865" max="4865" width="14" style="28" bestFit="1" customWidth="1"/>
    <col min="4866" max="4866" width="11.85546875" style="28" bestFit="1" customWidth="1"/>
    <col min="4867" max="4867" width="14.85546875" style="28" bestFit="1" customWidth="1"/>
    <col min="4868" max="4868" width="9.7109375" style="28" customWidth="1"/>
    <col min="4869" max="4869" width="4.85546875" style="28" customWidth="1"/>
    <col min="4870" max="5114" width="9.140625" style="28"/>
    <col min="5115" max="5115" width="5.42578125" style="28" bestFit="1" customWidth="1"/>
    <col min="5116" max="5116" width="20.42578125" style="28" bestFit="1" customWidth="1"/>
    <col min="5117" max="5117" width="41.42578125" style="28" customWidth="1"/>
    <col min="5118" max="5118" width="15.28515625" style="28" bestFit="1" customWidth="1"/>
    <col min="5119" max="5119" width="16.7109375" style="28" bestFit="1" customWidth="1"/>
    <col min="5120" max="5120" width="11.28515625" style="28" bestFit="1" customWidth="1"/>
    <col min="5121" max="5121" width="14" style="28" bestFit="1" customWidth="1"/>
    <col min="5122" max="5122" width="11.85546875" style="28" bestFit="1" customWidth="1"/>
    <col min="5123" max="5123" width="14.85546875" style="28" bestFit="1" customWidth="1"/>
    <col min="5124" max="5124" width="9.7109375" style="28" customWidth="1"/>
    <col min="5125" max="5125" width="4.85546875" style="28" customWidth="1"/>
    <col min="5126" max="5370" width="9.140625" style="28"/>
    <col min="5371" max="5371" width="5.42578125" style="28" bestFit="1" customWidth="1"/>
    <col min="5372" max="5372" width="20.42578125" style="28" bestFit="1" customWidth="1"/>
    <col min="5373" max="5373" width="41.42578125" style="28" customWidth="1"/>
    <col min="5374" max="5374" width="15.28515625" style="28" bestFit="1" customWidth="1"/>
    <col min="5375" max="5375" width="16.7109375" style="28" bestFit="1" customWidth="1"/>
    <col min="5376" max="5376" width="11.28515625" style="28" bestFit="1" customWidth="1"/>
    <col min="5377" max="5377" width="14" style="28" bestFit="1" customWidth="1"/>
    <col min="5378" max="5378" width="11.85546875" style="28" bestFit="1" customWidth="1"/>
    <col min="5379" max="5379" width="14.85546875" style="28" bestFit="1" customWidth="1"/>
    <col min="5380" max="5380" width="9.7109375" style="28" customWidth="1"/>
    <col min="5381" max="5381" width="4.85546875" style="28" customWidth="1"/>
    <col min="5382" max="5626" width="9.140625" style="28"/>
    <col min="5627" max="5627" width="5.42578125" style="28" bestFit="1" customWidth="1"/>
    <col min="5628" max="5628" width="20.42578125" style="28" bestFit="1" customWidth="1"/>
    <col min="5629" max="5629" width="41.42578125" style="28" customWidth="1"/>
    <col min="5630" max="5630" width="15.28515625" style="28" bestFit="1" customWidth="1"/>
    <col min="5631" max="5631" width="16.7109375" style="28" bestFit="1" customWidth="1"/>
    <col min="5632" max="5632" width="11.28515625" style="28" bestFit="1" customWidth="1"/>
    <col min="5633" max="5633" width="14" style="28" bestFit="1" customWidth="1"/>
    <col min="5634" max="5634" width="11.85546875" style="28" bestFit="1" customWidth="1"/>
    <col min="5635" max="5635" width="14.85546875" style="28" bestFit="1" customWidth="1"/>
    <col min="5636" max="5636" width="9.7109375" style="28" customWidth="1"/>
    <col min="5637" max="5637" width="4.85546875" style="28" customWidth="1"/>
    <col min="5638" max="5882" width="9.140625" style="28"/>
    <col min="5883" max="5883" width="5.42578125" style="28" bestFit="1" customWidth="1"/>
    <col min="5884" max="5884" width="20.42578125" style="28" bestFit="1" customWidth="1"/>
    <col min="5885" max="5885" width="41.42578125" style="28" customWidth="1"/>
    <col min="5886" max="5886" width="15.28515625" style="28" bestFit="1" customWidth="1"/>
    <col min="5887" max="5887" width="16.7109375" style="28" bestFit="1" customWidth="1"/>
    <col min="5888" max="5888" width="11.28515625" style="28" bestFit="1" customWidth="1"/>
    <col min="5889" max="5889" width="14" style="28" bestFit="1" customWidth="1"/>
    <col min="5890" max="5890" width="11.85546875" style="28" bestFit="1" customWidth="1"/>
    <col min="5891" max="5891" width="14.85546875" style="28" bestFit="1" customWidth="1"/>
    <col min="5892" max="5892" width="9.7109375" style="28" customWidth="1"/>
    <col min="5893" max="5893" width="4.85546875" style="28" customWidth="1"/>
    <col min="5894" max="6138" width="9.140625" style="28"/>
    <col min="6139" max="6139" width="5.42578125" style="28" bestFit="1" customWidth="1"/>
    <col min="6140" max="6140" width="20.42578125" style="28" bestFit="1" customWidth="1"/>
    <col min="6141" max="6141" width="41.42578125" style="28" customWidth="1"/>
    <col min="6142" max="6142" width="15.28515625" style="28" bestFit="1" customWidth="1"/>
    <col min="6143" max="6143" width="16.7109375" style="28" bestFit="1" customWidth="1"/>
    <col min="6144" max="6144" width="11.28515625" style="28" bestFit="1" customWidth="1"/>
    <col min="6145" max="6145" width="14" style="28" bestFit="1" customWidth="1"/>
    <col min="6146" max="6146" width="11.85546875" style="28" bestFit="1" customWidth="1"/>
    <col min="6147" max="6147" width="14.85546875" style="28" bestFit="1" customWidth="1"/>
    <col min="6148" max="6148" width="9.7109375" style="28" customWidth="1"/>
    <col min="6149" max="6149" width="4.85546875" style="28" customWidth="1"/>
    <col min="6150" max="6394" width="9.140625" style="28"/>
    <col min="6395" max="6395" width="5.42578125" style="28" bestFit="1" customWidth="1"/>
    <col min="6396" max="6396" width="20.42578125" style="28" bestFit="1" customWidth="1"/>
    <col min="6397" max="6397" width="41.42578125" style="28" customWidth="1"/>
    <col min="6398" max="6398" width="15.28515625" style="28" bestFit="1" customWidth="1"/>
    <col min="6399" max="6399" width="16.7109375" style="28" bestFit="1" customWidth="1"/>
    <col min="6400" max="6400" width="11.28515625" style="28" bestFit="1" customWidth="1"/>
    <col min="6401" max="6401" width="14" style="28" bestFit="1" customWidth="1"/>
    <col min="6402" max="6402" width="11.85546875" style="28" bestFit="1" customWidth="1"/>
    <col min="6403" max="6403" width="14.85546875" style="28" bestFit="1" customWidth="1"/>
    <col min="6404" max="6404" width="9.7109375" style="28" customWidth="1"/>
    <col min="6405" max="6405" width="4.85546875" style="28" customWidth="1"/>
    <col min="6406" max="6650" width="9.140625" style="28"/>
    <col min="6651" max="6651" width="5.42578125" style="28" bestFit="1" customWidth="1"/>
    <col min="6652" max="6652" width="20.42578125" style="28" bestFit="1" customWidth="1"/>
    <col min="6653" max="6653" width="41.42578125" style="28" customWidth="1"/>
    <col min="6654" max="6654" width="15.28515625" style="28" bestFit="1" customWidth="1"/>
    <col min="6655" max="6655" width="16.7109375" style="28" bestFit="1" customWidth="1"/>
    <col min="6656" max="6656" width="11.28515625" style="28" bestFit="1" customWidth="1"/>
    <col min="6657" max="6657" width="14" style="28" bestFit="1" customWidth="1"/>
    <col min="6658" max="6658" width="11.85546875" style="28" bestFit="1" customWidth="1"/>
    <col min="6659" max="6659" width="14.85546875" style="28" bestFit="1" customWidth="1"/>
    <col min="6660" max="6660" width="9.7109375" style="28" customWidth="1"/>
    <col min="6661" max="6661" width="4.85546875" style="28" customWidth="1"/>
    <col min="6662" max="6906" width="9.140625" style="28"/>
    <col min="6907" max="6907" width="5.42578125" style="28" bestFit="1" customWidth="1"/>
    <col min="6908" max="6908" width="20.42578125" style="28" bestFit="1" customWidth="1"/>
    <col min="6909" max="6909" width="41.42578125" style="28" customWidth="1"/>
    <col min="6910" max="6910" width="15.28515625" style="28" bestFit="1" customWidth="1"/>
    <col min="6911" max="6911" width="16.7109375" style="28" bestFit="1" customWidth="1"/>
    <col min="6912" max="6912" width="11.28515625" style="28" bestFit="1" customWidth="1"/>
    <col min="6913" max="6913" width="14" style="28" bestFit="1" customWidth="1"/>
    <col min="6914" max="6914" width="11.85546875" style="28" bestFit="1" customWidth="1"/>
    <col min="6915" max="6915" width="14.85546875" style="28" bestFit="1" customWidth="1"/>
    <col min="6916" max="6916" width="9.7109375" style="28" customWidth="1"/>
    <col min="6917" max="6917" width="4.85546875" style="28" customWidth="1"/>
    <col min="6918" max="7162" width="9.140625" style="28"/>
    <col min="7163" max="7163" width="5.42578125" style="28" bestFit="1" customWidth="1"/>
    <col min="7164" max="7164" width="20.42578125" style="28" bestFit="1" customWidth="1"/>
    <col min="7165" max="7165" width="41.42578125" style="28" customWidth="1"/>
    <col min="7166" max="7166" width="15.28515625" style="28" bestFit="1" customWidth="1"/>
    <col min="7167" max="7167" width="16.7109375" style="28" bestFit="1" customWidth="1"/>
    <col min="7168" max="7168" width="11.28515625" style="28" bestFit="1" customWidth="1"/>
    <col min="7169" max="7169" width="14" style="28" bestFit="1" customWidth="1"/>
    <col min="7170" max="7170" width="11.85546875" style="28" bestFit="1" customWidth="1"/>
    <col min="7171" max="7171" width="14.85546875" style="28" bestFit="1" customWidth="1"/>
    <col min="7172" max="7172" width="9.7109375" style="28" customWidth="1"/>
    <col min="7173" max="7173" width="4.85546875" style="28" customWidth="1"/>
    <col min="7174" max="7418" width="9.140625" style="28"/>
    <col min="7419" max="7419" width="5.42578125" style="28" bestFit="1" customWidth="1"/>
    <col min="7420" max="7420" width="20.42578125" style="28" bestFit="1" customWidth="1"/>
    <col min="7421" max="7421" width="41.42578125" style="28" customWidth="1"/>
    <col min="7422" max="7422" width="15.28515625" style="28" bestFit="1" customWidth="1"/>
    <col min="7423" max="7423" width="16.7109375" style="28" bestFit="1" customWidth="1"/>
    <col min="7424" max="7424" width="11.28515625" style="28" bestFit="1" customWidth="1"/>
    <col min="7425" max="7425" width="14" style="28" bestFit="1" customWidth="1"/>
    <col min="7426" max="7426" width="11.85546875" style="28" bestFit="1" customWidth="1"/>
    <col min="7427" max="7427" width="14.85546875" style="28" bestFit="1" customWidth="1"/>
    <col min="7428" max="7428" width="9.7109375" style="28" customWidth="1"/>
    <col min="7429" max="7429" width="4.85546875" style="28" customWidth="1"/>
    <col min="7430" max="7674" width="9.140625" style="28"/>
    <col min="7675" max="7675" width="5.42578125" style="28" bestFit="1" customWidth="1"/>
    <col min="7676" max="7676" width="20.42578125" style="28" bestFit="1" customWidth="1"/>
    <col min="7677" max="7677" width="41.42578125" style="28" customWidth="1"/>
    <col min="7678" max="7678" width="15.28515625" style="28" bestFit="1" customWidth="1"/>
    <col min="7679" max="7679" width="16.7109375" style="28" bestFit="1" customWidth="1"/>
    <col min="7680" max="7680" width="11.28515625" style="28" bestFit="1" customWidth="1"/>
    <col min="7681" max="7681" width="14" style="28" bestFit="1" customWidth="1"/>
    <col min="7682" max="7682" width="11.85546875" style="28" bestFit="1" customWidth="1"/>
    <col min="7683" max="7683" width="14.85546875" style="28" bestFit="1" customWidth="1"/>
    <col min="7684" max="7684" width="9.7109375" style="28" customWidth="1"/>
    <col min="7685" max="7685" width="4.85546875" style="28" customWidth="1"/>
    <col min="7686" max="7930" width="9.140625" style="28"/>
    <col min="7931" max="7931" width="5.42578125" style="28" bestFit="1" customWidth="1"/>
    <col min="7932" max="7932" width="20.42578125" style="28" bestFit="1" customWidth="1"/>
    <col min="7933" max="7933" width="41.42578125" style="28" customWidth="1"/>
    <col min="7934" max="7934" width="15.28515625" style="28" bestFit="1" customWidth="1"/>
    <col min="7935" max="7935" width="16.7109375" style="28" bestFit="1" customWidth="1"/>
    <col min="7936" max="7936" width="11.28515625" style="28" bestFit="1" customWidth="1"/>
    <col min="7937" max="7937" width="14" style="28" bestFit="1" customWidth="1"/>
    <col min="7938" max="7938" width="11.85546875" style="28" bestFit="1" customWidth="1"/>
    <col min="7939" max="7939" width="14.85546875" style="28" bestFit="1" customWidth="1"/>
    <col min="7940" max="7940" width="9.7109375" style="28" customWidth="1"/>
    <col min="7941" max="7941" width="4.85546875" style="28" customWidth="1"/>
    <col min="7942" max="8186" width="9.140625" style="28"/>
    <col min="8187" max="8187" width="5.42578125" style="28" bestFit="1" customWidth="1"/>
    <col min="8188" max="8188" width="20.42578125" style="28" bestFit="1" customWidth="1"/>
    <col min="8189" max="8189" width="41.42578125" style="28" customWidth="1"/>
    <col min="8190" max="8190" width="15.28515625" style="28" bestFit="1" customWidth="1"/>
    <col min="8191" max="8191" width="16.7109375" style="28" bestFit="1" customWidth="1"/>
    <col min="8192" max="8192" width="11.28515625" style="28" bestFit="1" customWidth="1"/>
    <col min="8193" max="8193" width="14" style="28" bestFit="1" customWidth="1"/>
    <col min="8194" max="8194" width="11.85546875" style="28" bestFit="1" customWidth="1"/>
    <col min="8195" max="8195" width="14.85546875" style="28" bestFit="1" customWidth="1"/>
    <col min="8196" max="8196" width="9.7109375" style="28" customWidth="1"/>
    <col min="8197" max="8197" width="4.85546875" style="28" customWidth="1"/>
    <col min="8198" max="8442" width="9.140625" style="28"/>
    <col min="8443" max="8443" width="5.42578125" style="28" bestFit="1" customWidth="1"/>
    <col min="8444" max="8444" width="20.42578125" style="28" bestFit="1" customWidth="1"/>
    <col min="8445" max="8445" width="41.42578125" style="28" customWidth="1"/>
    <col min="8446" max="8446" width="15.28515625" style="28" bestFit="1" customWidth="1"/>
    <col min="8447" max="8447" width="16.7109375" style="28" bestFit="1" customWidth="1"/>
    <col min="8448" max="8448" width="11.28515625" style="28" bestFit="1" customWidth="1"/>
    <col min="8449" max="8449" width="14" style="28" bestFit="1" customWidth="1"/>
    <col min="8450" max="8450" width="11.85546875" style="28" bestFit="1" customWidth="1"/>
    <col min="8451" max="8451" width="14.85546875" style="28" bestFit="1" customWidth="1"/>
    <col min="8452" max="8452" width="9.7109375" style="28" customWidth="1"/>
    <col min="8453" max="8453" width="4.85546875" style="28" customWidth="1"/>
    <col min="8454" max="8698" width="9.140625" style="28"/>
    <col min="8699" max="8699" width="5.42578125" style="28" bestFit="1" customWidth="1"/>
    <col min="8700" max="8700" width="20.42578125" style="28" bestFit="1" customWidth="1"/>
    <col min="8701" max="8701" width="41.42578125" style="28" customWidth="1"/>
    <col min="8702" max="8702" width="15.28515625" style="28" bestFit="1" customWidth="1"/>
    <col min="8703" max="8703" width="16.7109375" style="28" bestFit="1" customWidth="1"/>
    <col min="8704" max="8704" width="11.28515625" style="28" bestFit="1" customWidth="1"/>
    <col min="8705" max="8705" width="14" style="28" bestFit="1" customWidth="1"/>
    <col min="8706" max="8706" width="11.85546875" style="28" bestFit="1" customWidth="1"/>
    <col min="8707" max="8707" width="14.85546875" style="28" bestFit="1" customWidth="1"/>
    <col min="8708" max="8708" width="9.7109375" style="28" customWidth="1"/>
    <col min="8709" max="8709" width="4.85546875" style="28" customWidth="1"/>
    <col min="8710" max="8954" width="9.140625" style="28"/>
    <col min="8955" max="8955" width="5.42578125" style="28" bestFit="1" customWidth="1"/>
    <col min="8956" max="8956" width="20.42578125" style="28" bestFit="1" customWidth="1"/>
    <col min="8957" max="8957" width="41.42578125" style="28" customWidth="1"/>
    <col min="8958" max="8958" width="15.28515625" style="28" bestFit="1" customWidth="1"/>
    <col min="8959" max="8959" width="16.7109375" style="28" bestFit="1" customWidth="1"/>
    <col min="8960" max="8960" width="11.28515625" style="28" bestFit="1" customWidth="1"/>
    <col min="8961" max="8961" width="14" style="28" bestFit="1" customWidth="1"/>
    <col min="8962" max="8962" width="11.85546875" style="28" bestFit="1" customWidth="1"/>
    <col min="8963" max="8963" width="14.85546875" style="28" bestFit="1" customWidth="1"/>
    <col min="8964" max="8964" width="9.7109375" style="28" customWidth="1"/>
    <col min="8965" max="8965" width="4.85546875" style="28" customWidth="1"/>
    <col min="8966" max="9210" width="9.140625" style="28"/>
    <col min="9211" max="9211" width="5.42578125" style="28" bestFit="1" customWidth="1"/>
    <col min="9212" max="9212" width="20.42578125" style="28" bestFit="1" customWidth="1"/>
    <col min="9213" max="9213" width="41.42578125" style="28" customWidth="1"/>
    <col min="9214" max="9214" width="15.28515625" style="28" bestFit="1" customWidth="1"/>
    <col min="9215" max="9215" width="16.7109375" style="28" bestFit="1" customWidth="1"/>
    <col min="9216" max="9216" width="11.28515625" style="28" bestFit="1" customWidth="1"/>
    <col min="9217" max="9217" width="14" style="28" bestFit="1" customWidth="1"/>
    <col min="9218" max="9218" width="11.85546875" style="28" bestFit="1" customWidth="1"/>
    <col min="9219" max="9219" width="14.85546875" style="28" bestFit="1" customWidth="1"/>
    <col min="9220" max="9220" width="9.7109375" style="28" customWidth="1"/>
    <col min="9221" max="9221" width="4.85546875" style="28" customWidth="1"/>
    <col min="9222" max="9466" width="9.140625" style="28"/>
    <col min="9467" max="9467" width="5.42578125" style="28" bestFit="1" customWidth="1"/>
    <col min="9468" max="9468" width="20.42578125" style="28" bestFit="1" customWidth="1"/>
    <col min="9469" max="9469" width="41.42578125" style="28" customWidth="1"/>
    <col min="9470" max="9470" width="15.28515625" style="28" bestFit="1" customWidth="1"/>
    <col min="9471" max="9471" width="16.7109375" style="28" bestFit="1" customWidth="1"/>
    <col min="9472" max="9472" width="11.28515625" style="28" bestFit="1" customWidth="1"/>
    <col min="9473" max="9473" width="14" style="28" bestFit="1" customWidth="1"/>
    <col min="9474" max="9474" width="11.85546875" style="28" bestFit="1" customWidth="1"/>
    <col min="9475" max="9475" width="14.85546875" style="28" bestFit="1" customWidth="1"/>
    <col min="9476" max="9476" width="9.7109375" style="28" customWidth="1"/>
    <col min="9477" max="9477" width="4.85546875" style="28" customWidth="1"/>
    <col min="9478" max="9722" width="9.140625" style="28"/>
    <col min="9723" max="9723" width="5.42578125" style="28" bestFit="1" customWidth="1"/>
    <col min="9724" max="9724" width="20.42578125" style="28" bestFit="1" customWidth="1"/>
    <col min="9725" max="9725" width="41.42578125" style="28" customWidth="1"/>
    <col min="9726" max="9726" width="15.28515625" style="28" bestFit="1" customWidth="1"/>
    <col min="9727" max="9727" width="16.7109375" style="28" bestFit="1" customWidth="1"/>
    <col min="9728" max="9728" width="11.28515625" style="28" bestFit="1" customWidth="1"/>
    <col min="9729" max="9729" width="14" style="28" bestFit="1" customWidth="1"/>
    <col min="9730" max="9730" width="11.85546875" style="28" bestFit="1" customWidth="1"/>
    <col min="9731" max="9731" width="14.85546875" style="28" bestFit="1" customWidth="1"/>
    <col min="9732" max="9732" width="9.7109375" style="28" customWidth="1"/>
    <col min="9733" max="9733" width="4.85546875" style="28" customWidth="1"/>
    <col min="9734" max="9978" width="9.140625" style="28"/>
    <col min="9979" max="9979" width="5.42578125" style="28" bestFit="1" customWidth="1"/>
    <col min="9980" max="9980" width="20.42578125" style="28" bestFit="1" customWidth="1"/>
    <col min="9981" max="9981" width="41.42578125" style="28" customWidth="1"/>
    <col min="9982" max="9982" width="15.28515625" style="28" bestFit="1" customWidth="1"/>
    <col min="9983" max="9983" width="16.7109375" style="28" bestFit="1" customWidth="1"/>
    <col min="9984" max="9984" width="11.28515625" style="28" bestFit="1" customWidth="1"/>
    <col min="9985" max="9985" width="14" style="28" bestFit="1" customWidth="1"/>
    <col min="9986" max="9986" width="11.85546875" style="28" bestFit="1" customWidth="1"/>
    <col min="9987" max="9987" width="14.85546875" style="28" bestFit="1" customWidth="1"/>
    <col min="9988" max="9988" width="9.7109375" style="28" customWidth="1"/>
    <col min="9989" max="9989" width="4.85546875" style="28" customWidth="1"/>
    <col min="9990" max="10234" width="9.140625" style="28"/>
    <col min="10235" max="10235" width="5.42578125" style="28" bestFit="1" customWidth="1"/>
    <col min="10236" max="10236" width="20.42578125" style="28" bestFit="1" customWidth="1"/>
    <col min="10237" max="10237" width="41.42578125" style="28" customWidth="1"/>
    <col min="10238" max="10238" width="15.28515625" style="28" bestFit="1" customWidth="1"/>
    <col min="10239" max="10239" width="16.7109375" style="28" bestFit="1" customWidth="1"/>
    <col min="10240" max="10240" width="11.28515625" style="28" bestFit="1" customWidth="1"/>
    <col min="10241" max="10241" width="14" style="28" bestFit="1" customWidth="1"/>
    <col min="10242" max="10242" width="11.85546875" style="28" bestFit="1" customWidth="1"/>
    <col min="10243" max="10243" width="14.85546875" style="28" bestFit="1" customWidth="1"/>
    <col min="10244" max="10244" width="9.7109375" style="28" customWidth="1"/>
    <col min="10245" max="10245" width="4.85546875" style="28" customWidth="1"/>
    <col min="10246" max="10490" width="9.140625" style="28"/>
    <col min="10491" max="10491" width="5.42578125" style="28" bestFit="1" customWidth="1"/>
    <col min="10492" max="10492" width="20.42578125" style="28" bestFit="1" customWidth="1"/>
    <col min="10493" max="10493" width="41.42578125" style="28" customWidth="1"/>
    <col min="10494" max="10494" width="15.28515625" style="28" bestFit="1" customWidth="1"/>
    <col min="10495" max="10495" width="16.7109375" style="28" bestFit="1" customWidth="1"/>
    <col min="10496" max="10496" width="11.28515625" style="28" bestFit="1" customWidth="1"/>
    <col min="10497" max="10497" width="14" style="28" bestFit="1" customWidth="1"/>
    <col min="10498" max="10498" width="11.85546875" style="28" bestFit="1" customWidth="1"/>
    <col min="10499" max="10499" width="14.85546875" style="28" bestFit="1" customWidth="1"/>
    <col min="10500" max="10500" width="9.7109375" style="28" customWidth="1"/>
    <col min="10501" max="10501" width="4.85546875" style="28" customWidth="1"/>
    <col min="10502" max="10746" width="9.140625" style="28"/>
    <col min="10747" max="10747" width="5.42578125" style="28" bestFit="1" customWidth="1"/>
    <col min="10748" max="10748" width="20.42578125" style="28" bestFit="1" customWidth="1"/>
    <col min="10749" max="10749" width="41.42578125" style="28" customWidth="1"/>
    <col min="10750" max="10750" width="15.28515625" style="28" bestFit="1" customWidth="1"/>
    <col min="10751" max="10751" width="16.7109375" style="28" bestFit="1" customWidth="1"/>
    <col min="10752" max="10752" width="11.28515625" style="28" bestFit="1" customWidth="1"/>
    <col min="10753" max="10753" width="14" style="28" bestFit="1" customWidth="1"/>
    <col min="10754" max="10754" width="11.85546875" style="28" bestFit="1" customWidth="1"/>
    <col min="10755" max="10755" width="14.85546875" style="28" bestFit="1" customWidth="1"/>
    <col min="10756" max="10756" width="9.7109375" style="28" customWidth="1"/>
    <col min="10757" max="10757" width="4.85546875" style="28" customWidth="1"/>
    <col min="10758" max="11002" width="9.140625" style="28"/>
    <col min="11003" max="11003" width="5.42578125" style="28" bestFit="1" customWidth="1"/>
    <col min="11004" max="11004" width="20.42578125" style="28" bestFit="1" customWidth="1"/>
    <col min="11005" max="11005" width="41.42578125" style="28" customWidth="1"/>
    <col min="11006" max="11006" width="15.28515625" style="28" bestFit="1" customWidth="1"/>
    <col min="11007" max="11007" width="16.7109375" style="28" bestFit="1" customWidth="1"/>
    <col min="11008" max="11008" width="11.28515625" style="28" bestFit="1" customWidth="1"/>
    <col min="11009" max="11009" width="14" style="28" bestFit="1" customWidth="1"/>
    <col min="11010" max="11010" width="11.85546875" style="28" bestFit="1" customWidth="1"/>
    <col min="11011" max="11011" width="14.85546875" style="28" bestFit="1" customWidth="1"/>
    <col min="11012" max="11012" width="9.7109375" style="28" customWidth="1"/>
    <col min="11013" max="11013" width="4.85546875" style="28" customWidth="1"/>
    <col min="11014" max="11258" width="9.140625" style="28"/>
    <col min="11259" max="11259" width="5.42578125" style="28" bestFit="1" customWidth="1"/>
    <col min="11260" max="11260" width="20.42578125" style="28" bestFit="1" customWidth="1"/>
    <col min="11261" max="11261" width="41.42578125" style="28" customWidth="1"/>
    <col min="11262" max="11262" width="15.28515625" style="28" bestFit="1" customWidth="1"/>
    <col min="11263" max="11263" width="16.7109375" style="28" bestFit="1" customWidth="1"/>
    <col min="11264" max="11264" width="11.28515625" style="28" bestFit="1" customWidth="1"/>
    <col min="11265" max="11265" width="14" style="28" bestFit="1" customWidth="1"/>
    <col min="11266" max="11266" width="11.85546875" style="28" bestFit="1" customWidth="1"/>
    <col min="11267" max="11267" width="14.85546875" style="28" bestFit="1" customWidth="1"/>
    <col min="11268" max="11268" width="9.7109375" style="28" customWidth="1"/>
    <col min="11269" max="11269" width="4.85546875" style="28" customWidth="1"/>
    <col min="11270" max="11514" width="9.140625" style="28"/>
    <col min="11515" max="11515" width="5.42578125" style="28" bestFit="1" customWidth="1"/>
    <col min="11516" max="11516" width="20.42578125" style="28" bestFit="1" customWidth="1"/>
    <col min="11517" max="11517" width="41.42578125" style="28" customWidth="1"/>
    <col min="11518" max="11518" width="15.28515625" style="28" bestFit="1" customWidth="1"/>
    <col min="11519" max="11519" width="16.7109375" style="28" bestFit="1" customWidth="1"/>
    <col min="11520" max="11520" width="11.28515625" style="28" bestFit="1" customWidth="1"/>
    <col min="11521" max="11521" width="14" style="28" bestFit="1" customWidth="1"/>
    <col min="11522" max="11522" width="11.85546875" style="28" bestFit="1" customWidth="1"/>
    <col min="11523" max="11523" width="14.85546875" style="28" bestFit="1" customWidth="1"/>
    <col min="11524" max="11524" width="9.7109375" style="28" customWidth="1"/>
    <col min="11525" max="11525" width="4.85546875" style="28" customWidth="1"/>
    <col min="11526" max="11770" width="9.140625" style="28"/>
    <col min="11771" max="11771" width="5.42578125" style="28" bestFit="1" customWidth="1"/>
    <col min="11772" max="11772" width="20.42578125" style="28" bestFit="1" customWidth="1"/>
    <col min="11773" max="11773" width="41.42578125" style="28" customWidth="1"/>
    <col min="11774" max="11774" width="15.28515625" style="28" bestFit="1" customWidth="1"/>
    <col min="11775" max="11775" width="16.7109375" style="28" bestFit="1" customWidth="1"/>
    <col min="11776" max="11776" width="11.28515625" style="28" bestFit="1" customWidth="1"/>
    <col min="11777" max="11777" width="14" style="28" bestFit="1" customWidth="1"/>
    <col min="11778" max="11778" width="11.85546875" style="28" bestFit="1" customWidth="1"/>
    <col min="11779" max="11779" width="14.85546875" style="28" bestFit="1" customWidth="1"/>
    <col min="11780" max="11780" width="9.7109375" style="28" customWidth="1"/>
    <col min="11781" max="11781" width="4.85546875" style="28" customWidth="1"/>
    <col min="11782" max="12026" width="9.140625" style="28"/>
    <col min="12027" max="12027" width="5.42578125" style="28" bestFit="1" customWidth="1"/>
    <col min="12028" max="12028" width="20.42578125" style="28" bestFit="1" customWidth="1"/>
    <col min="12029" max="12029" width="41.42578125" style="28" customWidth="1"/>
    <col min="12030" max="12030" width="15.28515625" style="28" bestFit="1" customWidth="1"/>
    <col min="12031" max="12031" width="16.7109375" style="28" bestFit="1" customWidth="1"/>
    <col min="12032" max="12032" width="11.28515625" style="28" bestFit="1" customWidth="1"/>
    <col min="12033" max="12033" width="14" style="28" bestFit="1" customWidth="1"/>
    <col min="12034" max="12034" width="11.85546875" style="28" bestFit="1" customWidth="1"/>
    <col min="12035" max="12035" width="14.85546875" style="28" bestFit="1" customWidth="1"/>
    <col min="12036" max="12036" width="9.7109375" style="28" customWidth="1"/>
    <col min="12037" max="12037" width="4.85546875" style="28" customWidth="1"/>
    <col min="12038" max="12282" width="9.140625" style="28"/>
    <col min="12283" max="12283" width="5.42578125" style="28" bestFit="1" customWidth="1"/>
    <col min="12284" max="12284" width="20.42578125" style="28" bestFit="1" customWidth="1"/>
    <col min="12285" max="12285" width="41.42578125" style="28" customWidth="1"/>
    <col min="12286" max="12286" width="15.28515625" style="28" bestFit="1" customWidth="1"/>
    <col min="12287" max="12287" width="16.7109375" style="28" bestFit="1" customWidth="1"/>
    <col min="12288" max="12288" width="11.28515625" style="28" bestFit="1" customWidth="1"/>
    <col min="12289" max="12289" width="14" style="28" bestFit="1" customWidth="1"/>
    <col min="12290" max="12290" width="11.85546875" style="28" bestFit="1" customWidth="1"/>
    <col min="12291" max="12291" width="14.85546875" style="28" bestFit="1" customWidth="1"/>
    <col min="12292" max="12292" width="9.7109375" style="28" customWidth="1"/>
    <col min="12293" max="12293" width="4.85546875" style="28" customWidth="1"/>
    <col min="12294" max="12538" width="9.140625" style="28"/>
    <col min="12539" max="12539" width="5.42578125" style="28" bestFit="1" customWidth="1"/>
    <col min="12540" max="12540" width="20.42578125" style="28" bestFit="1" customWidth="1"/>
    <col min="12541" max="12541" width="41.42578125" style="28" customWidth="1"/>
    <col min="12542" max="12542" width="15.28515625" style="28" bestFit="1" customWidth="1"/>
    <col min="12543" max="12543" width="16.7109375" style="28" bestFit="1" customWidth="1"/>
    <col min="12544" max="12544" width="11.28515625" style="28" bestFit="1" customWidth="1"/>
    <col min="12545" max="12545" width="14" style="28" bestFit="1" customWidth="1"/>
    <col min="12546" max="12546" width="11.85546875" style="28" bestFit="1" customWidth="1"/>
    <col min="12547" max="12547" width="14.85546875" style="28" bestFit="1" customWidth="1"/>
    <col min="12548" max="12548" width="9.7109375" style="28" customWidth="1"/>
    <col min="12549" max="12549" width="4.85546875" style="28" customWidth="1"/>
    <col min="12550" max="12794" width="9.140625" style="28"/>
    <col min="12795" max="12795" width="5.42578125" style="28" bestFit="1" customWidth="1"/>
    <col min="12796" max="12796" width="20.42578125" style="28" bestFit="1" customWidth="1"/>
    <col min="12797" max="12797" width="41.42578125" style="28" customWidth="1"/>
    <col min="12798" max="12798" width="15.28515625" style="28" bestFit="1" customWidth="1"/>
    <col min="12799" max="12799" width="16.7109375" style="28" bestFit="1" customWidth="1"/>
    <col min="12800" max="12800" width="11.28515625" style="28" bestFit="1" customWidth="1"/>
    <col min="12801" max="12801" width="14" style="28" bestFit="1" customWidth="1"/>
    <col min="12802" max="12802" width="11.85546875" style="28" bestFit="1" customWidth="1"/>
    <col min="12803" max="12803" width="14.85546875" style="28" bestFit="1" customWidth="1"/>
    <col min="12804" max="12804" width="9.7109375" style="28" customWidth="1"/>
    <col min="12805" max="12805" width="4.85546875" style="28" customWidth="1"/>
    <col min="12806" max="13050" width="9.140625" style="28"/>
    <col min="13051" max="13051" width="5.42578125" style="28" bestFit="1" customWidth="1"/>
    <col min="13052" max="13052" width="20.42578125" style="28" bestFit="1" customWidth="1"/>
    <col min="13053" max="13053" width="41.42578125" style="28" customWidth="1"/>
    <col min="13054" max="13054" width="15.28515625" style="28" bestFit="1" customWidth="1"/>
    <col min="13055" max="13055" width="16.7109375" style="28" bestFit="1" customWidth="1"/>
    <col min="13056" max="13056" width="11.28515625" style="28" bestFit="1" customWidth="1"/>
    <col min="13057" max="13057" width="14" style="28" bestFit="1" customWidth="1"/>
    <col min="13058" max="13058" width="11.85546875" style="28" bestFit="1" customWidth="1"/>
    <col min="13059" max="13059" width="14.85546875" style="28" bestFit="1" customWidth="1"/>
    <col min="13060" max="13060" width="9.7109375" style="28" customWidth="1"/>
    <col min="13061" max="13061" width="4.85546875" style="28" customWidth="1"/>
    <col min="13062" max="13306" width="9.140625" style="28"/>
    <col min="13307" max="13307" width="5.42578125" style="28" bestFit="1" customWidth="1"/>
    <col min="13308" max="13308" width="20.42578125" style="28" bestFit="1" customWidth="1"/>
    <col min="13309" max="13309" width="41.42578125" style="28" customWidth="1"/>
    <col min="13310" max="13310" width="15.28515625" style="28" bestFit="1" customWidth="1"/>
    <col min="13311" max="13311" width="16.7109375" style="28" bestFit="1" customWidth="1"/>
    <col min="13312" max="13312" width="11.28515625" style="28" bestFit="1" customWidth="1"/>
    <col min="13313" max="13313" width="14" style="28" bestFit="1" customWidth="1"/>
    <col min="13314" max="13314" width="11.85546875" style="28" bestFit="1" customWidth="1"/>
    <col min="13315" max="13315" width="14.85546875" style="28" bestFit="1" customWidth="1"/>
    <col min="13316" max="13316" width="9.7109375" style="28" customWidth="1"/>
    <col min="13317" max="13317" width="4.85546875" style="28" customWidth="1"/>
    <col min="13318" max="13562" width="9.140625" style="28"/>
    <col min="13563" max="13563" width="5.42578125" style="28" bestFit="1" customWidth="1"/>
    <col min="13564" max="13564" width="20.42578125" style="28" bestFit="1" customWidth="1"/>
    <col min="13565" max="13565" width="41.42578125" style="28" customWidth="1"/>
    <col min="13566" max="13566" width="15.28515625" style="28" bestFit="1" customWidth="1"/>
    <col min="13567" max="13567" width="16.7109375" style="28" bestFit="1" customWidth="1"/>
    <col min="13568" max="13568" width="11.28515625" style="28" bestFit="1" customWidth="1"/>
    <col min="13569" max="13569" width="14" style="28" bestFit="1" customWidth="1"/>
    <col min="13570" max="13570" width="11.85546875" style="28" bestFit="1" customWidth="1"/>
    <col min="13571" max="13571" width="14.85546875" style="28" bestFit="1" customWidth="1"/>
    <col min="13572" max="13572" width="9.7109375" style="28" customWidth="1"/>
    <col min="13573" max="13573" width="4.85546875" style="28" customWidth="1"/>
    <col min="13574" max="13818" width="9.140625" style="28"/>
    <col min="13819" max="13819" width="5.42578125" style="28" bestFit="1" customWidth="1"/>
    <col min="13820" max="13820" width="20.42578125" style="28" bestFit="1" customWidth="1"/>
    <col min="13821" max="13821" width="41.42578125" style="28" customWidth="1"/>
    <col min="13822" max="13822" width="15.28515625" style="28" bestFit="1" customWidth="1"/>
    <col min="13823" max="13823" width="16.7109375" style="28" bestFit="1" customWidth="1"/>
    <col min="13824" max="13824" width="11.28515625" style="28" bestFit="1" customWidth="1"/>
    <col min="13825" max="13825" width="14" style="28" bestFit="1" customWidth="1"/>
    <col min="13826" max="13826" width="11.85546875" style="28" bestFit="1" customWidth="1"/>
    <col min="13827" max="13827" width="14.85546875" style="28" bestFit="1" customWidth="1"/>
    <col min="13828" max="13828" width="9.7109375" style="28" customWidth="1"/>
    <col min="13829" max="13829" width="4.85546875" style="28" customWidth="1"/>
    <col min="13830" max="14074" width="9.140625" style="28"/>
    <col min="14075" max="14075" width="5.42578125" style="28" bestFit="1" customWidth="1"/>
    <col min="14076" max="14076" width="20.42578125" style="28" bestFit="1" customWidth="1"/>
    <col min="14077" max="14077" width="41.42578125" style="28" customWidth="1"/>
    <col min="14078" max="14078" width="15.28515625" style="28" bestFit="1" customWidth="1"/>
    <col min="14079" max="14079" width="16.7109375" style="28" bestFit="1" customWidth="1"/>
    <col min="14080" max="14080" width="11.28515625" style="28" bestFit="1" customWidth="1"/>
    <col min="14081" max="14081" width="14" style="28" bestFit="1" customWidth="1"/>
    <col min="14082" max="14082" width="11.85546875" style="28" bestFit="1" customWidth="1"/>
    <col min="14083" max="14083" width="14.85546875" style="28" bestFit="1" customWidth="1"/>
    <col min="14084" max="14084" width="9.7109375" style="28" customWidth="1"/>
    <col min="14085" max="14085" width="4.85546875" style="28" customWidth="1"/>
    <col min="14086" max="14330" width="9.140625" style="28"/>
    <col min="14331" max="14331" width="5.42578125" style="28" bestFit="1" customWidth="1"/>
    <col min="14332" max="14332" width="20.42578125" style="28" bestFit="1" customWidth="1"/>
    <col min="14333" max="14333" width="41.42578125" style="28" customWidth="1"/>
    <col min="14334" max="14334" width="15.28515625" style="28" bestFit="1" customWidth="1"/>
    <col min="14335" max="14335" width="16.7109375" style="28" bestFit="1" customWidth="1"/>
    <col min="14336" max="14336" width="11.28515625" style="28" bestFit="1" customWidth="1"/>
    <col min="14337" max="14337" width="14" style="28" bestFit="1" customWidth="1"/>
    <col min="14338" max="14338" width="11.85546875" style="28" bestFit="1" customWidth="1"/>
    <col min="14339" max="14339" width="14.85546875" style="28" bestFit="1" customWidth="1"/>
    <col min="14340" max="14340" width="9.7109375" style="28" customWidth="1"/>
    <col min="14341" max="14341" width="4.85546875" style="28" customWidth="1"/>
    <col min="14342" max="14586" width="9.140625" style="28"/>
    <col min="14587" max="14587" width="5.42578125" style="28" bestFit="1" customWidth="1"/>
    <col min="14588" max="14588" width="20.42578125" style="28" bestFit="1" customWidth="1"/>
    <col min="14589" max="14589" width="41.42578125" style="28" customWidth="1"/>
    <col min="14590" max="14590" width="15.28515625" style="28" bestFit="1" customWidth="1"/>
    <col min="14591" max="14591" width="16.7109375" style="28" bestFit="1" customWidth="1"/>
    <col min="14592" max="14592" width="11.28515625" style="28" bestFit="1" customWidth="1"/>
    <col min="14593" max="14593" width="14" style="28" bestFit="1" customWidth="1"/>
    <col min="14594" max="14594" width="11.85546875" style="28" bestFit="1" customWidth="1"/>
    <col min="14595" max="14595" width="14.85546875" style="28" bestFit="1" customWidth="1"/>
    <col min="14596" max="14596" width="9.7109375" style="28" customWidth="1"/>
    <col min="14597" max="14597" width="4.85546875" style="28" customWidth="1"/>
    <col min="14598" max="14842" width="9.140625" style="28"/>
    <col min="14843" max="14843" width="5.42578125" style="28" bestFit="1" customWidth="1"/>
    <col min="14844" max="14844" width="20.42578125" style="28" bestFit="1" customWidth="1"/>
    <col min="14845" max="14845" width="41.42578125" style="28" customWidth="1"/>
    <col min="14846" max="14846" width="15.28515625" style="28" bestFit="1" customWidth="1"/>
    <col min="14847" max="14847" width="16.7109375" style="28" bestFit="1" customWidth="1"/>
    <col min="14848" max="14848" width="11.28515625" style="28" bestFit="1" customWidth="1"/>
    <col min="14849" max="14849" width="14" style="28" bestFit="1" customWidth="1"/>
    <col min="14850" max="14850" width="11.85546875" style="28" bestFit="1" customWidth="1"/>
    <col min="14851" max="14851" width="14.85546875" style="28" bestFit="1" customWidth="1"/>
    <col min="14852" max="14852" width="9.7109375" style="28" customWidth="1"/>
    <col min="14853" max="14853" width="4.85546875" style="28" customWidth="1"/>
    <col min="14854" max="15098" width="9.140625" style="28"/>
    <col min="15099" max="15099" width="5.42578125" style="28" bestFit="1" customWidth="1"/>
    <col min="15100" max="15100" width="20.42578125" style="28" bestFit="1" customWidth="1"/>
    <col min="15101" max="15101" width="41.42578125" style="28" customWidth="1"/>
    <col min="15102" max="15102" width="15.28515625" style="28" bestFit="1" customWidth="1"/>
    <col min="15103" max="15103" width="16.7109375" style="28" bestFit="1" customWidth="1"/>
    <col min="15104" max="15104" width="11.28515625" style="28" bestFit="1" customWidth="1"/>
    <col min="15105" max="15105" width="14" style="28" bestFit="1" customWidth="1"/>
    <col min="15106" max="15106" width="11.85546875" style="28" bestFit="1" customWidth="1"/>
    <col min="15107" max="15107" width="14.85546875" style="28" bestFit="1" customWidth="1"/>
    <col min="15108" max="15108" width="9.7109375" style="28" customWidth="1"/>
    <col min="15109" max="15109" width="4.85546875" style="28" customWidth="1"/>
    <col min="15110" max="15354" width="9.140625" style="28"/>
    <col min="15355" max="15355" width="5.42578125" style="28" bestFit="1" customWidth="1"/>
    <col min="15356" max="15356" width="20.42578125" style="28" bestFit="1" customWidth="1"/>
    <col min="15357" max="15357" width="41.42578125" style="28" customWidth="1"/>
    <col min="15358" max="15358" width="15.28515625" style="28" bestFit="1" customWidth="1"/>
    <col min="15359" max="15359" width="16.7109375" style="28" bestFit="1" customWidth="1"/>
    <col min="15360" max="15360" width="11.28515625" style="28" bestFit="1" customWidth="1"/>
    <col min="15361" max="15361" width="14" style="28" bestFit="1" customWidth="1"/>
    <col min="15362" max="15362" width="11.85546875" style="28" bestFit="1" customWidth="1"/>
    <col min="15363" max="15363" width="14.85546875" style="28" bestFit="1" customWidth="1"/>
    <col min="15364" max="15364" width="9.7109375" style="28" customWidth="1"/>
    <col min="15365" max="15365" width="4.85546875" style="28" customWidth="1"/>
    <col min="15366" max="15610" width="9.140625" style="28"/>
    <col min="15611" max="15611" width="5.42578125" style="28" bestFit="1" customWidth="1"/>
    <col min="15612" max="15612" width="20.42578125" style="28" bestFit="1" customWidth="1"/>
    <col min="15613" max="15613" width="41.42578125" style="28" customWidth="1"/>
    <col min="15614" max="15614" width="15.28515625" style="28" bestFit="1" customWidth="1"/>
    <col min="15615" max="15615" width="16.7109375" style="28" bestFit="1" customWidth="1"/>
    <col min="15616" max="15616" width="11.28515625" style="28" bestFit="1" customWidth="1"/>
    <col min="15617" max="15617" width="14" style="28" bestFit="1" customWidth="1"/>
    <col min="15618" max="15618" width="11.85546875" style="28" bestFit="1" customWidth="1"/>
    <col min="15619" max="15619" width="14.85546875" style="28" bestFit="1" customWidth="1"/>
    <col min="15620" max="15620" width="9.7109375" style="28" customWidth="1"/>
    <col min="15621" max="15621" width="4.85546875" style="28" customWidth="1"/>
    <col min="15622" max="15866" width="9.140625" style="28"/>
    <col min="15867" max="15867" width="5.42578125" style="28" bestFit="1" customWidth="1"/>
    <col min="15868" max="15868" width="20.42578125" style="28" bestFit="1" customWidth="1"/>
    <col min="15869" max="15869" width="41.42578125" style="28" customWidth="1"/>
    <col min="15870" max="15870" width="15.28515625" style="28" bestFit="1" customWidth="1"/>
    <col min="15871" max="15871" width="16.7109375" style="28" bestFit="1" customWidth="1"/>
    <col min="15872" max="15872" width="11.28515625" style="28" bestFit="1" customWidth="1"/>
    <col min="15873" max="15873" width="14" style="28" bestFit="1" customWidth="1"/>
    <col min="15874" max="15874" width="11.85546875" style="28" bestFit="1" customWidth="1"/>
    <col min="15875" max="15875" width="14.85546875" style="28" bestFit="1" customWidth="1"/>
    <col min="15876" max="15876" width="9.7109375" style="28" customWidth="1"/>
    <col min="15877" max="15877" width="4.85546875" style="28" customWidth="1"/>
    <col min="15878" max="16122" width="9.140625" style="28"/>
    <col min="16123" max="16123" width="5.42578125" style="28" bestFit="1" customWidth="1"/>
    <col min="16124" max="16124" width="20.42578125" style="28" bestFit="1" customWidth="1"/>
    <col min="16125" max="16125" width="41.42578125" style="28" customWidth="1"/>
    <col min="16126" max="16126" width="15.28515625" style="28" bestFit="1" customWidth="1"/>
    <col min="16127" max="16127" width="16.7109375" style="28" bestFit="1" customWidth="1"/>
    <col min="16128" max="16128" width="11.28515625" style="28" bestFit="1" customWidth="1"/>
    <col min="16129" max="16129" width="14" style="28" bestFit="1" customWidth="1"/>
    <col min="16130" max="16130" width="11.85546875" style="28" bestFit="1" customWidth="1"/>
    <col min="16131" max="16131" width="14.85546875" style="28" bestFit="1" customWidth="1"/>
    <col min="16132" max="16132" width="9.7109375" style="28" customWidth="1"/>
    <col min="16133" max="16133" width="4.85546875" style="28" customWidth="1"/>
    <col min="16134" max="16384" width="9.140625" style="28"/>
  </cols>
  <sheetData>
    <row r="1" spans="1:11" s="156" customFormat="1" x14ac:dyDescent="0.25">
      <c r="A1" s="276" t="s">
        <v>0</v>
      </c>
      <c r="B1" s="276"/>
      <c r="C1" s="276"/>
      <c r="D1" s="276"/>
      <c r="E1" s="276"/>
      <c r="F1" s="276"/>
      <c r="G1" s="276"/>
      <c r="H1" s="276"/>
    </row>
    <row r="2" spans="1:11" s="156" customFormat="1" x14ac:dyDescent="0.25">
      <c r="A2" s="277" t="s">
        <v>903</v>
      </c>
      <c r="B2" s="277"/>
      <c r="C2" s="277"/>
      <c r="D2" s="277"/>
      <c r="E2" s="277"/>
      <c r="F2" s="277"/>
      <c r="G2" s="277"/>
      <c r="H2" s="277"/>
    </row>
    <row r="3" spans="1:11" s="156" customFormat="1" x14ac:dyDescent="0.25">
      <c r="A3" s="278" t="s">
        <v>904</v>
      </c>
      <c r="B3" s="278"/>
      <c r="C3" s="278"/>
      <c r="D3" s="278"/>
      <c r="E3" s="278"/>
      <c r="F3" s="278"/>
      <c r="G3" s="278"/>
      <c r="H3" s="278"/>
    </row>
    <row r="4" spans="1:11" ht="30" x14ac:dyDescent="0.25">
      <c r="A4" s="29" t="s">
        <v>905</v>
      </c>
      <c r="B4" s="29" t="s">
        <v>906</v>
      </c>
      <c r="C4" s="29" t="s">
        <v>907</v>
      </c>
      <c r="D4" s="29" t="s">
        <v>908</v>
      </c>
      <c r="E4" s="29" t="s">
        <v>6</v>
      </c>
      <c r="F4" s="29" t="s">
        <v>7</v>
      </c>
      <c r="G4" s="29" t="s">
        <v>8</v>
      </c>
      <c r="H4" s="30" t="s">
        <v>909</v>
      </c>
    </row>
    <row r="5" spans="1:11" ht="26.25" x14ac:dyDescent="0.25">
      <c r="A5" s="31"/>
      <c r="B5" s="31"/>
      <c r="C5" s="32" t="s">
        <v>910</v>
      </c>
      <c r="D5" s="31"/>
      <c r="E5" s="31"/>
      <c r="F5" s="33"/>
      <c r="G5" s="33"/>
      <c r="H5" s="97"/>
      <c r="I5" s="66"/>
      <c r="J5" s="66"/>
      <c r="K5" s="66"/>
    </row>
    <row r="6" spans="1:11" ht="26.25" x14ac:dyDescent="0.25">
      <c r="A6" s="31">
        <v>1</v>
      </c>
      <c r="B6" s="31" t="s">
        <v>911</v>
      </c>
      <c r="C6" s="34" t="s">
        <v>912</v>
      </c>
      <c r="D6" s="31" t="s">
        <v>913</v>
      </c>
      <c r="E6" s="35">
        <v>6661563.5209999997</v>
      </c>
      <c r="F6" s="36">
        <v>6218.1202377</v>
      </c>
      <c r="G6" s="37">
        <f>F6/$F$18*100</f>
        <v>95.704127752646556</v>
      </c>
      <c r="H6" s="97"/>
      <c r="I6" s="167"/>
      <c r="J6" s="66"/>
      <c r="K6" s="168"/>
    </row>
    <row r="7" spans="1:11" x14ac:dyDescent="0.25">
      <c r="A7" s="38"/>
      <c r="B7" s="97"/>
      <c r="C7" s="97"/>
      <c r="D7" s="97"/>
      <c r="E7" s="97"/>
      <c r="F7" s="97"/>
      <c r="G7" s="97"/>
      <c r="H7" s="169"/>
      <c r="I7" s="66"/>
      <c r="J7" s="66"/>
      <c r="K7" s="66"/>
    </row>
    <row r="8" spans="1:11" ht="25.5" x14ac:dyDescent="0.25">
      <c r="A8" s="39"/>
      <c r="B8" s="39"/>
      <c r="C8" s="40" t="s">
        <v>914</v>
      </c>
      <c r="D8" s="40"/>
      <c r="E8" s="41"/>
      <c r="F8" s="42">
        <f>F6</f>
        <v>6218.1202377</v>
      </c>
      <c r="G8" s="43">
        <f>G6</f>
        <v>95.704127752646556</v>
      </c>
      <c r="H8" s="170"/>
      <c r="I8" s="66"/>
      <c r="J8" s="66"/>
      <c r="K8" s="66"/>
    </row>
    <row r="9" spans="1:11" x14ac:dyDescent="0.25">
      <c r="A9" s="39"/>
      <c r="B9" s="39"/>
      <c r="C9" s="39"/>
      <c r="D9" s="39"/>
      <c r="E9" s="39"/>
      <c r="F9" s="44"/>
      <c r="G9" s="39"/>
      <c r="H9" s="97"/>
      <c r="I9" s="66"/>
      <c r="J9" s="66"/>
      <c r="K9" s="66"/>
    </row>
    <row r="10" spans="1:11" x14ac:dyDescent="0.25">
      <c r="A10" s="31"/>
      <c r="B10" s="31"/>
      <c r="C10" s="45" t="s">
        <v>915</v>
      </c>
      <c r="D10" s="45"/>
      <c r="E10" s="45"/>
      <c r="F10" s="46"/>
      <c r="G10" s="39"/>
      <c r="H10" s="97"/>
      <c r="I10" s="66"/>
      <c r="J10" s="66"/>
      <c r="K10" s="66"/>
    </row>
    <row r="11" spans="1:11" x14ac:dyDescent="0.25">
      <c r="A11" s="39"/>
      <c r="B11" s="39"/>
      <c r="C11" s="47" t="s">
        <v>115</v>
      </c>
      <c r="D11" s="45"/>
      <c r="E11" s="45"/>
      <c r="F11" s="48">
        <v>240.00420123699999</v>
      </c>
      <c r="G11" s="37">
        <f>F11/$F$18*100</f>
        <v>3.6939447708161093</v>
      </c>
      <c r="H11" s="49">
        <v>3.25</v>
      </c>
      <c r="I11" s="66"/>
      <c r="J11" s="66"/>
      <c r="K11" s="66"/>
    </row>
    <row r="12" spans="1:11" x14ac:dyDescent="0.25">
      <c r="A12" s="39"/>
      <c r="B12" s="39"/>
      <c r="C12" s="47" t="s">
        <v>116</v>
      </c>
      <c r="D12" s="45"/>
      <c r="E12" s="45"/>
      <c r="F12" s="48">
        <v>32.882767430000001</v>
      </c>
      <c r="G12" s="37">
        <f>F12/$F$18*100</f>
        <v>0.50610416889354415</v>
      </c>
      <c r="H12" s="49">
        <v>3.35</v>
      </c>
      <c r="I12" s="66"/>
      <c r="J12" s="66"/>
      <c r="K12" s="66"/>
    </row>
    <row r="13" spans="1:11" x14ac:dyDescent="0.25">
      <c r="A13" s="39"/>
      <c r="B13" s="39"/>
      <c r="C13" s="47"/>
      <c r="D13" s="45"/>
      <c r="E13" s="45"/>
      <c r="F13" s="48"/>
      <c r="G13" s="37"/>
      <c r="H13" s="97"/>
      <c r="I13" s="66"/>
      <c r="J13" s="66"/>
      <c r="K13" s="66"/>
    </row>
    <row r="14" spans="1:11" x14ac:dyDescent="0.25">
      <c r="A14" s="39"/>
      <c r="B14" s="39"/>
      <c r="C14" s="50" t="s">
        <v>117</v>
      </c>
      <c r="D14" s="39"/>
      <c r="E14" s="39"/>
      <c r="F14" s="51">
        <f>SUM(F11:F12)</f>
        <v>272.88696866700002</v>
      </c>
      <c r="G14" s="43">
        <f>SUM(G11:G13)</f>
        <v>4.200048939709653</v>
      </c>
      <c r="H14" s="97"/>
      <c r="I14" s="66"/>
      <c r="J14" s="66"/>
      <c r="K14" s="66"/>
    </row>
    <row r="15" spans="1:11" x14ac:dyDescent="0.25">
      <c r="A15" s="39"/>
      <c r="B15" s="39"/>
      <c r="C15" s="39"/>
      <c r="D15" s="39"/>
      <c r="E15" s="39"/>
      <c r="F15" s="44"/>
      <c r="G15" s="39"/>
      <c r="H15" s="97"/>
      <c r="I15" s="66"/>
      <c r="J15" s="66"/>
      <c r="K15" s="66"/>
    </row>
    <row r="16" spans="1:11" x14ac:dyDescent="0.25">
      <c r="A16" s="39"/>
      <c r="B16" s="39"/>
      <c r="C16" s="47" t="s">
        <v>916</v>
      </c>
      <c r="D16" s="45"/>
      <c r="E16" s="45"/>
      <c r="F16" s="48">
        <f>F18-F14-F8</f>
        <v>6.2258636329997898</v>
      </c>
      <c r="G16" s="37">
        <f>F16/$F$18*100</f>
        <v>9.5823307643784272E-2</v>
      </c>
      <c r="H16" s="49"/>
      <c r="I16" s="66"/>
      <c r="J16" s="66"/>
      <c r="K16" s="66"/>
    </row>
    <row r="17" spans="1:11" x14ac:dyDescent="0.25">
      <c r="A17" s="39"/>
      <c r="B17" s="39"/>
      <c r="C17" s="39"/>
      <c r="D17" s="39"/>
      <c r="E17" s="39"/>
      <c r="F17" s="44"/>
      <c r="G17" s="39"/>
      <c r="H17" s="97"/>
      <c r="I17" s="66"/>
      <c r="J17" s="66"/>
      <c r="K17" s="66"/>
    </row>
    <row r="18" spans="1:11" x14ac:dyDescent="0.25">
      <c r="A18" s="39"/>
      <c r="B18" s="39"/>
      <c r="C18" s="50" t="s">
        <v>125</v>
      </c>
      <c r="D18" s="39"/>
      <c r="E18" s="39"/>
      <c r="F18" s="51">
        <v>6497.2330700000002</v>
      </c>
      <c r="G18" s="52">
        <f>G16+G14+G8</f>
        <v>100</v>
      </c>
      <c r="H18" s="53"/>
      <c r="I18" s="167"/>
      <c r="J18" s="66"/>
      <c r="K18" s="66"/>
    </row>
    <row r="19" spans="1:11" x14ac:dyDescent="0.25">
      <c r="A19" s="66"/>
      <c r="B19" s="66"/>
      <c r="C19" s="66"/>
      <c r="D19" s="66"/>
      <c r="E19" s="66"/>
      <c r="F19" s="171"/>
      <c r="G19" s="66"/>
      <c r="H19" s="172"/>
      <c r="I19" s="66"/>
      <c r="J19" s="66"/>
      <c r="K19" s="66"/>
    </row>
    <row r="20" spans="1:11" x14ac:dyDescent="0.25">
      <c r="A20" s="66"/>
      <c r="B20" s="54" t="s">
        <v>127</v>
      </c>
      <c r="C20" s="55"/>
      <c r="D20" s="55"/>
      <c r="E20" s="55"/>
      <c r="F20" s="56"/>
      <c r="G20" s="55"/>
      <c r="H20" s="66"/>
      <c r="I20" s="66"/>
      <c r="J20" s="66"/>
      <c r="K20" s="66"/>
    </row>
    <row r="21" spans="1:11" x14ac:dyDescent="0.25">
      <c r="A21" s="66"/>
      <c r="B21" s="55" t="s">
        <v>917</v>
      </c>
      <c r="C21" s="55"/>
      <c r="D21" s="55"/>
      <c r="E21" s="55"/>
      <c r="F21" s="57"/>
      <c r="G21" s="57"/>
      <c r="H21" s="66"/>
      <c r="I21" s="66"/>
      <c r="J21" s="66"/>
      <c r="K21" s="66"/>
    </row>
    <row r="22" spans="1:11" x14ac:dyDescent="0.25">
      <c r="A22" s="66"/>
      <c r="B22" s="274" t="s">
        <v>918</v>
      </c>
      <c r="C22" s="274"/>
      <c r="D22" s="55"/>
      <c r="E22" s="55"/>
      <c r="F22" s="58"/>
      <c r="G22" s="58"/>
      <c r="H22" s="66"/>
      <c r="I22" s="66"/>
      <c r="J22" s="66"/>
      <c r="K22" s="66"/>
    </row>
    <row r="23" spans="1:11" x14ac:dyDescent="0.25">
      <c r="A23" s="66"/>
      <c r="B23" s="274" t="s">
        <v>131</v>
      </c>
      <c r="C23" s="274"/>
      <c r="D23" s="59"/>
      <c r="E23" s="59"/>
      <c r="F23" s="55" t="s">
        <v>919</v>
      </c>
      <c r="G23" s="55"/>
      <c r="H23" s="66"/>
      <c r="I23" s="66"/>
      <c r="J23" s="66"/>
      <c r="K23" s="66"/>
    </row>
    <row r="24" spans="1:11" x14ac:dyDescent="0.25">
      <c r="A24" s="66"/>
      <c r="B24" s="74"/>
      <c r="C24" s="74"/>
      <c r="D24" s="59"/>
      <c r="E24" s="59"/>
      <c r="F24" s="55"/>
      <c r="G24" s="55"/>
      <c r="H24" s="66"/>
      <c r="I24" s="66"/>
      <c r="J24" s="66"/>
      <c r="K24" s="66"/>
    </row>
    <row r="25" spans="1:11" x14ac:dyDescent="0.25">
      <c r="A25" s="66"/>
      <c r="B25" s="60"/>
      <c r="C25" s="61" t="s">
        <v>132</v>
      </c>
      <c r="D25" s="61" t="s">
        <v>133</v>
      </c>
      <c r="E25" s="62"/>
      <c r="F25" s="62"/>
      <c r="G25" s="55"/>
      <c r="H25" s="66"/>
      <c r="I25" s="66"/>
      <c r="J25" s="66"/>
      <c r="K25" s="66"/>
    </row>
    <row r="26" spans="1:11" x14ac:dyDescent="0.25">
      <c r="A26" s="66"/>
      <c r="B26" s="63" t="s">
        <v>920</v>
      </c>
      <c r="C26" s="64">
        <v>44286</v>
      </c>
      <c r="D26" s="64">
        <v>44316</v>
      </c>
      <c r="E26" s="65"/>
      <c r="F26" s="65"/>
      <c r="G26" s="66"/>
      <c r="H26" s="66"/>
      <c r="I26" s="66"/>
      <c r="J26" s="66"/>
      <c r="K26" s="66"/>
    </row>
    <row r="27" spans="1:11" x14ac:dyDescent="0.25">
      <c r="A27" s="66"/>
      <c r="B27" s="67" t="s">
        <v>137</v>
      </c>
      <c r="C27" s="68">
        <v>24.1099</v>
      </c>
      <c r="D27" s="68">
        <v>25.368300000000001</v>
      </c>
      <c r="E27" s="69"/>
      <c r="F27" s="66"/>
      <c r="G27" s="66"/>
      <c r="H27" s="66"/>
      <c r="I27" s="66"/>
      <c r="J27" s="66"/>
      <c r="K27" s="66"/>
    </row>
    <row r="28" spans="1:11" x14ac:dyDescent="0.25">
      <c r="A28" s="66"/>
      <c r="B28" s="173" t="s">
        <v>921</v>
      </c>
      <c r="C28" s="68">
        <v>21.450500000000002</v>
      </c>
      <c r="D28" s="68">
        <v>22.569400000000002</v>
      </c>
      <c r="E28" s="69"/>
      <c r="F28" s="66"/>
      <c r="G28" s="66"/>
      <c r="H28" s="66"/>
      <c r="I28" s="66"/>
      <c r="J28" s="66"/>
      <c r="K28" s="66"/>
    </row>
    <row r="29" spans="1:11" x14ac:dyDescent="0.25">
      <c r="A29" s="66"/>
      <c r="B29" s="67" t="s">
        <v>138</v>
      </c>
      <c r="C29" s="68">
        <v>23.014600000000002</v>
      </c>
      <c r="D29" s="68">
        <v>24.199400000000001</v>
      </c>
      <c r="E29" s="69"/>
      <c r="F29" s="66"/>
      <c r="G29" s="66"/>
      <c r="H29" s="66"/>
      <c r="I29" s="66"/>
      <c r="J29" s="66"/>
      <c r="K29" s="66"/>
    </row>
    <row r="30" spans="1:11" x14ac:dyDescent="0.25">
      <c r="A30" s="66"/>
      <c r="B30" s="173" t="s">
        <v>922</v>
      </c>
      <c r="C30" s="68">
        <v>19.730599999999999</v>
      </c>
      <c r="D30" s="68">
        <v>20.746500000000001</v>
      </c>
      <c r="E30" s="69"/>
      <c r="F30" s="66"/>
      <c r="G30" s="66"/>
      <c r="H30" s="66"/>
      <c r="I30" s="66"/>
      <c r="J30" s="66"/>
      <c r="K30" s="66"/>
    </row>
    <row r="31" spans="1:11" x14ac:dyDescent="0.25">
      <c r="A31" s="66"/>
      <c r="B31" s="174" t="s">
        <v>923</v>
      </c>
      <c r="C31" s="175"/>
      <c r="D31" s="175"/>
      <c r="E31" s="175"/>
      <c r="F31" s="175"/>
      <c r="G31" s="55"/>
      <c r="H31" s="66"/>
      <c r="I31" s="66"/>
      <c r="J31" s="66"/>
      <c r="K31" s="66"/>
    </row>
    <row r="32" spans="1:11" x14ac:dyDescent="0.25">
      <c r="A32" s="66"/>
      <c r="B32" s="174"/>
      <c r="C32" s="175"/>
      <c r="D32" s="175"/>
      <c r="E32" s="175"/>
      <c r="F32" s="175"/>
      <c r="G32" s="55"/>
      <c r="H32" s="66"/>
      <c r="I32" s="66"/>
      <c r="J32" s="66"/>
      <c r="K32" s="66"/>
    </row>
    <row r="33" spans="1:11" x14ac:dyDescent="0.25">
      <c r="A33" s="66"/>
      <c r="B33" s="279" t="s">
        <v>924</v>
      </c>
      <c r="C33" s="279"/>
      <c r="D33" s="279"/>
      <c r="E33" s="70"/>
      <c r="F33" s="70"/>
      <c r="G33" s="66"/>
      <c r="H33" s="66"/>
      <c r="I33" s="66"/>
      <c r="J33" s="66"/>
      <c r="K33" s="66"/>
    </row>
    <row r="34" spans="1:11" x14ac:dyDescent="0.25">
      <c r="A34" s="66"/>
      <c r="B34" s="274" t="s">
        <v>925</v>
      </c>
      <c r="C34" s="274"/>
      <c r="D34" s="274"/>
      <c r="E34" s="55"/>
      <c r="F34" s="55"/>
      <c r="G34" s="55"/>
      <c r="H34" s="66"/>
      <c r="I34" s="66"/>
      <c r="J34" s="66"/>
      <c r="K34" s="66"/>
    </row>
    <row r="35" spans="1:11" x14ac:dyDescent="0.25">
      <c r="A35" s="66"/>
      <c r="B35" s="71" t="s">
        <v>926</v>
      </c>
      <c r="C35" s="71"/>
      <c r="D35" s="71"/>
      <c r="E35" s="72"/>
      <c r="F35" s="72"/>
      <c r="G35" s="55"/>
      <c r="H35" s="66"/>
      <c r="I35" s="66"/>
      <c r="J35" s="66"/>
      <c r="K35" s="66"/>
    </row>
    <row r="36" spans="1:11" x14ac:dyDescent="0.25">
      <c r="A36" s="66"/>
      <c r="B36" s="275" t="s">
        <v>927</v>
      </c>
      <c r="C36" s="275"/>
      <c r="D36" s="275"/>
      <c r="E36" s="66"/>
      <c r="F36" s="66"/>
      <c r="G36" s="66"/>
      <c r="H36" s="66"/>
      <c r="I36" s="66"/>
      <c r="J36" s="66"/>
      <c r="K36" s="66"/>
    </row>
    <row r="37" spans="1:11" x14ac:dyDescent="0.25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</row>
    <row r="38" spans="1:11" x14ac:dyDescent="0.25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</row>
    <row r="39" spans="1:11" x14ac:dyDescent="0.25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</row>
    <row r="40" spans="1:11" x14ac:dyDescent="0.25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</row>
    <row r="41" spans="1:11" x14ac:dyDescent="0.25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spans="1:11" x14ac:dyDescent="0.25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spans="1:11" x14ac:dyDescent="0.25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spans="1:11" x14ac:dyDescent="0.25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spans="1:11" x14ac:dyDescent="0.25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spans="1:11" x14ac:dyDescent="0.25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spans="1:11" x14ac:dyDescent="0.25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spans="1:11" x14ac:dyDescent="0.25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spans="1:11" x14ac:dyDescent="0.25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spans="1:11" x14ac:dyDescent="0.25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spans="1:11" x14ac:dyDescent="0.25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spans="1:11" x14ac:dyDescent="0.25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spans="1:11" x14ac:dyDescent="0.25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spans="1:11" x14ac:dyDescent="0.25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spans="1:11" x14ac:dyDescent="0.25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spans="1:11" x14ac:dyDescent="0.25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spans="1:11" x14ac:dyDescent="0.25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spans="1:11" x14ac:dyDescent="0.25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spans="1:11" x14ac:dyDescent="0.25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spans="1:11" x14ac:dyDescent="0.25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spans="1:11" x14ac:dyDescent="0.25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spans="1:11" x14ac:dyDescent="0.25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spans="1:11" x14ac:dyDescent="0.25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spans="1:11" x14ac:dyDescent="0.25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spans="1:11" x14ac:dyDescent="0.2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spans="1:11" x14ac:dyDescent="0.25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spans="1:11" x14ac:dyDescent="0.25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spans="1:11" x14ac:dyDescent="0.25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spans="1:11" x14ac:dyDescent="0.25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spans="1:11" x14ac:dyDescent="0.25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spans="1:11" x14ac:dyDescent="0.25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spans="1:11" x14ac:dyDescent="0.25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spans="1:11" x14ac:dyDescent="0.25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spans="1:11" x14ac:dyDescent="0.25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spans="1:11" x14ac:dyDescent="0.25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spans="1:11" x14ac:dyDescent="0.25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spans="1:11" x14ac:dyDescent="0.25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spans="1:11" x14ac:dyDescent="0.25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spans="1:11" x14ac:dyDescent="0.25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spans="1:11" x14ac:dyDescent="0.25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spans="1:11" x14ac:dyDescent="0.25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spans="1:11" x14ac:dyDescent="0.25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spans="1:11" x14ac:dyDescent="0.25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spans="1:11" x14ac:dyDescent="0.25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spans="1:11" x14ac:dyDescent="0.25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spans="1:11" x14ac:dyDescent="0.25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spans="1:11" x14ac:dyDescent="0.25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spans="1:11" x14ac:dyDescent="0.25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spans="1:11" x14ac:dyDescent="0.25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spans="1:11" x14ac:dyDescent="0.25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spans="1:11" x14ac:dyDescent="0.25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spans="1:11" x14ac:dyDescent="0.25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spans="1:11" x14ac:dyDescent="0.25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spans="1:11" x14ac:dyDescent="0.25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spans="1:11" x14ac:dyDescent="0.25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spans="1:11" x14ac:dyDescent="0.25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spans="1:11" x14ac:dyDescent="0.25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spans="1:11" x14ac:dyDescent="0.25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spans="1:11" x14ac:dyDescent="0.25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spans="1:11" x14ac:dyDescent="0.25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spans="1:11" x14ac:dyDescent="0.25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spans="1:11" x14ac:dyDescent="0.25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spans="1:11" x14ac:dyDescent="0.25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spans="1:11" x14ac:dyDescent="0.25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spans="1:11" x14ac:dyDescent="0.25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spans="1:11" x14ac:dyDescent="0.25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spans="1:11" x14ac:dyDescent="0.25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spans="1:11" x14ac:dyDescent="0.25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spans="1:11" x14ac:dyDescent="0.25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spans="1:11" x14ac:dyDescent="0.25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spans="1:11" x14ac:dyDescent="0.25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spans="1:11" x14ac:dyDescent="0.25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spans="1:11" x14ac:dyDescent="0.25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spans="1:11" x14ac:dyDescent="0.25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spans="1:11" x14ac:dyDescent="0.2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spans="1:11" x14ac:dyDescent="0.25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spans="1:11" x14ac:dyDescent="0.25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spans="1:11" x14ac:dyDescent="0.25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spans="1:11" x14ac:dyDescent="0.25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spans="1:11" x14ac:dyDescent="0.25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spans="1:11" x14ac:dyDescent="0.25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spans="1:11" x14ac:dyDescent="0.25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spans="1:11" x14ac:dyDescent="0.25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spans="1:11" x14ac:dyDescent="0.25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spans="1:11" x14ac:dyDescent="0.2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spans="1:11" x14ac:dyDescent="0.25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spans="1:11" x14ac:dyDescent="0.25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spans="1:11" x14ac:dyDescent="0.25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spans="1:11" x14ac:dyDescent="0.25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spans="1:11" x14ac:dyDescent="0.25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spans="1:11" x14ac:dyDescent="0.25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spans="1:11" x14ac:dyDescent="0.25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spans="1:11" x14ac:dyDescent="0.25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spans="1:11" x14ac:dyDescent="0.25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spans="1:11" x14ac:dyDescent="0.2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spans="1:11" x14ac:dyDescent="0.25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spans="1:11" x14ac:dyDescent="0.25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spans="1:11" x14ac:dyDescent="0.25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spans="1:11" x14ac:dyDescent="0.25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spans="1:11" x14ac:dyDescent="0.25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spans="1:11" x14ac:dyDescent="0.25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spans="1:11" x14ac:dyDescent="0.25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spans="1:11" x14ac:dyDescent="0.25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spans="1:11" x14ac:dyDescent="0.25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spans="1:11" x14ac:dyDescent="0.2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spans="1:11" x14ac:dyDescent="0.25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spans="1:11" x14ac:dyDescent="0.25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spans="1:11" x14ac:dyDescent="0.25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spans="1:11" x14ac:dyDescent="0.25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spans="1:11" x14ac:dyDescent="0.25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spans="1:11" x14ac:dyDescent="0.25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spans="1:11" x14ac:dyDescent="0.25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spans="1:11" x14ac:dyDescent="0.25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spans="1:11" x14ac:dyDescent="0.25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spans="1:11" x14ac:dyDescent="0.2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spans="1:11" x14ac:dyDescent="0.25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spans="1:11" x14ac:dyDescent="0.25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spans="1:11" x14ac:dyDescent="0.25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spans="1:11" x14ac:dyDescent="0.25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spans="1:11" x14ac:dyDescent="0.25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spans="1:11" x14ac:dyDescent="0.25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spans="1:11" x14ac:dyDescent="0.25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spans="1:11" x14ac:dyDescent="0.25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spans="1:11" x14ac:dyDescent="0.25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spans="1:11" x14ac:dyDescent="0.2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spans="1:11" x14ac:dyDescent="0.25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spans="1:11" x14ac:dyDescent="0.25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spans="1:11" x14ac:dyDescent="0.25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spans="1:11" x14ac:dyDescent="0.25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spans="1:11" x14ac:dyDescent="0.25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spans="1:11" x14ac:dyDescent="0.25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spans="1:11" x14ac:dyDescent="0.25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spans="1:11" x14ac:dyDescent="0.25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spans="1:11" x14ac:dyDescent="0.25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spans="1:11" x14ac:dyDescent="0.2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spans="1:11" x14ac:dyDescent="0.25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spans="1:11" x14ac:dyDescent="0.25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spans="1:11" x14ac:dyDescent="0.25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spans="1:11" x14ac:dyDescent="0.25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spans="1:11" x14ac:dyDescent="0.25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spans="1:11" x14ac:dyDescent="0.25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spans="1:11" x14ac:dyDescent="0.25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spans="1:11" x14ac:dyDescent="0.25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spans="1:11" x14ac:dyDescent="0.25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spans="1:11" x14ac:dyDescent="0.2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spans="1:11" x14ac:dyDescent="0.25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spans="1:11" x14ac:dyDescent="0.25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spans="1:11" x14ac:dyDescent="0.25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spans="1:11" x14ac:dyDescent="0.25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spans="1:11" x14ac:dyDescent="0.25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spans="1:11" x14ac:dyDescent="0.25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spans="1:11" x14ac:dyDescent="0.25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spans="1:11" x14ac:dyDescent="0.25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spans="1:11" x14ac:dyDescent="0.25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spans="1:11" x14ac:dyDescent="0.25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spans="1:11" x14ac:dyDescent="0.25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spans="1:11" x14ac:dyDescent="0.25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spans="1:11" x14ac:dyDescent="0.25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spans="1:11" x14ac:dyDescent="0.25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spans="1:11" x14ac:dyDescent="0.25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spans="1:11" x14ac:dyDescent="0.25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spans="1:11" x14ac:dyDescent="0.25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spans="1:11" x14ac:dyDescent="0.25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spans="1:11" x14ac:dyDescent="0.25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spans="1:11" x14ac:dyDescent="0.25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spans="1:11" x14ac:dyDescent="0.25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spans="1:11" x14ac:dyDescent="0.25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spans="1:11" x14ac:dyDescent="0.25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spans="1:11" x14ac:dyDescent="0.25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spans="1:11" x14ac:dyDescent="0.25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spans="1:11" x14ac:dyDescent="0.25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spans="1:11" x14ac:dyDescent="0.25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spans="1:11" x14ac:dyDescent="0.25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spans="1:11" x14ac:dyDescent="0.25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spans="1:11" x14ac:dyDescent="0.25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spans="1:11" x14ac:dyDescent="0.25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spans="1:11" x14ac:dyDescent="0.25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spans="1:11" x14ac:dyDescent="0.25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spans="1:11" x14ac:dyDescent="0.25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spans="1:11" x14ac:dyDescent="0.25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spans="1:11" x14ac:dyDescent="0.25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spans="1:11" x14ac:dyDescent="0.25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spans="1:11" x14ac:dyDescent="0.25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spans="1:11" x14ac:dyDescent="0.25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spans="1:11" x14ac:dyDescent="0.25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spans="1:11" x14ac:dyDescent="0.25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spans="1:11" x14ac:dyDescent="0.25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spans="1:11" x14ac:dyDescent="0.25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spans="1:11" x14ac:dyDescent="0.25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spans="1:11" x14ac:dyDescent="0.25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spans="1:11" x14ac:dyDescent="0.25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spans="1:11" x14ac:dyDescent="0.25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spans="1:11" x14ac:dyDescent="0.25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spans="1:11" x14ac:dyDescent="0.25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spans="1:11" x14ac:dyDescent="0.25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spans="1:11" x14ac:dyDescent="0.25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spans="1:11" x14ac:dyDescent="0.25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spans="1:11" x14ac:dyDescent="0.25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spans="1:11" x14ac:dyDescent="0.25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spans="1:11" x14ac:dyDescent="0.25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spans="1:11" x14ac:dyDescent="0.25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spans="1:11" x14ac:dyDescent="0.25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spans="1:11" x14ac:dyDescent="0.25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spans="1:11" x14ac:dyDescent="0.25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spans="1:11" x14ac:dyDescent="0.25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spans="1:11" x14ac:dyDescent="0.25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spans="1:11" x14ac:dyDescent="0.25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spans="1:11" x14ac:dyDescent="0.25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spans="1:11" x14ac:dyDescent="0.25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spans="1:11" x14ac:dyDescent="0.25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spans="1:11" x14ac:dyDescent="0.25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spans="1:11" x14ac:dyDescent="0.25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spans="1:11" x14ac:dyDescent="0.25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spans="1:11" x14ac:dyDescent="0.25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spans="1:11" x14ac:dyDescent="0.25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spans="1:11" x14ac:dyDescent="0.25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spans="1:11" x14ac:dyDescent="0.25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spans="1:11" x14ac:dyDescent="0.25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spans="1:11" x14ac:dyDescent="0.25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spans="1:11" x14ac:dyDescent="0.25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spans="1:11" x14ac:dyDescent="0.25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spans="1:11" x14ac:dyDescent="0.25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spans="1:11" x14ac:dyDescent="0.25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spans="1:11" x14ac:dyDescent="0.25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spans="1:11" x14ac:dyDescent="0.25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spans="1:11" x14ac:dyDescent="0.25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spans="1:11" x14ac:dyDescent="0.25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spans="1:11" x14ac:dyDescent="0.25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spans="1:11" x14ac:dyDescent="0.25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spans="1:11" x14ac:dyDescent="0.25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spans="1:11" x14ac:dyDescent="0.25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spans="1:11" x14ac:dyDescent="0.25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spans="1:11" x14ac:dyDescent="0.25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spans="1:11" x14ac:dyDescent="0.25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spans="1:11" x14ac:dyDescent="0.25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spans="1:11" x14ac:dyDescent="0.25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spans="1:11" x14ac:dyDescent="0.25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spans="1:11" x14ac:dyDescent="0.25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spans="1:11" x14ac:dyDescent="0.25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spans="1:11" x14ac:dyDescent="0.25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spans="1:11" x14ac:dyDescent="0.25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spans="1:11" x14ac:dyDescent="0.25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spans="1:11" x14ac:dyDescent="0.25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spans="1:11" x14ac:dyDescent="0.25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spans="1:11" x14ac:dyDescent="0.25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spans="1:11" x14ac:dyDescent="0.25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spans="1:11" x14ac:dyDescent="0.25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spans="1:11" x14ac:dyDescent="0.25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spans="1:11" x14ac:dyDescent="0.25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spans="1:11" x14ac:dyDescent="0.25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spans="1:11" x14ac:dyDescent="0.25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spans="1:11" x14ac:dyDescent="0.25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spans="1:11" x14ac:dyDescent="0.25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spans="1:11" x14ac:dyDescent="0.25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spans="1:11" x14ac:dyDescent="0.25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spans="1:11" x14ac:dyDescent="0.25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spans="1:11" x14ac:dyDescent="0.25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spans="1:11" x14ac:dyDescent="0.25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spans="1:11" x14ac:dyDescent="0.25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spans="1:11" x14ac:dyDescent="0.25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spans="1:11" x14ac:dyDescent="0.25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spans="1:11" x14ac:dyDescent="0.25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spans="1:11" x14ac:dyDescent="0.25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spans="1:11" x14ac:dyDescent="0.25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spans="1:11" x14ac:dyDescent="0.25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spans="1:11" x14ac:dyDescent="0.25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spans="1:11" x14ac:dyDescent="0.25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spans="1:11" x14ac:dyDescent="0.25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spans="1:11" x14ac:dyDescent="0.25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spans="1:11" x14ac:dyDescent="0.25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spans="1:11" x14ac:dyDescent="0.25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spans="1:11" x14ac:dyDescent="0.25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spans="1:11" x14ac:dyDescent="0.25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spans="1:11" x14ac:dyDescent="0.25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spans="1:11" x14ac:dyDescent="0.25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spans="1:11" x14ac:dyDescent="0.25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spans="1:11" x14ac:dyDescent="0.25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spans="1:11" x14ac:dyDescent="0.25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spans="1:11" x14ac:dyDescent="0.25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spans="1:11" x14ac:dyDescent="0.25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spans="1:11" x14ac:dyDescent="0.25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spans="1:11" x14ac:dyDescent="0.25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spans="1:11" x14ac:dyDescent="0.25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spans="1:11" x14ac:dyDescent="0.25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spans="1:11" x14ac:dyDescent="0.2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spans="1:11" x14ac:dyDescent="0.25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spans="1:11" x14ac:dyDescent="0.25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spans="1:11" x14ac:dyDescent="0.25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spans="1:11" x14ac:dyDescent="0.25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spans="1:11" x14ac:dyDescent="0.25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spans="1:11" x14ac:dyDescent="0.25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spans="1:11" x14ac:dyDescent="0.25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spans="1:11" x14ac:dyDescent="0.25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spans="1:11" x14ac:dyDescent="0.25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spans="1:11" x14ac:dyDescent="0.2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spans="1:11" x14ac:dyDescent="0.25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spans="1:11" x14ac:dyDescent="0.25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spans="1:11" x14ac:dyDescent="0.25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spans="1:11" x14ac:dyDescent="0.25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spans="1:11" x14ac:dyDescent="0.25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spans="1:11" x14ac:dyDescent="0.25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spans="1:11" x14ac:dyDescent="0.25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spans="1:11" x14ac:dyDescent="0.25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spans="1:11" x14ac:dyDescent="0.25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spans="1:11" x14ac:dyDescent="0.2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spans="1:11" x14ac:dyDescent="0.25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spans="1:11" x14ac:dyDescent="0.25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spans="1:11" x14ac:dyDescent="0.25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spans="1:11" x14ac:dyDescent="0.25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spans="1:11" x14ac:dyDescent="0.25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spans="1:11" x14ac:dyDescent="0.25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spans="1:11" x14ac:dyDescent="0.25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spans="1:11" x14ac:dyDescent="0.25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spans="1:11" x14ac:dyDescent="0.25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spans="1:11" x14ac:dyDescent="0.2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spans="1:11" x14ac:dyDescent="0.25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spans="1:11" x14ac:dyDescent="0.25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spans="1:11" x14ac:dyDescent="0.25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spans="1:11" x14ac:dyDescent="0.25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spans="1:11" x14ac:dyDescent="0.25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spans="1:11" x14ac:dyDescent="0.25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spans="1:11" x14ac:dyDescent="0.25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spans="1:11" x14ac:dyDescent="0.25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spans="1:11" x14ac:dyDescent="0.25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spans="1:11" x14ac:dyDescent="0.2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spans="1:11" x14ac:dyDescent="0.25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spans="1:11" x14ac:dyDescent="0.25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spans="1:11" x14ac:dyDescent="0.25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spans="1:11" x14ac:dyDescent="0.25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spans="1:11" x14ac:dyDescent="0.25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spans="1:11" x14ac:dyDescent="0.25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spans="1:11" x14ac:dyDescent="0.25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spans="1:11" x14ac:dyDescent="0.25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spans="1:11" x14ac:dyDescent="0.25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spans="1:11" x14ac:dyDescent="0.2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spans="1:11" x14ac:dyDescent="0.25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spans="1:11" x14ac:dyDescent="0.25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spans="1:11" x14ac:dyDescent="0.25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spans="1:11" x14ac:dyDescent="0.25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spans="1:11" x14ac:dyDescent="0.25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spans="1:11" x14ac:dyDescent="0.25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spans="1:11" x14ac:dyDescent="0.25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spans="1:11" x14ac:dyDescent="0.25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spans="1:11" x14ac:dyDescent="0.25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spans="1:11" x14ac:dyDescent="0.2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spans="1:11" x14ac:dyDescent="0.25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spans="1:11" x14ac:dyDescent="0.25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spans="1:11" x14ac:dyDescent="0.25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spans="1:11" x14ac:dyDescent="0.25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spans="1:11" x14ac:dyDescent="0.25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spans="1:11" x14ac:dyDescent="0.25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spans="1:11" x14ac:dyDescent="0.25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spans="1:11" x14ac:dyDescent="0.25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spans="1:11" x14ac:dyDescent="0.25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spans="1:11" x14ac:dyDescent="0.2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spans="1:11" x14ac:dyDescent="0.25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spans="1:11" x14ac:dyDescent="0.25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spans="1:11" x14ac:dyDescent="0.25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spans="1:11" x14ac:dyDescent="0.25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spans="1:11" x14ac:dyDescent="0.25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spans="1:11" x14ac:dyDescent="0.25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spans="1:11" x14ac:dyDescent="0.25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spans="1:11" x14ac:dyDescent="0.25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spans="1:11" x14ac:dyDescent="0.25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spans="1:11" x14ac:dyDescent="0.2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spans="1:11" x14ac:dyDescent="0.25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spans="1:11" x14ac:dyDescent="0.25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spans="1:11" x14ac:dyDescent="0.25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spans="1:11" x14ac:dyDescent="0.25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spans="1:11" x14ac:dyDescent="0.25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spans="1:11" x14ac:dyDescent="0.25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spans="1:11" x14ac:dyDescent="0.25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spans="1:11" x14ac:dyDescent="0.25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spans="1:11" x14ac:dyDescent="0.25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spans="1:11" x14ac:dyDescent="0.2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spans="1:11" x14ac:dyDescent="0.25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spans="1:11" x14ac:dyDescent="0.25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spans="1:11" x14ac:dyDescent="0.25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spans="1:11" x14ac:dyDescent="0.25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spans="1:11" x14ac:dyDescent="0.25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spans="1:11" x14ac:dyDescent="0.25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spans="1:11" x14ac:dyDescent="0.25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spans="1:11" x14ac:dyDescent="0.25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spans="1:11" x14ac:dyDescent="0.25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spans="1:11" x14ac:dyDescent="0.2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spans="1:11" x14ac:dyDescent="0.25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spans="1:11" x14ac:dyDescent="0.25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spans="1:11" x14ac:dyDescent="0.25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spans="1:11" x14ac:dyDescent="0.25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spans="1:11" x14ac:dyDescent="0.25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spans="1:11" x14ac:dyDescent="0.25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spans="1:11" x14ac:dyDescent="0.25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spans="1:11" x14ac:dyDescent="0.25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spans="1:11" x14ac:dyDescent="0.25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spans="1:11" x14ac:dyDescent="0.2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spans="1:11" x14ac:dyDescent="0.25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spans="1:11" x14ac:dyDescent="0.25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spans="1:11" x14ac:dyDescent="0.25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spans="1:11" x14ac:dyDescent="0.25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spans="1:11" x14ac:dyDescent="0.25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spans="1:11" x14ac:dyDescent="0.25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spans="1:11" x14ac:dyDescent="0.25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spans="1:11" x14ac:dyDescent="0.25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spans="1:11" x14ac:dyDescent="0.25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spans="1:11" x14ac:dyDescent="0.2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spans="1:11" x14ac:dyDescent="0.25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spans="1:11" x14ac:dyDescent="0.25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spans="1:11" x14ac:dyDescent="0.25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spans="1:11" x14ac:dyDescent="0.25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spans="1:11" x14ac:dyDescent="0.25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spans="1:11" x14ac:dyDescent="0.25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spans="1:11" x14ac:dyDescent="0.25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spans="1:11" x14ac:dyDescent="0.25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spans="1:11" x14ac:dyDescent="0.25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spans="1:11" x14ac:dyDescent="0.2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spans="1:11" x14ac:dyDescent="0.25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spans="1:11" x14ac:dyDescent="0.25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spans="1:11" x14ac:dyDescent="0.25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spans="1:11" x14ac:dyDescent="0.25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spans="1:11" x14ac:dyDescent="0.25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spans="1:11" x14ac:dyDescent="0.25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spans="1:11" x14ac:dyDescent="0.25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spans="1:11" x14ac:dyDescent="0.25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spans="1:11" x14ac:dyDescent="0.25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spans="1:11" x14ac:dyDescent="0.2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spans="1:11" x14ac:dyDescent="0.25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spans="1:11" x14ac:dyDescent="0.25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spans="1:11" x14ac:dyDescent="0.25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spans="1:11" x14ac:dyDescent="0.25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spans="1:11" x14ac:dyDescent="0.25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spans="1:11" x14ac:dyDescent="0.25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spans="1:11" x14ac:dyDescent="0.25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spans="1:11" x14ac:dyDescent="0.25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spans="1:11" x14ac:dyDescent="0.25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spans="1:11" x14ac:dyDescent="0.2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spans="1:11" x14ac:dyDescent="0.25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spans="1:11" x14ac:dyDescent="0.25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spans="1:11" x14ac:dyDescent="0.25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spans="1:11" x14ac:dyDescent="0.25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spans="1:11" x14ac:dyDescent="0.25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spans="1:11" x14ac:dyDescent="0.25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spans="1:11" x14ac:dyDescent="0.25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spans="1:11" x14ac:dyDescent="0.25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spans="1:11" x14ac:dyDescent="0.25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spans="1:11" x14ac:dyDescent="0.2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spans="1:11" x14ac:dyDescent="0.25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spans="1:11" x14ac:dyDescent="0.25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spans="1:11" x14ac:dyDescent="0.25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spans="1:11" x14ac:dyDescent="0.25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spans="1:11" x14ac:dyDescent="0.25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spans="1:11" x14ac:dyDescent="0.25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spans="1:11" x14ac:dyDescent="0.25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spans="1:11" x14ac:dyDescent="0.25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spans="1:11" x14ac:dyDescent="0.25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spans="1:11" x14ac:dyDescent="0.2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spans="1:11" x14ac:dyDescent="0.25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spans="1:11" x14ac:dyDescent="0.25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spans="1:11" x14ac:dyDescent="0.25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spans="1:11" x14ac:dyDescent="0.25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spans="1:11" x14ac:dyDescent="0.25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spans="1:11" x14ac:dyDescent="0.25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spans="1:11" x14ac:dyDescent="0.25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spans="1:11" x14ac:dyDescent="0.25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spans="1:11" x14ac:dyDescent="0.25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spans="1:11" x14ac:dyDescent="0.2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spans="1:11" x14ac:dyDescent="0.25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spans="1:11" x14ac:dyDescent="0.25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spans="1:11" x14ac:dyDescent="0.25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spans="1:11" x14ac:dyDescent="0.25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spans="1:11" x14ac:dyDescent="0.25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spans="1:11" x14ac:dyDescent="0.25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spans="1:11" x14ac:dyDescent="0.25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spans="1:11" x14ac:dyDescent="0.25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spans="1:11" x14ac:dyDescent="0.25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spans="1:11" x14ac:dyDescent="0.2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spans="1:11" x14ac:dyDescent="0.25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spans="1:11" x14ac:dyDescent="0.25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spans="1:11" x14ac:dyDescent="0.25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spans="1:11" x14ac:dyDescent="0.25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spans="1:11" x14ac:dyDescent="0.25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spans="1:11" x14ac:dyDescent="0.25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spans="1:11" x14ac:dyDescent="0.25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spans="1:11" x14ac:dyDescent="0.25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spans="1:11" x14ac:dyDescent="0.25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spans="1:11" x14ac:dyDescent="0.2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spans="1:11" x14ac:dyDescent="0.25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spans="1:11" x14ac:dyDescent="0.25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spans="1:11" x14ac:dyDescent="0.25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spans="1:11" x14ac:dyDescent="0.25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spans="1:11" x14ac:dyDescent="0.25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spans="1:11" x14ac:dyDescent="0.25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spans="1:11" x14ac:dyDescent="0.25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spans="1:11" x14ac:dyDescent="0.25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spans="1:11" x14ac:dyDescent="0.25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spans="1:11" x14ac:dyDescent="0.2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spans="1:11" x14ac:dyDescent="0.25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spans="1:11" x14ac:dyDescent="0.25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spans="1:11" x14ac:dyDescent="0.25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spans="1:11" x14ac:dyDescent="0.25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spans="1:11" x14ac:dyDescent="0.25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spans="1:11" x14ac:dyDescent="0.25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spans="1:11" x14ac:dyDescent="0.25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spans="1:11" x14ac:dyDescent="0.25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spans="1:11" x14ac:dyDescent="0.25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spans="1:11" x14ac:dyDescent="0.2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spans="1:11" x14ac:dyDescent="0.25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spans="1:11" x14ac:dyDescent="0.25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spans="1:11" x14ac:dyDescent="0.25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spans="1:11" x14ac:dyDescent="0.25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spans="1:11" x14ac:dyDescent="0.25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spans="1:11" x14ac:dyDescent="0.25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spans="1:11" x14ac:dyDescent="0.25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spans="1:11" x14ac:dyDescent="0.25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spans="1:11" x14ac:dyDescent="0.25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spans="1:11" x14ac:dyDescent="0.2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spans="1:11" x14ac:dyDescent="0.25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spans="1:11" x14ac:dyDescent="0.25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spans="1:11" x14ac:dyDescent="0.25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spans="1:11" x14ac:dyDescent="0.25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spans="1:11" x14ac:dyDescent="0.25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spans="1:11" x14ac:dyDescent="0.25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spans="1:11" x14ac:dyDescent="0.25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spans="1:11" x14ac:dyDescent="0.25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spans="1:11" x14ac:dyDescent="0.25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spans="1:11" x14ac:dyDescent="0.2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spans="1:11" x14ac:dyDescent="0.25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spans="1:11" x14ac:dyDescent="0.25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spans="1:11" x14ac:dyDescent="0.25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spans="1:11" x14ac:dyDescent="0.25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spans="1:11" x14ac:dyDescent="0.25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spans="1:11" x14ac:dyDescent="0.25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spans="1:11" x14ac:dyDescent="0.25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spans="1:11" x14ac:dyDescent="0.25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spans="1:11" x14ac:dyDescent="0.25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spans="1:11" x14ac:dyDescent="0.2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spans="1:11" x14ac:dyDescent="0.25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spans="1:11" x14ac:dyDescent="0.25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spans="1:11" x14ac:dyDescent="0.25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spans="1:11" x14ac:dyDescent="0.25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spans="1:11" x14ac:dyDescent="0.25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spans="1:11" x14ac:dyDescent="0.25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spans="1:11" x14ac:dyDescent="0.25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spans="1:11" x14ac:dyDescent="0.25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spans="1:11" x14ac:dyDescent="0.25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spans="1:11" x14ac:dyDescent="0.2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spans="1:11" x14ac:dyDescent="0.25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spans="1:11" x14ac:dyDescent="0.25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spans="1:11" x14ac:dyDescent="0.25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spans="1:11" x14ac:dyDescent="0.25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spans="1:11" x14ac:dyDescent="0.25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spans="1:11" x14ac:dyDescent="0.25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spans="1:11" x14ac:dyDescent="0.25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spans="1:11" x14ac:dyDescent="0.25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spans="1:11" x14ac:dyDescent="0.25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spans="1:11" x14ac:dyDescent="0.2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spans="1:11" x14ac:dyDescent="0.25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spans="1:11" x14ac:dyDescent="0.25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spans="1:11" x14ac:dyDescent="0.25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spans="1:11" x14ac:dyDescent="0.25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spans="1:11" x14ac:dyDescent="0.25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spans="1:11" x14ac:dyDescent="0.25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spans="1:11" x14ac:dyDescent="0.25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spans="1:11" x14ac:dyDescent="0.25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spans="1:11" x14ac:dyDescent="0.25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spans="1:11" x14ac:dyDescent="0.2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spans="1:11" x14ac:dyDescent="0.25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spans="1:11" x14ac:dyDescent="0.25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spans="1:11" x14ac:dyDescent="0.25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spans="1:11" x14ac:dyDescent="0.25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spans="1:11" x14ac:dyDescent="0.25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spans="1:11" x14ac:dyDescent="0.25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spans="1:11" x14ac:dyDescent="0.25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spans="1:11" x14ac:dyDescent="0.25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spans="1:11" x14ac:dyDescent="0.25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spans="1:11" x14ac:dyDescent="0.2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spans="1:11" x14ac:dyDescent="0.25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spans="1:11" x14ac:dyDescent="0.25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spans="1:11" x14ac:dyDescent="0.25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spans="1:11" x14ac:dyDescent="0.25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spans="1:11" x14ac:dyDescent="0.25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spans="1:11" x14ac:dyDescent="0.25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spans="1:11" x14ac:dyDescent="0.25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spans="1:11" x14ac:dyDescent="0.25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spans="1:11" x14ac:dyDescent="0.25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spans="1:11" x14ac:dyDescent="0.2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spans="1:11" x14ac:dyDescent="0.25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spans="1:11" x14ac:dyDescent="0.25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spans="1:11" x14ac:dyDescent="0.25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spans="1:11" x14ac:dyDescent="0.25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spans="1:11" x14ac:dyDescent="0.25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spans="1:11" x14ac:dyDescent="0.25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spans="1:11" x14ac:dyDescent="0.25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spans="1:11" x14ac:dyDescent="0.25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spans="1:11" x14ac:dyDescent="0.25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spans="1:11" x14ac:dyDescent="0.2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spans="1:11" x14ac:dyDescent="0.25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spans="1:11" x14ac:dyDescent="0.25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spans="1:11" x14ac:dyDescent="0.25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spans="1:11" x14ac:dyDescent="0.25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spans="1:11" x14ac:dyDescent="0.25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spans="1:11" x14ac:dyDescent="0.25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spans="1:11" x14ac:dyDescent="0.25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spans="1:11" x14ac:dyDescent="0.25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spans="1:11" x14ac:dyDescent="0.25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spans="1:11" x14ac:dyDescent="0.25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spans="1:11" x14ac:dyDescent="0.25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spans="1:11" x14ac:dyDescent="0.25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spans="1:11" x14ac:dyDescent="0.25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spans="1:11" x14ac:dyDescent="0.25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spans="1:11" x14ac:dyDescent="0.25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spans="1:11" x14ac:dyDescent="0.25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spans="1:11" x14ac:dyDescent="0.25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spans="1:11" x14ac:dyDescent="0.25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spans="1:11" x14ac:dyDescent="0.25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spans="1:11" x14ac:dyDescent="0.25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spans="1:11" x14ac:dyDescent="0.25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spans="1:11" x14ac:dyDescent="0.25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spans="1:11" x14ac:dyDescent="0.25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spans="1:11" x14ac:dyDescent="0.25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spans="1:11" x14ac:dyDescent="0.25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spans="1:11" x14ac:dyDescent="0.25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spans="1:11" x14ac:dyDescent="0.25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spans="1:11" x14ac:dyDescent="0.25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spans="1:11" x14ac:dyDescent="0.25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spans="1:11" x14ac:dyDescent="0.25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spans="1:11" x14ac:dyDescent="0.25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spans="1:11" x14ac:dyDescent="0.25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spans="1:11" x14ac:dyDescent="0.25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spans="1:11" x14ac:dyDescent="0.25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spans="1:11" x14ac:dyDescent="0.25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spans="1:11" x14ac:dyDescent="0.25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spans="1:11" x14ac:dyDescent="0.25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spans="1:11" x14ac:dyDescent="0.25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spans="1:11" x14ac:dyDescent="0.25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spans="1:11" x14ac:dyDescent="0.25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spans="1:11" x14ac:dyDescent="0.25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spans="1:11" x14ac:dyDescent="0.25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spans="1:11" x14ac:dyDescent="0.25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spans="1:11" x14ac:dyDescent="0.25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spans="1:11" x14ac:dyDescent="0.25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spans="1:11" x14ac:dyDescent="0.25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spans="1:11" x14ac:dyDescent="0.25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spans="1:11" x14ac:dyDescent="0.25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spans="1:11" x14ac:dyDescent="0.25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spans="1:11" x14ac:dyDescent="0.25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spans="1:11" x14ac:dyDescent="0.25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spans="1:11" x14ac:dyDescent="0.25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spans="1:11" x14ac:dyDescent="0.25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spans="1:11" x14ac:dyDescent="0.25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spans="1:11" x14ac:dyDescent="0.25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spans="1:11" x14ac:dyDescent="0.25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spans="1:11" x14ac:dyDescent="0.25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spans="1:11" x14ac:dyDescent="0.25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spans="1:11" x14ac:dyDescent="0.25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spans="1:11" x14ac:dyDescent="0.25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spans="1:11" x14ac:dyDescent="0.25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spans="1:11" x14ac:dyDescent="0.25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spans="1:11" x14ac:dyDescent="0.25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spans="1:11" x14ac:dyDescent="0.25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spans="1:11" x14ac:dyDescent="0.25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spans="1:11" x14ac:dyDescent="0.25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spans="1:11" x14ac:dyDescent="0.25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spans="1:11" x14ac:dyDescent="0.25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spans="1:11" x14ac:dyDescent="0.25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spans="1:11" x14ac:dyDescent="0.25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spans="1:11" x14ac:dyDescent="0.25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spans="1:11" x14ac:dyDescent="0.25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spans="1:11" x14ac:dyDescent="0.25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spans="1:11" x14ac:dyDescent="0.25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spans="1:11" x14ac:dyDescent="0.25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spans="1:11" x14ac:dyDescent="0.25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spans="1:11" x14ac:dyDescent="0.25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spans="1:11" x14ac:dyDescent="0.25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spans="1:11" x14ac:dyDescent="0.25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spans="1:11" x14ac:dyDescent="0.25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spans="1:11" x14ac:dyDescent="0.25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spans="1:11" x14ac:dyDescent="0.25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spans="1:11" x14ac:dyDescent="0.25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spans="1:11" x14ac:dyDescent="0.25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spans="1:11" x14ac:dyDescent="0.25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spans="1:11" x14ac:dyDescent="0.25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spans="1:11" x14ac:dyDescent="0.25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spans="1:11" x14ac:dyDescent="0.25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spans="1:11" x14ac:dyDescent="0.25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spans="1:11" x14ac:dyDescent="0.25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spans="1:11" x14ac:dyDescent="0.25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spans="1:11" x14ac:dyDescent="0.25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spans="1:11" x14ac:dyDescent="0.25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spans="1:11" x14ac:dyDescent="0.25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spans="1:11" x14ac:dyDescent="0.25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spans="1:11" x14ac:dyDescent="0.25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spans="1:11" x14ac:dyDescent="0.25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spans="1:11" x14ac:dyDescent="0.25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spans="1:11" x14ac:dyDescent="0.25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spans="1:11" x14ac:dyDescent="0.25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spans="1:11" x14ac:dyDescent="0.25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spans="1:11" x14ac:dyDescent="0.25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spans="1:11" x14ac:dyDescent="0.25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spans="1:11" x14ac:dyDescent="0.25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spans="1:11" x14ac:dyDescent="0.25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spans="1:11" x14ac:dyDescent="0.25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spans="1:11" x14ac:dyDescent="0.25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spans="1:11" x14ac:dyDescent="0.25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spans="1:11" x14ac:dyDescent="0.25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spans="1:11" x14ac:dyDescent="0.25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spans="1:11" x14ac:dyDescent="0.25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spans="1:11" x14ac:dyDescent="0.25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spans="1:11" x14ac:dyDescent="0.25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spans="1:11" x14ac:dyDescent="0.25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spans="1:11" x14ac:dyDescent="0.25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spans="1:11" x14ac:dyDescent="0.25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spans="1:11" x14ac:dyDescent="0.25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spans="1:11" x14ac:dyDescent="0.25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spans="1:11" x14ac:dyDescent="0.25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spans="1:11" x14ac:dyDescent="0.25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spans="1:11" x14ac:dyDescent="0.25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spans="1:11" x14ac:dyDescent="0.25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spans="1:11" x14ac:dyDescent="0.25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spans="1:11" x14ac:dyDescent="0.25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spans="1:11" x14ac:dyDescent="0.25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spans="1:11" x14ac:dyDescent="0.25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spans="1:11" x14ac:dyDescent="0.25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spans="1:11" x14ac:dyDescent="0.25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spans="1:11" x14ac:dyDescent="0.25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spans="1:11" x14ac:dyDescent="0.25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spans="1:11" x14ac:dyDescent="0.25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spans="1:11" x14ac:dyDescent="0.25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spans="1:11" x14ac:dyDescent="0.25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spans="1:11" x14ac:dyDescent="0.25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spans="1:11" x14ac:dyDescent="0.25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spans="1:11" x14ac:dyDescent="0.25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spans="1:11" x14ac:dyDescent="0.25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spans="1:11" x14ac:dyDescent="0.25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spans="1:11" x14ac:dyDescent="0.25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spans="1:11" x14ac:dyDescent="0.2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spans="1:11" x14ac:dyDescent="0.25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spans="1:11" x14ac:dyDescent="0.25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spans="1:11" x14ac:dyDescent="0.25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spans="1:11" x14ac:dyDescent="0.25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spans="1:11" x14ac:dyDescent="0.25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spans="1:11" x14ac:dyDescent="0.25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spans="1:11" x14ac:dyDescent="0.25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spans="1:11" x14ac:dyDescent="0.25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spans="1:11" x14ac:dyDescent="0.25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spans="1:11" x14ac:dyDescent="0.2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spans="1:11" x14ac:dyDescent="0.25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spans="1:11" x14ac:dyDescent="0.25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spans="1:11" x14ac:dyDescent="0.25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spans="1:11" x14ac:dyDescent="0.25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spans="1:11" x14ac:dyDescent="0.25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spans="1:11" x14ac:dyDescent="0.25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spans="1:11" x14ac:dyDescent="0.25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spans="1:11" x14ac:dyDescent="0.25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spans="1:11" x14ac:dyDescent="0.25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spans="1:11" x14ac:dyDescent="0.2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spans="1:11" x14ac:dyDescent="0.25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spans="1:11" x14ac:dyDescent="0.25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spans="1:11" x14ac:dyDescent="0.25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spans="1:11" x14ac:dyDescent="0.25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spans="1:11" x14ac:dyDescent="0.25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spans="1:11" x14ac:dyDescent="0.25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spans="1:11" x14ac:dyDescent="0.25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spans="1:11" x14ac:dyDescent="0.25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spans="1:11" x14ac:dyDescent="0.25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spans="1:11" x14ac:dyDescent="0.2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spans="1:11" x14ac:dyDescent="0.25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spans="1:11" x14ac:dyDescent="0.25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spans="1:11" x14ac:dyDescent="0.25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spans="1:11" x14ac:dyDescent="0.25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spans="1:11" x14ac:dyDescent="0.25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spans="1:11" x14ac:dyDescent="0.25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spans="1:11" x14ac:dyDescent="0.25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spans="1:11" x14ac:dyDescent="0.25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spans="1:11" x14ac:dyDescent="0.25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spans="1:11" x14ac:dyDescent="0.2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spans="1:11" x14ac:dyDescent="0.25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spans="1:11" x14ac:dyDescent="0.25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spans="1:11" x14ac:dyDescent="0.25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spans="1:11" x14ac:dyDescent="0.25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spans="1:11" x14ac:dyDescent="0.25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spans="1:11" x14ac:dyDescent="0.25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spans="1:11" x14ac:dyDescent="0.25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spans="1:11" x14ac:dyDescent="0.25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spans="1:11" x14ac:dyDescent="0.25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spans="1:11" x14ac:dyDescent="0.2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spans="1:11" x14ac:dyDescent="0.25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spans="1:11" x14ac:dyDescent="0.25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spans="1:11" x14ac:dyDescent="0.25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spans="1:11" x14ac:dyDescent="0.25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spans="1:11" x14ac:dyDescent="0.25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spans="1:11" x14ac:dyDescent="0.25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spans="1:11" x14ac:dyDescent="0.25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spans="1:11" x14ac:dyDescent="0.25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spans="1:11" x14ac:dyDescent="0.25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spans="1:11" x14ac:dyDescent="0.2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spans="1:11" x14ac:dyDescent="0.25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spans="1:11" x14ac:dyDescent="0.25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spans="1:11" x14ac:dyDescent="0.25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spans="1:11" x14ac:dyDescent="0.25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spans="1:11" x14ac:dyDescent="0.25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spans="1:11" x14ac:dyDescent="0.25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spans="1:11" x14ac:dyDescent="0.25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spans="1:11" x14ac:dyDescent="0.25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spans="1:11" x14ac:dyDescent="0.25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spans="1:11" x14ac:dyDescent="0.2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spans="1:11" x14ac:dyDescent="0.25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spans="1:11" x14ac:dyDescent="0.25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spans="1:11" x14ac:dyDescent="0.25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spans="1:11" x14ac:dyDescent="0.25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spans="1:11" x14ac:dyDescent="0.25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spans="1:11" x14ac:dyDescent="0.25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spans="1:11" x14ac:dyDescent="0.25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spans="1:11" x14ac:dyDescent="0.25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spans="1:11" x14ac:dyDescent="0.25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spans="1:11" x14ac:dyDescent="0.2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spans="1:11" x14ac:dyDescent="0.25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spans="1:11" x14ac:dyDescent="0.25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spans="1:11" x14ac:dyDescent="0.25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spans="1:11" x14ac:dyDescent="0.25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spans="1:11" x14ac:dyDescent="0.25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spans="1:11" x14ac:dyDescent="0.25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spans="1:11" x14ac:dyDescent="0.25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spans="1:11" x14ac:dyDescent="0.25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spans="1:11" x14ac:dyDescent="0.25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spans="1:11" x14ac:dyDescent="0.2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spans="1:11" x14ac:dyDescent="0.25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spans="1:11" x14ac:dyDescent="0.25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spans="1:11" x14ac:dyDescent="0.25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spans="1:11" x14ac:dyDescent="0.25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spans="1:11" x14ac:dyDescent="0.25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spans="1:11" x14ac:dyDescent="0.25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spans="1:11" x14ac:dyDescent="0.25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spans="1:11" x14ac:dyDescent="0.25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spans="1:11" x14ac:dyDescent="0.25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spans="1:11" x14ac:dyDescent="0.2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spans="1:11" x14ac:dyDescent="0.25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spans="1:11" x14ac:dyDescent="0.25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spans="1:11" x14ac:dyDescent="0.25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spans="1:11" x14ac:dyDescent="0.25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spans="1:11" x14ac:dyDescent="0.25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spans="1:11" x14ac:dyDescent="0.25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spans="1:11" x14ac:dyDescent="0.25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spans="1:11" x14ac:dyDescent="0.25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spans="1:11" x14ac:dyDescent="0.25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spans="1:11" x14ac:dyDescent="0.2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spans="1:11" x14ac:dyDescent="0.25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spans="1:11" x14ac:dyDescent="0.25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spans="1:11" x14ac:dyDescent="0.25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spans="1:11" x14ac:dyDescent="0.25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spans="1:11" x14ac:dyDescent="0.25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spans="1:11" x14ac:dyDescent="0.25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spans="1:11" x14ac:dyDescent="0.25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spans="1:11" x14ac:dyDescent="0.25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spans="1:11" x14ac:dyDescent="0.25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spans="1:11" x14ac:dyDescent="0.25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spans="1:11" x14ac:dyDescent="0.25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spans="1:11" x14ac:dyDescent="0.25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spans="1:11" x14ac:dyDescent="0.25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spans="1:11" x14ac:dyDescent="0.25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spans="1:11" x14ac:dyDescent="0.25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spans="1:11" x14ac:dyDescent="0.25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spans="1:11" x14ac:dyDescent="0.25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spans="1:11" x14ac:dyDescent="0.25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spans="1:11" x14ac:dyDescent="0.25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spans="1:11" x14ac:dyDescent="0.25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spans="1:11" x14ac:dyDescent="0.25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spans="1:11" x14ac:dyDescent="0.25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spans="1:11" x14ac:dyDescent="0.25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spans="1:11" x14ac:dyDescent="0.25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spans="1:11" x14ac:dyDescent="0.25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spans="1:11" x14ac:dyDescent="0.25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spans="1:11" x14ac:dyDescent="0.25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spans="1:11" x14ac:dyDescent="0.25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spans="1:11" x14ac:dyDescent="0.25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spans="1:11" x14ac:dyDescent="0.25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spans="1:11" x14ac:dyDescent="0.25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spans="1:11" x14ac:dyDescent="0.25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spans="1:11" x14ac:dyDescent="0.25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spans="1:11" x14ac:dyDescent="0.25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spans="1:11" x14ac:dyDescent="0.25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spans="1:11" x14ac:dyDescent="0.25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spans="1:11" x14ac:dyDescent="0.25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spans="1:11" x14ac:dyDescent="0.25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spans="1:11" x14ac:dyDescent="0.25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spans="1:11" x14ac:dyDescent="0.25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spans="1:11" x14ac:dyDescent="0.25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spans="1:11" x14ac:dyDescent="0.25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spans="1:11" x14ac:dyDescent="0.25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spans="1:11" x14ac:dyDescent="0.25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spans="1:11" x14ac:dyDescent="0.25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spans="1:11" x14ac:dyDescent="0.25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spans="1:11" x14ac:dyDescent="0.25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spans="1:11" x14ac:dyDescent="0.25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spans="1:11" x14ac:dyDescent="0.25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spans="1:11" x14ac:dyDescent="0.25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spans="1:11" x14ac:dyDescent="0.25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spans="1:11" x14ac:dyDescent="0.25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spans="1:11" x14ac:dyDescent="0.25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spans="1:11" x14ac:dyDescent="0.25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spans="1:11" x14ac:dyDescent="0.25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spans="1:11" x14ac:dyDescent="0.25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spans="1:11" x14ac:dyDescent="0.25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spans="1:11" x14ac:dyDescent="0.25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spans="1:11" x14ac:dyDescent="0.25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spans="1:11" x14ac:dyDescent="0.25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spans="1:11" x14ac:dyDescent="0.25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spans="1:11" x14ac:dyDescent="0.25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spans="1:11" x14ac:dyDescent="0.25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spans="1:11" x14ac:dyDescent="0.25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spans="1:11" x14ac:dyDescent="0.25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spans="1:11" x14ac:dyDescent="0.25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spans="1:11" x14ac:dyDescent="0.25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spans="1:11" x14ac:dyDescent="0.25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spans="1:11" x14ac:dyDescent="0.25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spans="1:11" x14ac:dyDescent="0.25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spans="1:11" x14ac:dyDescent="0.25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spans="1:11" x14ac:dyDescent="0.25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spans="1:11" x14ac:dyDescent="0.25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spans="1:11" x14ac:dyDescent="0.25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spans="1:11" x14ac:dyDescent="0.25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spans="1:11" x14ac:dyDescent="0.25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spans="1:11" x14ac:dyDescent="0.25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spans="1:11" x14ac:dyDescent="0.25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spans="1:11" x14ac:dyDescent="0.25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spans="1:11" x14ac:dyDescent="0.25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spans="1:11" x14ac:dyDescent="0.25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spans="1:11" x14ac:dyDescent="0.25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spans="1:11" x14ac:dyDescent="0.25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spans="1:11" x14ac:dyDescent="0.25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spans="1:11" x14ac:dyDescent="0.25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spans="1:11" x14ac:dyDescent="0.25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spans="1:11" x14ac:dyDescent="0.25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spans="1:11" x14ac:dyDescent="0.25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spans="1:11" x14ac:dyDescent="0.25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spans="1:11" x14ac:dyDescent="0.25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spans="1:11" x14ac:dyDescent="0.25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spans="1:11" x14ac:dyDescent="0.25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spans="1:11" x14ac:dyDescent="0.25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spans="1:11" x14ac:dyDescent="0.25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spans="1:11" x14ac:dyDescent="0.25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spans="1:11" x14ac:dyDescent="0.25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spans="1:11" x14ac:dyDescent="0.25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spans="1:11" x14ac:dyDescent="0.25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spans="1:11" x14ac:dyDescent="0.25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spans="1:11" x14ac:dyDescent="0.25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spans="1:11" x14ac:dyDescent="0.25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spans="1:11" x14ac:dyDescent="0.25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spans="1:11" x14ac:dyDescent="0.25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spans="1:11" x14ac:dyDescent="0.25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spans="1:11" x14ac:dyDescent="0.25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spans="1:11" x14ac:dyDescent="0.25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spans="1:11" x14ac:dyDescent="0.25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spans="1:11" x14ac:dyDescent="0.25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spans="1:11" x14ac:dyDescent="0.25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spans="1:11" x14ac:dyDescent="0.25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spans="1:11" x14ac:dyDescent="0.25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spans="1:11" x14ac:dyDescent="0.25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spans="1:11" x14ac:dyDescent="0.25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  <row r="999" spans="1:11" x14ac:dyDescent="0.25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</row>
    <row r="1000" spans="1:11" x14ac:dyDescent="0.25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</row>
    <row r="1001" spans="1:11" x14ac:dyDescent="0.25">
      <c r="A1001" s="66"/>
      <c r="B1001" s="66"/>
      <c r="C1001" s="66"/>
      <c r="D1001" s="66"/>
      <c r="E1001" s="66"/>
      <c r="F1001" s="66"/>
      <c r="G1001" s="66"/>
      <c r="H1001" s="66"/>
      <c r="I1001" s="66"/>
      <c r="J1001" s="66"/>
      <c r="K1001" s="66"/>
    </row>
    <row r="1002" spans="1:11" x14ac:dyDescent="0.25">
      <c r="A1002" s="66"/>
      <c r="B1002" s="66"/>
      <c r="C1002" s="66"/>
      <c r="D1002" s="66"/>
      <c r="E1002" s="66"/>
      <c r="F1002" s="66"/>
      <c r="G1002" s="66"/>
      <c r="H1002" s="66"/>
      <c r="I1002" s="66"/>
      <c r="J1002" s="66"/>
      <c r="K1002" s="66"/>
    </row>
    <row r="1003" spans="1:11" x14ac:dyDescent="0.25">
      <c r="A1003" s="66"/>
      <c r="B1003" s="66"/>
      <c r="C1003" s="66"/>
      <c r="D1003" s="66"/>
      <c r="E1003" s="66"/>
      <c r="F1003" s="66"/>
      <c r="G1003" s="66"/>
      <c r="H1003" s="66"/>
      <c r="I1003" s="66"/>
      <c r="J1003" s="66"/>
      <c r="K1003" s="66"/>
    </row>
    <row r="1004" spans="1:11" x14ac:dyDescent="0.25">
      <c r="A1004" s="66"/>
      <c r="B1004" s="66"/>
      <c r="C1004" s="66"/>
      <c r="D1004" s="66"/>
      <c r="E1004" s="66"/>
      <c r="F1004" s="66"/>
      <c r="G1004" s="66"/>
      <c r="H1004" s="66"/>
      <c r="I1004" s="66"/>
      <c r="J1004" s="66"/>
      <c r="K1004" s="66"/>
    </row>
    <row r="1005" spans="1:11" x14ac:dyDescent="0.25">
      <c r="A1005" s="66"/>
      <c r="B1005" s="66"/>
      <c r="C1005" s="66"/>
      <c r="D1005" s="66"/>
      <c r="E1005" s="66"/>
      <c r="F1005" s="66"/>
      <c r="G1005" s="66"/>
      <c r="H1005" s="66"/>
      <c r="I1005" s="66"/>
      <c r="J1005" s="66"/>
      <c r="K1005" s="66"/>
    </row>
    <row r="1006" spans="1:11" x14ac:dyDescent="0.25">
      <c r="A1006" s="66"/>
      <c r="B1006" s="66"/>
      <c r="C1006" s="66"/>
      <c r="D1006" s="66"/>
      <c r="E1006" s="66"/>
      <c r="F1006" s="66"/>
      <c r="G1006" s="66"/>
      <c r="H1006" s="66"/>
      <c r="I1006" s="66"/>
      <c r="J1006" s="66"/>
      <c r="K1006" s="66"/>
    </row>
    <row r="1007" spans="1:11" x14ac:dyDescent="0.25">
      <c r="A1007" s="66"/>
      <c r="B1007" s="66"/>
      <c r="C1007" s="66"/>
      <c r="D1007" s="66"/>
      <c r="E1007" s="66"/>
      <c r="F1007" s="66"/>
      <c r="G1007" s="66"/>
      <c r="H1007" s="66"/>
      <c r="I1007" s="66"/>
      <c r="J1007" s="66"/>
      <c r="K1007" s="66"/>
    </row>
    <row r="1008" spans="1:11" x14ac:dyDescent="0.25">
      <c r="A1008" s="66"/>
      <c r="B1008" s="66"/>
      <c r="C1008" s="66"/>
      <c r="D1008" s="66"/>
      <c r="E1008" s="66"/>
      <c r="F1008" s="66"/>
      <c r="G1008" s="66"/>
      <c r="H1008" s="66"/>
      <c r="I1008" s="66"/>
      <c r="J1008" s="66"/>
      <c r="K1008" s="66"/>
    </row>
    <row r="1009" spans="1:11" x14ac:dyDescent="0.25">
      <c r="A1009" s="66"/>
      <c r="B1009" s="66"/>
      <c r="C1009" s="66"/>
      <c r="D1009" s="66"/>
      <c r="E1009" s="66"/>
      <c r="F1009" s="66"/>
      <c r="G1009" s="66"/>
      <c r="H1009" s="66"/>
      <c r="I1009" s="66"/>
      <c r="J1009" s="66"/>
      <c r="K1009" s="66"/>
    </row>
    <row r="1010" spans="1:11" x14ac:dyDescent="0.25">
      <c r="A1010" s="66"/>
      <c r="B1010" s="66"/>
      <c r="C1010" s="66"/>
      <c r="D1010" s="66"/>
      <c r="E1010" s="66"/>
      <c r="F1010" s="66"/>
      <c r="G1010" s="66"/>
      <c r="H1010" s="66"/>
      <c r="I1010" s="66"/>
      <c r="J1010" s="66"/>
      <c r="K1010" s="66"/>
    </row>
    <row r="1011" spans="1:11" x14ac:dyDescent="0.25">
      <c r="A1011" s="66"/>
      <c r="B1011" s="66"/>
      <c r="C1011" s="66"/>
      <c r="D1011" s="66"/>
      <c r="E1011" s="66"/>
      <c r="F1011" s="66"/>
      <c r="G1011" s="66"/>
      <c r="H1011" s="66"/>
      <c r="I1011" s="66"/>
      <c r="J1011" s="66"/>
      <c r="K1011" s="66"/>
    </row>
    <row r="1012" spans="1:11" x14ac:dyDescent="0.25">
      <c r="A1012" s="66"/>
      <c r="B1012" s="66"/>
      <c r="C1012" s="66"/>
      <c r="D1012" s="66"/>
      <c r="E1012" s="66"/>
      <c r="F1012" s="66"/>
      <c r="G1012" s="66"/>
      <c r="H1012" s="66"/>
      <c r="I1012" s="66"/>
      <c r="J1012" s="66"/>
      <c r="K1012" s="66"/>
    </row>
    <row r="1013" spans="1:11" x14ac:dyDescent="0.25">
      <c r="A1013" s="66"/>
      <c r="B1013" s="66"/>
      <c r="C1013" s="66"/>
      <c r="D1013" s="66"/>
      <c r="E1013" s="66"/>
      <c r="F1013" s="66"/>
      <c r="G1013" s="66"/>
      <c r="H1013" s="66"/>
      <c r="I1013" s="66"/>
      <c r="J1013" s="66"/>
      <c r="K1013" s="66"/>
    </row>
    <row r="1014" spans="1:11" x14ac:dyDescent="0.25">
      <c r="A1014" s="66"/>
      <c r="B1014" s="66"/>
      <c r="C1014" s="66"/>
      <c r="D1014" s="66"/>
      <c r="E1014" s="66"/>
      <c r="F1014" s="66"/>
      <c r="G1014" s="66"/>
      <c r="H1014" s="66"/>
      <c r="I1014" s="66"/>
      <c r="J1014" s="66"/>
      <c r="K1014" s="66"/>
    </row>
    <row r="1015" spans="1:11" x14ac:dyDescent="0.25">
      <c r="A1015" s="66"/>
      <c r="B1015" s="66"/>
      <c r="C1015" s="66"/>
      <c r="D1015" s="66"/>
      <c r="E1015" s="66"/>
      <c r="F1015" s="66"/>
      <c r="G1015" s="66"/>
      <c r="H1015" s="66"/>
      <c r="I1015" s="66"/>
      <c r="J1015" s="66"/>
      <c r="K1015" s="66"/>
    </row>
    <row r="1016" spans="1:11" x14ac:dyDescent="0.25">
      <c r="A1016" s="66"/>
      <c r="B1016" s="66"/>
      <c r="C1016" s="66"/>
      <c r="D1016" s="66"/>
      <c r="E1016" s="66"/>
      <c r="F1016" s="66"/>
      <c r="G1016" s="66"/>
      <c r="H1016" s="66"/>
      <c r="I1016" s="66"/>
      <c r="J1016" s="66"/>
      <c r="K1016" s="66"/>
    </row>
    <row r="1017" spans="1:11" x14ac:dyDescent="0.25">
      <c r="A1017" s="66"/>
      <c r="B1017" s="66"/>
      <c r="C1017" s="66"/>
      <c r="D1017" s="66"/>
      <c r="E1017" s="66"/>
      <c r="F1017" s="66"/>
      <c r="G1017" s="66"/>
      <c r="H1017" s="66"/>
      <c r="I1017" s="66"/>
      <c r="J1017" s="66"/>
      <c r="K1017" s="66"/>
    </row>
    <row r="1018" spans="1:11" x14ac:dyDescent="0.25">
      <c r="A1018" s="66"/>
      <c r="B1018" s="66"/>
      <c r="C1018" s="66"/>
      <c r="D1018" s="66"/>
      <c r="E1018" s="66"/>
      <c r="F1018" s="66"/>
      <c r="G1018" s="66"/>
      <c r="H1018" s="66"/>
      <c r="I1018" s="66"/>
      <c r="J1018" s="66"/>
      <c r="K1018" s="66"/>
    </row>
    <row r="1019" spans="1:11" x14ac:dyDescent="0.25">
      <c r="A1019" s="66"/>
      <c r="B1019" s="66"/>
      <c r="C1019" s="66"/>
      <c r="D1019" s="66"/>
      <c r="E1019" s="66"/>
      <c r="F1019" s="66"/>
      <c r="G1019" s="66"/>
      <c r="H1019" s="66"/>
      <c r="I1019" s="66"/>
      <c r="J1019" s="66"/>
      <c r="K1019" s="66"/>
    </row>
    <row r="1020" spans="1:11" x14ac:dyDescent="0.25">
      <c r="A1020" s="66"/>
      <c r="B1020" s="66"/>
      <c r="C1020" s="66"/>
      <c r="D1020" s="66"/>
      <c r="E1020" s="66"/>
      <c r="F1020" s="66"/>
      <c r="G1020" s="66"/>
      <c r="H1020" s="66"/>
      <c r="I1020" s="66"/>
      <c r="J1020" s="66"/>
      <c r="K1020" s="66"/>
    </row>
    <row r="1021" spans="1:11" x14ac:dyDescent="0.25">
      <c r="A1021" s="66"/>
      <c r="B1021" s="66"/>
      <c r="C1021" s="66"/>
      <c r="D1021" s="66"/>
      <c r="E1021" s="66"/>
      <c r="F1021" s="66"/>
      <c r="G1021" s="66"/>
      <c r="H1021" s="66"/>
      <c r="I1021" s="66"/>
      <c r="J1021" s="66"/>
      <c r="K1021" s="66"/>
    </row>
    <row r="1022" spans="1:11" x14ac:dyDescent="0.25">
      <c r="A1022" s="66"/>
      <c r="B1022" s="66"/>
      <c r="C1022" s="66"/>
      <c r="D1022" s="66"/>
      <c r="E1022" s="66"/>
      <c r="F1022" s="66"/>
      <c r="G1022" s="66"/>
      <c r="H1022" s="66"/>
      <c r="I1022" s="66"/>
      <c r="J1022" s="66"/>
      <c r="K1022" s="66"/>
    </row>
    <row r="1023" spans="1:11" x14ac:dyDescent="0.25">
      <c r="A1023" s="66"/>
      <c r="B1023" s="66"/>
      <c r="C1023" s="66"/>
      <c r="D1023" s="66"/>
      <c r="E1023" s="66"/>
      <c r="F1023" s="66"/>
      <c r="G1023" s="66"/>
      <c r="H1023" s="66"/>
      <c r="I1023" s="66"/>
      <c r="J1023" s="66"/>
      <c r="K1023" s="66"/>
    </row>
    <row r="1024" spans="1:11" x14ac:dyDescent="0.25">
      <c r="A1024" s="66"/>
      <c r="B1024" s="66"/>
      <c r="C1024" s="66"/>
      <c r="D1024" s="66"/>
      <c r="E1024" s="66"/>
      <c r="F1024" s="66"/>
      <c r="G1024" s="66"/>
      <c r="H1024" s="66"/>
      <c r="I1024" s="66"/>
      <c r="J1024" s="66"/>
      <c r="K1024" s="66"/>
    </row>
    <row r="1025" spans="1:11" x14ac:dyDescent="0.25">
      <c r="A1025" s="66"/>
      <c r="B1025" s="66"/>
      <c r="C1025" s="66"/>
      <c r="D1025" s="66"/>
      <c r="E1025" s="66"/>
      <c r="F1025" s="66"/>
      <c r="G1025" s="66"/>
      <c r="H1025" s="66"/>
      <c r="I1025" s="66"/>
      <c r="J1025" s="66"/>
      <c r="K1025" s="66"/>
    </row>
    <row r="1026" spans="1:11" x14ac:dyDescent="0.25">
      <c r="A1026" s="66"/>
      <c r="B1026" s="66"/>
      <c r="C1026" s="66"/>
      <c r="D1026" s="66"/>
      <c r="E1026" s="66"/>
      <c r="F1026" s="66"/>
      <c r="G1026" s="66"/>
      <c r="H1026" s="66"/>
      <c r="I1026" s="66"/>
      <c r="J1026" s="66"/>
      <c r="K1026" s="66"/>
    </row>
    <row r="1027" spans="1:11" x14ac:dyDescent="0.25">
      <c r="A1027" s="66"/>
      <c r="B1027" s="66"/>
      <c r="C1027" s="66"/>
      <c r="D1027" s="66"/>
      <c r="E1027" s="66"/>
      <c r="F1027" s="66"/>
      <c r="G1027" s="66"/>
      <c r="H1027" s="66"/>
      <c r="I1027" s="66"/>
      <c r="J1027" s="66"/>
      <c r="K1027" s="66"/>
    </row>
    <row r="1028" spans="1:11" x14ac:dyDescent="0.25">
      <c r="A1028" s="66"/>
      <c r="B1028" s="66"/>
      <c r="C1028" s="66"/>
      <c r="D1028" s="66"/>
      <c r="E1028" s="66"/>
      <c r="F1028" s="66"/>
      <c r="G1028" s="66"/>
      <c r="H1028" s="66"/>
      <c r="I1028" s="66"/>
      <c r="J1028" s="66"/>
      <c r="K1028" s="66"/>
    </row>
    <row r="1029" spans="1:11" x14ac:dyDescent="0.25">
      <c r="A1029" s="66"/>
      <c r="B1029" s="66"/>
      <c r="C1029" s="66"/>
      <c r="D1029" s="66"/>
      <c r="E1029" s="66"/>
      <c r="F1029" s="66"/>
      <c r="G1029" s="66"/>
      <c r="H1029" s="66"/>
      <c r="I1029" s="66"/>
      <c r="J1029" s="66"/>
      <c r="K1029" s="66"/>
    </row>
    <row r="1030" spans="1:11" x14ac:dyDescent="0.25">
      <c r="A1030" s="66"/>
      <c r="B1030" s="66"/>
      <c r="C1030" s="66"/>
      <c r="D1030" s="66"/>
      <c r="E1030" s="66"/>
      <c r="F1030" s="66"/>
      <c r="G1030" s="66"/>
      <c r="H1030" s="66"/>
      <c r="I1030" s="66"/>
      <c r="J1030" s="66"/>
      <c r="K1030" s="66"/>
    </row>
    <row r="1031" spans="1:11" x14ac:dyDescent="0.25">
      <c r="A1031" s="66"/>
      <c r="B1031" s="66"/>
      <c r="C1031" s="66"/>
      <c r="D1031" s="66"/>
      <c r="E1031" s="66"/>
      <c r="F1031" s="66"/>
      <c r="G1031" s="66"/>
      <c r="H1031" s="66"/>
      <c r="I1031" s="66"/>
      <c r="J1031" s="66"/>
      <c r="K1031" s="66"/>
    </row>
    <row r="1032" spans="1:11" x14ac:dyDescent="0.25">
      <c r="A1032" s="66"/>
      <c r="B1032" s="66"/>
      <c r="C1032" s="66"/>
      <c r="D1032" s="66"/>
      <c r="E1032" s="66"/>
      <c r="F1032" s="66"/>
      <c r="G1032" s="66"/>
      <c r="H1032" s="66"/>
      <c r="I1032" s="66"/>
      <c r="J1032" s="66"/>
      <c r="K1032" s="66"/>
    </row>
    <row r="1033" spans="1:11" x14ac:dyDescent="0.25">
      <c r="A1033" s="66"/>
      <c r="B1033" s="66"/>
      <c r="C1033" s="66"/>
      <c r="D1033" s="66"/>
      <c r="E1033" s="66"/>
      <c r="F1033" s="66"/>
      <c r="G1033" s="66"/>
      <c r="H1033" s="66"/>
      <c r="I1033" s="66"/>
      <c r="J1033" s="66"/>
      <c r="K1033" s="66"/>
    </row>
    <row r="1034" spans="1:11" x14ac:dyDescent="0.25">
      <c r="A1034" s="66"/>
      <c r="B1034" s="66"/>
      <c r="C1034" s="66"/>
      <c r="D1034" s="66"/>
      <c r="E1034" s="66"/>
      <c r="F1034" s="66"/>
      <c r="G1034" s="66"/>
      <c r="H1034" s="66"/>
      <c r="I1034" s="66"/>
      <c r="J1034" s="66"/>
      <c r="K1034" s="66"/>
    </row>
    <row r="1035" spans="1:11" x14ac:dyDescent="0.25">
      <c r="A1035" s="66"/>
      <c r="B1035" s="66"/>
      <c r="C1035" s="66"/>
      <c r="D1035" s="66"/>
      <c r="E1035" s="66"/>
      <c r="F1035" s="66"/>
      <c r="G1035" s="66"/>
      <c r="H1035" s="66"/>
      <c r="I1035" s="66"/>
      <c r="J1035" s="66"/>
      <c r="K1035" s="66"/>
    </row>
    <row r="1036" spans="1:11" x14ac:dyDescent="0.25">
      <c r="A1036" s="66"/>
      <c r="B1036" s="66"/>
      <c r="C1036" s="66"/>
      <c r="D1036" s="66"/>
      <c r="E1036" s="66"/>
      <c r="F1036" s="66"/>
      <c r="G1036" s="66"/>
      <c r="H1036" s="66"/>
      <c r="I1036" s="66"/>
      <c r="J1036" s="66"/>
      <c r="K1036" s="66"/>
    </row>
    <row r="1037" spans="1:11" x14ac:dyDescent="0.25">
      <c r="A1037" s="66"/>
      <c r="B1037" s="66"/>
      <c r="C1037" s="66"/>
      <c r="D1037" s="66"/>
      <c r="E1037" s="66"/>
      <c r="F1037" s="66"/>
      <c r="G1037" s="66"/>
      <c r="H1037" s="66"/>
      <c r="I1037" s="66"/>
      <c r="J1037" s="66"/>
      <c r="K1037" s="66"/>
    </row>
    <row r="1038" spans="1:11" x14ac:dyDescent="0.25">
      <c r="A1038" s="66"/>
      <c r="B1038" s="66"/>
      <c r="C1038" s="66"/>
      <c r="D1038" s="66"/>
      <c r="E1038" s="66"/>
      <c r="F1038" s="66"/>
      <c r="G1038" s="66"/>
      <c r="H1038" s="66"/>
      <c r="I1038" s="66"/>
      <c r="J1038" s="66"/>
      <c r="K1038" s="66"/>
    </row>
    <row r="1039" spans="1:11" x14ac:dyDescent="0.25">
      <c r="A1039" s="66"/>
      <c r="B1039" s="66"/>
      <c r="C1039" s="66"/>
      <c r="D1039" s="66"/>
      <c r="E1039" s="66"/>
      <c r="F1039" s="66"/>
      <c r="G1039" s="66"/>
      <c r="H1039" s="66"/>
      <c r="I1039" s="66"/>
      <c r="J1039" s="66"/>
      <c r="K1039" s="66"/>
    </row>
    <row r="1040" spans="1:11" x14ac:dyDescent="0.25">
      <c r="A1040" s="66"/>
      <c r="B1040" s="66"/>
      <c r="C1040" s="66"/>
      <c r="D1040" s="66"/>
      <c r="E1040" s="66"/>
      <c r="F1040" s="66"/>
      <c r="G1040" s="66"/>
      <c r="H1040" s="66"/>
      <c r="I1040" s="66"/>
      <c r="J1040" s="66"/>
      <c r="K1040" s="66"/>
    </row>
    <row r="1041" spans="1:11" x14ac:dyDescent="0.25">
      <c r="A1041" s="66"/>
      <c r="B1041" s="66"/>
      <c r="C1041" s="66"/>
      <c r="D1041" s="66"/>
      <c r="E1041" s="66"/>
      <c r="F1041" s="66"/>
      <c r="G1041" s="66"/>
      <c r="H1041" s="66"/>
      <c r="I1041" s="66"/>
      <c r="J1041" s="66"/>
      <c r="K1041" s="66"/>
    </row>
    <row r="1042" spans="1:11" x14ac:dyDescent="0.25">
      <c r="A1042" s="66"/>
      <c r="B1042" s="66"/>
      <c r="C1042" s="66"/>
      <c r="D1042" s="66"/>
      <c r="E1042" s="66"/>
      <c r="F1042" s="66"/>
      <c r="G1042" s="66"/>
      <c r="H1042" s="66"/>
      <c r="I1042" s="66"/>
      <c r="J1042" s="66"/>
      <c r="K1042" s="66"/>
    </row>
    <row r="1043" spans="1:11" x14ac:dyDescent="0.25">
      <c r="A1043" s="66"/>
      <c r="B1043" s="66"/>
      <c r="C1043" s="66"/>
      <c r="D1043" s="66"/>
      <c r="E1043" s="66"/>
      <c r="F1043" s="66"/>
      <c r="G1043" s="66"/>
      <c r="H1043" s="66"/>
      <c r="I1043" s="66"/>
      <c r="J1043" s="66"/>
      <c r="K1043" s="66"/>
    </row>
    <row r="1044" spans="1:11" x14ac:dyDescent="0.25">
      <c r="A1044" s="66"/>
      <c r="B1044" s="66"/>
      <c r="C1044" s="66"/>
      <c r="D1044" s="66"/>
      <c r="E1044" s="66"/>
      <c r="F1044" s="66"/>
      <c r="G1044" s="66"/>
      <c r="H1044" s="66"/>
      <c r="I1044" s="66"/>
      <c r="J1044" s="66"/>
      <c r="K1044" s="66"/>
    </row>
    <row r="1045" spans="1:11" x14ac:dyDescent="0.25">
      <c r="A1045" s="66"/>
      <c r="B1045" s="66"/>
      <c r="C1045" s="66"/>
      <c r="D1045" s="66"/>
      <c r="E1045" s="66"/>
      <c r="F1045" s="66"/>
      <c r="G1045" s="66"/>
      <c r="H1045" s="66"/>
      <c r="I1045" s="66"/>
      <c r="J1045" s="66"/>
      <c r="K1045" s="66"/>
    </row>
    <row r="1046" spans="1:11" x14ac:dyDescent="0.25">
      <c r="A1046" s="66"/>
      <c r="B1046" s="66"/>
      <c r="C1046" s="66"/>
      <c r="D1046" s="66"/>
      <c r="E1046" s="66"/>
      <c r="F1046" s="66"/>
      <c r="G1046" s="66"/>
      <c r="H1046" s="66"/>
      <c r="I1046" s="66"/>
      <c r="J1046" s="66"/>
      <c r="K1046" s="66"/>
    </row>
    <row r="1047" spans="1:11" x14ac:dyDescent="0.25">
      <c r="A1047" s="66"/>
      <c r="B1047" s="66"/>
      <c r="C1047" s="66"/>
      <c r="D1047" s="66"/>
      <c r="E1047" s="66"/>
      <c r="F1047" s="66"/>
      <c r="G1047" s="66"/>
      <c r="H1047" s="66"/>
      <c r="I1047" s="66"/>
      <c r="J1047" s="66"/>
      <c r="K1047" s="66"/>
    </row>
    <row r="1048" spans="1:11" x14ac:dyDescent="0.25">
      <c r="A1048" s="66"/>
      <c r="B1048" s="66"/>
      <c r="C1048" s="66"/>
      <c r="D1048" s="66"/>
      <c r="E1048" s="66"/>
      <c r="F1048" s="66"/>
      <c r="G1048" s="66"/>
      <c r="H1048" s="66"/>
      <c r="I1048" s="66"/>
      <c r="J1048" s="66"/>
      <c r="K1048" s="66"/>
    </row>
    <row r="1049" spans="1:11" x14ac:dyDescent="0.25">
      <c r="A1049" s="66"/>
      <c r="B1049" s="66"/>
      <c r="C1049" s="66"/>
      <c r="D1049" s="66"/>
      <c r="E1049" s="66"/>
      <c r="F1049" s="66"/>
      <c r="G1049" s="66"/>
      <c r="H1049" s="66"/>
      <c r="I1049" s="66"/>
      <c r="J1049" s="66"/>
      <c r="K1049" s="66"/>
    </row>
    <row r="1050" spans="1:11" x14ac:dyDescent="0.25">
      <c r="A1050" s="66"/>
      <c r="B1050" s="66"/>
      <c r="C1050" s="66"/>
      <c r="D1050" s="66"/>
      <c r="E1050" s="66"/>
      <c r="F1050" s="66"/>
      <c r="G1050" s="66"/>
      <c r="H1050" s="66"/>
      <c r="I1050" s="66"/>
      <c r="J1050" s="66"/>
      <c r="K1050" s="66"/>
    </row>
    <row r="1051" spans="1:11" x14ac:dyDescent="0.25">
      <c r="A1051" s="66"/>
      <c r="B1051" s="66"/>
      <c r="C1051" s="66"/>
      <c r="D1051" s="66"/>
      <c r="E1051" s="66"/>
      <c r="F1051" s="66"/>
      <c r="G1051" s="66"/>
      <c r="H1051" s="66"/>
      <c r="I1051" s="66"/>
      <c r="J1051" s="66"/>
      <c r="K1051" s="66"/>
    </row>
    <row r="1052" spans="1:11" x14ac:dyDescent="0.25">
      <c r="A1052" s="66"/>
      <c r="B1052" s="66"/>
      <c r="C1052" s="66"/>
      <c r="D1052" s="66"/>
      <c r="E1052" s="66"/>
      <c r="F1052" s="66"/>
      <c r="G1052" s="66"/>
      <c r="H1052" s="66"/>
      <c r="I1052" s="66"/>
      <c r="J1052" s="66"/>
      <c r="K1052" s="66"/>
    </row>
    <row r="1053" spans="1:11" x14ac:dyDescent="0.25">
      <c r="A1053" s="66"/>
      <c r="B1053" s="66"/>
      <c r="C1053" s="66"/>
      <c r="D1053" s="66"/>
      <c r="E1053" s="66"/>
      <c r="F1053" s="66"/>
      <c r="G1053" s="66"/>
      <c r="H1053" s="66"/>
      <c r="I1053" s="66"/>
      <c r="J1053" s="66"/>
      <c r="K1053" s="66"/>
    </row>
    <row r="1054" spans="1:11" x14ac:dyDescent="0.25">
      <c r="A1054" s="66"/>
      <c r="B1054" s="66"/>
      <c r="C1054" s="66"/>
      <c r="D1054" s="66"/>
      <c r="E1054" s="66"/>
      <c r="F1054" s="66"/>
      <c r="G1054" s="66"/>
      <c r="H1054" s="66"/>
      <c r="I1054" s="66"/>
      <c r="J1054" s="66"/>
      <c r="K1054" s="66"/>
    </row>
    <row r="1055" spans="1:11" x14ac:dyDescent="0.25">
      <c r="A1055" s="66"/>
      <c r="B1055" s="66"/>
      <c r="C1055" s="66"/>
      <c r="D1055" s="66"/>
      <c r="E1055" s="66"/>
      <c r="F1055" s="66"/>
      <c r="G1055" s="66"/>
      <c r="H1055" s="66"/>
      <c r="I1055" s="66"/>
      <c r="J1055" s="66"/>
      <c r="K1055" s="66"/>
    </row>
    <row r="1056" spans="1:11" x14ac:dyDescent="0.25">
      <c r="A1056" s="66"/>
      <c r="B1056" s="66"/>
      <c r="C1056" s="66"/>
      <c r="D1056" s="66"/>
      <c r="E1056" s="66"/>
      <c r="F1056" s="66"/>
      <c r="G1056" s="66"/>
      <c r="H1056" s="66"/>
      <c r="I1056" s="66"/>
      <c r="J1056" s="66"/>
      <c r="K1056" s="66"/>
    </row>
    <row r="1057" spans="1:11" x14ac:dyDescent="0.25">
      <c r="A1057" s="66"/>
      <c r="B1057" s="66"/>
      <c r="C1057" s="66"/>
      <c r="D1057" s="66"/>
      <c r="E1057" s="66"/>
      <c r="F1057" s="66"/>
      <c r="G1057" s="66"/>
      <c r="H1057" s="66"/>
      <c r="I1057" s="66"/>
      <c r="J1057" s="66"/>
      <c r="K1057" s="66"/>
    </row>
    <row r="1058" spans="1:11" x14ac:dyDescent="0.25">
      <c r="A1058" s="66"/>
      <c r="B1058" s="66"/>
      <c r="C1058" s="66"/>
      <c r="D1058" s="66"/>
      <c r="E1058" s="66"/>
      <c r="F1058" s="66"/>
      <c r="G1058" s="66"/>
      <c r="H1058" s="66"/>
      <c r="I1058" s="66"/>
      <c r="J1058" s="66"/>
      <c r="K1058" s="66"/>
    </row>
    <row r="1059" spans="1:11" x14ac:dyDescent="0.25">
      <c r="A1059" s="66"/>
      <c r="B1059" s="66"/>
      <c r="C1059" s="66"/>
      <c r="D1059" s="66"/>
      <c r="E1059" s="66"/>
      <c r="F1059" s="66"/>
      <c r="G1059" s="66"/>
      <c r="H1059" s="66"/>
      <c r="I1059" s="66"/>
      <c r="J1059" s="66"/>
      <c r="K1059" s="66"/>
    </row>
    <row r="1060" spans="1:11" x14ac:dyDescent="0.25">
      <c r="A1060" s="66"/>
      <c r="B1060" s="66"/>
      <c r="C1060" s="66"/>
      <c r="D1060" s="66"/>
      <c r="E1060" s="66"/>
      <c r="F1060" s="66"/>
      <c r="G1060" s="66"/>
      <c r="H1060" s="66"/>
      <c r="I1060" s="66"/>
      <c r="J1060" s="66"/>
      <c r="K1060" s="66"/>
    </row>
    <row r="1061" spans="1:11" x14ac:dyDescent="0.25">
      <c r="A1061" s="66"/>
      <c r="B1061" s="66"/>
      <c r="C1061" s="66"/>
      <c r="D1061" s="66"/>
      <c r="E1061" s="66"/>
      <c r="F1061" s="66"/>
      <c r="G1061" s="66"/>
      <c r="H1061" s="66"/>
      <c r="I1061" s="66"/>
      <c r="J1061" s="66"/>
      <c r="K1061" s="66"/>
    </row>
    <row r="1062" spans="1:11" x14ac:dyDescent="0.25">
      <c r="A1062" s="66"/>
      <c r="B1062" s="66"/>
      <c r="C1062" s="66"/>
      <c r="D1062" s="66"/>
      <c r="E1062" s="66"/>
      <c r="F1062" s="66"/>
      <c r="G1062" s="66"/>
      <c r="H1062" s="66"/>
      <c r="I1062" s="66"/>
      <c r="J1062" s="66"/>
      <c r="K1062" s="66"/>
    </row>
    <row r="1063" spans="1:11" x14ac:dyDescent="0.25">
      <c r="A1063" s="66"/>
      <c r="B1063" s="66"/>
      <c r="C1063" s="66"/>
      <c r="D1063" s="66"/>
      <c r="E1063" s="66"/>
      <c r="F1063" s="66"/>
      <c r="G1063" s="66"/>
      <c r="H1063" s="66"/>
      <c r="I1063" s="66"/>
      <c r="J1063" s="66"/>
      <c r="K1063" s="66"/>
    </row>
    <row r="1064" spans="1:11" x14ac:dyDescent="0.25">
      <c r="A1064" s="66"/>
      <c r="B1064" s="66"/>
      <c r="C1064" s="66"/>
      <c r="D1064" s="66"/>
      <c r="E1064" s="66"/>
      <c r="F1064" s="66"/>
      <c r="G1064" s="66"/>
      <c r="H1064" s="66"/>
      <c r="I1064" s="66"/>
      <c r="J1064" s="66"/>
      <c r="K1064" s="66"/>
    </row>
    <row r="1065" spans="1:11" x14ac:dyDescent="0.25">
      <c r="A1065" s="66"/>
      <c r="B1065" s="66"/>
      <c r="C1065" s="66"/>
      <c r="D1065" s="66"/>
      <c r="E1065" s="66"/>
      <c r="F1065" s="66"/>
      <c r="G1065" s="66"/>
      <c r="H1065" s="66"/>
      <c r="I1065" s="66"/>
      <c r="J1065" s="66"/>
      <c r="K1065" s="66"/>
    </row>
    <row r="1066" spans="1:11" x14ac:dyDescent="0.25">
      <c r="A1066" s="66"/>
      <c r="B1066" s="66"/>
      <c r="C1066" s="66"/>
      <c r="D1066" s="66"/>
      <c r="E1066" s="66"/>
      <c r="F1066" s="66"/>
      <c r="G1066" s="66"/>
      <c r="H1066" s="66"/>
      <c r="I1066" s="66"/>
      <c r="J1066" s="66"/>
      <c r="K1066" s="66"/>
    </row>
    <row r="1067" spans="1:11" x14ac:dyDescent="0.25">
      <c r="A1067" s="66"/>
      <c r="B1067" s="66"/>
      <c r="C1067" s="66"/>
      <c r="D1067" s="66"/>
      <c r="E1067" s="66"/>
      <c r="F1067" s="66"/>
      <c r="G1067" s="66"/>
      <c r="H1067" s="66"/>
      <c r="I1067" s="66"/>
      <c r="J1067" s="66"/>
      <c r="K1067" s="66"/>
    </row>
    <row r="1068" spans="1:11" x14ac:dyDescent="0.25">
      <c r="A1068" s="66"/>
      <c r="B1068" s="66"/>
      <c r="C1068" s="66"/>
      <c r="D1068" s="66"/>
      <c r="E1068" s="66"/>
      <c r="F1068" s="66"/>
      <c r="G1068" s="66"/>
      <c r="H1068" s="66"/>
      <c r="I1068" s="66"/>
      <c r="J1068" s="66"/>
      <c r="K1068" s="66"/>
    </row>
    <row r="1069" spans="1:11" x14ac:dyDescent="0.25">
      <c r="A1069" s="66"/>
      <c r="B1069" s="66"/>
      <c r="C1069" s="66"/>
      <c r="D1069" s="66"/>
      <c r="E1069" s="66"/>
      <c r="F1069" s="66"/>
      <c r="G1069" s="66"/>
      <c r="H1069" s="66"/>
      <c r="I1069" s="66"/>
      <c r="J1069" s="66"/>
      <c r="K1069" s="66"/>
    </row>
    <row r="1070" spans="1:11" x14ac:dyDescent="0.25">
      <c r="A1070" s="66"/>
      <c r="B1070" s="66"/>
      <c r="C1070" s="66"/>
      <c r="D1070" s="66"/>
      <c r="E1070" s="66"/>
      <c r="F1070" s="66"/>
      <c r="G1070" s="66"/>
      <c r="H1070" s="66"/>
      <c r="I1070" s="66"/>
      <c r="J1070" s="66"/>
      <c r="K1070" s="66"/>
    </row>
    <row r="1071" spans="1:11" x14ac:dyDescent="0.25">
      <c r="A1071" s="66"/>
      <c r="B1071" s="66"/>
      <c r="C1071" s="66"/>
      <c r="D1071" s="66"/>
      <c r="E1071" s="66"/>
      <c r="F1071" s="66"/>
      <c r="G1071" s="66"/>
      <c r="H1071" s="66"/>
      <c r="I1071" s="66"/>
      <c r="J1071" s="66"/>
      <c r="K1071" s="66"/>
    </row>
    <row r="1072" spans="1:11" x14ac:dyDescent="0.25">
      <c r="A1072" s="66"/>
      <c r="B1072" s="66"/>
      <c r="C1072" s="66"/>
      <c r="D1072" s="66"/>
      <c r="E1072" s="66"/>
      <c r="F1072" s="66"/>
      <c r="G1072" s="66"/>
      <c r="H1072" s="66"/>
      <c r="I1072" s="66"/>
      <c r="J1072" s="66"/>
      <c r="K1072" s="66"/>
    </row>
    <row r="1073" spans="1:11" x14ac:dyDescent="0.25">
      <c r="A1073" s="66"/>
      <c r="B1073" s="66"/>
      <c r="C1073" s="66"/>
      <c r="D1073" s="66"/>
      <c r="E1073" s="66"/>
      <c r="F1073" s="66"/>
      <c r="G1073" s="66"/>
      <c r="H1073" s="66"/>
      <c r="I1073" s="66"/>
      <c r="J1073" s="66"/>
      <c r="K1073" s="66"/>
    </row>
    <row r="1074" spans="1:11" x14ac:dyDescent="0.25">
      <c r="A1074" s="66"/>
      <c r="B1074" s="66"/>
      <c r="C1074" s="66"/>
      <c r="D1074" s="66"/>
      <c r="E1074" s="66"/>
      <c r="F1074" s="66"/>
      <c r="G1074" s="66"/>
      <c r="H1074" s="66"/>
      <c r="I1074" s="66"/>
      <c r="J1074" s="66"/>
      <c r="K1074" s="66"/>
    </row>
    <row r="1075" spans="1:11" x14ac:dyDescent="0.25">
      <c r="A1075" s="66"/>
      <c r="B1075" s="66"/>
      <c r="C1075" s="66"/>
      <c r="D1075" s="66"/>
      <c r="E1075" s="66"/>
      <c r="F1075" s="66"/>
      <c r="G1075" s="66"/>
      <c r="H1075" s="66"/>
      <c r="I1075" s="66"/>
      <c r="J1075" s="66"/>
      <c r="K1075" s="66"/>
    </row>
    <row r="1076" spans="1:11" x14ac:dyDescent="0.25">
      <c r="A1076" s="66"/>
      <c r="B1076" s="66"/>
      <c r="C1076" s="66"/>
      <c r="D1076" s="66"/>
      <c r="E1076" s="66"/>
      <c r="F1076" s="66"/>
      <c r="G1076" s="66"/>
      <c r="H1076" s="66"/>
      <c r="I1076" s="66"/>
      <c r="J1076" s="66"/>
      <c r="K1076" s="66"/>
    </row>
    <row r="1077" spans="1:11" x14ac:dyDescent="0.25">
      <c r="A1077" s="66"/>
      <c r="B1077" s="66"/>
      <c r="C1077" s="66"/>
      <c r="D1077" s="66"/>
      <c r="E1077" s="66"/>
      <c r="F1077" s="66"/>
      <c r="G1077" s="66"/>
      <c r="H1077" s="66"/>
      <c r="I1077" s="66"/>
      <c r="J1077" s="66"/>
      <c r="K1077" s="66"/>
    </row>
    <row r="1078" spans="1:11" x14ac:dyDescent="0.25">
      <c r="A1078" s="66"/>
      <c r="B1078" s="66"/>
      <c r="C1078" s="66"/>
      <c r="D1078" s="66"/>
      <c r="E1078" s="66"/>
      <c r="F1078" s="66"/>
      <c r="G1078" s="66"/>
      <c r="H1078" s="66"/>
      <c r="I1078" s="66"/>
      <c r="J1078" s="66"/>
      <c r="K1078" s="66"/>
    </row>
    <row r="1079" spans="1:11" x14ac:dyDescent="0.25">
      <c r="A1079" s="66"/>
      <c r="B1079" s="66"/>
      <c r="C1079" s="66"/>
      <c r="D1079" s="66"/>
      <c r="E1079" s="66"/>
      <c r="F1079" s="66"/>
      <c r="G1079" s="66"/>
      <c r="H1079" s="66"/>
      <c r="I1079" s="66"/>
      <c r="J1079" s="66"/>
      <c r="K1079" s="66"/>
    </row>
    <row r="1080" spans="1:11" x14ac:dyDescent="0.25">
      <c r="A1080" s="66"/>
      <c r="B1080" s="66"/>
      <c r="C1080" s="66"/>
      <c r="D1080" s="66"/>
      <c r="E1080" s="66"/>
      <c r="F1080" s="66"/>
      <c r="G1080" s="66"/>
      <c r="H1080" s="66"/>
      <c r="I1080" s="66"/>
      <c r="J1080" s="66"/>
      <c r="K1080" s="66"/>
    </row>
    <row r="1081" spans="1:11" x14ac:dyDescent="0.25">
      <c r="A1081" s="66"/>
      <c r="B1081" s="66"/>
      <c r="C1081" s="66"/>
      <c r="D1081" s="66"/>
      <c r="E1081" s="66"/>
      <c r="F1081" s="66"/>
      <c r="G1081" s="66"/>
      <c r="H1081" s="66"/>
      <c r="I1081" s="66"/>
      <c r="J1081" s="66"/>
      <c r="K1081" s="66"/>
    </row>
    <row r="1082" spans="1:11" x14ac:dyDescent="0.25">
      <c r="A1082" s="66"/>
      <c r="B1082" s="66"/>
      <c r="C1082" s="66"/>
      <c r="D1082" s="66"/>
      <c r="E1082" s="66"/>
      <c r="F1082" s="66"/>
      <c r="G1082" s="66"/>
      <c r="H1082" s="66"/>
      <c r="I1082" s="66"/>
      <c r="J1082" s="66"/>
      <c r="K1082" s="66"/>
    </row>
    <row r="1083" spans="1:11" x14ac:dyDescent="0.25">
      <c r="A1083" s="66"/>
      <c r="B1083" s="66"/>
      <c r="C1083" s="66"/>
      <c r="D1083" s="66"/>
      <c r="E1083" s="66"/>
      <c r="F1083" s="66"/>
      <c r="G1083" s="66"/>
      <c r="H1083" s="66"/>
      <c r="I1083" s="66"/>
      <c r="J1083" s="66"/>
      <c r="K1083" s="66"/>
    </row>
    <row r="1084" spans="1:11" x14ac:dyDescent="0.25">
      <c r="A1084" s="66"/>
      <c r="B1084" s="66"/>
      <c r="C1084" s="66"/>
      <c r="D1084" s="66"/>
      <c r="E1084" s="66"/>
      <c r="F1084" s="66"/>
      <c r="G1084" s="66"/>
      <c r="H1084" s="66"/>
      <c r="I1084" s="66"/>
      <c r="J1084" s="66"/>
      <c r="K1084" s="66"/>
    </row>
    <row r="1085" spans="1:11" x14ac:dyDescent="0.25">
      <c r="A1085" s="66"/>
      <c r="B1085" s="66"/>
      <c r="C1085" s="66"/>
      <c r="D1085" s="66"/>
      <c r="E1085" s="66"/>
      <c r="F1085" s="66"/>
      <c r="G1085" s="66"/>
      <c r="H1085" s="66"/>
      <c r="I1085" s="66"/>
      <c r="J1085" s="66"/>
      <c r="K1085" s="66"/>
    </row>
    <row r="1086" spans="1:11" x14ac:dyDescent="0.25">
      <c r="A1086" s="66"/>
      <c r="B1086" s="66"/>
      <c r="C1086" s="66"/>
      <c r="D1086" s="66"/>
      <c r="E1086" s="66"/>
      <c r="F1086" s="66"/>
      <c r="G1086" s="66"/>
      <c r="H1086" s="66"/>
      <c r="I1086" s="66"/>
      <c r="J1086" s="66"/>
      <c r="K1086" s="66"/>
    </row>
    <row r="1087" spans="1:11" x14ac:dyDescent="0.25">
      <c r="A1087" s="66"/>
      <c r="B1087" s="66"/>
      <c r="C1087" s="66"/>
      <c r="D1087" s="66"/>
      <c r="E1087" s="66"/>
      <c r="F1087" s="66"/>
      <c r="G1087" s="66"/>
      <c r="H1087" s="66"/>
      <c r="I1087" s="66"/>
      <c r="J1087" s="66"/>
      <c r="K1087" s="66"/>
    </row>
    <row r="1088" spans="1:11" x14ac:dyDescent="0.25">
      <c r="A1088" s="66"/>
      <c r="B1088" s="66"/>
      <c r="C1088" s="66"/>
      <c r="D1088" s="66"/>
      <c r="E1088" s="66"/>
      <c r="F1088" s="66"/>
      <c r="G1088" s="66"/>
      <c r="H1088" s="66"/>
      <c r="I1088" s="66"/>
      <c r="J1088" s="66"/>
      <c r="K1088" s="66"/>
    </row>
    <row r="1089" spans="1:11" x14ac:dyDescent="0.25">
      <c r="A1089" s="66"/>
      <c r="B1089" s="66"/>
      <c r="C1089" s="66"/>
      <c r="D1089" s="66"/>
      <c r="E1089" s="66"/>
      <c r="F1089" s="66"/>
      <c r="G1089" s="66"/>
      <c r="H1089" s="66"/>
      <c r="I1089" s="66"/>
      <c r="J1089" s="66"/>
      <c r="K1089" s="66"/>
    </row>
    <row r="1090" spans="1:11" x14ac:dyDescent="0.25">
      <c r="A1090" s="66"/>
      <c r="B1090" s="66"/>
      <c r="C1090" s="66"/>
      <c r="D1090" s="66"/>
      <c r="E1090" s="66"/>
      <c r="F1090" s="66"/>
      <c r="G1090" s="66"/>
      <c r="H1090" s="66"/>
      <c r="I1090" s="66"/>
      <c r="J1090" s="66"/>
      <c r="K1090" s="66"/>
    </row>
    <row r="1091" spans="1:11" x14ac:dyDescent="0.25">
      <c r="A1091" s="66"/>
      <c r="B1091" s="66"/>
      <c r="C1091" s="66"/>
      <c r="D1091" s="66"/>
      <c r="E1091" s="66"/>
      <c r="F1091" s="66"/>
      <c r="G1091" s="66"/>
      <c r="H1091" s="66"/>
      <c r="I1091" s="66"/>
      <c r="J1091" s="66"/>
      <c r="K1091" s="66"/>
    </row>
    <row r="1092" spans="1:11" x14ac:dyDescent="0.25">
      <c r="A1092" s="66"/>
      <c r="B1092" s="66"/>
      <c r="C1092" s="66"/>
      <c r="D1092" s="66"/>
      <c r="E1092" s="66"/>
      <c r="F1092" s="66"/>
      <c r="G1092" s="66"/>
      <c r="H1092" s="66"/>
      <c r="I1092" s="66"/>
      <c r="J1092" s="66"/>
      <c r="K1092" s="66"/>
    </row>
    <row r="1093" spans="1:11" x14ac:dyDescent="0.25">
      <c r="A1093" s="66"/>
      <c r="B1093" s="66"/>
      <c r="C1093" s="66"/>
      <c r="D1093" s="66"/>
      <c r="E1093" s="66"/>
      <c r="F1093" s="66"/>
      <c r="G1093" s="66"/>
      <c r="H1093" s="66"/>
      <c r="I1093" s="66"/>
      <c r="J1093" s="66"/>
      <c r="K1093" s="66"/>
    </row>
    <row r="1094" spans="1:11" x14ac:dyDescent="0.25">
      <c r="A1094" s="66"/>
      <c r="B1094" s="66"/>
      <c r="C1094" s="66"/>
      <c r="D1094" s="66"/>
      <c r="E1094" s="66"/>
      <c r="F1094" s="66"/>
      <c r="G1094" s="66"/>
      <c r="H1094" s="66"/>
      <c r="I1094" s="66"/>
      <c r="J1094" s="66"/>
      <c r="K1094" s="66"/>
    </row>
    <row r="1095" spans="1:11" x14ac:dyDescent="0.25">
      <c r="A1095" s="66"/>
      <c r="B1095" s="66"/>
      <c r="C1095" s="66"/>
      <c r="D1095" s="66"/>
      <c r="E1095" s="66"/>
      <c r="F1095" s="66"/>
      <c r="G1095" s="66"/>
      <c r="H1095" s="66"/>
      <c r="I1095" s="66"/>
      <c r="J1095" s="66"/>
      <c r="K1095" s="66"/>
    </row>
    <row r="1096" spans="1:11" x14ac:dyDescent="0.25">
      <c r="A1096" s="66"/>
      <c r="B1096" s="66"/>
      <c r="C1096" s="66"/>
      <c r="D1096" s="66"/>
      <c r="E1096" s="66"/>
      <c r="F1096" s="66"/>
      <c r="G1096" s="66"/>
      <c r="H1096" s="66"/>
      <c r="I1096" s="66"/>
      <c r="J1096" s="66"/>
      <c r="K1096" s="66"/>
    </row>
    <row r="1097" spans="1:11" x14ac:dyDescent="0.25">
      <c r="A1097" s="66"/>
      <c r="B1097" s="66"/>
      <c r="C1097" s="66"/>
      <c r="D1097" s="66"/>
      <c r="E1097" s="66"/>
      <c r="F1097" s="66"/>
      <c r="G1097" s="66"/>
      <c r="H1097" s="66"/>
      <c r="I1097" s="66"/>
      <c r="J1097" s="66"/>
      <c r="K1097" s="66"/>
    </row>
    <row r="1098" spans="1:11" x14ac:dyDescent="0.25">
      <c r="A1098" s="66"/>
      <c r="B1098" s="66"/>
      <c r="C1098" s="66"/>
      <c r="D1098" s="66"/>
      <c r="E1098" s="66"/>
      <c r="F1098" s="66"/>
      <c r="G1098" s="66"/>
      <c r="H1098" s="66"/>
      <c r="I1098" s="66"/>
      <c r="J1098" s="66"/>
      <c r="K1098" s="66"/>
    </row>
    <row r="1099" spans="1:11" x14ac:dyDescent="0.25">
      <c r="A1099" s="66"/>
      <c r="B1099" s="66"/>
      <c r="C1099" s="66"/>
      <c r="D1099" s="66"/>
      <c r="E1099" s="66"/>
      <c r="F1099" s="66"/>
      <c r="G1099" s="66"/>
      <c r="H1099" s="66"/>
      <c r="I1099" s="66"/>
      <c r="J1099" s="66"/>
      <c r="K1099" s="66"/>
    </row>
    <row r="1100" spans="1:11" x14ac:dyDescent="0.25">
      <c r="A1100" s="66"/>
      <c r="B1100" s="66"/>
      <c r="C1100" s="66"/>
      <c r="D1100" s="66"/>
      <c r="E1100" s="66"/>
      <c r="F1100" s="66"/>
      <c r="G1100" s="66"/>
      <c r="H1100" s="66"/>
      <c r="I1100" s="66"/>
      <c r="J1100" s="66"/>
      <c r="K1100" s="66"/>
    </row>
    <row r="1101" spans="1:11" x14ac:dyDescent="0.25">
      <c r="A1101" s="66"/>
      <c r="B1101" s="66"/>
      <c r="C1101" s="66"/>
      <c r="D1101" s="66"/>
      <c r="E1101" s="66"/>
      <c r="F1101" s="66"/>
      <c r="G1101" s="66"/>
      <c r="H1101" s="66"/>
      <c r="I1101" s="66"/>
      <c r="J1101" s="66"/>
      <c r="K1101" s="66"/>
    </row>
    <row r="1102" spans="1:11" x14ac:dyDescent="0.25">
      <c r="A1102" s="66"/>
      <c r="B1102" s="66"/>
      <c r="C1102" s="66"/>
      <c r="D1102" s="66"/>
      <c r="E1102" s="66"/>
      <c r="F1102" s="66"/>
      <c r="G1102" s="66"/>
      <c r="H1102" s="66"/>
      <c r="I1102" s="66"/>
      <c r="J1102" s="66"/>
      <c r="K1102" s="66"/>
    </row>
    <row r="1103" spans="1:11" x14ac:dyDescent="0.25">
      <c r="A1103" s="66"/>
      <c r="B1103" s="66"/>
      <c r="C1103" s="66"/>
      <c r="D1103" s="66"/>
      <c r="E1103" s="66"/>
      <c r="F1103" s="66"/>
      <c r="G1103" s="66"/>
      <c r="H1103" s="66"/>
      <c r="I1103" s="66"/>
      <c r="J1103" s="66"/>
      <c r="K1103" s="66"/>
    </row>
    <row r="1104" spans="1:11" x14ac:dyDescent="0.25">
      <c r="A1104" s="66"/>
      <c r="B1104" s="66"/>
      <c r="C1104" s="66"/>
      <c r="D1104" s="66"/>
      <c r="E1104" s="66"/>
      <c r="F1104" s="66"/>
      <c r="G1104" s="66"/>
      <c r="H1104" s="66"/>
      <c r="I1104" s="66"/>
      <c r="J1104" s="66"/>
      <c r="K1104" s="66"/>
    </row>
    <row r="1105" spans="1:11" x14ac:dyDescent="0.25">
      <c r="A1105" s="66"/>
      <c r="B1105" s="66"/>
      <c r="C1105" s="66"/>
      <c r="D1105" s="66"/>
      <c r="E1105" s="66"/>
      <c r="F1105" s="66"/>
      <c r="G1105" s="66"/>
      <c r="H1105" s="66"/>
      <c r="I1105" s="66"/>
      <c r="J1105" s="66"/>
      <c r="K1105" s="66"/>
    </row>
    <row r="1106" spans="1:11" x14ac:dyDescent="0.25">
      <c r="A1106" s="66"/>
      <c r="B1106" s="66"/>
      <c r="C1106" s="66"/>
      <c r="D1106" s="66"/>
      <c r="E1106" s="66"/>
      <c r="F1106" s="66"/>
      <c r="G1106" s="66"/>
      <c r="H1106" s="66"/>
      <c r="I1106" s="66"/>
      <c r="J1106" s="66"/>
      <c r="K1106" s="66"/>
    </row>
    <row r="1107" spans="1:11" x14ac:dyDescent="0.25">
      <c r="A1107" s="66"/>
      <c r="B1107" s="66"/>
      <c r="C1107" s="66"/>
      <c r="D1107" s="66"/>
      <c r="E1107" s="66"/>
      <c r="F1107" s="66"/>
      <c r="G1107" s="66"/>
      <c r="H1107" s="66"/>
      <c r="I1107" s="66"/>
      <c r="J1107" s="66"/>
      <c r="K1107" s="66"/>
    </row>
    <row r="1108" spans="1:11" x14ac:dyDescent="0.25">
      <c r="A1108" s="66"/>
      <c r="B1108" s="66"/>
      <c r="C1108" s="66"/>
      <c r="D1108" s="66"/>
      <c r="E1108" s="66"/>
      <c r="F1108" s="66"/>
      <c r="G1108" s="66"/>
      <c r="H1108" s="66"/>
      <c r="I1108" s="66"/>
      <c r="J1108" s="66"/>
      <c r="K1108" s="66"/>
    </row>
    <row r="1109" spans="1:11" x14ac:dyDescent="0.25">
      <c r="A1109" s="66"/>
      <c r="B1109" s="66"/>
      <c r="C1109" s="66"/>
      <c r="D1109" s="66"/>
      <c r="E1109" s="66"/>
      <c r="F1109" s="66"/>
      <c r="G1109" s="66"/>
      <c r="H1109" s="66"/>
      <c r="I1109" s="66"/>
      <c r="J1109" s="66"/>
      <c r="K1109" s="66"/>
    </row>
    <row r="1110" spans="1:11" x14ac:dyDescent="0.25">
      <c r="A1110" s="66"/>
      <c r="B1110" s="66"/>
      <c r="C1110" s="66"/>
      <c r="D1110" s="66"/>
      <c r="E1110" s="66"/>
      <c r="F1110" s="66"/>
      <c r="G1110" s="66"/>
      <c r="H1110" s="66"/>
      <c r="I1110" s="66"/>
      <c r="J1110" s="66"/>
      <c r="K1110" s="66"/>
    </row>
    <row r="1111" spans="1:11" x14ac:dyDescent="0.25">
      <c r="A1111" s="66"/>
      <c r="B1111" s="66"/>
      <c r="C1111" s="66"/>
      <c r="D1111" s="66"/>
      <c r="E1111" s="66"/>
      <c r="F1111" s="66"/>
      <c r="G1111" s="66"/>
      <c r="H1111" s="66"/>
      <c r="I1111" s="66"/>
      <c r="J1111" s="66"/>
      <c r="K1111" s="66"/>
    </row>
    <row r="1112" spans="1:11" x14ac:dyDescent="0.25">
      <c r="A1112" s="66"/>
      <c r="B1112" s="66"/>
      <c r="C1112" s="66"/>
      <c r="D1112" s="66"/>
      <c r="E1112" s="66"/>
      <c r="F1112" s="66"/>
      <c r="G1112" s="66"/>
      <c r="H1112" s="66"/>
      <c r="I1112" s="66"/>
      <c r="J1112" s="66"/>
      <c r="K1112" s="66"/>
    </row>
    <row r="1113" spans="1:11" x14ac:dyDescent="0.25">
      <c r="A1113" s="66"/>
      <c r="B1113" s="66"/>
      <c r="C1113" s="66"/>
      <c r="D1113" s="66"/>
      <c r="E1113" s="66"/>
      <c r="F1113" s="66"/>
      <c r="G1113" s="66"/>
      <c r="H1113" s="66"/>
      <c r="I1113" s="66"/>
      <c r="J1113" s="66"/>
      <c r="K1113" s="66"/>
    </row>
    <row r="1114" spans="1:11" x14ac:dyDescent="0.25">
      <c r="A1114" s="66"/>
      <c r="B1114" s="66"/>
      <c r="C1114" s="66"/>
      <c r="D1114" s="66"/>
      <c r="E1114" s="66"/>
      <c r="F1114" s="66"/>
      <c r="G1114" s="66"/>
      <c r="H1114" s="66"/>
      <c r="I1114" s="66"/>
      <c r="J1114" s="66"/>
      <c r="K1114" s="66"/>
    </row>
    <row r="1115" spans="1:11" x14ac:dyDescent="0.25">
      <c r="A1115" s="66"/>
      <c r="B1115" s="66"/>
      <c r="C1115" s="66"/>
      <c r="D1115" s="66"/>
      <c r="E1115" s="66"/>
      <c r="F1115" s="66"/>
      <c r="G1115" s="66"/>
      <c r="H1115" s="66"/>
      <c r="I1115" s="66"/>
      <c r="J1115" s="66"/>
      <c r="K1115" s="66"/>
    </row>
    <row r="1116" spans="1:11" x14ac:dyDescent="0.25">
      <c r="A1116" s="66"/>
      <c r="B1116" s="66"/>
      <c r="C1116" s="66"/>
      <c r="D1116" s="66"/>
      <c r="E1116" s="66"/>
      <c r="F1116" s="66"/>
      <c r="G1116" s="66"/>
      <c r="H1116" s="66"/>
      <c r="I1116" s="66"/>
      <c r="J1116" s="66"/>
      <c r="K1116" s="66"/>
    </row>
    <row r="1117" spans="1:11" x14ac:dyDescent="0.25">
      <c r="A1117" s="66"/>
      <c r="B1117" s="66"/>
      <c r="C1117" s="66"/>
      <c r="D1117" s="66"/>
      <c r="E1117" s="66"/>
      <c r="F1117" s="66"/>
      <c r="G1117" s="66"/>
      <c r="H1117" s="66"/>
      <c r="I1117" s="66"/>
      <c r="J1117" s="66"/>
      <c r="K1117" s="66"/>
    </row>
    <row r="1118" spans="1:11" x14ac:dyDescent="0.25">
      <c r="A1118" s="66"/>
      <c r="B1118" s="66"/>
      <c r="C1118" s="66"/>
      <c r="D1118" s="66"/>
      <c r="E1118" s="66"/>
      <c r="F1118" s="66"/>
      <c r="G1118" s="66"/>
      <c r="H1118" s="66"/>
      <c r="I1118" s="66"/>
      <c r="J1118" s="66"/>
      <c r="K1118" s="66"/>
    </row>
    <row r="1119" spans="1:11" x14ac:dyDescent="0.25">
      <c r="A1119" s="66"/>
      <c r="B1119" s="66"/>
      <c r="C1119" s="66"/>
      <c r="D1119" s="66"/>
      <c r="E1119" s="66"/>
      <c r="F1119" s="66"/>
      <c r="G1119" s="66"/>
      <c r="H1119" s="66"/>
      <c r="I1119" s="66"/>
      <c r="J1119" s="66"/>
      <c r="K1119" s="66"/>
    </row>
    <row r="1120" spans="1:11" x14ac:dyDescent="0.25">
      <c r="A1120" s="66"/>
      <c r="B1120" s="66"/>
      <c r="C1120" s="66"/>
      <c r="D1120" s="66"/>
      <c r="E1120" s="66"/>
      <c r="F1120" s="66"/>
      <c r="G1120" s="66"/>
      <c r="H1120" s="66"/>
      <c r="I1120" s="66"/>
      <c r="J1120" s="66"/>
      <c r="K1120" s="66"/>
    </row>
    <row r="1121" spans="1:11" x14ac:dyDescent="0.25">
      <c r="A1121" s="66"/>
      <c r="B1121" s="66"/>
      <c r="C1121" s="66"/>
      <c r="D1121" s="66"/>
      <c r="E1121" s="66"/>
      <c r="F1121" s="66"/>
      <c r="G1121" s="66"/>
      <c r="H1121" s="66"/>
      <c r="I1121" s="66"/>
      <c r="J1121" s="66"/>
      <c r="K1121" s="66"/>
    </row>
    <row r="1122" spans="1:11" x14ac:dyDescent="0.25">
      <c r="A1122" s="66"/>
      <c r="B1122" s="66"/>
      <c r="C1122" s="66"/>
      <c r="D1122" s="66"/>
      <c r="E1122" s="66"/>
      <c r="F1122" s="66"/>
      <c r="G1122" s="66"/>
      <c r="H1122" s="66"/>
      <c r="I1122" s="66"/>
      <c r="J1122" s="66"/>
      <c r="K1122" s="66"/>
    </row>
    <row r="1123" spans="1:11" x14ac:dyDescent="0.25">
      <c r="A1123" s="66"/>
      <c r="B1123" s="66"/>
      <c r="C1123" s="66"/>
      <c r="D1123" s="66"/>
      <c r="E1123" s="66"/>
      <c r="F1123" s="66"/>
      <c r="G1123" s="66"/>
      <c r="H1123" s="66"/>
      <c r="I1123" s="66"/>
      <c r="J1123" s="66"/>
      <c r="K1123" s="66"/>
    </row>
    <row r="1124" spans="1:11" x14ac:dyDescent="0.25">
      <c r="A1124" s="66"/>
      <c r="B1124" s="66"/>
      <c r="C1124" s="66"/>
      <c r="D1124" s="66"/>
      <c r="E1124" s="66"/>
      <c r="F1124" s="66"/>
      <c r="G1124" s="66"/>
      <c r="H1124" s="66"/>
      <c r="I1124" s="66"/>
      <c r="J1124" s="66"/>
      <c r="K1124" s="66"/>
    </row>
    <row r="1125" spans="1:11" x14ac:dyDescent="0.25">
      <c r="A1125" s="66"/>
      <c r="B1125" s="66"/>
      <c r="C1125" s="66"/>
      <c r="D1125" s="66"/>
      <c r="E1125" s="66"/>
      <c r="F1125" s="66"/>
      <c r="G1125" s="66"/>
      <c r="H1125" s="66"/>
      <c r="I1125" s="66"/>
      <c r="J1125" s="66"/>
      <c r="K1125" s="66"/>
    </row>
    <row r="1126" spans="1:11" x14ac:dyDescent="0.25">
      <c r="A1126" s="66"/>
      <c r="B1126" s="66"/>
      <c r="C1126" s="66"/>
      <c r="D1126" s="66"/>
      <c r="E1126" s="66"/>
      <c r="F1126" s="66"/>
      <c r="G1126" s="66"/>
      <c r="H1126" s="66"/>
      <c r="I1126" s="66"/>
      <c r="J1126" s="66"/>
      <c r="K1126" s="66"/>
    </row>
    <row r="1127" spans="1:11" x14ac:dyDescent="0.25">
      <c r="A1127" s="66"/>
      <c r="B1127" s="66"/>
      <c r="C1127" s="66"/>
      <c r="D1127" s="66"/>
      <c r="E1127" s="66"/>
      <c r="F1127" s="66"/>
      <c r="G1127" s="66"/>
      <c r="H1127" s="66"/>
      <c r="I1127" s="66"/>
      <c r="J1127" s="66"/>
      <c r="K1127" s="66"/>
    </row>
    <row r="1128" spans="1:11" x14ac:dyDescent="0.25">
      <c r="A1128" s="66"/>
      <c r="B1128" s="66"/>
      <c r="C1128" s="66"/>
      <c r="D1128" s="66"/>
      <c r="E1128" s="66"/>
      <c r="F1128" s="66"/>
      <c r="G1128" s="66"/>
      <c r="H1128" s="66"/>
      <c r="I1128" s="66"/>
      <c r="J1128" s="66"/>
      <c r="K1128" s="66"/>
    </row>
    <row r="1129" spans="1:11" x14ac:dyDescent="0.25">
      <c r="A1129" s="66"/>
      <c r="B1129" s="66"/>
      <c r="C1129" s="66"/>
      <c r="D1129" s="66"/>
      <c r="E1129" s="66"/>
      <c r="F1129" s="66"/>
      <c r="G1129" s="66"/>
      <c r="H1129" s="66"/>
      <c r="I1129" s="66"/>
      <c r="J1129" s="66"/>
      <c r="K1129" s="66"/>
    </row>
    <row r="1130" spans="1:11" x14ac:dyDescent="0.25">
      <c r="A1130" s="66"/>
      <c r="B1130" s="66"/>
      <c r="C1130" s="66"/>
      <c r="D1130" s="66"/>
      <c r="E1130" s="66"/>
      <c r="F1130" s="66"/>
      <c r="G1130" s="66"/>
      <c r="H1130" s="66"/>
      <c r="I1130" s="66"/>
      <c r="J1130" s="66"/>
      <c r="K1130" s="66"/>
    </row>
    <row r="1131" spans="1:11" x14ac:dyDescent="0.25">
      <c r="A1131" s="66"/>
      <c r="B1131" s="66"/>
      <c r="C1131" s="66"/>
      <c r="D1131" s="66"/>
      <c r="E1131" s="66"/>
      <c r="F1131" s="66"/>
      <c r="G1131" s="66"/>
      <c r="H1131" s="66"/>
      <c r="I1131" s="66"/>
      <c r="J1131" s="66"/>
      <c r="K1131" s="66"/>
    </row>
    <row r="1132" spans="1:11" x14ac:dyDescent="0.25">
      <c r="A1132" s="66"/>
      <c r="B1132" s="66"/>
      <c r="C1132" s="66"/>
      <c r="D1132" s="66"/>
      <c r="E1132" s="66"/>
      <c r="F1132" s="66"/>
      <c r="G1132" s="66"/>
      <c r="H1132" s="66"/>
      <c r="I1132" s="66"/>
      <c r="J1132" s="66"/>
      <c r="K1132" s="66"/>
    </row>
    <row r="1133" spans="1:11" x14ac:dyDescent="0.25">
      <c r="A1133" s="66"/>
      <c r="B1133" s="66"/>
      <c r="C1133" s="66"/>
      <c r="D1133" s="66"/>
      <c r="E1133" s="66"/>
      <c r="F1133" s="66"/>
      <c r="G1133" s="66"/>
      <c r="H1133" s="66"/>
      <c r="I1133" s="66"/>
      <c r="J1133" s="66"/>
      <c r="K1133" s="66"/>
    </row>
    <row r="1134" spans="1:11" x14ac:dyDescent="0.25">
      <c r="A1134" s="66"/>
      <c r="B1134" s="66"/>
      <c r="C1134" s="66"/>
      <c r="D1134" s="66"/>
      <c r="E1134" s="66"/>
      <c r="F1134" s="66"/>
      <c r="G1134" s="66"/>
      <c r="H1134" s="66"/>
      <c r="I1134" s="66"/>
      <c r="J1134" s="66"/>
      <c r="K1134" s="66"/>
    </row>
    <row r="1135" spans="1:11" x14ac:dyDescent="0.25">
      <c r="A1135" s="66"/>
      <c r="B1135" s="66"/>
      <c r="C1135" s="66"/>
      <c r="D1135" s="66"/>
      <c r="E1135" s="66"/>
      <c r="F1135" s="66"/>
      <c r="G1135" s="66"/>
      <c r="H1135" s="66"/>
      <c r="I1135" s="66"/>
      <c r="J1135" s="66"/>
      <c r="K1135" s="66"/>
    </row>
    <row r="1136" spans="1:11" x14ac:dyDescent="0.25">
      <c r="A1136" s="66"/>
      <c r="B1136" s="66"/>
      <c r="C1136" s="66"/>
      <c r="D1136" s="66"/>
      <c r="E1136" s="66"/>
      <c r="F1136" s="66"/>
      <c r="G1136" s="66"/>
      <c r="H1136" s="66"/>
      <c r="I1136" s="66"/>
      <c r="J1136" s="66"/>
      <c r="K1136" s="66"/>
    </row>
    <row r="1137" spans="1:11" x14ac:dyDescent="0.25">
      <c r="A1137" s="66"/>
      <c r="B1137" s="66"/>
      <c r="C1137" s="66"/>
      <c r="D1137" s="66"/>
      <c r="E1137" s="66"/>
      <c r="F1137" s="66"/>
      <c r="G1137" s="66"/>
      <c r="H1137" s="66"/>
      <c r="I1137" s="66"/>
      <c r="J1137" s="66"/>
      <c r="K1137" s="66"/>
    </row>
    <row r="1138" spans="1:11" x14ac:dyDescent="0.25">
      <c r="A1138" s="66"/>
      <c r="B1138" s="66"/>
      <c r="C1138" s="66"/>
      <c r="D1138" s="66"/>
      <c r="E1138" s="66"/>
      <c r="F1138" s="66"/>
      <c r="G1138" s="66"/>
      <c r="H1138" s="66"/>
      <c r="I1138" s="66"/>
      <c r="J1138" s="66"/>
      <c r="K1138" s="66"/>
    </row>
    <row r="1139" spans="1:11" x14ac:dyDescent="0.25">
      <c r="A1139" s="66"/>
      <c r="B1139" s="66"/>
      <c r="C1139" s="66"/>
      <c r="D1139" s="66"/>
      <c r="E1139" s="66"/>
      <c r="F1139" s="66"/>
      <c r="G1139" s="66"/>
      <c r="H1139" s="66"/>
      <c r="I1139" s="66"/>
      <c r="J1139" s="66"/>
      <c r="K1139" s="66"/>
    </row>
    <row r="1140" spans="1:11" x14ac:dyDescent="0.25">
      <c r="A1140" s="66"/>
      <c r="B1140" s="66"/>
      <c r="C1140" s="66"/>
      <c r="D1140" s="66"/>
      <c r="E1140" s="66"/>
      <c r="F1140" s="66"/>
      <c r="G1140" s="66"/>
      <c r="H1140" s="66"/>
      <c r="I1140" s="66"/>
      <c r="J1140" s="66"/>
      <c r="K1140" s="66"/>
    </row>
    <row r="1141" spans="1:11" x14ac:dyDescent="0.25">
      <c r="A1141" s="66"/>
      <c r="B1141" s="66"/>
      <c r="C1141" s="66"/>
      <c r="D1141" s="66"/>
      <c r="E1141" s="66"/>
      <c r="F1141" s="66"/>
      <c r="G1141" s="66"/>
      <c r="H1141" s="66"/>
      <c r="I1141" s="66"/>
      <c r="J1141" s="66"/>
      <c r="K1141" s="66"/>
    </row>
    <row r="1142" spans="1:11" x14ac:dyDescent="0.25">
      <c r="A1142" s="66"/>
      <c r="B1142" s="66"/>
      <c r="C1142" s="66"/>
      <c r="D1142" s="66"/>
      <c r="E1142" s="66"/>
      <c r="F1142" s="66"/>
      <c r="G1142" s="66"/>
      <c r="H1142" s="66"/>
      <c r="I1142" s="66"/>
      <c r="J1142" s="66"/>
      <c r="K1142" s="66"/>
    </row>
    <row r="1143" spans="1:11" x14ac:dyDescent="0.25">
      <c r="A1143" s="66"/>
      <c r="B1143" s="66"/>
      <c r="C1143" s="66"/>
      <c r="D1143" s="66"/>
      <c r="E1143" s="66"/>
      <c r="F1143" s="66"/>
      <c r="G1143" s="66"/>
      <c r="H1143" s="66"/>
      <c r="I1143" s="66"/>
      <c r="J1143" s="66"/>
      <c r="K1143" s="66"/>
    </row>
    <row r="1144" spans="1:11" x14ac:dyDescent="0.25">
      <c r="A1144" s="66"/>
      <c r="B1144" s="66"/>
      <c r="C1144" s="66"/>
      <c r="D1144" s="66"/>
      <c r="E1144" s="66"/>
      <c r="F1144" s="66"/>
      <c r="G1144" s="66"/>
      <c r="H1144" s="66"/>
      <c r="I1144" s="66"/>
      <c r="J1144" s="66"/>
      <c r="K1144" s="66"/>
    </row>
    <row r="1145" spans="1:11" x14ac:dyDescent="0.25">
      <c r="A1145" s="66"/>
      <c r="B1145" s="66"/>
      <c r="C1145" s="66"/>
      <c r="D1145" s="66"/>
      <c r="E1145" s="66"/>
      <c r="F1145" s="66"/>
      <c r="G1145" s="66"/>
      <c r="H1145" s="66"/>
      <c r="I1145" s="66"/>
      <c r="J1145" s="66"/>
      <c r="K1145" s="66"/>
    </row>
    <row r="1146" spans="1:11" x14ac:dyDescent="0.25">
      <c r="A1146" s="66"/>
      <c r="B1146" s="66"/>
      <c r="C1146" s="66"/>
      <c r="D1146" s="66"/>
      <c r="E1146" s="66"/>
      <c r="F1146" s="66"/>
      <c r="G1146" s="66"/>
      <c r="H1146" s="66"/>
      <c r="I1146" s="66"/>
      <c r="J1146" s="66"/>
      <c r="K1146" s="66"/>
    </row>
    <row r="1147" spans="1:11" x14ac:dyDescent="0.25">
      <c r="A1147" s="66"/>
      <c r="B1147" s="66"/>
      <c r="C1147" s="66"/>
      <c r="D1147" s="66"/>
      <c r="E1147" s="66"/>
      <c r="F1147" s="66"/>
      <c r="G1147" s="66"/>
      <c r="H1147" s="66"/>
      <c r="I1147" s="66"/>
      <c r="J1147" s="66"/>
      <c r="K1147" s="66"/>
    </row>
    <row r="1148" spans="1:11" x14ac:dyDescent="0.25">
      <c r="A1148" s="66"/>
      <c r="B1148" s="66"/>
      <c r="C1148" s="66"/>
      <c r="D1148" s="66"/>
      <c r="E1148" s="66"/>
      <c r="F1148" s="66"/>
      <c r="G1148" s="66"/>
      <c r="H1148" s="66"/>
      <c r="I1148" s="66"/>
      <c r="J1148" s="66"/>
      <c r="K1148" s="66"/>
    </row>
    <row r="1149" spans="1:11" x14ac:dyDescent="0.25">
      <c r="A1149" s="66"/>
      <c r="B1149" s="66"/>
      <c r="C1149" s="66"/>
      <c r="D1149" s="66"/>
      <c r="E1149" s="66"/>
      <c r="F1149" s="66"/>
      <c r="G1149" s="66"/>
      <c r="H1149" s="66"/>
      <c r="I1149" s="66"/>
      <c r="J1149" s="66"/>
      <c r="K1149" s="66"/>
    </row>
    <row r="1150" spans="1:11" x14ac:dyDescent="0.25">
      <c r="A1150" s="66"/>
      <c r="B1150" s="66"/>
      <c r="C1150" s="66"/>
      <c r="D1150" s="66"/>
      <c r="E1150" s="66"/>
      <c r="F1150" s="66"/>
      <c r="G1150" s="66"/>
      <c r="H1150" s="66"/>
      <c r="I1150" s="66"/>
      <c r="J1150" s="66"/>
      <c r="K1150" s="66"/>
    </row>
    <row r="1151" spans="1:11" x14ac:dyDescent="0.25">
      <c r="A1151" s="66"/>
      <c r="B1151" s="66"/>
      <c r="C1151" s="66"/>
      <c r="D1151" s="66"/>
      <c r="E1151" s="66"/>
      <c r="F1151" s="66"/>
      <c r="G1151" s="66"/>
      <c r="H1151" s="66"/>
      <c r="I1151" s="66"/>
      <c r="J1151" s="66"/>
      <c r="K1151" s="66"/>
    </row>
    <row r="1152" spans="1:11" x14ac:dyDescent="0.25">
      <c r="A1152" s="66"/>
      <c r="B1152" s="66"/>
      <c r="C1152" s="66"/>
      <c r="D1152" s="66"/>
      <c r="E1152" s="66"/>
      <c r="F1152" s="66"/>
      <c r="G1152" s="66"/>
      <c r="H1152" s="66"/>
      <c r="I1152" s="66"/>
      <c r="J1152" s="66"/>
      <c r="K1152" s="66"/>
    </row>
    <row r="1153" spans="1:11" x14ac:dyDescent="0.25">
      <c r="A1153" s="66"/>
      <c r="B1153" s="66"/>
      <c r="C1153" s="66"/>
      <c r="D1153" s="66"/>
      <c r="E1153" s="66"/>
      <c r="F1153" s="66"/>
      <c r="G1153" s="66"/>
      <c r="H1153" s="66"/>
      <c r="I1153" s="66"/>
      <c r="J1153" s="66"/>
      <c r="K1153" s="66"/>
    </row>
    <row r="1154" spans="1:11" x14ac:dyDescent="0.25">
      <c r="A1154" s="66"/>
      <c r="B1154" s="66"/>
      <c r="C1154" s="66"/>
      <c r="D1154" s="66"/>
      <c r="E1154" s="66"/>
      <c r="F1154" s="66"/>
      <c r="G1154" s="66"/>
      <c r="H1154" s="66"/>
      <c r="I1154" s="66"/>
      <c r="J1154" s="66"/>
      <c r="K1154" s="66"/>
    </row>
    <row r="1155" spans="1:11" x14ac:dyDescent="0.25">
      <c r="A1155" s="66"/>
      <c r="B1155" s="66"/>
      <c r="C1155" s="66"/>
      <c r="D1155" s="66"/>
      <c r="E1155" s="66"/>
      <c r="F1155" s="66"/>
      <c r="G1155" s="66"/>
      <c r="H1155" s="66"/>
      <c r="I1155" s="66"/>
      <c r="J1155" s="66"/>
      <c r="K1155" s="66"/>
    </row>
    <row r="1156" spans="1:11" x14ac:dyDescent="0.25">
      <c r="A1156" s="66"/>
      <c r="B1156" s="66"/>
      <c r="C1156" s="66"/>
      <c r="D1156" s="66"/>
      <c r="E1156" s="66"/>
      <c r="F1156" s="66"/>
      <c r="G1156" s="66"/>
      <c r="H1156" s="66"/>
      <c r="I1156" s="66"/>
      <c r="J1156" s="66"/>
      <c r="K1156" s="66"/>
    </row>
    <row r="1157" spans="1:11" x14ac:dyDescent="0.25">
      <c r="A1157" s="66"/>
      <c r="B1157" s="66"/>
      <c r="C1157" s="66"/>
      <c r="D1157" s="66"/>
      <c r="E1157" s="66"/>
      <c r="F1157" s="66"/>
      <c r="G1157" s="66"/>
      <c r="H1157" s="66"/>
      <c r="I1157" s="66"/>
      <c r="J1157" s="66"/>
      <c r="K1157" s="66"/>
    </row>
    <row r="1158" spans="1:11" x14ac:dyDescent="0.25">
      <c r="A1158" s="66"/>
      <c r="B1158" s="66"/>
      <c r="C1158" s="66"/>
      <c r="D1158" s="66"/>
      <c r="E1158" s="66"/>
      <c r="F1158" s="66"/>
      <c r="G1158" s="66"/>
      <c r="H1158" s="66"/>
      <c r="I1158" s="66"/>
      <c r="J1158" s="66"/>
      <c r="K1158" s="66"/>
    </row>
    <row r="1159" spans="1:11" x14ac:dyDescent="0.25">
      <c r="A1159" s="66"/>
      <c r="B1159" s="66"/>
      <c r="C1159" s="66"/>
      <c r="D1159" s="66"/>
      <c r="E1159" s="66"/>
      <c r="F1159" s="66"/>
      <c r="G1159" s="66"/>
      <c r="H1159" s="66"/>
      <c r="I1159" s="66"/>
      <c r="J1159" s="66"/>
      <c r="K1159" s="66"/>
    </row>
    <row r="1160" spans="1:11" x14ac:dyDescent="0.25">
      <c r="A1160" s="66"/>
      <c r="B1160" s="66"/>
      <c r="C1160" s="66"/>
      <c r="D1160" s="66"/>
      <c r="E1160" s="66"/>
      <c r="F1160" s="66"/>
      <c r="G1160" s="66"/>
      <c r="H1160" s="66"/>
      <c r="I1160" s="66"/>
      <c r="J1160" s="66"/>
      <c r="K1160" s="66"/>
    </row>
    <row r="1161" spans="1:11" x14ac:dyDescent="0.25">
      <c r="A1161" s="66"/>
      <c r="B1161" s="66"/>
      <c r="C1161" s="66"/>
      <c r="D1161" s="66"/>
      <c r="E1161" s="66"/>
      <c r="F1161" s="66"/>
      <c r="G1161" s="66"/>
      <c r="H1161" s="66"/>
      <c r="I1161" s="66"/>
      <c r="J1161" s="66"/>
      <c r="K1161" s="66"/>
    </row>
    <row r="1162" spans="1:11" x14ac:dyDescent="0.25">
      <c r="A1162" s="66"/>
      <c r="B1162" s="66"/>
      <c r="C1162" s="66"/>
      <c r="D1162" s="66"/>
      <c r="E1162" s="66"/>
      <c r="F1162" s="66"/>
      <c r="G1162" s="66"/>
      <c r="H1162" s="66"/>
      <c r="I1162" s="66"/>
      <c r="J1162" s="66"/>
      <c r="K1162" s="66"/>
    </row>
    <row r="1163" spans="1:11" x14ac:dyDescent="0.25">
      <c r="A1163" s="66"/>
      <c r="B1163" s="66"/>
      <c r="C1163" s="66"/>
      <c r="D1163" s="66"/>
      <c r="E1163" s="66"/>
      <c r="F1163" s="66"/>
      <c r="G1163" s="66"/>
      <c r="H1163" s="66"/>
      <c r="I1163" s="66"/>
      <c r="J1163" s="66"/>
      <c r="K1163" s="66"/>
    </row>
    <row r="1164" spans="1:11" x14ac:dyDescent="0.25">
      <c r="A1164" s="66"/>
      <c r="B1164" s="66"/>
      <c r="C1164" s="66"/>
      <c r="D1164" s="66"/>
      <c r="E1164" s="66"/>
      <c r="F1164" s="66"/>
      <c r="G1164" s="66"/>
      <c r="H1164" s="66"/>
      <c r="I1164" s="66"/>
      <c r="J1164" s="66"/>
      <c r="K1164" s="66"/>
    </row>
    <row r="1165" spans="1:11" x14ac:dyDescent="0.25">
      <c r="A1165" s="66"/>
      <c r="B1165" s="66"/>
      <c r="C1165" s="66"/>
      <c r="D1165" s="66"/>
      <c r="E1165" s="66"/>
      <c r="F1165" s="66"/>
      <c r="G1165" s="66"/>
      <c r="H1165" s="66"/>
      <c r="I1165" s="66"/>
      <c r="J1165" s="66"/>
      <c r="K1165" s="66"/>
    </row>
    <row r="1166" spans="1:11" x14ac:dyDescent="0.25">
      <c r="A1166" s="66"/>
      <c r="B1166" s="66"/>
      <c r="C1166" s="66"/>
      <c r="D1166" s="66"/>
      <c r="E1166" s="66"/>
      <c r="F1166" s="66"/>
      <c r="G1166" s="66"/>
      <c r="H1166" s="66"/>
      <c r="I1166" s="66"/>
      <c r="J1166" s="66"/>
      <c r="K1166" s="66"/>
    </row>
    <row r="1167" spans="1:11" x14ac:dyDescent="0.25">
      <c r="A1167" s="66"/>
      <c r="B1167" s="66"/>
      <c r="C1167" s="66"/>
      <c r="D1167" s="66"/>
      <c r="E1167" s="66"/>
      <c r="F1167" s="66"/>
      <c r="G1167" s="66"/>
      <c r="H1167" s="66"/>
      <c r="I1167" s="66"/>
      <c r="J1167" s="66"/>
      <c r="K1167" s="66"/>
    </row>
    <row r="1168" spans="1:11" x14ac:dyDescent="0.25">
      <c r="A1168" s="66"/>
      <c r="B1168" s="66"/>
      <c r="C1168" s="66"/>
      <c r="D1168" s="66"/>
      <c r="E1168" s="66"/>
      <c r="F1168" s="66"/>
      <c r="G1168" s="66"/>
      <c r="H1168" s="66"/>
      <c r="I1168" s="66"/>
      <c r="J1168" s="66"/>
      <c r="K1168" s="66"/>
    </row>
    <row r="1169" spans="1:11" x14ac:dyDescent="0.25">
      <c r="A1169" s="66"/>
      <c r="B1169" s="66"/>
      <c r="C1169" s="66"/>
      <c r="D1169" s="66"/>
      <c r="E1169" s="66"/>
      <c r="F1169" s="66"/>
      <c r="G1169" s="66"/>
      <c r="H1169" s="66"/>
      <c r="I1169" s="66"/>
      <c r="J1169" s="66"/>
      <c r="K1169" s="66"/>
    </row>
    <row r="1170" spans="1:11" x14ac:dyDescent="0.25">
      <c r="A1170" s="66"/>
      <c r="B1170" s="66"/>
      <c r="C1170" s="66"/>
      <c r="D1170" s="66"/>
      <c r="E1170" s="66"/>
      <c r="F1170" s="66"/>
      <c r="G1170" s="66"/>
      <c r="H1170" s="66"/>
      <c r="I1170" s="66"/>
      <c r="J1170" s="66"/>
      <c r="K1170" s="66"/>
    </row>
    <row r="1171" spans="1:11" x14ac:dyDescent="0.25">
      <c r="A1171" s="66"/>
      <c r="B1171" s="66"/>
      <c r="C1171" s="66"/>
      <c r="D1171" s="66"/>
      <c r="E1171" s="66"/>
      <c r="F1171" s="66"/>
      <c r="G1171" s="66"/>
      <c r="H1171" s="66"/>
      <c r="I1171" s="66"/>
      <c r="J1171" s="66"/>
      <c r="K1171" s="66"/>
    </row>
    <row r="1172" spans="1:11" x14ac:dyDescent="0.25">
      <c r="A1172" s="66"/>
      <c r="B1172" s="66"/>
      <c r="C1172" s="66"/>
      <c r="D1172" s="66"/>
      <c r="E1172" s="66"/>
      <c r="F1172" s="66"/>
      <c r="G1172" s="66"/>
      <c r="H1172" s="66"/>
      <c r="I1172" s="66"/>
      <c r="J1172" s="66"/>
      <c r="K1172" s="66"/>
    </row>
    <row r="1173" spans="1:11" x14ac:dyDescent="0.25">
      <c r="A1173" s="66"/>
      <c r="B1173" s="66"/>
      <c r="C1173" s="66"/>
      <c r="D1173" s="66"/>
      <c r="E1173" s="66"/>
      <c r="F1173" s="66"/>
      <c r="G1173" s="66"/>
      <c r="H1173" s="66"/>
      <c r="I1173" s="66"/>
      <c r="J1173" s="66"/>
      <c r="K1173" s="66"/>
    </row>
    <row r="1174" spans="1:11" x14ac:dyDescent="0.25">
      <c r="A1174" s="66"/>
      <c r="B1174" s="66"/>
      <c r="C1174" s="66"/>
      <c r="D1174" s="66"/>
      <c r="E1174" s="66"/>
      <c r="F1174" s="66"/>
      <c r="G1174" s="66"/>
      <c r="H1174" s="66"/>
      <c r="I1174" s="66"/>
      <c r="J1174" s="66"/>
      <c r="K1174" s="66"/>
    </row>
    <row r="1175" spans="1:11" x14ac:dyDescent="0.25">
      <c r="A1175" s="66"/>
      <c r="B1175" s="66"/>
      <c r="C1175" s="66"/>
      <c r="D1175" s="66"/>
      <c r="E1175" s="66"/>
      <c r="F1175" s="66"/>
      <c r="G1175" s="66"/>
      <c r="H1175" s="66"/>
      <c r="I1175" s="66"/>
      <c r="J1175" s="66"/>
      <c r="K1175" s="66"/>
    </row>
    <row r="1176" spans="1:11" x14ac:dyDescent="0.25">
      <c r="A1176" s="66"/>
      <c r="B1176" s="66"/>
      <c r="C1176" s="66"/>
      <c r="D1176" s="66"/>
      <c r="E1176" s="66"/>
      <c r="F1176" s="66"/>
      <c r="G1176" s="66"/>
      <c r="H1176" s="66"/>
      <c r="I1176" s="66"/>
      <c r="J1176" s="66"/>
      <c r="K1176" s="66"/>
    </row>
    <row r="1177" spans="1:11" x14ac:dyDescent="0.25">
      <c r="A1177" s="66"/>
      <c r="B1177" s="66"/>
      <c r="C1177" s="66"/>
      <c r="D1177" s="66"/>
      <c r="E1177" s="66"/>
      <c r="F1177" s="66"/>
      <c r="G1177" s="66"/>
      <c r="H1177" s="66"/>
      <c r="I1177" s="66"/>
      <c r="J1177" s="66"/>
      <c r="K1177" s="66"/>
    </row>
    <row r="1178" spans="1:11" x14ac:dyDescent="0.25">
      <c r="A1178" s="66"/>
      <c r="B1178" s="66"/>
      <c r="C1178" s="66"/>
      <c r="D1178" s="66"/>
      <c r="E1178" s="66"/>
      <c r="F1178" s="66"/>
      <c r="G1178" s="66"/>
      <c r="H1178" s="66"/>
      <c r="I1178" s="66"/>
      <c r="J1178" s="66"/>
      <c r="K1178" s="66"/>
    </row>
    <row r="1179" spans="1:11" x14ac:dyDescent="0.25">
      <c r="A1179" s="66"/>
      <c r="B1179" s="66"/>
      <c r="C1179" s="66"/>
      <c r="D1179" s="66"/>
      <c r="E1179" s="66"/>
      <c r="F1179" s="66"/>
      <c r="G1179" s="66"/>
      <c r="H1179" s="66"/>
      <c r="I1179" s="66"/>
      <c r="J1179" s="66"/>
      <c r="K1179" s="66"/>
    </row>
    <row r="1180" spans="1:11" x14ac:dyDescent="0.25">
      <c r="A1180" s="66"/>
      <c r="B1180" s="66"/>
      <c r="C1180" s="66"/>
      <c r="D1180" s="66"/>
      <c r="E1180" s="66"/>
      <c r="F1180" s="66"/>
      <c r="G1180" s="66"/>
      <c r="H1180" s="66"/>
      <c r="I1180" s="66"/>
      <c r="J1180" s="66"/>
      <c r="K1180" s="66"/>
    </row>
    <row r="1181" spans="1:11" x14ac:dyDescent="0.25">
      <c r="A1181" s="66"/>
      <c r="B1181" s="66"/>
      <c r="C1181" s="66"/>
      <c r="D1181" s="66"/>
      <c r="E1181" s="66"/>
      <c r="F1181" s="66"/>
      <c r="G1181" s="66"/>
      <c r="H1181" s="66"/>
      <c r="I1181" s="66"/>
      <c r="J1181" s="66"/>
      <c r="K1181" s="66"/>
    </row>
    <row r="1182" spans="1:11" x14ac:dyDescent="0.25">
      <c r="A1182" s="66"/>
      <c r="B1182" s="66"/>
      <c r="C1182" s="66"/>
      <c r="D1182" s="66"/>
      <c r="E1182" s="66"/>
      <c r="F1182" s="66"/>
      <c r="G1182" s="66"/>
      <c r="H1182" s="66"/>
      <c r="I1182" s="66"/>
      <c r="J1182" s="66"/>
      <c r="K1182" s="66"/>
    </row>
    <row r="1183" spans="1:11" x14ac:dyDescent="0.25">
      <c r="A1183" s="66"/>
      <c r="B1183" s="66"/>
      <c r="C1183" s="66"/>
      <c r="D1183" s="66"/>
      <c r="E1183" s="66"/>
      <c r="F1183" s="66"/>
      <c r="G1183" s="66"/>
      <c r="H1183" s="66"/>
      <c r="I1183" s="66"/>
      <c r="J1183" s="66"/>
      <c r="K1183" s="66"/>
    </row>
    <row r="1184" spans="1:11" x14ac:dyDescent="0.25">
      <c r="A1184" s="66"/>
      <c r="B1184" s="66"/>
      <c r="C1184" s="66"/>
      <c r="D1184" s="66"/>
      <c r="E1184" s="66"/>
      <c r="F1184" s="66"/>
      <c r="G1184" s="66"/>
      <c r="H1184" s="66"/>
      <c r="I1184" s="66"/>
      <c r="J1184" s="66"/>
      <c r="K1184" s="66"/>
    </row>
    <row r="1185" spans="1:11" x14ac:dyDescent="0.25">
      <c r="A1185" s="66"/>
      <c r="B1185" s="66"/>
      <c r="C1185" s="66"/>
      <c r="D1185" s="66"/>
      <c r="E1185" s="66"/>
      <c r="F1185" s="66"/>
      <c r="G1185" s="66"/>
      <c r="H1185" s="66"/>
      <c r="I1185" s="66"/>
      <c r="J1185" s="66"/>
      <c r="K1185" s="66"/>
    </row>
    <row r="1186" spans="1:11" x14ac:dyDescent="0.25">
      <c r="A1186" s="66"/>
      <c r="B1186" s="66"/>
      <c r="C1186" s="66"/>
      <c r="D1186" s="66"/>
      <c r="E1186" s="66"/>
      <c r="F1186" s="66"/>
      <c r="G1186" s="66"/>
      <c r="H1186" s="66"/>
      <c r="I1186" s="66"/>
      <c r="J1186" s="66"/>
      <c r="K1186" s="66"/>
    </row>
    <row r="1187" spans="1:11" x14ac:dyDescent="0.25">
      <c r="A1187" s="66"/>
      <c r="B1187" s="66"/>
      <c r="C1187" s="66"/>
      <c r="D1187" s="66"/>
      <c r="E1187" s="66"/>
      <c r="F1187" s="66"/>
      <c r="G1187" s="66"/>
      <c r="H1187" s="66"/>
      <c r="I1187" s="66"/>
      <c r="J1187" s="66"/>
      <c r="K1187" s="66"/>
    </row>
    <row r="1188" spans="1:11" x14ac:dyDescent="0.25">
      <c r="A1188" s="66"/>
      <c r="B1188" s="66"/>
      <c r="C1188" s="66"/>
      <c r="D1188" s="66"/>
      <c r="E1188" s="66"/>
      <c r="F1188" s="66"/>
      <c r="G1188" s="66"/>
      <c r="H1188" s="66"/>
      <c r="I1188" s="66"/>
      <c r="J1188" s="66"/>
      <c r="K1188" s="66"/>
    </row>
    <row r="1189" spans="1:11" x14ac:dyDescent="0.25">
      <c r="A1189" s="66"/>
      <c r="B1189" s="66"/>
      <c r="C1189" s="66"/>
      <c r="D1189" s="66"/>
      <c r="E1189" s="66"/>
      <c r="F1189" s="66"/>
      <c r="G1189" s="66"/>
      <c r="H1189" s="66"/>
      <c r="I1189" s="66"/>
      <c r="J1189" s="66"/>
      <c r="K1189" s="66"/>
    </row>
    <row r="1190" spans="1:11" x14ac:dyDescent="0.25">
      <c r="A1190" s="66"/>
      <c r="B1190" s="66"/>
      <c r="C1190" s="66"/>
      <c r="D1190" s="66"/>
      <c r="E1190" s="66"/>
      <c r="F1190" s="66"/>
      <c r="G1190" s="66"/>
      <c r="H1190" s="66"/>
      <c r="I1190" s="66"/>
      <c r="J1190" s="66"/>
      <c r="K1190" s="66"/>
    </row>
    <row r="1191" spans="1:11" x14ac:dyDescent="0.25">
      <c r="A1191" s="66"/>
      <c r="B1191" s="66"/>
      <c r="C1191" s="66"/>
      <c r="D1191" s="66"/>
      <c r="E1191" s="66"/>
      <c r="F1191" s="66"/>
      <c r="G1191" s="66"/>
      <c r="H1191" s="66"/>
      <c r="I1191" s="66"/>
      <c r="J1191" s="66"/>
      <c r="K1191" s="66"/>
    </row>
    <row r="1192" spans="1:11" x14ac:dyDescent="0.25">
      <c r="A1192" s="66"/>
      <c r="B1192" s="66"/>
      <c r="C1192" s="66"/>
      <c r="D1192" s="66"/>
      <c r="E1192" s="66"/>
      <c r="F1192" s="66"/>
      <c r="G1192" s="66"/>
      <c r="H1192" s="66"/>
      <c r="I1192" s="66"/>
      <c r="J1192" s="66"/>
      <c r="K1192" s="66"/>
    </row>
    <row r="1193" spans="1:11" x14ac:dyDescent="0.25">
      <c r="A1193" s="66"/>
      <c r="B1193" s="66"/>
      <c r="C1193" s="66"/>
      <c r="D1193" s="66"/>
      <c r="E1193" s="66"/>
      <c r="F1193" s="66"/>
      <c r="G1193" s="66"/>
      <c r="H1193" s="66"/>
      <c r="I1193" s="66"/>
      <c r="J1193" s="66"/>
      <c r="K1193" s="66"/>
    </row>
    <row r="1194" spans="1:11" x14ac:dyDescent="0.25">
      <c r="A1194" s="66"/>
      <c r="B1194" s="66"/>
      <c r="C1194" s="66"/>
      <c r="D1194" s="66"/>
      <c r="E1194" s="66"/>
      <c r="F1194" s="66"/>
      <c r="G1194" s="66"/>
      <c r="H1194" s="66"/>
      <c r="I1194" s="66"/>
      <c r="J1194" s="66"/>
      <c r="K1194" s="66"/>
    </row>
    <row r="1195" spans="1:11" x14ac:dyDescent="0.25">
      <c r="A1195" s="66"/>
      <c r="B1195" s="66"/>
      <c r="C1195" s="66"/>
      <c r="D1195" s="66"/>
      <c r="E1195" s="66"/>
      <c r="F1195" s="66"/>
      <c r="G1195" s="66"/>
      <c r="H1195" s="66"/>
      <c r="I1195" s="66"/>
      <c r="J1195" s="66"/>
      <c r="K1195" s="66"/>
    </row>
    <row r="1196" spans="1:11" x14ac:dyDescent="0.25">
      <c r="A1196" s="66"/>
      <c r="B1196" s="66"/>
      <c r="C1196" s="66"/>
      <c r="D1196" s="66"/>
      <c r="E1196" s="66"/>
      <c r="F1196" s="66"/>
      <c r="G1196" s="66"/>
      <c r="H1196" s="66"/>
      <c r="I1196" s="66"/>
      <c r="J1196" s="66"/>
      <c r="K1196" s="66"/>
    </row>
    <row r="1197" spans="1:11" x14ac:dyDescent="0.25">
      <c r="A1197" s="66"/>
      <c r="B1197" s="66"/>
      <c r="C1197" s="66"/>
      <c r="D1197" s="66"/>
      <c r="E1197" s="66"/>
      <c r="F1197" s="66"/>
      <c r="G1197" s="66"/>
      <c r="H1197" s="66"/>
      <c r="I1197" s="66"/>
      <c r="J1197" s="66"/>
      <c r="K1197" s="66"/>
    </row>
    <row r="1198" spans="1:11" x14ac:dyDescent="0.25">
      <c r="A1198" s="66"/>
      <c r="B1198" s="66"/>
      <c r="C1198" s="66"/>
      <c r="D1198" s="66"/>
      <c r="E1198" s="66"/>
      <c r="F1198" s="66"/>
      <c r="G1198" s="66"/>
      <c r="H1198" s="66"/>
      <c r="I1198" s="66"/>
      <c r="J1198" s="66"/>
      <c r="K1198" s="66"/>
    </row>
    <row r="1199" spans="1:11" x14ac:dyDescent="0.25">
      <c r="A1199" s="66"/>
      <c r="B1199" s="66"/>
      <c r="C1199" s="66"/>
      <c r="D1199" s="66"/>
      <c r="E1199" s="66"/>
      <c r="F1199" s="66"/>
      <c r="G1199" s="66"/>
      <c r="H1199" s="66"/>
      <c r="I1199" s="66"/>
      <c r="J1199" s="66"/>
      <c r="K1199" s="66"/>
    </row>
    <row r="1200" spans="1:11" x14ac:dyDescent="0.25">
      <c r="A1200" s="66"/>
      <c r="B1200" s="66"/>
      <c r="C1200" s="66"/>
      <c r="D1200" s="66"/>
      <c r="E1200" s="66"/>
      <c r="F1200" s="66"/>
      <c r="G1200" s="66"/>
      <c r="H1200" s="66"/>
      <c r="I1200" s="66"/>
      <c r="J1200" s="66"/>
      <c r="K1200" s="66"/>
    </row>
    <row r="1201" spans="1:11" x14ac:dyDescent="0.25">
      <c r="A1201" s="66"/>
      <c r="B1201" s="66"/>
      <c r="C1201" s="66"/>
      <c r="D1201" s="66"/>
      <c r="E1201" s="66"/>
      <c r="F1201" s="66"/>
      <c r="G1201" s="66"/>
      <c r="H1201" s="66"/>
      <c r="I1201" s="66"/>
      <c r="J1201" s="66"/>
      <c r="K1201" s="66"/>
    </row>
    <row r="1202" spans="1:11" x14ac:dyDescent="0.25">
      <c r="A1202" s="66"/>
      <c r="B1202" s="66"/>
      <c r="C1202" s="66"/>
      <c r="D1202" s="66"/>
      <c r="E1202" s="66"/>
      <c r="F1202" s="66"/>
      <c r="G1202" s="66"/>
      <c r="H1202" s="66"/>
      <c r="I1202" s="66"/>
      <c r="J1202" s="66"/>
      <c r="K1202" s="66"/>
    </row>
    <row r="1203" spans="1:11" x14ac:dyDescent="0.25">
      <c r="A1203" s="66"/>
      <c r="B1203" s="66"/>
      <c r="C1203" s="66"/>
      <c r="D1203" s="66"/>
      <c r="E1203" s="66"/>
      <c r="F1203" s="66"/>
      <c r="G1203" s="66"/>
      <c r="H1203" s="66"/>
      <c r="I1203" s="66"/>
      <c r="J1203" s="66"/>
      <c r="K1203" s="66"/>
    </row>
    <row r="1204" spans="1:11" x14ac:dyDescent="0.25">
      <c r="A1204" s="66"/>
      <c r="B1204" s="66"/>
      <c r="C1204" s="66"/>
      <c r="D1204" s="66"/>
      <c r="E1204" s="66"/>
      <c r="F1204" s="66"/>
      <c r="G1204" s="66"/>
      <c r="H1204" s="66"/>
      <c r="I1204" s="66"/>
      <c r="J1204" s="66"/>
      <c r="K1204" s="66"/>
    </row>
    <row r="1205" spans="1:11" x14ac:dyDescent="0.25">
      <c r="A1205" s="66"/>
      <c r="B1205" s="66"/>
      <c r="C1205" s="66"/>
      <c r="D1205" s="66"/>
      <c r="E1205" s="66"/>
      <c r="F1205" s="66"/>
      <c r="G1205" s="66"/>
      <c r="H1205" s="66"/>
      <c r="I1205" s="66"/>
      <c r="J1205" s="66"/>
      <c r="K1205" s="66"/>
    </row>
    <row r="1206" spans="1:11" x14ac:dyDescent="0.25">
      <c r="A1206" s="66"/>
      <c r="B1206" s="66"/>
      <c r="C1206" s="66"/>
      <c r="D1206" s="66"/>
      <c r="E1206" s="66"/>
      <c r="F1206" s="66"/>
      <c r="G1206" s="66"/>
      <c r="H1206" s="66"/>
      <c r="I1206" s="66"/>
      <c r="J1206" s="66"/>
      <c r="K1206" s="66"/>
    </row>
    <row r="1207" spans="1:11" x14ac:dyDescent="0.25">
      <c r="A1207" s="66"/>
      <c r="B1207" s="66"/>
      <c r="C1207" s="66"/>
      <c r="D1207" s="66"/>
      <c r="E1207" s="66"/>
      <c r="F1207" s="66"/>
      <c r="G1207" s="66"/>
      <c r="H1207" s="66"/>
      <c r="I1207" s="66"/>
      <c r="J1207" s="66"/>
      <c r="K1207" s="66"/>
    </row>
    <row r="1208" spans="1:11" x14ac:dyDescent="0.25">
      <c r="A1208" s="66"/>
      <c r="B1208" s="66"/>
      <c r="C1208" s="66"/>
      <c r="D1208" s="66"/>
      <c r="E1208" s="66"/>
      <c r="F1208" s="66"/>
      <c r="G1208" s="66"/>
      <c r="H1208" s="66"/>
      <c r="I1208" s="66"/>
      <c r="J1208" s="66"/>
      <c r="K1208" s="66"/>
    </row>
    <row r="1209" spans="1:11" x14ac:dyDescent="0.25">
      <c r="A1209" s="66"/>
      <c r="B1209" s="66"/>
      <c r="C1209" s="66"/>
      <c r="D1209" s="66"/>
      <c r="E1209" s="66"/>
      <c r="F1209" s="66"/>
      <c r="G1209" s="66"/>
      <c r="H1209" s="66"/>
      <c r="I1209" s="66"/>
      <c r="J1209" s="66"/>
      <c r="K1209" s="66"/>
    </row>
    <row r="1210" spans="1:11" x14ac:dyDescent="0.25">
      <c r="A1210" s="66"/>
      <c r="B1210" s="66"/>
      <c r="C1210" s="66"/>
      <c r="D1210" s="66"/>
      <c r="E1210" s="66"/>
      <c r="F1210" s="66"/>
      <c r="G1210" s="66"/>
      <c r="H1210" s="66"/>
      <c r="I1210" s="66"/>
      <c r="J1210" s="66"/>
      <c r="K1210" s="66"/>
    </row>
    <row r="1211" spans="1:11" x14ac:dyDescent="0.25">
      <c r="A1211" s="66"/>
      <c r="B1211" s="66"/>
      <c r="C1211" s="66"/>
      <c r="D1211" s="66"/>
      <c r="E1211" s="66"/>
      <c r="F1211" s="66"/>
      <c r="G1211" s="66"/>
      <c r="H1211" s="66"/>
      <c r="I1211" s="66"/>
      <c r="J1211" s="66"/>
      <c r="K1211" s="66"/>
    </row>
    <row r="1212" spans="1:11" x14ac:dyDescent="0.25">
      <c r="A1212" s="66"/>
      <c r="B1212" s="66"/>
      <c r="C1212" s="66"/>
      <c r="D1212" s="66"/>
      <c r="E1212" s="66"/>
      <c r="F1212" s="66"/>
      <c r="G1212" s="66"/>
      <c r="H1212" s="66"/>
      <c r="I1212" s="66"/>
      <c r="J1212" s="66"/>
      <c r="K1212" s="66"/>
    </row>
    <row r="1213" spans="1:11" x14ac:dyDescent="0.25">
      <c r="A1213" s="66"/>
      <c r="B1213" s="66"/>
      <c r="C1213" s="66"/>
      <c r="D1213" s="66"/>
      <c r="E1213" s="66"/>
      <c r="F1213" s="66"/>
      <c r="G1213" s="66"/>
      <c r="H1213" s="66"/>
      <c r="I1213" s="66"/>
      <c r="J1213" s="66"/>
      <c r="K1213" s="66"/>
    </row>
    <row r="1214" spans="1:11" x14ac:dyDescent="0.25">
      <c r="A1214" s="66"/>
      <c r="B1214" s="66"/>
      <c r="C1214" s="66"/>
      <c r="D1214" s="66"/>
      <c r="E1214" s="66"/>
      <c r="F1214" s="66"/>
      <c r="G1214" s="66"/>
      <c r="H1214" s="66"/>
      <c r="I1214" s="66"/>
      <c r="J1214" s="66"/>
      <c r="K1214" s="66"/>
    </row>
    <row r="1215" spans="1:11" x14ac:dyDescent="0.25">
      <c r="A1215" s="66"/>
      <c r="B1215" s="66"/>
      <c r="C1215" s="66"/>
      <c r="D1215" s="66"/>
      <c r="E1215" s="66"/>
      <c r="F1215" s="66"/>
      <c r="G1215" s="66"/>
      <c r="H1215" s="66"/>
      <c r="I1215" s="66"/>
      <c r="J1215" s="66"/>
      <c r="K1215" s="66"/>
    </row>
    <row r="1216" spans="1:11" x14ac:dyDescent="0.25">
      <c r="A1216" s="66"/>
      <c r="B1216" s="66"/>
      <c r="C1216" s="66"/>
      <c r="D1216" s="66"/>
      <c r="E1216" s="66"/>
      <c r="F1216" s="66"/>
      <c r="G1216" s="66"/>
      <c r="H1216" s="66"/>
      <c r="I1216" s="66"/>
      <c r="J1216" s="66"/>
      <c r="K1216" s="66"/>
    </row>
    <row r="1217" spans="1:11" x14ac:dyDescent="0.25">
      <c r="A1217" s="66"/>
      <c r="B1217" s="66"/>
      <c r="C1217" s="66"/>
      <c r="D1217" s="66"/>
      <c r="E1217" s="66"/>
      <c r="F1217" s="66"/>
      <c r="G1217" s="66"/>
      <c r="H1217" s="66"/>
      <c r="I1217" s="66"/>
      <c r="J1217" s="66"/>
      <c r="K1217" s="66"/>
    </row>
    <row r="1218" spans="1:11" x14ac:dyDescent="0.25">
      <c r="A1218" s="66"/>
      <c r="B1218" s="66"/>
      <c r="C1218" s="66"/>
      <c r="D1218" s="66"/>
      <c r="E1218" s="66"/>
      <c r="F1218" s="66"/>
      <c r="G1218" s="66"/>
      <c r="H1218" s="66"/>
      <c r="I1218" s="66"/>
      <c r="J1218" s="66"/>
      <c r="K1218" s="66"/>
    </row>
    <row r="1219" spans="1:11" x14ac:dyDescent="0.25">
      <c r="A1219" s="66"/>
      <c r="B1219" s="66"/>
      <c r="C1219" s="66"/>
      <c r="D1219" s="66"/>
      <c r="E1219" s="66"/>
      <c r="F1219" s="66"/>
      <c r="G1219" s="66"/>
      <c r="H1219" s="66"/>
      <c r="I1219" s="66"/>
      <c r="J1219" s="66"/>
      <c r="K1219" s="66"/>
    </row>
    <row r="1220" spans="1:11" x14ac:dyDescent="0.25">
      <c r="A1220" s="66"/>
      <c r="B1220" s="66"/>
      <c r="C1220" s="66"/>
      <c r="D1220" s="66"/>
      <c r="E1220" s="66"/>
      <c r="F1220" s="66"/>
      <c r="G1220" s="66"/>
      <c r="H1220" s="66"/>
      <c r="I1220" s="66"/>
      <c r="J1220" s="66"/>
      <c r="K1220" s="66"/>
    </row>
    <row r="1221" spans="1:11" x14ac:dyDescent="0.25">
      <c r="A1221" s="66"/>
      <c r="B1221" s="66"/>
      <c r="C1221" s="66"/>
      <c r="D1221" s="66"/>
      <c r="E1221" s="66"/>
      <c r="F1221" s="66"/>
      <c r="G1221" s="66"/>
      <c r="H1221" s="66"/>
      <c r="I1221" s="66"/>
      <c r="J1221" s="66"/>
      <c r="K1221" s="66"/>
    </row>
    <row r="1222" spans="1:11" x14ac:dyDescent="0.25">
      <c r="A1222" s="66"/>
      <c r="B1222" s="66"/>
      <c r="C1222" s="66"/>
      <c r="D1222" s="66"/>
      <c r="E1222" s="66"/>
      <c r="F1222" s="66"/>
      <c r="G1222" s="66"/>
      <c r="H1222" s="66"/>
      <c r="I1222" s="66"/>
      <c r="J1222" s="66"/>
      <c r="K1222" s="66"/>
    </row>
    <row r="1223" spans="1:11" x14ac:dyDescent="0.25">
      <c r="A1223" s="66"/>
      <c r="B1223" s="66"/>
      <c r="C1223" s="66"/>
      <c r="D1223" s="66"/>
      <c r="E1223" s="66"/>
      <c r="F1223" s="66"/>
      <c r="G1223" s="66"/>
      <c r="H1223" s="66"/>
      <c r="I1223" s="66"/>
      <c r="J1223" s="66"/>
      <c r="K1223" s="66"/>
    </row>
    <row r="1224" spans="1:11" x14ac:dyDescent="0.25">
      <c r="A1224" s="66"/>
      <c r="B1224" s="66"/>
      <c r="C1224" s="66"/>
      <c r="D1224" s="66"/>
      <c r="E1224" s="66"/>
      <c r="F1224" s="66"/>
      <c r="G1224" s="66"/>
      <c r="H1224" s="66"/>
      <c r="I1224" s="66"/>
      <c r="J1224" s="66"/>
      <c r="K1224" s="66"/>
    </row>
    <row r="1225" spans="1:11" x14ac:dyDescent="0.25">
      <c r="A1225" s="66"/>
      <c r="B1225" s="66"/>
      <c r="C1225" s="66"/>
      <c r="D1225" s="66"/>
      <c r="E1225" s="66"/>
      <c r="F1225" s="66"/>
      <c r="G1225" s="66"/>
      <c r="H1225" s="66"/>
      <c r="I1225" s="66"/>
      <c r="J1225" s="66"/>
      <c r="K1225" s="66"/>
    </row>
    <row r="1226" spans="1:11" x14ac:dyDescent="0.25">
      <c r="A1226" s="66"/>
      <c r="B1226" s="66"/>
      <c r="C1226" s="66"/>
      <c r="D1226" s="66"/>
      <c r="E1226" s="66"/>
      <c r="F1226" s="66"/>
      <c r="G1226" s="66"/>
      <c r="H1226" s="66"/>
      <c r="I1226" s="66"/>
      <c r="J1226" s="66"/>
      <c r="K1226" s="66"/>
    </row>
    <row r="1227" spans="1:11" x14ac:dyDescent="0.25">
      <c r="A1227" s="66"/>
      <c r="B1227" s="66"/>
      <c r="C1227" s="66"/>
      <c r="D1227" s="66"/>
      <c r="E1227" s="66"/>
      <c r="F1227" s="66"/>
      <c r="G1227" s="66"/>
      <c r="H1227" s="66"/>
      <c r="I1227" s="66"/>
      <c r="J1227" s="66"/>
      <c r="K1227" s="66"/>
    </row>
    <row r="1228" spans="1:11" x14ac:dyDescent="0.25">
      <c r="A1228" s="66"/>
      <c r="B1228" s="66"/>
      <c r="C1228" s="66"/>
      <c r="D1228" s="66"/>
      <c r="E1228" s="66"/>
      <c r="F1228" s="66"/>
      <c r="G1228" s="66"/>
      <c r="H1228" s="66"/>
      <c r="I1228" s="66"/>
      <c r="J1228" s="66"/>
      <c r="K1228" s="66"/>
    </row>
    <row r="1229" spans="1:11" x14ac:dyDescent="0.25">
      <c r="A1229" s="66"/>
      <c r="B1229" s="66"/>
      <c r="C1229" s="66"/>
      <c r="D1229" s="66"/>
      <c r="E1229" s="66"/>
      <c r="F1229" s="66"/>
      <c r="G1229" s="66"/>
      <c r="H1229" s="66"/>
      <c r="I1229" s="66"/>
      <c r="J1229" s="66"/>
      <c r="K1229" s="66"/>
    </row>
    <row r="1230" spans="1:11" x14ac:dyDescent="0.25">
      <c r="A1230" s="66"/>
      <c r="B1230" s="66"/>
      <c r="C1230" s="66"/>
      <c r="D1230" s="66"/>
      <c r="E1230" s="66"/>
      <c r="F1230" s="66"/>
      <c r="G1230" s="66"/>
      <c r="H1230" s="66"/>
      <c r="I1230" s="66"/>
      <c r="J1230" s="66"/>
      <c r="K1230" s="66"/>
    </row>
    <row r="1231" spans="1:11" x14ac:dyDescent="0.25">
      <c r="A1231" s="66"/>
      <c r="B1231" s="66"/>
      <c r="C1231" s="66"/>
      <c r="D1231" s="66"/>
      <c r="E1231" s="66"/>
      <c r="F1231" s="66"/>
      <c r="G1231" s="66"/>
      <c r="H1231" s="66"/>
      <c r="I1231" s="66"/>
      <c r="J1231" s="66"/>
      <c r="K1231" s="66"/>
    </row>
    <row r="1232" spans="1:11" x14ac:dyDescent="0.25">
      <c r="A1232" s="66"/>
      <c r="B1232" s="66"/>
      <c r="C1232" s="66"/>
      <c r="D1232" s="66"/>
      <c r="E1232" s="66"/>
      <c r="F1232" s="66"/>
      <c r="G1232" s="66"/>
      <c r="H1232" s="66"/>
      <c r="I1232" s="66"/>
      <c r="J1232" s="66"/>
      <c r="K1232" s="66"/>
    </row>
    <row r="1233" spans="1:11" x14ac:dyDescent="0.25">
      <c r="A1233" s="66"/>
      <c r="B1233" s="66"/>
      <c r="C1233" s="66"/>
      <c r="D1233" s="66"/>
      <c r="E1233" s="66"/>
      <c r="F1233" s="66"/>
      <c r="G1233" s="66"/>
      <c r="H1233" s="66"/>
      <c r="I1233" s="66"/>
      <c r="J1233" s="66"/>
      <c r="K1233" s="66"/>
    </row>
    <row r="1234" spans="1:11" x14ac:dyDescent="0.25">
      <c r="A1234" s="66"/>
      <c r="B1234" s="66"/>
      <c r="C1234" s="66"/>
      <c r="D1234" s="66"/>
      <c r="E1234" s="66"/>
      <c r="F1234" s="66"/>
      <c r="G1234" s="66"/>
      <c r="H1234" s="66"/>
      <c r="I1234" s="66"/>
      <c r="J1234" s="66"/>
      <c r="K1234" s="66"/>
    </row>
    <row r="1235" spans="1:11" x14ac:dyDescent="0.25">
      <c r="A1235" s="66"/>
      <c r="B1235" s="66"/>
      <c r="C1235" s="66"/>
      <c r="D1235" s="66"/>
      <c r="E1235" s="66"/>
      <c r="F1235" s="66"/>
      <c r="G1235" s="66"/>
      <c r="H1235" s="66"/>
      <c r="I1235" s="66"/>
      <c r="J1235" s="66"/>
      <c r="K1235" s="66"/>
    </row>
    <row r="1236" spans="1:11" x14ac:dyDescent="0.25">
      <c r="A1236" s="66"/>
      <c r="B1236" s="66"/>
      <c r="C1236" s="66"/>
      <c r="D1236" s="66"/>
      <c r="E1236" s="66"/>
      <c r="F1236" s="66"/>
      <c r="G1236" s="66"/>
      <c r="H1236" s="66"/>
      <c r="I1236" s="66"/>
      <c r="J1236" s="66"/>
      <c r="K1236" s="66"/>
    </row>
    <row r="1237" spans="1:11" x14ac:dyDescent="0.25">
      <c r="A1237" s="66"/>
      <c r="B1237" s="66"/>
      <c r="C1237" s="66"/>
      <c r="D1237" s="66"/>
      <c r="E1237" s="66"/>
      <c r="F1237" s="66"/>
      <c r="G1237" s="66"/>
      <c r="H1237" s="66"/>
      <c r="I1237" s="66"/>
      <c r="J1237" s="66"/>
      <c r="K1237" s="66"/>
    </row>
    <row r="1238" spans="1:11" x14ac:dyDescent="0.25">
      <c r="A1238" s="66"/>
      <c r="B1238" s="66"/>
      <c r="C1238" s="66"/>
      <c r="D1238" s="66"/>
      <c r="E1238" s="66"/>
      <c r="F1238" s="66"/>
      <c r="G1238" s="66"/>
      <c r="H1238" s="66"/>
      <c r="I1238" s="66"/>
      <c r="J1238" s="66"/>
      <c r="K1238" s="66"/>
    </row>
    <row r="1239" spans="1:11" x14ac:dyDescent="0.25">
      <c r="A1239" s="66"/>
      <c r="B1239" s="66"/>
      <c r="C1239" s="66"/>
      <c r="D1239" s="66"/>
      <c r="E1239" s="66"/>
      <c r="F1239" s="66"/>
      <c r="G1239" s="66"/>
      <c r="H1239" s="66"/>
      <c r="I1239" s="66"/>
      <c r="J1239" s="66"/>
      <c r="K1239" s="66"/>
    </row>
    <row r="1240" spans="1:11" x14ac:dyDescent="0.25">
      <c r="A1240" s="66"/>
      <c r="B1240" s="66"/>
      <c r="C1240" s="66"/>
      <c r="D1240" s="66"/>
      <c r="E1240" s="66"/>
      <c r="F1240" s="66"/>
      <c r="G1240" s="66"/>
      <c r="H1240" s="66"/>
      <c r="I1240" s="66"/>
      <c r="J1240" s="66"/>
      <c r="K1240" s="66"/>
    </row>
    <row r="1241" spans="1:11" x14ac:dyDescent="0.25">
      <c r="A1241" s="66"/>
      <c r="B1241" s="66"/>
      <c r="C1241" s="66"/>
      <c r="D1241" s="66"/>
      <c r="E1241" s="66"/>
      <c r="F1241" s="66"/>
      <c r="G1241" s="66"/>
      <c r="H1241" s="66"/>
      <c r="I1241" s="66"/>
      <c r="J1241" s="66"/>
      <c r="K1241" s="66"/>
    </row>
    <row r="1242" spans="1:11" x14ac:dyDescent="0.25">
      <c r="A1242" s="66"/>
      <c r="B1242" s="66"/>
      <c r="C1242" s="66"/>
      <c r="D1242" s="66"/>
      <c r="E1242" s="66"/>
      <c r="F1242" s="66"/>
      <c r="G1242" s="66"/>
      <c r="H1242" s="66"/>
      <c r="I1242" s="66"/>
      <c r="J1242" s="66"/>
      <c r="K1242" s="66"/>
    </row>
    <row r="1243" spans="1:11" x14ac:dyDescent="0.25">
      <c r="A1243" s="66"/>
      <c r="B1243" s="66"/>
      <c r="C1243" s="66"/>
      <c r="D1243" s="66"/>
      <c r="E1243" s="66"/>
      <c r="F1243" s="66"/>
      <c r="G1243" s="66"/>
      <c r="H1243" s="66"/>
      <c r="I1243" s="66"/>
      <c r="J1243" s="66"/>
      <c r="K1243" s="66"/>
    </row>
    <row r="1244" spans="1:11" x14ac:dyDescent="0.25">
      <c r="A1244" s="66"/>
      <c r="B1244" s="66"/>
      <c r="C1244" s="66"/>
      <c r="D1244" s="66"/>
      <c r="E1244" s="66"/>
      <c r="F1244" s="66"/>
      <c r="G1244" s="66"/>
      <c r="H1244" s="66"/>
      <c r="I1244" s="66"/>
      <c r="J1244" s="66"/>
      <c r="K1244" s="66"/>
    </row>
    <row r="1245" spans="1:11" x14ac:dyDescent="0.25">
      <c r="A1245" s="66"/>
      <c r="B1245" s="66"/>
      <c r="C1245" s="66"/>
      <c r="D1245" s="66"/>
      <c r="E1245" s="66"/>
      <c r="F1245" s="66"/>
      <c r="G1245" s="66"/>
      <c r="H1245" s="66"/>
      <c r="I1245" s="66"/>
      <c r="J1245" s="66"/>
      <c r="K1245" s="66"/>
    </row>
    <row r="1246" spans="1:11" x14ac:dyDescent="0.25">
      <c r="A1246" s="66"/>
      <c r="B1246" s="66"/>
      <c r="C1246" s="66"/>
      <c r="D1246" s="66"/>
      <c r="E1246" s="66"/>
      <c r="F1246" s="66"/>
      <c r="G1246" s="66"/>
      <c r="H1246" s="66"/>
      <c r="I1246" s="66"/>
      <c r="J1246" s="66"/>
      <c r="K1246" s="66"/>
    </row>
    <row r="1247" spans="1:11" x14ac:dyDescent="0.25">
      <c r="A1247" s="66"/>
      <c r="B1247" s="66"/>
      <c r="C1247" s="66"/>
      <c r="D1247" s="66"/>
      <c r="E1247" s="66"/>
      <c r="F1247" s="66"/>
      <c r="G1247" s="66"/>
      <c r="H1247" s="66"/>
      <c r="I1247" s="66"/>
      <c r="J1247" s="66"/>
      <c r="K1247" s="66"/>
    </row>
    <row r="1248" spans="1:11" x14ac:dyDescent="0.25">
      <c r="A1248" s="66"/>
      <c r="B1248" s="66"/>
      <c r="C1248" s="66"/>
      <c r="D1248" s="66"/>
      <c r="E1248" s="66"/>
      <c r="F1248" s="66"/>
      <c r="G1248" s="66"/>
      <c r="H1248" s="66"/>
      <c r="I1248" s="66"/>
      <c r="J1248" s="66"/>
      <c r="K1248" s="66"/>
    </row>
    <row r="1249" spans="1:11" x14ac:dyDescent="0.25">
      <c r="A1249" s="66"/>
      <c r="B1249" s="66"/>
      <c r="C1249" s="66"/>
      <c r="D1249" s="66"/>
      <c r="E1249" s="66"/>
      <c r="F1249" s="66"/>
      <c r="G1249" s="66"/>
      <c r="H1249" s="66"/>
      <c r="I1249" s="66"/>
      <c r="J1249" s="66"/>
      <c r="K1249" s="66"/>
    </row>
    <row r="1250" spans="1:11" x14ac:dyDescent="0.25">
      <c r="A1250" s="66"/>
      <c r="B1250" s="66"/>
      <c r="C1250" s="66"/>
      <c r="D1250" s="66"/>
      <c r="E1250" s="66"/>
      <c r="F1250" s="66"/>
      <c r="G1250" s="66"/>
      <c r="H1250" s="66"/>
      <c r="I1250" s="66"/>
      <c r="J1250" s="66"/>
      <c r="K1250" s="66"/>
    </row>
    <row r="1251" spans="1:11" x14ac:dyDescent="0.25">
      <c r="A1251" s="66"/>
      <c r="B1251" s="66"/>
      <c r="C1251" s="66"/>
      <c r="D1251" s="66"/>
      <c r="E1251" s="66"/>
      <c r="F1251" s="66"/>
      <c r="G1251" s="66"/>
      <c r="H1251" s="66"/>
      <c r="I1251" s="66"/>
      <c r="J1251" s="66"/>
      <c r="K1251" s="66"/>
    </row>
    <row r="1252" spans="1:11" x14ac:dyDescent="0.25">
      <c r="A1252" s="66"/>
      <c r="B1252" s="66"/>
      <c r="C1252" s="66"/>
      <c r="D1252" s="66"/>
      <c r="E1252" s="66"/>
      <c r="F1252" s="66"/>
      <c r="G1252" s="66"/>
      <c r="H1252" s="66"/>
      <c r="I1252" s="66"/>
      <c r="J1252" s="66"/>
      <c r="K1252" s="66"/>
    </row>
    <row r="1253" spans="1:11" x14ac:dyDescent="0.25">
      <c r="A1253" s="66"/>
      <c r="B1253" s="66"/>
      <c r="C1253" s="66"/>
      <c r="D1253" s="66"/>
      <c r="E1253" s="66"/>
      <c r="F1253" s="66"/>
      <c r="G1253" s="66"/>
      <c r="H1253" s="66"/>
      <c r="I1253" s="66"/>
      <c r="J1253" s="66"/>
      <c r="K1253" s="66"/>
    </row>
    <row r="1254" spans="1:11" x14ac:dyDescent="0.25">
      <c r="A1254" s="66"/>
      <c r="B1254" s="66"/>
      <c r="C1254" s="66"/>
      <c r="D1254" s="66"/>
      <c r="E1254" s="66"/>
      <c r="F1254" s="66"/>
      <c r="G1254" s="66"/>
      <c r="H1254" s="66"/>
      <c r="I1254" s="66"/>
      <c r="J1254" s="66"/>
      <c r="K1254" s="66"/>
    </row>
    <row r="1255" spans="1:11" x14ac:dyDescent="0.25">
      <c r="A1255" s="66"/>
      <c r="B1255" s="66"/>
      <c r="C1255" s="66"/>
      <c r="D1255" s="66"/>
      <c r="E1255" s="66"/>
      <c r="F1255" s="66"/>
      <c r="G1255" s="66"/>
      <c r="H1255" s="66"/>
      <c r="I1255" s="66"/>
      <c r="J1255" s="66"/>
      <c r="K1255" s="66"/>
    </row>
    <row r="1256" spans="1:11" x14ac:dyDescent="0.25">
      <c r="A1256" s="66"/>
      <c r="B1256" s="66"/>
      <c r="C1256" s="66"/>
      <c r="D1256" s="66"/>
      <c r="E1256" s="66"/>
      <c r="F1256" s="66"/>
      <c r="G1256" s="66"/>
      <c r="H1256" s="66"/>
      <c r="I1256" s="66"/>
      <c r="J1256" s="66"/>
      <c r="K1256" s="66"/>
    </row>
    <row r="1257" spans="1:11" x14ac:dyDescent="0.25">
      <c r="A1257" s="66"/>
      <c r="B1257" s="66"/>
      <c r="C1257" s="66"/>
      <c r="D1257" s="66"/>
      <c r="E1257" s="66"/>
      <c r="F1257" s="66"/>
      <c r="G1257" s="66"/>
      <c r="H1257" s="66"/>
      <c r="I1257" s="66"/>
      <c r="J1257" s="66"/>
      <c r="K1257" s="66"/>
    </row>
    <row r="1258" spans="1:11" x14ac:dyDescent="0.25">
      <c r="A1258" s="66"/>
      <c r="B1258" s="66"/>
      <c r="C1258" s="66"/>
      <c r="D1258" s="66"/>
      <c r="E1258" s="66"/>
      <c r="F1258" s="66"/>
      <c r="G1258" s="66"/>
      <c r="H1258" s="66"/>
      <c r="I1258" s="66"/>
      <c r="J1258" s="66"/>
      <c r="K1258" s="66"/>
    </row>
    <row r="1259" spans="1:11" x14ac:dyDescent="0.25">
      <c r="A1259" s="66"/>
      <c r="B1259" s="66"/>
      <c r="C1259" s="66"/>
      <c r="D1259" s="66"/>
      <c r="E1259" s="66"/>
      <c r="F1259" s="66"/>
      <c r="G1259" s="66"/>
      <c r="H1259" s="66"/>
      <c r="I1259" s="66"/>
      <c r="J1259" s="66"/>
      <c r="K1259" s="66"/>
    </row>
    <row r="1260" spans="1:11" x14ac:dyDescent="0.25">
      <c r="A1260" s="66"/>
      <c r="B1260" s="66"/>
      <c r="C1260" s="66"/>
      <c r="D1260" s="66"/>
      <c r="E1260" s="66"/>
      <c r="F1260" s="66"/>
      <c r="G1260" s="66"/>
      <c r="H1260" s="66"/>
      <c r="I1260" s="66"/>
      <c r="J1260" s="66"/>
      <c r="K1260" s="66"/>
    </row>
    <row r="1261" spans="1:11" x14ac:dyDescent="0.25">
      <c r="A1261" s="66"/>
      <c r="B1261" s="66"/>
      <c r="C1261" s="66"/>
      <c r="D1261" s="66"/>
      <c r="E1261" s="66"/>
      <c r="F1261" s="66"/>
      <c r="G1261" s="66"/>
      <c r="H1261" s="66"/>
      <c r="I1261" s="66"/>
      <c r="J1261" s="66"/>
      <c r="K1261" s="66"/>
    </row>
    <row r="1262" spans="1:11" x14ac:dyDescent="0.25">
      <c r="A1262" s="66"/>
      <c r="B1262" s="66"/>
      <c r="C1262" s="66"/>
      <c r="D1262" s="66"/>
      <c r="E1262" s="66"/>
      <c r="F1262" s="66"/>
      <c r="G1262" s="66"/>
      <c r="H1262" s="66"/>
      <c r="I1262" s="66"/>
      <c r="J1262" s="66"/>
      <c r="K1262" s="66"/>
    </row>
    <row r="1263" spans="1:11" x14ac:dyDescent="0.25">
      <c r="A1263" s="66"/>
      <c r="B1263" s="66"/>
      <c r="C1263" s="66"/>
      <c r="D1263" s="66"/>
      <c r="E1263" s="66"/>
      <c r="F1263" s="66"/>
      <c r="G1263" s="66"/>
      <c r="H1263" s="66"/>
      <c r="I1263" s="66"/>
      <c r="J1263" s="66"/>
      <c r="K1263" s="66"/>
    </row>
    <row r="1264" spans="1:11" x14ac:dyDescent="0.25">
      <c r="A1264" s="66"/>
      <c r="B1264" s="66"/>
      <c r="C1264" s="66"/>
      <c r="D1264" s="66"/>
      <c r="E1264" s="66"/>
      <c r="F1264" s="66"/>
      <c r="G1264" s="66"/>
      <c r="H1264" s="66"/>
      <c r="I1264" s="66"/>
      <c r="J1264" s="66"/>
      <c r="K1264" s="66"/>
    </row>
    <row r="1265" spans="1:11" x14ac:dyDescent="0.25">
      <c r="A1265" s="66"/>
      <c r="B1265" s="66"/>
      <c r="C1265" s="66"/>
      <c r="D1265" s="66"/>
      <c r="E1265" s="66"/>
      <c r="F1265" s="66"/>
      <c r="G1265" s="66"/>
      <c r="H1265" s="66"/>
      <c r="I1265" s="66"/>
      <c r="J1265" s="66"/>
      <c r="K1265" s="66"/>
    </row>
    <row r="1266" spans="1:11" x14ac:dyDescent="0.25">
      <c r="A1266" s="66"/>
      <c r="B1266" s="66"/>
      <c r="C1266" s="66"/>
      <c r="D1266" s="66"/>
      <c r="E1266" s="66"/>
      <c r="F1266" s="66"/>
      <c r="G1266" s="66"/>
      <c r="H1266" s="66"/>
      <c r="I1266" s="66"/>
      <c r="J1266" s="66"/>
      <c r="K1266" s="66"/>
    </row>
    <row r="1267" spans="1:11" x14ac:dyDescent="0.25">
      <c r="A1267" s="66"/>
      <c r="B1267" s="66"/>
      <c r="C1267" s="66"/>
      <c r="D1267" s="66"/>
      <c r="E1267" s="66"/>
      <c r="F1267" s="66"/>
      <c r="G1267" s="66"/>
      <c r="H1267" s="66"/>
      <c r="I1267" s="66"/>
      <c r="J1267" s="66"/>
      <c r="K1267" s="66"/>
    </row>
    <row r="1268" spans="1:11" x14ac:dyDescent="0.25">
      <c r="A1268" s="66"/>
      <c r="B1268" s="66"/>
      <c r="C1268" s="66"/>
      <c r="D1268" s="66"/>
      <c r="E1268" s="66"/>
      <c r="F1268" s="66"/>
      <c r="G1268" s="66"/>
      <c r="H1268" s="66"/>
      <c r="I1268" s="66"/>
      <c r="J1268" s="66"/>
      <c r="K1268" s="66"/>
    </row>
    <row r="1269" spans="1:11" x14ac:dyDescent="0.25">
      <c r="A1269" s="66"/>
      <c r="B1269" s="66"/>
      <c r="C1269" s="66"/>
      <c r="D1269" s="66"/>
      <c r="E1269" s="66"/>
      <c r="F1269" s="66"/>
      <c r="G1269" s="66"/>
      <c r="H1269" s="66"/>
      <c r="I1269" s="66"/>
      <c r="J1269" s="66"/>
      <c r="K1269" s="66"/>
    </row>
    <row r="1270" spans="1:11" x14ac:dyDescent="0.25">
      <c r="A1270" s="66"/>
      <c r="B1270" s="66"/>
      <c r="C1270" s="66"/>
      <c r="D1270" s="66"/>
      <c r="E1270" s="66"/>
      <c r="F1270" s="66"/>
      <c r="G1270" s="66"/>
      <c r="H1270" s="66"/>
      <c r="I1270" s="66"/>
      <c r="J1270" s="66"/>
      <c r="K1270" s="66"/>
    </row>
    <row r="1271" spans="1:11" x14ac:dyDescent="0.25">
      <c r="A1271" s="66"/>
      <c r="B1271" s="66"/>
      <c r="C1271" s="66"/>
      <c r="D1271" s="66"/>
      <c r="E1271" s="66"/>
      <c r="F1271" s="66"/>
      <c r="G1271" s="66"/>
      <c r="H1271" s="66"/>
      <c r="I1271" s="66"/>
      <c r="J1271" s="66"/>
      <c r="K1271" s="66"/>
    </row>
    <row r="1272" spans="1:11" x14ac:dyDescent="0.25">
      <c r="A1272" s="66"/>
      <c r="B1272" s="66"/>
      <c r="C1272" s="66"/>
      <c r="D1272" s="66"/>
      <c r="E1272" s="66"/>
      <c r="F1272" s="66"/>
      <c r="G1272" s="66"/>
      <c r="H1272" s="66"/>
      <c r="I1272" s="66"/>
      <c r="J1272" s="66"/>
      <c r="K1272" s="66"/>
    </row>
    <row r="1273" spans="1:11" x14ac:dyDescent="0.25">
      <c r="A1273" s="66"/>
      <c r="B1273" s="66"/>
      <c r="C1273" s="66"/>
      <c r="D1273" s="66"/>
      <c r="E1273" s="66"/>
      <c r="F1273" s="66"/>
      <c r="G1273" s="66"/>
      <c r="H1273" s="66"/>
      <c r="I1273" s="66"/>
      <c r="J1273" s="66"/>
      <c r="K1273" s="66"/>
    </row>
    <row r="1274" spans="1:11" x14ac:dyDescent="0.25">
      <c r="A1274" s="66"/>
      <c r="B1274" s="66"/>
      <c r="C1274" s="66"/>
      <c r="D1274" s="66"/>
      <c r="E1274" s="66"/>
      <c r="F1274" s="66"/>
      <c r="G1274" s="66"/>
      <c r="H1274" s="66"/>
      <c r="I1274" s="66"/>
      <c r="J1274" s="66"/>
      <c r="K1274" s="66"/>
    </row>
    <row r="1275" spans="1:11" x14ac:dyDescent="0.25">
      <c r="A1275" s="66"/>
      <c r="B1275" s="66"/>
      <c r="C1275" s="66"/>
      <c r="D1275" s="66"/>
      <c r="E1275" s="66"/>
      <c r="F1275" s="66"/>
      <c r="G1275" s="66"/>
      <c r="H1275" s="66"/>
      <c r="I1275" s="66"/>
      <c r="J1275" s="66"/>
      <c r="K1275" s="66"/>
    </row>
    <row r="1276" spans="1:11" x14ac:dyDescent="0.25">
      <c r="A1276" s="66"/>
      <c r="B1276" s="66"/>
      <c r="C1276" s="66"/>
      <c r="D1276" s="66"/>
      <c r="E1276" s="66"/>
      <c r="F1276" s="66"/>
      <c r="G1276" s="66"/>
      <c r="H1276" s="66"/>
      <c r="I1276" s="66"/>
      <c r="J1276" s="66"/>
      <c r="K1276" s="66"/>
    </row>
    <row r="1277" spans="1:11" x14ac:dyDescent="0.25">
      <c r="A1277" s="66"/>
      <c r="B1277" s="66"/>
      <c r="C1277" s="66"/>
      <c r="D1277" s="66"/>
      <c r="E1277" s="66"/>
      <c r="F1277" s="66"/>
      <c r="G1277" s="66"/>
      <c r="H1277" s="66"/>
      <c r="I1277" s="66"/>
      <c r="J1277" s="66"/>
      <c r="K1277" s="66"/>
    </row>
    <row r="1278" spans="1:11" x14ac:dyDescent="0.25">
      <c r="A1278" s="66"/>
      <c r="B1278" s="66"/>
      <c r="C1278" s="66"/>
      <c r="D1278" s="66"/>
      <c r="E1278" s="66"/>
      <c r="F1278" s="66"/>
      <c r="G1278" s="66"/>
      <c r="H1278" s="66"/>
      <c r="I1278" s="66"/>
      <c r="J1278" s="66"/>
      <c r="K1278" s="66"/>
    </row>
    <row r="1279" spans="1:11" x14ac:dyDescent="0.25">
      <c r="A1279" s="66"/>
      <c r="B1279" s="66"/>
      <c r="C1279" s="66"/>
      <c r="D1279" s="66"/>
      <c r="E1279" s="66"/>
      <c r="F1279" s="66"/>
      <c r="G1279" s="66"/>
      <c r="H1279" s="66"/>
      <c r="I1279" s="66"/>
      <c r="J1279" s="66"/>
      <c r="K1279" s="66"/>
    </row>
    <row r="1280" spans="1:11" x14ac:dyDescent="0.25">
      <c r="A1280" s="66"/>
      <c r="B1280" s="66"/>
      <c r="C1280" s="66"/>
      <c r="D1280" s="66"/>
      <c r="E1280" s="66"/>
      <c r="F1280" s="66"/>
      <c r="G1280" s="66"/>
      <c r="H1280" s="66"/>
      <c r="I1280" s="66"/>
      <c r="J1280" s="66"/>
      <c r="K1280" s="66"/>
    </row>
    <row r="1281" spans="1:11" x14ac:dyDescent="0.25">
      <c r="A1281" s="66"/>
      <c r="B1281" s="66"/>
      <c r="C1281" s="66"/>
      <c r="D1281" s="66"/>
      <c r="E1281" s="66"/>
      <c r="F1281" s="66"/>
      <c r="G1281" s="66"/>
      <c r="H1281" s="66"/>
      <c r="I1281" s="66"/>
      <c r="J1281" s="66"/>
      <c r="K1281" s="66"/>
    </row>
    <row r="1282" spans="1:11" x14ac:dyDescent="0.25">
      <c r="A1282" s="66"/>
      <c r="B1282" s="66"/>
      <c r="C1282" s="66"/>
      <c r="D1282" s="66"/>
      <c r="E1282" s="66"/>
      <c r="F1282" s="66"/>
      <c r="G1282" s="66"/>
      <c r="H1282" s="66"/>
      <c r="I1282" s="66"/>
      <c r="J1282" s="66"/>
      <c r="K1282" s="66"/>
    </row>
    <row r="1283" spans="1:11" x14ac:dyDescent="0.25">
      <c r="A1283" s="66"/>
      <c r="B1283" s="66"/>
      <c r="C1283" s="66"/>
      <c r="D1283" s="66"/>
      <c r="E1283" s="66"/>
      <c r="F1283" s="66"/>
      <c r="G1283" s="66"/>
      <c r="H1283" s="66"/>
      <c r="I1283" s="66"/>
      <c r="J1283" s="66"/>
      <c r="K1283" s="66"/>
    </row>
    <row r="1284" spans="1:11" x14ac:dyDescent="0.25">
      <c r="A1284" s="66"/>
      <c r="B1284" s="66"/>
      <c r="C1284" s="66"/>
      <c r="D1284" s="66"/>
      <c r="E1284" s="66"/>
      <c r="F1284" s="66"/>
      <c r="G1284" s="66"/>
      <c r="H1284" s="66"/>
      <c r="I1284" s="66"/>
      <c r="J1284" s="66"/>
      <c r="K1284" s="66"/>
    </row>
    <row r="1285" spans="1:11" x14ac:dyDescent="0.25">
      <c r="A1285" s="66"/>
      <c r="B1285" s="66"/>
      <c r="C1285" s="66"/>
      <c r="D1285" s="66"/>
      <c r="E1285" s="66"/>
      <c r="F1285" s="66"/>
      <c r="G1285" s="66"/>
      <c r="H1285" s="66"/>
      <c r="I1285" s="66"/>
      <c r="J1285" s="66"/>
      <c r="K1285" s="66"/>
    </row>
    <row r="1286" spans="1:11" x14ac:dyDescent="0.25">
      <c r="A1286" s="66"/>
      <c r="B1286" s="66"/>
      <c r="C1286" s="66"/>
      <c r="D1286" s="66"/>
      <c r="E1286" s="66"/>
      <c r="F1286" s="66"/>
      <c r="G1286" s="66"/>
      <c r="H1286" s="66"/>
      <c r="I1286" s="66"/>
      <c r="J1286" s="66"/>
      <c r="K1286" s="66"/>
    </row>
    <row r="1287" spans="1:11" x14ac:dyDescent="0.25">
      <c r="A1287" s="66"/>
      <c r="B1287" s="66"/>
      <c r="C1287" s="66"/>
      <c r="D1287" s="66"/>
      <c r="E1287" s="66"/>
      <c r="F1287" s="66"/>
      <c r="G1287" s="66"/>
      <c r="H1287" s="66"/>
      <c r="I1287" s="66"/>
      <c r="J1287" s="66"/>
      <c r="K1287" s="66"/>
    </row>
    <row r="1288" spans="1:11" x14ac:dyDescent="0.25">
      <c r="A1288" s="66"/>
      <c r="B1288" s="66"/>
      <c r="C1288" s="66"/>
      <c r="D1288" s="66"/>
      <c r="E1288" s="66"/>
      <c r="F1288" s="66"/>
      <c r="G1288" s="66"/>
      <c r="H1288" s="66"/>
      <c r="I1288" s="66"/>
      <c r="J1288" s="66"/>
      <c r="K1288" s="66"/>
    </row>
    <row r="1289" spans="1:11" x14ac:dyDescent="0.25">
      <c r="A1289" s="66"/>
      <c r="B1289" s="66"/>
      <c r="C1289" s="66"/>
      <c r="D1289" s="66"/>
      <c r="E1289" s="66"/>
      <c r="F1289" s="66"/>
      <c r="G1289" s="66"/>
      <c r="H1289" s="66"/>
      <c r="I1289" s="66"/>
      <c r="J1289" s="66"/>
      <c r="K1289" s="66"/>
    </row>
    <row r="1290" spans="1:11" x14ac:dyDescent="0.25">
      <c r="A1290" s="66"/>
      <c r="B1290" s="66"/>
      <c r="C1290" s="66"/>
      <c r="D1290" s="66"/>
      <c r="E1290" s="66"/>
      <c r="F1290" s="66"/>
      <c r="G1290" s="66"/>
      <c r="H1290" s="66"/>
      <c r="I1290" s="66"/>
      <c r="J1290" s="66"/>
      <c r="K1290" s="66"/>
    </row>
    <row r="1291" spans="1:11" x14ac:dyDescent="0.25">
      <c r="A1291" s="66"/>
      <c r="B1291" s="66"/>
      <c r="C1291" s="66"/>
      <c r="D1291" s="66"/>
      <c r="E1291" s="66"/>
      <c r="F1291" s="66"/>
      <c r="G1291" s="66"/>
      <c r="H1291" s="66"/>
      <c r="I1291" s="66"/>
      <c r="J1291" s="66"/>
      <c r="K1291" s="66"/>
    </row>
    <row r="1292" spans="1:11" x14ac:dyDescent="0.25">
      <c r="A1292" s="66"/>
      <c r="B1292" s="66"/>
      <c r="C1292" s="66"/>
      <c r="D1292" s="66"/>
      <c r="E1292" s="66"/>
      <c r="F1292" s="66"/>
      <c r="G1292" s="66"/>
      <c r="H1292" s="66"/>
      <c r="I1292" s="66"/>
      <c r="J1292" s="66"/>
      <c r="K1292" s="66"/>
    </row>
    <row r="1293" spans="1:11" x14ac:dyDescent="0.25">
      <c r="A1293" s="66"/>
      <c r="B1293" s="66"/>
      <c r="C1293" s="66"/>
      <c r="D1293" s="66"/>
      <c r="E1293" s="66"/>
      <c r="F1293" s="66"/>
      <c r="G1293" s="66"/>
      <c r="H1293" s="66"/>
      <c r="I1293" s="66"/>
      <c r="J1293" s="66"/>
      <c r="K1293" s="66"/>
    </row>
    <row r="1294" spans="1:11" x14ac:dyDescent="0.25">
      <c r="A1294" s="66"/>
      <c r="B1294" s="66"/>
      <c r="C1294" s="66"/>
      <c r="D1294" s="66"/>
      <c r="E1294" s="66"/>
      <c r="F1294" s="66"/>
      <c r="G1294" s="66"/>
      <c r="H1294" s="66"/>
      <c r="I1294" s="66"/>
      <c r="J1294" s="66"/>
      <c r="K1294" s="66"/>
    </row>
    <row r="1295" spans="1:11" x14ac:dyDescent="0.25">
      <c r="A1295" s="66"/>
      <c r="B1295" s="66"/>
      <c r="C1295" s="66"/>
      <c r="D1295" s="66"/>
      <c r="E1295" s="66"/>
      <c r="F1295" s="66"/>
      <c r="G1295" s="66"/>
      <c r="H1295" s="66"/>
      <c r="I1295" s="66"/>
      <c r="J1295" s="66"/>
      <c r="K1295" s="66"/>
    </row>
    <row r="1296" spans="1:11" x14ac:dyDescent="0.25">
      <c r="A1296" s="66"/>
      <c r="B1296" s="66"/>
      <c r="C1296" s="66"/>
      <c r="D1296" s="66"/>
      <c r="E1296" s="66"/>
      <c r="F1296" s="66"/>
      <c r="G1296" s="66"/>
      <c r="H1296" s="66"/>
      <c r="I1296" s="66"/>
      <c r="J1296" s="66"/>
      <c r="K1296" s="66"/>
    </row>
    <row r="1297" spans="1:11" x14ac:dyDescent="0.25">
      <c r="A1297" s="66"/>
      <c r="B1297" s="66"/>
      <c r="C1297" s="66"/>
      <c r="D1297" s="66"/>
      <c r="E1297" s="66"/>
      <c r="F1297" s="66"/>
      <c r="G1297" s="66"/>
      <c r="H1297" s="66"/>
      <c r="I1297" s="66"/>
      <c r="J1297" s="66"/>
      <c r="K1297" s="66"/>
    </row>
    <row r="1298" spans="1:11" x14ac:dyDescent="0.25">
      <c r="A1298" s="66"/>
      <c r="B1298" s="66"/>
      <c r="C1298" s="66"/>
      <c r="D1298" s="66"/>
      <c r="E1298" s="66"/>
      <c r="F1298" s="66"/>
      <c r="G1298" s="66"/>
      <c r="H1298" s="66"/>
      <c r="I1298" s="66"/>
      <c r="J1298" s="66"/>
      <c r="K1298" s="66"/>
    </row>
    <row r="1299" spans="1:11" x14ac:dyDescent="0.25">
      <c r="A1299" s="66"/>
      <c r="B1299" s="66"/>
      <c r="C1299" s="66"/>
      <c r="D1299" s="66"/>
      <c r="E1299" s="66"/>
      <c r="F1299" s="66"/>
      <c r="G1299" s="66"/>
      <c r="H1299" s="66"/>
      <c r="I1299" s="66"/>
      <c r="J1299" s="66"/>
      <c r="K1299" s="66"/>
    </row>
    <row r="1300" spans="1:11" x14ac:dyDescent="0.25">
      <c r="A1300" s="66"/>
      <c r="B1300" s="66"/>
      <c r="C1300" s="66"/>
      <c r="D1300" s="66"/>
      <c r="E1300" s="66"/>
      <c r="F1300" s="66"/>
      <c r="G1300" s="66"/>
      <c r="H1300" s="66"/>
      <c r="I1300" s="66"/>
      <c r="J1300" s="66"/>
      <c r="K1300" s="66"/>
    </row>
    <row r="1301" spans="1:11" x14ac:dyDescent="0.25">
      <c r="A1301" s="66"/>
      <c r="B1301" s="66"/>
      <c r="C1301" s="66"/>
      <c r="D1301" s="66"/>
      <c r="E1301" s="66"/>
      <c r="F1301" s="66"/>
      <c r="G1301" s="66"/>
      <c r="H1301" s="66"/>
      <c r="I1301" s="66"/>
      <c r="J1301" s="66"/>
      <c r="K1301" s="66"/>
    </row>
    <row r="1302" spans="1:11" x14ac:dyDescent="0.25">
      <c r="A1302" s="66"/>
      <c r="B1302" s="66"/>
      <c r="C1302" s="66"/>
      <c r="D1302" s="66"/>
      <c r="E1302" s="66"/>
      <c r="F1302" s="66"/>
      <c r="G1302" s="66"/>
      <c r="H1302" s="66"/>
      <c r="I1302" s="66"/>
      <c r="J1302" s="66"/>
      <c r="K1302" s="66"/>
    </row>
    <row r="1303" spans="1:11" x14ac:dyDescent="0.25">
      <c r="A1303" s="66"/>
      <c r="B1303" s="66"/>
      <c r="C1303" s="66"/>
      <c r="D1303" s="66"/>
      <c r="E1303" s="66"/>
      <c r="F1303" s="66"/>
      <c r="G1303" s="66"/>
      <c r="H1303" s="66"/>
      <c r="I1303" s="66"/>
      <c r="J1303" s="66"/>
      <c r="K1303" s="66"/>
    </row>
    <row r="1304" spans="1:11" x14ac:dyDescent="0.25">
      <c r="A1304" s="66"/>
      <c r="B1304" s="66"/>
      <c r="C1304" s="66"/>
      <c r="D1304" s="66"/>
      <c r="E1304" s="66"/>
      <c r="F1304" s="66"/>
      <c r="G1304" s="66"/>
      <c r="H1304" s="66"/>
      <c r="I1304" s="66"/>
      <c r="J1304" s="66"/>
      <c r="K1304" s="66"/>
    </row>
    <row r="1305" spans="1:11" x14ac:dyDescent="0.25">
      <c r="A1305" s="66"/>
      <c r="B1305" s="66"/>
      <c r="C1305" s="66"/>
      <c r="D1305" s="66"/>
      <c r="E1305" s="66"/>
      <c r="F1305" s="66"/>
      <c r="G1305" s="66"/>
      <c r="H1305" s="66"/>
      <c r="I1305" s="66"/>
      <c r="J1305" s="66"/>
      <c r="K1305" s="66"/>
    </row>
    <row r="1306" spans="1:11" x14ac:dyDescent="0.25">
      <c r="A1306" s="66"/>
      <c r="B1306" s="66"/>
      <c r="C1306" s="66"/>
      <c r="D1306" s="66"/>
      <c r="E1306" s="66"/>
      <c r="F1306" s="66"/>
      <c r="G1306" s="66"/>
      <c r="H1306" s="66"/>
      <c r="I1306" s="66"/>
      <c r="J1306" s="66"/>
      <c r="K1306" s="66"/>
    </row>
    <row r="1307" spans="1:11" x14ac:dyDescent="0.25">
      <c r="A1307" s="66"/>
      <c r="B1307" s="66"/>
      <c r="C1307" s="66"/>
      <c r="D1307" s="66"/>
      <c r="E1307" s="66"/>
      <c r="F1307" s="66"/>
      <c r="G1307" s="66"/>
      <c r="H1307" s="66"/>
      <c r="I1307" s="66"/>
      <c r="J1307" s="66"/>
      <c r="K1307" s="66"/>
    </row>
    <row r="1308" spans="1:11" x14ac:dyDescent="0.25">
      <c r="A1308" s="66"/>
      <c r="B1308" s="66"/>
      <c r="C1308" s="66"/>
      <c r="D1308" s="66"/>
      <c r="E1308" s="66"/>
      <c r="F1308" s="66"/>
      <c r="G1308" s="66"/>
      <c r="H1308" s="66"/>
      <c r="I1308" s="66"/>
      <c r="J1308" s="66"/>
      <c r="K1308" s="66"/>
    </row>
    <row r="1309" spans="1:11" x14ac:dyDescent="0.25">
      <c r="A1309" s="66"/>
      <c r="B1309" s="66"/>
      <c r="C1309" s="66"/>
      <c r="D1309" s="66"/>
      <c r="E1309" s="66"/>
      <c r="F1309" s="66"/>
      <c r="G1309" s="66"/>
      <c r="H1309" s="66"/>
      <c r="I1309" s="66"/>
      <c r="J1309" s="66"/>
      <c r="K1309" s="66"/>
    </row>
    <row r="1310" spans="1:11" x14ac:dyDescent="0.25">
      <c r="A1310" s="66"/>
      <c r="B1310" s="66"/>
      <c r="C1310" s="66"/>
      <c r="D1310" s="66"/>
      <c r="E1310" s="66"/>
      <c r="F1310" s="66"/>
      <c r="G1310" s="66"/>
      <c r="H1310" s="66"/>
      <c r="I1310" s="66"/>
      <c r="J1310" s="66"/>
      <c r="K1310" s="66"/>
    </row>
    <row r="1311" spans="1:11" x14ac:dyDescent="0.25">
      <c r="A1311" s="66"/>
      <c r="B1311" s="66"/>
      <c r="C1311" s="66"/>
      <c r="D1311" s="66"/>
      <c r="E1311" s="66"/>
      <c r="F1311" s="66"/>
      <c r="G1311" s="66"/>
      <c r="H1311" s="66"/>
      <c r="I1311" s="66"/>
      <c r="J1311" s="66"/>
      <c r="K1311" s="66"/>
    </row>
    <row r="1312" spans="1:11" x14ac:dyDescent="0.25">
      <c r="A1312" s="66"/>
      <c r="B1312" s="66"/>
      <c r="C1312" s="66"/>
      <c r="D1312" s="66"/>
      <c r="E1312" s="66"/>
      <c r="F1312" s="66"/>
      <c r="G1312" s="66"/>
      <c r="H1312" s="66"/>
      <c r="I1312" s="66"/>
      <c r="J1312" s="66"/>
      <c r="K1312" s="66"/>
    </row>
    <row r="1313" spans="1:11" x14ac:dyDescent="0.25">
      <c r="A1313" s="66"/>
      <c r="B1313" s="66"/>
      <c r="C1313" s="66"/>
      <c r="D1313" s="66"/>
      <c r="E1313" s="66"/>
      <c r="F1313" s="66"/>
      <c r="G1313" s="66"/>
      <c r="H1313" s="66"/>
      <c r="I1313" s="66"/>
      <c r="J1313" s="66"/>
      <c r="K1313" s="66"/>
    </row>
    <row r="1314" spans="1:11" x14ac:dyDescent="0.25">
      <c r="A1314" s="66"/>
      <c r="B1314" s="66"/>
      <c r="C1314" s="66"/>
      <c r="D1314" s="66"/>
      <c r="E1314" s="66"/>
      <c r="F1314" s="66"/>
      <c r="G1314" s="66"/>
      <c r="H1314" s="66"/>
      <c r="I1314" s="66"/>
      <c r="J1314" s="66"/>
      <c r="K1314" s="66"/>
    </row>
    <row r="1315" spans="1:11" x14ac:dyDescent="0.25">
      <c r="A1315" s="66"/>
      <c r="B1315" s="66"/>
      <c r="C1315" s="66"/>
      <c r="D1315" s="66"/>
      <c r="E1315" s="66"/>
      <c r="F1315" s="66"/>
      <c r="G1315" s="66"/>
      <c r="H1315" s="66"/>
      <c r="I1315" s="66"/>
      <c r="J1315" s="66"/>
      <c r="K1315" s="66"/>
    </row>
    <row r="1316" spans="1:11" x14ac:dyDescent="0.25">
      <c r="A1316" s="66"/>
      <c r="B1316" s="66"/>
      <c r="C1316" s="66"/>
      <c r="D1316" s="66"/>
      <c r="E1316" s="66"/>
      <c r="F1316" s="66"/>
      <c r="G1316" s="66"/>
      <c r="H1316" s="66"/>
      <c r="I1316" s="66"/>
      <c r="J1316" s="66"/>
      <c r="K1316" s="66"/>
    </row>
    <row r="1317" spans="1:11" x14ac:dyDescent="0.25">
      <c r="A1317" s="66"/>
      <c r="B1317" s="66"/>
      <c r="C1317" s="66"/>
      <c r="D1317" s="66"/>
      <c r="E1317" s="66"/>
      <c r="F1317" s="66"/>
      <c r="G1317" s="66"/>
      <c r="H1317" s="66"/>
      <c r="I1317" s="66"/>
      <c r="J1317" s="66"/>
      <c r="K1317" s="66"/>
    </row>
    <row r="1318" spans="1:11" x14ac:dyDescent="0.25">
      <c r="A1318" s="66"/>
      <c r="B1318" s="66"/>
      <c r="C1318" s="66"/>
      <c r="D1318" s="66"/>
      <c r="E1318" s="66"/>
      <c r="F1318" s="66"/>
      <c r="G1318" s="66"/>
      <c r="H1318" s="66"/>
      <c r="I1318" s="66"/>
      <c r="J1318" s="66"/>
      <c r="K1318" s="66"/>
    </row>
    <row r="1319" spans="1:11" x14ac:dyDescent="0.25">
      <c r="A1319" s="66"/>
      <c r="B1319" s="66"/>
      <c r="C1319" s="66"/>
      <c r="D1319" s="66"/>
      <c r="E1319" s="66"/>
      <c r="F1319" s="66"/>
      <c r="G1319" s="66"/>
      <c r="H1319" s="66"/>
      <c r="I1319" s="66"/>
      <c r="J1319" s="66"/>
      <c r="K1319" s="66"/>
    </row>
    <row r="1320" spans="1:11" x14ac:dyDescent="0.25">
      <c r="A1320" s="66"/>
      <c r="B1320" s="66"/>
      <c r="C1320" s="66"/>
      <c r="D1320" s="66"/>
      <c r="E1320" s="66"/>
      <c r="F1320" s="66"/>
      <c r="G1320" s="66"/>
      <c r="H1320" s="66"/>
      <c r="I1320" s="66"/>
      <c r="J1320" s="66"/>
      <c r="K1320" s="66"/>
    </row>
    <row r="1321" spans="1:11" x14ac:dyDescent="0.25">
      <c r="A1321" s="66"/>
      <c r="B1321" s="66"/>
      <c r="C1321" s="66"/>
      <c r="D1321" s="66"/>
      <c r="E1321" s="66"/>
      <c r="F1321" s="66"/>
      <c r="G1321" s="66"/>
      <c r="H1321" s="66"/>
      <c r="I1321" s="66"/>
      <c r="J1321" s="66"/>
      <c r="K1321" s="66"/>
    </row>
    <row r="1322" spans="1:11" x14ac:dyDescent="0.25">
      <c r="A1322" s="66"/>
      <c r="B1322" s="66"/>
      <c r="C1322" s="66"/>
      <c r="D1322" s="66"/>
      <c r="E1322" s="66"/>
      <c r="F1322" s="66"/>
      <c r="G1322" s="66"/>
      <c r="H1322" s="66"/>
      <c r="I1322" s="66"/>
      <c r="J1322" s="66"/>
      <c r="K1322" s="66"/>
    </row>
    <row r="1323" spans="1:11" x14ac:dyDescent="0.25">
      <c r="A1323" s="66"/>
      <c r="B1323" s="66"/>
      <c r="C1323" s="66"/>
      <c r="D1323" s="66"/>
      <c r="E1323" s="66"/>
      <c r="F1323" s="66"/>
      <c r="G1323" s="66"/>
      <c r="H1323" s="66"/>
      <c r="I1323" s="66"/>
      <c r="J1323" s="66"/>
      <c r="K1323" s="66"/>
    </row>
    <row r="1324" spans="1:11" x14ac:dyDescent="0.25">
      <c r="A1324" s="66"/>
      <c r="B1324" s="66"/>
      <c r="C1324" s="66"/>
      <c r="D1324" s="66"/>
      <c r="E1324" s="66"/>
      <c r="F1324" s="66"/>
      <c r="G1324" s="66"/>
      <c r="H1324" s="66"/>
      <c r="I1324" s="66"/>
      <c r="J1324" s="66"/>
      <c r="K1324" s="66"/>
    </row>
    <row r="1325" spans="1:11" x14ac:dyDescent="0.25">
      <c r="A1325" s="66"/>
      <c r="B1325" s="66"/>
      <c r="C1325" s="66"/>
      <c r="D1325" s="66"/>
      <c r="E1325" s="66"/>
      <c r="F1325" s="66"/>
      <c r="G1325" s="66"/>
      <c r="H1325" s="66"/>
      <c r="I1325" s="66"/>
      <c r="J1325" s="66"/>
      <c r="K1325" s="66"/>
    </row>
    <row r="1326" spans="1:11" x14ac:dyDescent="0.25">
      <c r="A1326" s="66"/>
      <c r="B1326" s="66"/>
      <c r="C1326" s="66"/>
      <c r="D1326" s="66"/>
      <c r="E1326" s="66"/>
      <c r="F1326" s="66"/>
      <c r="G1326" s="66"/>
      <c r="H1326" s="66"/>
      <c r="I1326" s="66"/>
      <c r="J1326" s="66"/>
      <c r="K1326" s="66"/>
    </row>
    <row r="1327" spans="1:11" x14ac:dyDescent="0.25">
      <c r="A1327" s="66"/>
      <c r="B1327" s="66"/>
      <c r="C1327" s="66"/>
      <c r="D1327" s="66"/>
      <c r="E1327" s="66"/>
      <c r="F1327" s="66"/>
      <c r="G1327" s="66"/>
      <c r="H1327" s="66"/>
      <c r="I1327" s="66"/>
      <c r="J1327" s="66"/>
      <c r="K1327" s="66"/>
    </row>
    <row r="1328" spans="1:11" x14ac:dyDescent="0.25">
      <c r="A1328" s="66"/>
      <c r="B1328" s="66"/>
      <c r="C1328" s="66"/>
      <c r="D1328" s="66"/>
      <c r="E1328" s="66"/>
      <c r="F1328" s="66"/>
      <c r="G1328" s="66"/>
      <c r="H1328" s="66"/>
      <c r="I1328" s="66"/>
      <c r="J1328" s="66"/>
      <c r="K1328" s="66"/>
    </row>
    <row r="1329" spans="1:11" x14ac:dyDescent="0.25">
      <c r="A1329" s="66"/>
      <c r="B1329" s="66"/>
      <c r="C1329" s="66"/>
      <c r="D1329" s="66"/>
      <c r="E1329" s="66"/>
      <c r="F1329" s="66"/>
      <c r="G1329" s="66"/>
      <c r="H1329" s="66"/>
      <c r="I1329" s="66"/>
      <c r="J1329" s="66"/>
      <c r="K1329" s="66"/>
    </row>
    <row r="1330" spans="1:11" x14ac:dyDescent="0.25">
      <c r="A1330" s="66"/>
      <c r="B1330" s="66"/>
      <c r="C1330" s="66"/>
      <c r="D1330" s="66"/>
      <c r="E1330" s="66"/>
      <c r="F1330" s="66"/>
      <c r="G1330" s="66"/>
      <c r="H1330" s="66"/>
      <c r="I1330" s="66"/>
      <c r="J1330" s="66"/>
      <c r="K1330" s="66"/>
    </row>
    <row r="1331" spans="1:11" x14ac:dyDescent="0.25">
      <c r="A1331" s="66"/>
      <c r="B1331" s="66"/>
      <c r="C1331" s="66"/>
      <c r="D1331" s="66"/>
      <c r="E1331" s="66"/>
      <c r="F1331" s="66"/>
      <c r="G1331" s="66"/>
      <c r="H1331" s="66"/>
      <c r="I1331" s="66"/>
      <c r="J1331" s="66"/>
      <c r="K1331" s="66"/>
    </row>
    <row r="1332" spans="1:11" x14ac:dyDescent="0.25">
      <c r="A1332" s="66"/>
      <c r="B1332" s="66"/>
      <c r="C1332" s="66"/>
      <c r="D1332" s="66"/>
      <c r="E1332" s="66"/>
      <c r="F1332" s="66"/>
      <c r="G1332" s="66"/>
      <c r="H1332" s="66"/>
      <c r="I1332" s="66"/>
      <c r="J1332" s="66"/>
      <c r="K1332" s="66"/>
    </row>
    <row r="1333" spans="1:11" x14ac:dyDescent="0.25">
      <c r="A1333" s="66"/>
      <c r="B1333" s="66"/>
      <c r="C1333" s="66"/>
      <c r="D1333" s="66"/>
      <c r="E1333" s="66"/>
      <c r="F1333" s="66"/>
      <c r="G1333" s="66"/>
      <c r="H1333" s="66"/>
      <c r="I1333" s="66"/>
      <c r="J1333" s="66"/>
      <c r="K1333" s="66"/>
    </row>
    <row r="1334" spans="1:11" x14ac:dyDescent="0.25">
      <c r="A1334" s="66"/>
      <c r="B1334" s="66"/>
      <c r="C1334" s="66"/>
      <c r="D1334" s="66"/>
      <c r="E1334" s="66"/>
      <c r="F1334" s="66"/>
      <c r="G1334" s="66"/>
      <c r="H1334" s="66"/>
      <c r="I1334" s="66"/>
      <c r="J1334" s="66"/>
      <c r="K1334" s="66"/>
    </row>
    <row r="1335" spans="1:11" x14ac:dyDescent="0.25">
      <c r="A1335" s="66"/>
      <c r="B1335" s="66"/>
      <c r="C1335" s="66"/>
      <c r="D1335" s="66"/>
      <c r="E1335" s="66"/>
      <c r="F1335" s="66"/>
      <c r="G1335" s="66"/>
      <c r="H1335" s="66"/>
      <c r="I1335" s="66"/>
      <c r="J1335" s="66"/>
      <c r="K1335" s="66"/>
    </row>
    <row r="1336" spans="1:11" x14ac:dyDescent="0.25">
      <c r="A1336" s="66"/>
      <c r="B1336" s="66"/>
      <c r="C1336" s="66"/>
      <c r="D1336" s="66"/>
      <c r="E1336" s="66"/>
      <c r="F1336" s="66"/>
      <c r="G1336" s="66"/>
      <c r="H1336" s="66"/>
      <c r="I1336" s="66"/>
      <c r="J1336" s="66"/>
      <c r="K1336" s="66"/>
    </row>
    <row r="1337" spans="1:11" x14ac:dyDescent="0.25">
      <c r="A1337" s="66"/>
      <c r="B1337" s="66"/>
      <c r="C1337" s="66"/>
      <c r="D1337" s="66"/>
      <c r="E1337" s="66"/>
      <c r="F1337" s="66"/>
      <c r="G1337" s="66"/>
      <c r="H1337" s="66"/>
      <c r="I1337" s="66"/>
      <c r="J1337" s="66"/>
      <c r="K1337" s="66"/>
    </row>
    <row r="1338" spans="1:11" x14ac:dyDescent="0.25">
      <c r="A1338" s="66"/>
      <c r="B1338" s="66"/>
      <c r="C1338" s="66"/>
      <c r="D1338" s="66"/>
      <c r="E1338" s="66"/>
      <c r="F1338" s="66"/>
      <c r="G1338" s="66"/>
      <c r="H1338" s="66"/>
      <c r="I1338" s="66"/>
      <c r="J1338" s="66"/>
      <c r="K1338" s="66"/>
    </row>
    <row r="1339" spans="1:11" x14ac:dyDescent="0.25">
      <c r="A1339" s="66"/>
      <c r="B1339" s="66"/>
      <c r="C1339" s="66"/>
      <c r="D1339" s="66"/>
      <c r="E1339" s="66"/>
      <c r="F1339" s="66"/>
      <c r="G1339" s="66"/>
      <c r="H1339" s="66"/>
      <c r="I1339" s="66"/>
      <c r="J1339" s="66"/>
      <c r="K1339" s="66"/>
    </row>
    <row r="1340" spans="1:11" x14ac:dyDescent="0.25">
      <c r="A1340" s="66"/>
      <c r="B1340" s="66"/>
      <c r="C1340" s="66"/>
      <c r="D1340" s="66"/>
      <c r="E1340" s="66"/>
      <c r="F1340" s="66"/>
      <c r="G1340" s="66"/>
      <c r="H1340" s="66"/>
      <c r="I1340" s="66"/>
      <c r="J1340" s="66"/>
      <c r="K1340" s="66"/>
    </row>
    <row r="1341" spans="1:11" x14ac:dyDescent="0.25">
      <c r="A1341" s="66"/>
      <c r="B1341" s="66"/>
      <c r="C1341" s="66"/>
      <c r="D1341" s="66"/>
      <c r="E1341" s="66"/>
      <c r="F1341" s="66"/>
      <c r="G1341" s="66"/>
      <c r="H1341" s="66"/>
      <c r="I1341" s="66"/>
      <c r="J1341" s="66"/>
      <c r="K1341" s="66"/>
    </row>
    <row r="1342" spans="1:11" x14ac:dyDescent="0.25">
      <c r="A1342" s="66"/>
      <c r="B1342" s="66"/>
      <c r="C1342" s="66"/>
      <c r="D1342" s="66"/>
      <c r="E1342" s="66"/>
      <c r="F1342" s="66"/>
      <c r="G1342" s="66"/>
      <c r="H1342" s="66"/>
      <c r="I1342" s="66"/>
      <c r="J1342" s="66"/>
      <c r="K1342" s="66"/>
    </row>
    <row r="1343" spans="1:11" x14ac:dyDescent="0.25">
      <c r="A1343" s="66"/>
      <c r="B1343" s="66"/>
      <c r="C1343" s="66"/>
      <c r="D1343" s="66"/>
      <c r="E1343" s="66"/>
      <c r="F1343" s="66"/>
      <c r="G1343" s="66"/>
      <c r="H1343" s="66"/>
      <c r="I1343" s="66"/>
      <c r="J1343" s="66"/>
      <c r="K1343" s="66"/>
    </row>
    <row r="1344" spans="1:11" x14ac:dyDescent="0.25">
      <c r="A1344" s="66"/>
      <c r="B1344" s="66"/>
      <c r="C1344" s="66"/>
      <c r="D1344" s="66"/>
      <c r="E1344" s="66"/>
      <c r="F1344" s="66"/>
      <c r="G1344" s="66"/>
      <c r="H1344" s="66"/>
      <c r="I1344" s="66"/>
      <c r="J1344" s="66"/>
      <c r="K1344" s="66"/>
    </row>
    <row r="1345" spans="1:11" x14ac:dyDescent="0.25">
      <c r="A1345" s="66"/>
      <c r="B1345" s="66"/>
      <c r="C1345" s="66"/>
      <c r="D1345" s="66"/>
      <c r="E1345" s="66"/>
      <c r="F1345" s="66"/>
      <c r="G1345" s="66"/>
      <c r="H1345" s="66"/>
      <c r="I1345" s="66"/>
      <c r="J1345" s="66"/>
      <c r="K1345" s="66"/>
    </row>
    <row r="1346" spans="1:11" x14ac:dyDescent="0.25">
      <c r="A1346" s="66"/>
      <c r="B1346" s="66"/>
      <c r="C1346" s="66"/>
      <c r="D1346" s="66"/>
      <c r="E1346" s="66"/>
      <c r="F1346" s="66"/>
      <c r="G1346" s="66"/>
      <c r="H1346" s="66"/>
      <c r="I1346" s="66"/>
      <c r="J1346" s="66"/>
      <c r="K1346" s="66"/>
    </row>
    <row r="1347" spans="1:11" x14ac:dyDescent="0.25">
      <c r="A1347" s="66"/>
      <c r="B1347" s="66"/>
      <c r="C1347" s="66"/>
      <c r="D1347" s="66"/>
      <c r="E1347" s="66"/>
      <c r="F1347" s="66"/>
      <c r="G1347" s="66"/>
      <c r="H1347" s="66"/>
      <c r="I1347" s="66"/>
      <c r="J1347" s="66"/>
      <c r="K1347" s="66"/>
    </row>
    <row r="1348" spans="1:11" x14ac:dyDescent="0.25">
      <c r="A1348" s="66"/>
      <c r="B1348" s="66"/>
      <c r="C1348" s="66"/>
      <c r="D1348" s="66"/>
      <c r="E1348" s="66"/>
      <c r="F1348" s="66"/>
      <c r="G1348" s="66"/>
      <c r="H1348" s="66"/>
      <c r="I1348" s="66"/>
      <c r="J1348" s="66"/>
      <c r="K1348" s="66"/>
    </row>
    <row r="1349" spans="1:11" x14ac:dyDescent="0.25">
      <c r="A1349" s="66"/>
      <c r="B1349" s="66"/>
      <c r="C1349" s="66"/>
      <c r="D1349" s="66"/>
      <c r="E1349" s="66"/>
      <c r="F1349" s="66"/>
      <c r="G1349" s="66"/>
      <c r="H1349" s="66"/>
      <c r="I1349" s="66"/>
      <c r="J1349" s="66"/>
      <c r="K1349" s="66"/>
    </row>
    <row r="1350" spans="1:11" x14ac:dyDescent="0.25">
      <c r="A1350" s="66"/>
      <c r="B1350" s="66"/>
      <c r="C1350" s="66"/>
      <c r="D1350" s="66"/>
      <c r="E1350" s="66"/>
      <c r="F1350" s="66"/>
      <c r="G1350" s="66"/>
      <c r="H1350" s="66"/>
      <c r="I1350" s="66"/>
      <c r="J1350" s="66"/>
      <c r="K1350" s="66"/>
    </row>
    <row r="1351" spans="1:11" x14ac:dyDescent="0.25">
      <c r="A1351" s="66"/>
      <c r="B1351" s="66"/>
      <c r="C1351" s="66"/>
      <c r="D1351" s="66"/>
      <c r="E1351" s="66"/>
      <c r="F1351" s="66"/>
      <c r="G1351" s="66"/>
      <c r="H1351" s="66"/>
      <c r="I1351" s="66"/>
      <c r="J1351" s="66"/>
      <c r="K1351" s="66"/>
    </row>
    <row r="1352" spans="1:11" x14ac:dyDescent="0.25">
      <c r="A1352" s="66"/>
      <c r="B1352" s="66"/>
      <c r="C1352" s="66"/>
      <c r="D1352" s="66"/>
      <c r="E1352" s="66"/>
      <c r="F1352" s="66"/>
      <c r="G1352" s="66"/>
      <c r="H1352" s="66"/>
      <c r="I1352" s="66"/>
      <c r="J1352" s="66"/>
      <c r="K1352" s="66"/>
    </row>
    <row r="1353" spans="1:11" x14ac:dyDescent="0.25">
      <c r="A1353" s="66"/>
      <c r="B1353" s="66"/>
      <c r="C1353" s="66"/>
      <c r="D1353" s="66"/>
      <c r="E1353" s="66"/>
      <c r="F1353" s="66"/>
      <c r="G1353" s="66"/>
      <c r="H1353" s="66"/>
      <c r="I1353" s="66"/>
      <c r="J1353" s="66"/>
      <c r="K1353" s="66"/>
    </row>
    <row r="1354" spans="1:11" x14ac:dyDescent="0.25">
      <c r="A1354" s="66"/>
      <c r="B1354" s="66"/>
      <c r="C1354" s="66"/>
      <c r="D1354" s="66"/>
      <c r="E1354" s="66"/>
      <c r="F1354" s="66"/>
      <c r="G1354" s="66"/>
      <c r="H1354" s="66"/>
      <c r="I1354" s="66"/>
      <c r="J1354" s="66"/>
      <c r="K1354" s="66"/>
    </row>
    <row r="1355" spans="1:11" x14ac:dyDescent="0.25">
      <c r="A1355" s="66"/>
      <c r="B1355" s="66"/>
      <c r="C1355" s="66"/>
      <c r="D1355" s="66"/>
      <c r="E1355" s="66"/>
      <c r="F1355" s="66"/>
      <c r="G1355" s="66"/>
      <c r="H1355" s="66"/>
      <c r="I1355" s="66"/>
      <c r="J1355" s="66"/>
      <c r="K1355" s="66"/>
    </row>
    <row r="1356" spans="1:11" x14ac:dyDescent="0.25">
      <c r="A1356" s="66"/>
      <c r="B1356" s="66"/>
      <c r="C1356" s="66"/>
      <c r="D1356" s="66"/>
      <c r="E1356" s="66"/>
      <c r="F1356" s="66"/>
      <c r="G1356" s="66"/>
      <c r="H1356" s="66"/>
      <c r="I1356" s="66"/>
      <c r="J1356" s="66"/>
      <c r="K1356" s="66"/>
    </row>
    <row r="1357" spans="1:11" x14ac:dyDescent="0.25">
      <c r="A1357" s="66"/>
      <c r="B1357" s="66"/>
      <c r="C1357" s="66"/>
      <c r="D1357" s="66"/>
      <c r="E1357" s="66"/>
      <c r="F1357" s="66"/>
      <c r="G1357" s="66"/>
      <c r="H1357" s="66"/>
      <c r="I1357" s="66"/>
      <c r="J1357" s="66"/>
      <c r="K1357" s="66"/>
    </row>
    <row r="1358" spans="1:11" x14ac:dyDescent="0.25">
      <c r="A1358" s="66"/>
      <c r="B1358" s="66"/>
      <c r="C1358" s="66"/>
      <c r="D1358" s="66"/>
      <c r="E1358" s="66"/>
      <c r="F1358" s="66"/>
      <c r="G1358" s="66"/>
      <c r="H1358" s="66"/>
      <c r="I1358" s="66"/>
      <c r="J1358" s="66"/>
      <c r="K1358" s="66"/>
    </row>
    <row r="1359" spans="1:11" x14ac:dyDescent="0.25">
      <c r="A1359" s="66"/>
      <c r="B1359" s="66"/>
      <c r="C1359" s="66"/>
      <c r="D1359" s="66"/>
      <c r="E1359" s="66"/>
      <c r="F1359" s="66"/>
      <c r="G1359" s="66"/>
      <c r="H1359" s="66"/>
      <c r="I1359" s="66"/>
      <c r="J1359" s="66"/>
      <c r="K1359" s="66"/>
    </row>
    <row r="1360" spans="1:11" x14ac:dyDescent="0.25">
      <c r="A1360" s="66"/>
      <c r="B1360" s="66"/>
      <c r="C1360" s="66"/>
      <c r="D1360" s="66"/>
      <c r="E1360" s="66"/>
      <c r="F1360" s="66"/>
      <c r="G1360" s="66"/>
      <c r="H1360" s="66"/>
      <c r="I1360" s="66"/>
      <c r="J1360" s="66"/>
      <c r="K1360" s="66"/>
    </row>
    <row r="1361" spans="1:11" x14ac:dyDescent="0.25">
      <c r="A1361" s="66"/>
      <c r="B1361" s="66"/>
      <c r="C1361" s="66"/>
      <c r="D1361" s="66"/>
      <c r="E1361" s="66"/>
      <c r="F1361" s="66"/>
      <c r="G1361" s="66"/>
      <c r="H1361" s="66"/>
      <c r="I1361" s="66"/>
      <c r="J1361" s="66"/>
      <c r="K1361" s="66"/>
    </row>
    <row r="1362" spans="1:11" x14ac:dyDescent="0.25">
      <c r="A1362" s="66"/>
      <c r="B1362" s="66"/>
      <c r="C1362" s="66"/>
      <c r="D1362" s="66"/>
      <c r="E1362" s="66"/>
      <c r="F1362" s="66"/>
      <c r="G1362" s="66"/>
      <c r="H1362" s="66"/>
      <c r="I1362" s="66"/>
      <c r="J1362" s="66"/>
      <c r="K1362" s="66"/>
    </row>
    <row r="1363" spans="1:11" x14ac:dyDescent="0.25">
      <c r="A1363" s="66"/>
      <c r="B1363" s="66"/>
      <c r="C1363" s="66"/>
      <c r="D1363" s="66"/>
      <c r="E1363" s="66"/>
      <c r="F1363" s="66"/>
      <c r="G1363" s="66"/>
      <c r="H1363" s="66"/>
      <c r="I1363" s="66"/>
      <c r="J1363" s="66"/>
      <c r="K1363" s="66"/>
    </row>
    <row r="1364" spans="1:11" x14ac:dyDescent="0.25">
      <c r="A1364" s="66"/>
      <c r="B1364" s="66"/>
      <c r="C1364" s="66"/>
      <c r="D1364" s="66"/>
      <c r="E1364" s="66"/>
      <c r="F1364" s="66"/>
      <c r="G1364" s="66"/>
      <c r="H1364" s="66"/>
      <c r="I1364" s="66"/>
      <c r="J1364" s="66"/>
      <c r="K1364" s="66"/>
    </row>
    <row r="1365" spans="1:11" x14ac:dyDescent="0.25">
      <c r="A1365" s="66"/>
      <c r="B1365" s="66"/>
      <c r="C1365" s="66"/>
      <c r="D1365" s="66"/>
      <c r="E1365" s="66"/>
      <c r="F1365" s="66"/>
      <c r="G1365" s="66"/>
      <c r="H1365" s="66"/>
      <c r="I1365" s="66"/>
      <c r="J1365" s="66"/>
      <c r="K1365" s="66"/>
    </row>
    <row r="1366" spans="1:11" x14ac:dyDescent="0.25">
      <c r="A1366" s="66"/>
      <c r="B1366" s="66"/>
      <c r="C1366" s="66"/>
      <c r="D1366" s="66"/>
      <c r="E1366" s="66"/>
      <c r="F1366" s="66"/>
      <c r="G1366" s="66"/>
      <c r="H1366" s="66"/>
      <c r="I1366" s="66"/>
      <c r="J1366" s="66"/>
      <c r="K1366" s="66"/>
    </row>
    <row r="1367" spans="1:11" x14ac:dyDescent="0.25">
      <c r="A1367" s="66"/>
      <c r="B1367" s="66"/>
      <c r="C1367" s="66"/>
      <c r="D1367" s="66"/>
      <c r="E1367" s="66"/>
      <c r="F1367" s="66"/>
      <c r="G1367" s="66"/>
      <c r="H1367" s="66"/>
      <c r="I1367" s="66"/>
      <c r="J1367" s="66"/>
      <c r="K1367" s="66"/>
    </row>
    <row r="1368" spans="1:11" x14ac:dyDescent="0.25">
      <c r="A1368" s="66"/>
      <c r="B1368" s="66"/>
      <c r="C1368" s="66"/>
      <c r="D1368" s="66"/>
      <c r="E1368" s="66"/>
      <c r="F1368" s="66"/>
      <c r="G1368" s="66"/>
      <c r="H1368" s="66"/>
      <c r="I1368" s="66"/>
      <c r="J1368" s="66"/>
      <c r="K1368" s="66"/>
    </row>
    <row r="1369" spans="1:11" x14ac:dyDescent="0.25">
      <c r="A1369" s="66"/>
      <c r="B1369" s="66"/>
      <c r="C1369" s="66"/>
      <c r="D1369" s="66"/>
      <c r="E1369" s="66"/>
      <c r="F1369" s="66"/>
      <c r="G1369" s="66"/>
      <c r="H1369" s="66"/>
      <c r="I1369" s="66"/>
      <c r="J1369" s="66"/>
      <c r="K1369" s="66"/>
    </row>
    <row r="1370" spans="1:11" x14ac:dyDescent="0.25">
      <c r="A1370" s="66"/>
      <c r="B1370" s="66"/>
      <c r="C1370" s="66"/>
      <c r="D1370" s="66"/>
      <c r="E1370" s="66"/>
      <c r="F1370" s="66"/>
      <c r="G1370" s="66"/>
      <c r="H1370" s="66"/>
      <c r="I1370" s="66"/>
      <c r="J1370" s="66"/>
      <c r="K1370" s="66"/>
    </row>
    <row r="1371" spans="1:11" x14ac:dyDescent="0.25">
      <c r="A1371" s="66"/>
      <c r="B1371" s="66"/>
      <c r="C1371" s="66"/>
      <c r="D1371" s="66"/>
      <c r="E1371" s="66"/>
      <c r="F1371" s="66"/>
      <c r="G1371" s="66"/>
      <c r="H1371" s="66"/>
      <c r="I1371" s="66"/>
      <c r="J1371" s="66"/>
      <c r="K1371" s="66"/>
    </row>
    <row r="1372" spans="1:11" x14ac:dyDescent="0.25">
      <c r="A1372" s="66"/>
      <c r="B1372" s="66"/>
      <c r="C1372" s="66"/>
      <c r="D1372" s="66"/>
      <c r="E1372" s="66"/>
      <c r="F1372" s="66"/>
      <c r="G1372" s="66"/>
      <c r="H1372" s="66"/>
      <c r="I1372" s="66"/>
      <c r="J1372" s="66"/>
      <c r="K1372" s="66"/>
    </row>
    <row r="1373" spans="1:11" x14ac:dyDescent="0.25">
      <c r="A1373" s="66"/>
      <c r="B1373" s="66"/>
      <c r="C1373" s="66"/>
      <c r="D1373" s="66"/>
      <c r="E1373" s="66"/>
      <c r="F1373" s="66"/>
      <c r="G1373" s="66"/>
      <c r="H1373" s="66"/>
      <c r="I1373" s="66"/>
      <c r="J1373" s="66"/>
      <c r="K1373" s="66"/>
    </row>
    <row r="1374" spans="1:11" x14ac:dyDescent="0.25">
      <c r="A1374" s="66"/>
      <c r="B1374" s="66"/>
      <c r="C1374" s="66"/>
      <c r="D1374" s="66"/>
      <c r="E1374" s="66"/>
      <c r="F1374" s="66"/>
      <c r="G1374" s="66"/>
      <c r="H1374" s="66"/>
      <c r="I1374" s="66"/>
      <c r="J1374" s="66"/>
      <c r="K1374" s="66"/>
    </row>
    <row r="1375" spans="1:11" x14ac:dyDescent="0.25">
      <c r="A1375" s="66"/>
      <c r="B1375" s="66"/>
      <c r="C1375" s="66"/>
      <c r="D1375" s="66"/>
      <c r="E1375" s="66"/>
      <c r="F1375" s="66"/>
      <c r="G1375" s="66"/>
      <c r="H1375" s="66"/>
      <c r="I1375" s="66"/>
      <c r="J1375" s="66"/>
      <c r="K1375" s="66"/>
    </row>
    <row r="1376" spans="1:11" x14ac:dyDescent="0.25">
      <c r="A1376" s="66"/>
      <c r="B1376" s="66"/>
      <c r="C1376" s="66"/>
      <c r="D1376" s="66"/>
      <c r="E1376" s="66"/>
      <c r="F1376" s="66"/>
      <c r="G1376" s="66"/>
      <c r="H1376" s="66"/>
      <c r="I1376" s="66"/>
      <c r="J1376" s="66"/>
      <c r="K1376" s="66"/>
    </row>
    <row r="1377" spans="1:11" x14ac:dyDescent="0.25">
      <c r="A1377" s="66"/>
      <c r="B1377" s="66"/>
      <c r="C1377" s="66"/>
      <c r="D1377" s="66"/>
      <c r="E1377" s="66"/>
      <c r="F1377" s="66"/>
      <c r="G1377" s="66"/>
      <c r="H1377" s="66"/>
      <c r="I1377" s="66"/>
      <c r="J1377" s="66"/>
      <c r="K1377" s="66"/>
    </row>
    <row r="1378" spans="1:11" x14ac:dyDescent="0.25">
      <c r="A1378" s="66"/>
      <c r="B1378" s="66"/>
      <c r="C1378" s="66"/>
      <c r="D1378" s="66"/>
      <c r="E1378" s="66"/>
      <c r="F1378" s="66"/>
      <c r="G1378" s="66"/>
      <c r="H1378" s="66"/>
      <c r="I1378" s="66"/>
      <c r="J1378" s="66"/>
      <c r="K1378" s="66"/>
    </row>
    <row r="1379" spans="1:11" x14ac:dyDescent="0.25">
      <c r="A1379" s="66"/>
      <c r="B1379" s="66"/>
      <c r="C1379" s="66"/>
      <c r="D1379" s="66"/>
      <c r="E1379" s="66"/>
      <c r="F1379" s="66"/>
      <c r="G1379" s="66"/>
      <c r="H1379" s="66"/>
      <c r="I1379" s="66"/>
      <c r="J1379" s="66"/>
      <c r="K1379" s="66"/>
    </row>
    <row r="1380" spans="1:11" x14ac:dyDescent="0.25">
      <c r="A1380" s="66"/>
      <c r="B1380" s="66"/>
      <c r="C1380" s="66"/>
      <c r="D1380" s="66"/>
      <c r="E1380" s="66"/>
      <c r="F1380" s="66"/>
      <c r="G1380" s="66"/>
      <c r="H1380" s="66"/>
      <c r="I1380" s="66"/>
      <c r="J1380" s="66"/>
      <c r="K1380" s="66"/>
    </row>
    <row r="1381" spans="1:11" x14ac:dyDescent="0.25">
      <c r="A1381" s="66"/>
      <c r="B1381" s="66"/>
      <c r="C1381" s="66"/>
      <c r="D1381" s="66"/>
      <c r="E1381" s="66"/>
      <c r="F1381" s="66"/>
      <c r="G1381" s="66"/>
      <c r="H1381" s="66"/>
      <c r="I1381" s="66"/>
      <c r="J1381" s="66"/>
      <c r="K1381" s="66"/>
    </row>
    <row r="1382" spans="1:11" x14ac:dyDescent="0.25">
      <c r="A1382" s="66"/>
      <c r="B1382" s="66"/>
      <c r="C1382" s="66"/>
      <c r="D1382" s="66"/>
      <c r="E1382" s="66"/>
      <c r="F1382" s="66"/>
      <c r="G1382" s="66"/>
      <c r="H1382" s="66"/>
      <c r="I1382" s="66"/>
      <c r="J1382" s="66"/>
      <c r="K1382" s="66"/>
    </row>
    <row r="1383" spans="1:11" x14ac:dyDescent="0.25">
      <c r="A1383" s="66"/>
      <c r="B1383" s="66"/>
      <c r="C1383" s="66"/>
      <c r="D1383" s="66"/>
      <c r="E1383" s="66"/>
      <c r="F1383" s="66"/>
      <c r="G1383" s="66"/>
      <c r="H1383" s="66"/>
      <c r="I1383" s="66"/>
      <c r="J1383" s="66"/>
      <c r="K1383" s="66"/>
    </row>
    <row r="1384" spans="1:11" x14ac:dyDescent="0.25">
      <c r="A1384" s="66"/>
      <c r="B1384" s="66"/>
      <c r="C1384" s="66"/>
      <c r="D1384" s="66"/>
      <c r="E1384" s="66"/>
      <c r="F1384" s="66"/>
      <c r="G1384" s="66"/>
      <c r="H1384" s="66"/>
      <c r="I1384" s="66"/>
      <c r="J1384" s="66"/>
      <c r="K1384" s="66"/>
    </row>
    <row r="1385" spans="1:11" x14ac:dyDescent="0.25">
      <c r="A1385" s="66"/>
      <c r="B1385" s="66"/>
      <c r="C1385" s="66"/>
      <c r="D1385" s="66"/>
      <c r="E1385" s="66"/>
      <c r="F1385" s="66"/>
      <c r="G1385" s="66"/>
      <c r="H1385" s="66"/>
      <c r="I1385" s="66"/>
      <c r="J1385" s="66"/>
      <c r="K1385" s="66"/>
    </row>
    <row r="1386" spans="1:11" x14ac:dyDescent="0.25">
      <c r="A1386" s="66"/>
      <c r="B1386" s="66"/>
      <c r="C1386" s="66"/>
      <c r="D1386" s="66"/>
      <c r="E1386" s="66"/>
      <c r="F1386" s="66"/>
      <c r="G1386" s="66"/>
      <c r="H1386" s="66"/>
      <c r="I1386" s="66"/>
      <c r="J1386" s="66"/>
      <c r="K1386" s="66"/>
    </row>
    <row r="1387" spans="1:11" x14ac:dyDescent="0.25">
      <c r="A1387" s="66"/>
      <c r="B1387" s="66"/>
      <c r="C1387" s="66"/>
      <c r="D1387" s="66"/>
      <c r="E1387" s="66"/>
      <c r="F1387" s="66"/>
      <c r="G1387" s="66"/>
      <c r="H1387" s="66"/>
      <c r="I1387" s="66"/>
      <c r="J1387" s="66"/>
      <c r="K1387" s="66"/>
    </row>
    <row r="1388" spans="1:11" x14ac:dyDescent="0.25">
      <c r="A1388" s="66"/>
      <c r="B1388" s="66"/>
      <c r="C1388" s="66"/>
      <c r="D1388" s="66"/>
      <c r="E1388" s="66"/>
      <c r="F1388" s="66"/>
      <c r="G1388" s="66"/>
      <c r="H1388" s="66"/>
      <c r="I1388" s="66"/>
      <c r="J1388" s="66"/>
      <c r="K1388" s="66"/>
    </row>
    <row r="1389" spans="1:11" x14ac:dyDescent="0.25">
      <c r="A1389" s="66"/>
      <c r="B1389" s="66"/>
      <c r="C1389" s="66"/>
      <c r="D1389" s="66"/>
      <c r="E1389" s="66"/>
      <c r="F1389" s="66"/>
      <c r="G1389" s="66"/>
      <c r="H1389" s="66"/>
      <c r="I1389" s="66"/>
      <c r="J1389" s="66"/>
      <c r="K1389" s="66"/>
    </row>
    <row r="1390" spans="1:11" x14ac:dyDescent="0.25">
      <c r="A1390" s="66"/>
      <c r="B1390" s="66"/>
      <c r="C1390" s="66"/>
      <c r="D1390" s="66"/>
      <c r="E1390" s="66"/>
      <c r="F1390" s="66"/>
      <c r="G1390" s="66"/>
      <c r="H1390" s="66"/>
      <c r="I1390" s="66"/>
      <c r="J1390" s="66"/>
      <c r="K1390" s="66"/>
    </row>
    <row r="1391" spans="1:11" x14ac:dyDescent="0.25">
      <c r="A1391" s="66"/>
      <c r="B1391" s="66"/>
      <c r="C1391" s="66"/>
      <c r="D1391" s="66"/>
      <c r="E1391" s="66"/>
      <c r="F1391" s="66"/>
      <c r="G1391" s="66"/>
      <c r="H1391" s="66"/>
      <c r="I1391" s="66"/>
      <c r="J1391" s="66"/>
      <c r="K1391" s="66"/>
    </row>
    <row r="1392" spans="1:11" x14ac:dyDescent="0.25">
      <c r="A1392" s="66"/>
      <c r="B1392" s="66"/>
      <c r="C1392" s="66"/>
      <c r="D1392" s="66"/>
      <c r="E1392" s="66"/>
      <c r="F1392" s="66"/>
      <c r="G1392" s="66"/>
      <c r="H1392" s="66"/>
      <c r="I1392" s="66"/>
      <c r="J1392" s="66"/>
      <c r="K1392" s="66"/>
    </row>
    <row r="1393" spans="1:11" x14ac:dyDescent="0.25">
      <c r="A1393" s="66"/>
      <c r="B1393" s="66"/>
      <c r="C1393" s="66"/>
      <c r="D1393" s="66"/>
      <c r="E1393" s="66"/>
      <c r="F1393" s="66"/>
      <c r="G1393" s="66"/>
      <c r="H1393" s="66"/>
      <c r="I1393" s="66"/>
      <c r="J1393" s="66"/>
      <c r="K1393" s="66"/>
    </row>
    <row r="1394" spans="1:11" x14ac:dyDescent="0.25">
      <c r="A1394" s="66"/>
      <c r="B1394" s="66"/>
      <c r="C1394" s="66"/>
      <c r="D1394" s="66"/>
      <c r="E1394" s="66"/>
      <c r="F1394" s="66"/>
      <c r="G1394" s="66"/>
      <c r="H1394" s="66"/>
      <c r="I1394" s="66"/>
      <c r="J1394" s="66"/>
      <c r="K1394" s="66"/>
    </row>
    <row r="1395" spans="1:11" x14ac:dyDescent="0.25">
      <c r="A1395" s="66"/>
      <c r="B1395" s="66"/>
      <c r="C1395" s="66"/>
      <c r="D1395" s="66"/>
      <c r="E1395" s="66"/>
      <c r="F1395" s="66"/>
      <c r="G1395" s="66"/>
      <c r="H1395" s="66"/>
      <c r="I1395" s="66"/>
      <c r="J1395" s="66"/>
      <c r="K1395" s="66"/>
    </row>
    <row r="1396" spans="1:11" x14ac:dyDescent="0.25">
      <c r="A1396" s="66"/>
      <c r="B1396" s="66"/>
      <c r="C1396" s="66"/>
      <c r="D1396" s="66"/>
      <c r="E1396" s="66"/>
      <c r="F1396" s="66"/>
      <c r="G1396" s="66"/>
      <c r="H1396" s="66"/>
      <c r="I1396" s="66"/>
      <c r="J1396" s="66"/>
      <c r="K1396" s="66"/>
    </row>
    <row r="1397" spans="1:11" x14ac:dyDescent="0.25">
      <c r="A1397" s="66"/>
      <c r="B1397" s="66"/>
      <c r="C1397" s="66"/>
      <c r="D1397" s="66"/>
      <c r="E1397" s="66"/>
      <c r="F1397" s="66"/>
      <c r="G1397" s="66"/>
      <c r="H1397" s="66"/>
      <c r="I1397" s="66"/>
      <c r="J1397" s="66"/>
      <c r="K1397" s="66"/>
    </row>
    <row r="1398" spans="1:11" x14ac:dyDescent="0.25">
      <c r="A1398" s="66"/>
      <c r="B1398" s="66"/>
      <c r="C1398" s="66"/>
      <c r="D1398" s="66"/>
      <c r="E1398" s="66"/>
      <c r="F1398" s="66"/>
      <c r="G1398" s="66"/>
      <c r="H1398" s="66"/>
      <c r="I1398" s="66"/>
      <c r="J1398" s="66"/>
      <c r="K1398" s="66"/>
    </row>
    <row r="1399" spans="1:11" x14ac:dyDescent="0.25">
      <c r="A1399" s="66"/>
      <c r="B1399" s="66"/>
      <c r="C1399" s="66"/>
      <c r="D1399" s="66"/>
      <c r="E1399" s="66"/>
      <c r="F1399" s="66"/>
      <c r="G1399" s="66"/>
      <c r="H1399" s="66"/>
      <c r="I1399" s="66"/>
      <c r="J1399" s="66"/>
      <c r="K1399" s="66"/>
    </row>
    <row r="1400" spans="1:11" x14ac:dyDescent="0.25">
      <c r="A1400" s="66"/>
      <c r="B1400" s="66"/>
      <c r="C1400" s="66"/>
      <c r="D1400" s="66"/>
      <c r="E1400" s="66"/>
      <c r="F1400" s="66"/>
      <c r="G1400" s="66"/>
      <c r="H1400" s="66"/>
      <c r="I1400" s="66"/>
      <c r="J1400" s="66"/>
      <c r="K1400" s="66"/>
    </row>
    <row r="1401" spans="1:11" x14ac:dyDescent="0.25">
      <c r="A1401" s="66"/>
      <c r="B1401" s="66"/>
      <c r="C1401" s="66"/>
      <c r="D1401" s="66"/>
      <c r="E1401" s="66"/>
      <c r="F1401" s="66"/>
      <c r="G1401" s="66"/>
      <c r="H1401" s="66"/>
      <c r="I1401" s="66"/>
      <c r="J1401" s="66"/>
      <c r="K1401" s="66"/>
    </row>
    <row r="1402" spans="1:11" x14ac:dyDescent="0.25">
      <c r="A1402" s="66"/>
      <c r="B1402" s="66"/>
      <c r="C1402" s="66"/>
      <c r="D1402" s="66"/>
      <c r="E1402" s="66"/>
      <c r="F1402" s="66"/>
      <c r="G1402" s="66"/>
      <c r="H1402" s="66"/>
      <c r="I1402" s="66"/>
      <c r="J1402" s="66"/>
      <c r="K1402" s="66"/>
    </row>
    <row r="1403" spans="1:11" x14ac:dyDescent="0.25">
      <c r="A1403" s="66"/>
      <c r="B1403" s="66"/>
      <c r="C1403" s="66"/>
      <c r="D1403" s="66"/>
      <c r="E1403" s="66"/>
      <c r="F1403" s="66"/>
      <c r="G1403" s="66"/>
      <c r="H1403" s="66"/>
      <c r="I1403" s="66"/>
      <c r="J1403" s="66"/>
      <c r="K1403" s="66"/>
    </row>
    <row r="1404" spans="1:11" x14ac:dyDescent="0.25">
      <c r="A1404" s="66"/>
      <c r="B1404" s="66"/>
      <c r="C1404" s="66"/>
      <c r="D1404" s="66"/>
      <c r="E1404" s="66"/>
      <c r="F1404" s="66"/>
      <c r="G1404" s="66"/>
      <c r="H1404" s="66"/>
      <c r="I1404" s="66"/>
      <c r="J1404" s="66"/>
      <c r="K1404" s="66"/>
    </row>
    <row r="1405" spans="1:11" x14ac:dyDescent="0.25">
      <c r="A1405" s="66"/>
      <c r="B1405" s="66"/>
      <c r="C1405" s="66"/>
      <c r="D1405" s="66"/>
      <c r="E1405" s="66"/>
      <c r="F1405" s="66"/>
      <c r="G1405" s="66"/>
      <c r="H1405" s="66"/>
      <c r="I1405" s="66"/>
      <c r="J1405" s="66"/>
      <c r="K1405" s="66"/>
    </row>
    <row r="1406" spans="1:11" x14ac:dyDescent="0.25">
      <c r="A1406" s="66"/>
      <c r="B1406" s="66"/>
      <c r="C1406" s="66"/>
      <c r="D1406" s="66"/>
      <c r="E1406" s="66"/>
      <c r="F1406" s="66"/>
      <c r="G1406" s="66"/>
      <c r="H1406" s="66"/>
      <c r="I1406" s="66"/>
      <c r="J1406" s="66"/>
      <c r="K1406" s="66"/>
    </row>
    <row r="1407" spans="1:11" x14ac:dyDescent="0.25">
      <c r="A1407" s="66"/>
      <c r="B1407" s="66"/>
      <c r="C1407" s="66"/>
      <c r="D1407" s="66"/>
      <c r="E1407" s="66"/>
      <c r="F1407" s="66"/>
      <c r="G1407" s="66"/>
      <c r="H1407" s="66"/>
      <c r="I1407" s="66"/>
      <c r="J1407" s="66"/>
      <c r="K1407" s="66"/>
    </row>
    <row r="1408" spans="1:11" x14ac:dyDescent="0.25">
      <c r="A1408" s="66"/>
      <c r="B1408" s="66"/>
      <c r="C1408" s="66"/>
      <c r="D1408" s="66"/>
      <c r="E1408" s="66"/>
      <c r="F1408" s="66"/>
      <c r="G1408" s="66"/>
      <c r="H1408" s="66"/>
      <c r="I1408" s="66"/>
      <c r="J1408" s="66"/>
      <c r="K1408" s="66"/>
    </row>
    <row r="1409" spans="1:11" x14ac:dyDescent="0.25">
      <c r="A1409" s="66"/>
      <c r="B1409" s="66"/>
      <c r="C1409" s="66"/>
      <c r="D1409" s="66"/>
      <c r="E1409" s="66"/>
      <c r="F1409" s="66"/>
      <c r="G1409" s="66"/>
      <c r="H1409" s="66"/>
      <c r="I1409" s="66"/>
      <c r="J1409" s="66"/>
      <c r="K1409" s="66"/>
    </row>
    <row r="1410" spans="1:11" x14ac:dyDescent="0.25">
      <c r="A1410" s="66"/>
      <c r="B1410" s="66"/>
      <c r="C1410" s="66"/>
      <c r="D1410" s="66"/>
      <c r="E1410" s="66"/>
      <c r="F1410" s="66"/>
      <c r="G1410" s="66"/>
      <c r="H1410" s="66"/>
      <c r="I1410" s="66"/>
      <c r="J1410" s="66"/>
      <c r="K1410" s="66"/>
    </row>
    <row r="1411" spans="1:11" x14ac:dyDescent="0.25">
      <c r="A1411" s="66"/>
      <c r="B1411" s="66"/>
      <c r="C1411" s="66"/>
      <c r="D1411" s="66"/>
      <c r="E1411" s="66"/>
      <c r="F1411" s="66"/>
      <c r="G1411" s="66"/>
      <c r="H1411" s="66"/>
      <c r="I1411" s="66"/>
      <c r="J1411" s="66"/>
      <c r="K1411" s="66"/>
    </row>
    <row r="1412" spans="1:11" x14ac:dyDescent="0.25">
      <c r="A1412" s="66"/>
      <c r="B1412" s="66"/>
      <c r="C1412" s="66"/>
      <c r="D1412" s="66"/>
      <c r="E1412" s="66"/>
      <c r="F1412" s="66"/>
      <c r="G1412" s="66"/>
      <c r="H1412" s="66"/>
      <c r="I1412" s="66"/>
      <c r="J1412" s="66"/>
      <c r="K1412" s="66"/>
    </row>
    <row r="1413" spans="1:11" x14ac:dyDescent="0.25">
      <c r="A1413" s="66"/>
      <c r="B1413" s="66"/>
      <c r="C1413" s="66"/>
      <c r="D1413" s="66"/>
      <c r="E1413" s="66"/>
      <c r="F1413" s="66"/>
      <c r="G1413" s="66"/>
      <c r="H1413" s="66"/>
      <c r="I1413" s="66"/>
      <c r="J1413" s="66"/>
      <c r="K1413" s="66"/>
    </row>
    <row r="1414" spans="1:11" x14ac:dyDescent="0.25">
      <c r="A1414" s="66"/>
      <c r="B1414" s="66"/>
      <c r="C1414" s="66"/>
      <c r="D1414" s="66"/>
      <c r="E1414" s="66"/>
      <c r="F1414" s="66"/>
      <c r="G1414" s="66"/>
      <c r="H1414" s="66"/>
      <c r="I1414" s="66"/>
      <c r="J1414" s="66"/>
      <c r="K1414" s="66"/>
    </row>
    <row r="1415" spans="1:11" x14ac:dyDescent="0.25">
      <c r="A1415" s="66"/>
      <c r="B1415" s="66"/>
      <c r="C1415" s="66"/>
      <c r="D1415" s="66"/>
      <c r="E1415" s="66"/>
      <c r="F1415" s="66"/>
      <c r="G1415" s="66"/>
      <c r="H1415" s="66"/>
      <c r="I1415" s="66"/>
      <c r="J1415" s="66"/>
      <c r="K1415" s="66"/>
    </row>
    <row r="1416" spans="1:11" x14ac:dyDescent="0.25">
      <c r="A1416" s="66"/>
      <c r="B1416" s="66"/>
      <c r="C1416" s="66"/>
      <c r="D1416" s="66"/>
      <c r="E1416" s="66"/>
      <c r="F1416" s="66"/>
      <c r="G1416" s="66"/>
      <c r="H1416" s="66"/>
      <c r="I1416" s="66"/>
      <c r="J1416" s="66"/>
      <c r="K1416" s="66"/>
    </row>
    <row r="1417" spans="1:11" x14ac:dyDescent="0.25">
      <c r="A1417" s="66"/>
      <c r="B1417" s="66"/>
      <c r="C1417" s="66"/>
      <c r="D1417" s="66"/>
      <c r="E1417" s="66"/>
      <c r="F1417" s="66"/>
      <c r="G1417" s="66"/>
      <c r="H1417" s="66"/>
      <c r="I1417" s="66"/>
      <c r="J1417" s="66"/>
      <c r="K1417" s="66"/>
    </row>
    <row r="1418" spans="1:11" x14ac:dyDescent="0.25">
      <c r="A1418" s="66"/>
      <c r="B1418" s="66"/>
      <c r="C1418" s="66"/>
      <c r="D1418" s="66"/>
      <c r="E1418" s="66"/>
      <c r="F1418" s="66"/>
      <c r="G1418" s="66"/>
      <c r="H1418" s="66"/>
      <c r="I1418" s="66"/>
      <c r="J1418" s="66"/>
      <c r="K1418" s="66"/>
    </row>
    <row r="1419" spans="1:11" x14ac:dyDescent="0.25">
      <c r="A1419" s="66"/>
      <c r="B1419" s="66"/>
      <c r="C1419" s="66"/>
      <c r="D1419" s="66"/>
      <c r="E1419" s="66"/>
      <c r="F1419" s="66"/>
      <c r="G1419" s="66"/>
      <c r="H1419" s="66"/>
      <c r="I1419" s="66"/>
      <c r="J1419" s="66"/>
      <c r="K1419" s="66"/>
    </row>
    <row r="1420" spans="1:11" x14ac:dyDescent="0.25">
      <c r="A1420" s="66"/>
      <c r="B1420" s="66"/>
      <c r="C1420" s="66"/>
      <c r="D1420" s="66"/>
      <c r="E1420" s="66"/>
      <c r="F1420" s="66"/>
      <c r="G1420" s="66"/>
      <c r="H1420" s="66"/>
      <c r="I1420" s="66"/>
      <c r="J1420" s="66"/>
      <c r="K1420" s="66"/>
    </row>
    <row r="1421" spans="1:11" x14ac:dyDescent="0.25">
      <c r="A1421" s="66"/>
      <c r="B1421" s="66"/>
      <c r="C1421" s="66"/>
      <c r="D1421" s="66"/>
      <c r="E1421" s="66"/>
      <c r="F1421" s="66"/>
      <c r="G1421" s="66"/>
      <c r="H1421" s="66"/>
      <c r="I1421" s="66"/>
      <c r="J1421" s="66"/>
      <c r="K1421" s="66"/>
    </row>
    <row r="1422" spans="1:11" x14ac:dyDescent="0.25">
      <c r="A1422" s="66"/>
      <c r="B1422" s="66"/>
      <c r="C1422" s="66"/>
      <c r="D1422" s="66"/>
      <c r="E1422" s="66"/>
      <c r="F1422" s="66"/>
      <c r="G1422" s="66"/>
      <c r="H1422" s="66"/>
      <c r="I1422" s="66"/>
      <c r="J1422" s="66"/>
      <c r="K1422" s="66"/>
    </row>
    <row r="1423" spans="1:11" x14ac:dyDescent="0.25">
      <c r="A1423" s="66"/>
      <c r="B1423" s="66"/>
      <c r="C1423" s="66"/>
      <c r="D1423" s="66"/>
      <c r="E1423" s="66"/>
      <c r="F1423" s="66"/>
      <c r="G1423" s="66"/>
      <c r="H1423" s="66"/>
      <c r="I1423" s="66"/>
      <c r="J1423" s="66"/>
      <c r="K1423" s="66"/>
    </row>
    <row r="1424" spans="1:11" x14ac:dyDescent="0.25">
      <c r="A1424" s="66"/>
      <c r="B1424" s="66"/>
      <c r="C1424" s="66"/>
      <c r="D1424" s="66"/>
      <c r="E1424" s="66"/>
      <c r="F1424" s="66"/>
      <c r="G1424" s="66"/>
      <c r="H1424" s="66"/>
      <c r="I1424" s="66"/>
      <c r="J1424" s="66"/>
      <c r="K1424" s="66"/>
    </row>
    <row r="1425" spans="1:11" x14ac:dyDescent="0.25">
      <c r="A1425" s="66"/>
      <c r="B1425" s="66"/>
      <c r="C1425" s="66"/>
      <c r="D1425" s="66"/>
      <c r="E1425" s="66"/>
      <c r="F1425" s="66"/>
      <c r="G1425" s="66"/>
      <c r="H1425" s="66"/>
      <c r="I1425" s="66"/>
      <c r="J1425" s="66"/>
      <c r="K1425" s="66"/>
    </row>
    <row r="1426" spans="1:11" x14ac:dyDescent="0.25">
      <c r="A1426" s="66"/>
      <c r="B1426" s="66"/>
      <c r="C1426" s="66"/>
      <c r="D1426" s="66"/>
      <c r="E1426" s="66"/>
      <c r="F1426" s="66"/>
      <c r="G1426" s="66"/>
      <c r="H1426" s="66"/>
      <c r="I1426" s="66"/>
      <c r="J1426" s="66"/>
      <c r="K1426" s="66"/>
    </row>
    <row r="1427" spans="1:11" x14ac:dyDescent="0.25">
      <c r="A1427" s="66"/>
      <c r="B1427" s="66"/>
      <c r="C1427" s="66"/>
      <c r="D1427" s="66"/>
      <c r="E1427" s="66"/>
      <c r="F1427" s="66"/>
      <c r="G1427" s="66"/>
      <c r="H1427" s="66"/>
      <c r="I1427" s="66"/>
      <c r="J1427" s="66"/>
      <c r="K1427" s="66"/>
    </row>
    <row r="1428" spans="1:11" x14ac:dyDescent="0.25">
      <c r="A1428" s="66"/>
      <c r="B1428" s="66"/>
      <c r="C1428" s="66"/>
      <c r="D1428" s="66"/>
      <c r="E1428" s="66"/>
      <c r="F1428" s="66"/>
      <c r="G1428" s="66"/>
      <c r="H1428" s="66"/>
      <c r="I1428" s="66"/>
      <c r="J1428" s="66"/>
      <c r="K1428" s="66"/>
    </row>
    <row r="1429" spans="1:11" x14ac:dyDescent="0.25">
      <c r="A1429" s="66"/>
      <c r="B1429" s="66"/>
      <c r="C1429" s="66"/>
      <c r="D1429" s="66"/>
      <c r="E1429" s="66"/>
      <c r="F1429" s="66"/>
      <c r="G1429" s="66"/>
      <c r="H1429" s="66"/>
      <c r="I1429" s="66"/>
      <c r="J1429" s="66"/>
      <c r="K1429" s="66"/>
    </row>
    <row r="1430" spans="1:11" x14ac:dyDescent="0.25">
      <c r="A1430" s="66"/>
      <c r="B1430" s="66"/>
      <c r="C1430" s="66"/>
      <c r="D1430" s="66"/>
      <c r="E1430" s="66"/>
      <c r="F1430" s="66"/>
      <c r="G1430" s="66"/>
      <c r="H1430" s="66"/>
      <c r="I1430" s="66"/>
      <c r="J1430" s="66"/>
      <c r="K1430" s="66"/>
    </row>
    <row r="1431" spans="1:11" x14ac:dyDescent="0.25">
      <c r="A1431" s="66"/>
      <c r="B1431" s="66"/>
      <c r="C1431" s="66"/>
      <c r="D1431" s="66"/>
      <c r="E1431" s="66"/>
      <c r="F1431" s="66"/>
      <c r="G1431" s="66"/>
      <c r="H1431" s="66"/>
      <c r="I1431" s="66"/>
      <c r="J1431" s="66"/>
      <c r="K1431" s="66"/>
    </row>
    <row r="1432" spans="1:11" x14ac:dyDescent="0.25">
      <c r="A1432" s="66"/>
      <c r="B1432" s="66"/>
      <c r="C1432" s="66"/>
      <c r="D1432" s="66"/>
      <c r="E1432" s="66"/>
      <c r="F1432" s="66"/>
      <c r="G1432" s="66"/>
      <c r="H1432" s="66"/>
      <c r="I1432" s="66"/>
      <c r="J1432" s="66"/>
      <c r="K1432" s="66"/>
    </row>
    <row r="1433" spans="1:11" x14ac:dyDescent="0.25">
      <c r="A1433" s="66"/>
      <c r="B1433" s="66"/>
      <c r="C1433" s="66"/>
      <c r="D1433" s="66"/>
      <c r="E1433" s="66"/>
      <c r="F1433" s="66"/>
      <c r="G1433" s="66"/>
      <c r="H1433" s="66"/>
      <c r="I1433" s="66"/>
      <c r="J1433" s="66"/>
      <c r="K1433" s="66"/>
    </row>
    <row r="1434" spans="1:11" x14ac:dyDescent="0.25">
      <c r="A1434" s="66"/>
      <c r="B1434" s="66"/>
      <c r="C1434" s="66"/>
      <c r="D1434" s="66"/>
      <c r="E1434" s="66"/>
      <c r="F1434" s="66"/>
      <c r="G1434" s="66"/>
      <c r="H1434" s="66"/>
      <c r="I1434" s="66"/>
      <c r="J1434" s="66"/>
      <c r="K1434" s="66"/>
    </row>
    <row r="1435" spans="1:11" x14ac:dyDescent="0.25">
      <c r="A1435" s="66"/>
      <c r="B1435" s="66"/>
      <c r="C1435" s="66"/>
      <c r="D1435" s="66"/>
      <c r="E1435" s="66"/>
      <c r="F1435" s="66"/>
      <c r="G1435" s="66"/>
      <c r="H1435" s="66"/>
      <c r="I1435" s="66"/>
      <c r="J1435" s="66"/>
      <c r="K1435" s="66"/>
    </row>
    <row r="1436" spans="1:11" x14ac:dyDescent="0.25">
      <c r="A1436" s="66"/>
      <c r="B1436" s="66"/>
      <c r="C1436" s="66"/>
      <c r="D1436" s="66"/>
      <c r="E1436" s="66"/>
      <c r="F1436" s="66"/>
      <c r="G1436" s="66"/>
      <c r="H1436" s="66"/>
      <c r="I1436" s="66"/>
      <c r="J1436" s="66"/>
      <c r="K1436" s="66"/>
    </row>
    <row r="1437" spans="1:11" x14ac:dyDescent="0.25">
      <c r="A1437" s="66"/>
      <c r="B1437" s="66"/>
      <c r="C1437" s="66"/>
      <c r="D1437" s="66"/>
      <c r="E1437" s="66"/>
      <c r="F1437" s="66"/>
      <c r="G1437" s="66"/>
      <c r="H1437" s="66"/>
      <c r="I1437" s="66"/>
      <c r="J1437" s="66"/>
      <c r="K1437" s="66"/>
    </row>
    <row r="1438" spans="1:11" x14ac:dyDescent="0.25">
      <c r="A1438" s="66"/>
      <c r="B1438" s="66"/>
      <c r="C1438" s="66"/>
      <c r="D1438" s="66"/>
      <c r="E1438" s="66"/>
      <c r="F1438" s="66"/>
      <c r="G1438" s="66"/>
      <c r="H1438" s="66"/>
      <c r="I1438" s="66"/>
      <c r="J1438" s="66"/>
      <c r="K1438" s="66"/>
    </row>
    <row r="1439" spans="1:11" x14ac:dyDescent="0.25">
      <c r="A1439" s="66"/>
      <c r="B1439" s="66"/>
      <c r="C1439" s="66"/>
      <c r="D1439" s="66"/>
      <c r="E1439" s="66"/>
      <c r="F1439" s="66"/>
      <c r="G1439" s="66"/>
      <c r="H1439" s="66"/>
      <c r="I1439" s="66"/>
      <c r="J1439" s="66"/>
      <c r="K1439" s="66"/>
    </row>
    <row r="1440" spans="1:11" x14ac:dyDescent="0.25">
      <c r="A1440" s="66"/>
      <c r="B1440" s="66"/>
      <c r="C1440" s="66"/>
      <c r="D1440" s="66"/>
      <c r="E1440" s="66"/>
      <c r="F1440" s="66"/>
      <c r="G1440" s="66"/>
      <c r="H1440" s="66"/>
      <c r="I1440" s="66"/>
      <c r="J1440" s="66"/>
      <c r="K1440" s="66"/>
    </row>
    <row r="1441" spans="1:11" x14ac:dyDescent="0.25">
      <c r="A1441" s="66"/>
      <c r="B1441" s="66"/>
      <c r="C1441" s="66"/>
      <c r="D1441" s="66"/>
      <c r="E1441" s="66"/>
      <c r="F1441" s="66"/>
      <c r="G1441" s="66"/>
      <c r="H1441" s="66"/>
      <c r="I1441" s="66"/>
      <c r="J1441" s="66"/>
      <c r="K1441" s="66"/>
    </row>
    <row r="1442" spans="1:11" x14ac:dyDescent="0.25">
      <c r="A1442" s="66"/>
      <c r="B1442" s="66"/>
      <c r="C1442" s="66"/>
      <c r="D1442" s="66"/>
      <c r="E1442" s="66"/>
      <c r="F1442" s="66"/>
      <c r="G1442" s="66"/>
      <c r="H1442" s="66"/>
      <c r="I1442" s="66"/>
      <c r="J1442" s="66"/>
      <c r="K1442" s="66"/>
    </row>
    <row r="1443" spans="1:11" x14ac:dyDescent="0.25">
      <c r="A1443" s="66"/>
      <c r="B1443" s="66"/>
      <c r="C1443" s="66"/>
      <c r="D1443" s="66"/>
      <c r="E1443" s="66"/>
      <c r="F1443" s="66"/>
      <c r="G1443" s="66"/>
      <c r="H1443" s="66"/>
      <c r="I1443" s="66"/>
      <c r="J1443" s="66"/>
      <c r="K1443" s="66"/>
    </row>
    <row r="1444" spans="1:11" x14ac:dyDescent="0.25">
      <c r="A1444" s="66"/>
      <c r="B1444" s="66"/>
      <c r="C1444" s="66"/>
      <c r="D1444" s="66"/>
      <c r="E1444" s="66"/>
      <c r="F1444" s="66"/>
      <c r="G1444" s="66"/>
      <c r="H1444" s="66"/>
      <c r="I1444" s="66"/>
      <c r="J1444" s="66"/>
      <c r="K1444" s="66"/>
    </row>
    <row r="1445" spans="1:11" x14ac:dyDescent="0.25">
      <c r="A1445" s="66"/>
      <c r="B1445" s="66"/>
      <c r="C1445" s="66"/>
      <c r="D1445" s="66"/>
      <c r="E1445" s="66"/>
      <c r="F1445" s="66"/>
      <c r="G1445" s="66"/>
      <c r="H1445" s="66"/>
      <c r="I1445" s="66"/>
      <c r="J1445" s="66"/>
      <c r="K1445" s="66"/>
    </row>
    <row r="1446" spans="1:11" x14ac:dyDescent="0.25">
      <c r="A1446" s="66"/>
      <c r="B1446" s="66"/>
      <c r="C1446" s="66"/>
      <c r="D1446" s="66"/>
      <c r="E1446" s="66"/>
      <c r="F1446" s="66"/>
      <c r="G1446" s="66"/>
      <c r="H1446" s="66"/>
      <c r="I1446" s="66"/>
      <c r="J1446" s="66"/>
      <c r="K1446" s="66"/>
    </row>
    <row r="1447" spans="1:11" x14ac:dyDescent="0.25">
      <c r="A1447" s="66"/>
      <c r="B1447" s="66"/>
      <c r="C1447" s="66"/>
      <c r="D1447" s="66"/>
      <c r="E1447" s="66"/>
      <c r="F1447" s="66"/>
      <c r="G1447" s="66"/>
      <c r="H1447" s="66"/>
      <c r="I1447" s="66"/>
      <c r="J1447" s="66"/>
      <c r="K1447" s="66"/>
    </row>
    <row r="1448" spans="1:11" x14ac:dyDescent="0.25">
      <c r="A1448" s="66"/>
      <c r="B1448" s="66"/>
      <c r="C1448" s="66"/>
      <c r="D1448" s="66"/>
      <c r="E1448" s="66"/>
      <c r="F1448" s="66"/>
      <c r="G1448" s="66"/>
      <c r="H1448" s="66"/>
      <c r="I1448" s="66"/>
      <c r="J1448" s="66"/>
      <c r="K1448" s="66"/>
    </row>
    <row r="1449" spans="1:11" x14ac:dyDescent="0.25">
      <c r="A1449" s="66"/>
      <c r="B1449" s="66"/>
      <c r="C1449" s="66"/>
      <c r="D1449" s="66"/>
      <c r="E1449" s="66"/>
      <c r="F1449" s="66"/>
      <c r="G1449" s="66"/>
      <c r="H1449" s="66"/>
      <c r="I1449" s="66"/>
      <c r="J1449" s="66"/>
      <c r="K1449" s="66"/>
    </row>
    <row r="1450" spans="1:11" x14ac:dyDescent="0.25">
      <c r="A1450" s="66"/>
      <c r="B1450" s="66"/>
      <c r="C1450" s="66"/>
      <c r="D1450" s="66"/>
      <c r="E1450" s="66"/>
      <c r="F1450" s="66"/>
      <c r="G1450" s="66"/>
      <c r="H1450" s="66"/>
      <c r="I1450" s="66"/>
      <c r="J1450" s="66"/>
      <c r="K1450" s="66"/>
    </row>
    <row r="1451" spans="1:11" x14ac:dyDescent="0.25">
      <c r="A1451" s="66"/>
      <c r="B1451" s="66"/>
      <c r="C1451" s="66"/>
      <c r="D1451" s="66"/>
      <c r="E1451" s="66"/>
      <c r="F1451" s="66"/>
      <c r="G1451" s="66"/>
      <c r="H1451" s="66"/>
      <c r="I1451" s="66"/>
      <c r="J1451" s="66"/>
      <c r="K1451" s="66"/>
    </row>
    <row r="1452" spans="1:11" x14ac:dyDescent="0.25">
      <c r="A1452" s="66"/>
      <c r="B1452" s="66"/>
      <c r="C1452" s="66"/>
      <c r="D1452" s="66"/>
      <c r="E1452" s="66"/>
      <c r="F1452" s="66"/>
      <c r="G1452" s="66"/>
      <c r="H1452" s="66"/>
      <c r="I1452" s="66"/>
      <c r="J1452" s="66"/>
      <c r="K1452" s="66"/>
    </row>
    <row r="1453" spans="1:11" x14ac:dyDescent="0.25">
      <c r="A1453" s="66"/>
      <c r="B1453" s="66"/>
      <c r="C1453" s="66"/>
      <c r="D1453" s="66"/>
      <c r="E1453" s="66"/>
      <c r="F1453" s="66"/>
      <c r="G1453" s="66"/>
      <c r="H1453" s="66"/>
      <c r="I1453" s="66"/>
      <c r="J1453" s="66"/>
      <c r="K1453" s="66"/>
    </row>
    <row r="1454" spans="1:11" x14ac:dyDescent="0.25">
      <c r="A1454" s="66"/>
      <c r="B1454" s="66"/>
      <c r="C1454" s="66"/>
      <c r="D1454" s="66"/>
      <c r="E1454" s="66"/>
      <c r="F1454" s="66"/>
      <c r="G1454" s="66"/>
      <c r="H1454" s="66"/>
      <c r="I1454" s="66"/>
      <c r="J1454" s="66"/>
      <c r="K1454" s="66"/>
    </row>
    <row r="1455" spans="1:11" x14ac:dyDescent="0.25">
      <c r="A1455" s="66"/>
      <c r="B1455" s="66"/>
      <c r="C1455" s="66"/>
      <c r="D1455" s="66"/>
      <c r="E1455" s="66"/>
      <c r="F1455" s="66"/>
      <c r="G1455" s="66"/>
      <c r="H1455" s="66"/>
      <c r="I1455" s="66"/>
      <c r="J1455" s="66"/>
      <c r="K1455" s="66"/>
    </row>
    <row r="1456" spans="1:11" x14ac:dyDescent="0.25">
      <c r="A1456" s="66"/>
      <c r="B1456" s="66"/>
      <c r="C1456" s="66"/>
      <c r="D1456" s="66"/>
      <c r="E1456" s="66"/>
      <c r="F1456" s="66"/>
      <c r="G1456" s="66"/>
      <c r="H1456" s="66"/>
      <c r="I1456" s="66"/>
      <c r="J1456" s="66"/>
      <c r="K1456" s="66"/>
    </row>
    <row r="1457" spans="1:11" x14ac:dyDescent="0.25">
      <c r="A1457" s="66"/>
      <c r="B1457" s="66"/>
      <c r="C1457" s="66"/>
      <c r="D1457" s="66"/>
      <c r="E1457" s="66"/>
      <c r="F1457" s="66"/>
      <c r="G1457" s="66"/>
      <c r="H1457" s="66"/>
      <c r="I1457" s="66"/>
      <c r="J1457" s="66"/>
      <c r="K1457" s="66"/>
    </row>
    <row r="1458" spans="1:11" x14ac:dyDescent="0.25">
      <c r="A1458" s="66"/>
      <c r="B1458" s="66"/>
      <c r="C1458" s="66"/>
      <c r="D1458" s="66"/>
      <c r="E1458" s="66"/>
      <c r="F1458" s="66"/>
      <c r="G1458" s="66"/>
      <c r="H1458" s="66"/>
      <c r="I1458" s="66"/>
      <c r="J1458" s="66"/>
      <c r="K1458" s="66"/>
    </row>
    <row r="1459" spans="1:11" x14ac:dyDescent="0.25">
      <c r="A1459" s="66"/>
      <c r="B1459" s="66"/>
      <c r="C1459" s="66"/>
      <c r="D1459" s="66"/>
      <c r="E1459" s="66"/>
      <c r="F1459" s="66"/>
      <c r="G1459" s="66"/>
      <c r="H1459" s="66"/>
      <c r="I1459" s="66"/>
      <c r="J1459" s="66"/>
      <c r="K1459" s="66"/>
    </row>
    <row r="1460" spans="1:11" x14ac:dyDescent="0.25">
      <c r="A1460" s="66"/>
      <c r="B1460" s="66"/>
      <c r="C1460" s="66"/>
      <c r="D1460" s="66"/>
      <c r="E1460" s="66"/>
      <c r="F1460" s="66"/>
      <c r="G1460" s="66"/>
      <c r="H1460" s="66"/>
      <c r="I1460" s="66"/>
      <c r="J1460" s="66"/>
      <c r="K1460" s="66"/>
    </row>
    <row r="1461" spans="1:11" x14ac:dyDescent="0.25">
      <c r="A1461" s="66"/>
      <c r="B1461" s="66"/>
      <c r="C1461" s="66"/>
      <c r="D1461" s="66"/>
      <c r="E1461" s="66"/>
      <c r="F1461" s="66"/>
      <c r="G1461" s="66"/>
      <c r="H1461" s="66"/>
      <c r="I1461" s="66"/>
      <c r="J1461" s="66"/>
      <c r="K1461" s="66"/>
    </row>
    <row r="1462" spans="1:11" x14ac:dyDescent="0.25">
      <c r="A1462" s="66"/>
      <c r="B1462" s="66"/>
      <c r="C1462" s="66"/>
      <c r="D1462" s="66"/>
      <c r="E1462" s="66"/>
      <c r="F1462" s="66"/>
      <c r="G1462" s="66"/>
      <c r="H1462" s="66"/>
      <c r="I1462" s="66"/>
      <c r="J1462" s="66"/>
      <c r="K1462" s="66"/>
    </row>
    <row r="1463" spans="1:11" x14ac:dyDescent="0.25">
      <c r="A1463" s="66"/>
      <c r="B1463" s="66"/>
      <c r="C1463" s="66"/>
      <c r="D1463" s="66"/>
      <c r="E1463" s="66"/>
      <c r="F1463" s="66"/>
      <c r="G1463" s="66"/>
      <c r="H1463" s="66"/>
      <c r="I1463" s="66"/>
      <c r="J1463" s="66"/>
      <c r="K1463" s="66"/>
    </row>
    <row r="1464" spans="1:11" x14ac:dyDescent="0.25">
      <c r="A1464" s="66"/>
      <c r="B1464" s="66"/>
      <c r="C1464" s="66"/>
      <c r="D1464" s="66"/>
      <c r="E1464" s="66"/>
      <c r="F1464" s="66"/>
      <c r="G1464" s="66"/>
      <c r="H1464" s="66"/>
      <c r="I1464" s="66"/>
      <c r="J1464" s="66"/>
      <c r="K1464" s="66"/>
    </row>
    <row r="1465" spans="1:11" x14ac:dyDescent="0.25">
      <c r="A1465" s="66"/>
      <c r="B1465" s="66"/>
      <c r="C1465" s="66"/>
      <c r="D1465" s="66"/>
      <c r="E1465" s="66"/>
      <c r="F1465" s="66"/>
      <c r="G1465" s="66"/>
      <c r="H1465" s="66"/>
      <c r="I1465" s="66"/>
      <c r="J1465" s="66"/>
      <c r="K1465" s="66"/>
    </row>
    <row r="1466" spans="1:11" x14ac:dyDescent="0.25">
      <c r="A1466" s="66"/>
      <c r="B1466" s="66"/>
      <c r="C1466" s="66"/>
      <c r="D1466" s="66"/>
      <c r="E1466" s="66"/>
      <c r="F1466" s="66"/>
      <c r="G1466" s="66"/>
      <c r="H1466" s="66"/>
      <c r="I1466" s="66"/>
      <c r="J1466" s="66"/>
      <c r="K1466" s="66"/>
    </row>
    <row r="1467" spans="1:11" x14ac:dyDescent="0.25">
      <c r="A1467" s="66"/>
      <c r="B1467" s="66"/>
      <c r="C1467" s="66"/>
      <c r="D1467" s="66"/>
      <c r="E1467" s="66"/>
      <c r="F1467" s="66"/>
      <c r="G1467" s="66"/>
      <c r="H1467" s="66"/>
      <c r="I1467" s="66"/>
      <c r="J1467" s="66"/>
      <c r="K1467" s="66"/>
    </row>
    <row r="1468" spans="1:11" x14ac:dyDescent="0.25">
      <c r="A1468" s="66"/>
      <c r="B1468" s="66"/>
      <c r="C1468" s="66"/>
      <c r="D1468" s="66"/>
      <c r="E1468" s="66"/>
      <c r="F1468" s="66"/>
      <c r="G1468" s="66"/>
      <c r="H1468" s="66"/>
      <c r="I1468" s="66"/>
      <c r="J1468" s="66"/>
      <c r="K1468" s="66"/>
    </row>
    <row r="1469" spans="1:11" x14ac:dyDescent="0.25">
      <c r="A1469" s="66"/>
      <c r="B1469" s="66"/>
      <c r="C1469" s="66"/>
      <c r="D1469" s="66"/>
      <c r="E1469" s="66"/>
      <c r="F1469" s="66"/>
      <c r="G1469" s="66"/>
      <c r="H1469" s="66"/>
      <c r="I1469" s="66"/>
      <c r="J1469" s="66"/>
      <c r="K1469" s="66"/>
    </row>
    <row r="1470" spans="1:11" x14ac:dyDescent="0.25">
      <c r="A1470" s="66"/>
      <c r="B1470" s="66"/>
      <c r="C1470" s="66"/>
      <c r="D1470" s="66"/>
      <c r="E1470" s="66"/>
      <c r="F1470" s="66"/>
      <c r="G1470" s="66"/>
      <c r="H1470" s="66"/>
      <c r="I1470" s="66"/>
      <c r="J1470" s="66"/>
      <c r="K1470" s="66"/>
    </row>
    <row r="1471" spans="1:11" x14ac:dyDescent="0.25">
      <c r="A1471" s="66"/>
      <c r="B1471" s="66"/>
      <c r="C1471" s="66"/>
      <c r="D1471" s="66"/>
      <c r="E1471" s="66"/>
      <c r="F1471" s="66"/>
      <c r="G1471" s="66"/>
      <c r="H1471" s="66"/>
      <c r="I1471" s="66"/>
      <c r="J1471" s="66"/>
      <c r="K1471" s="66"/>
    </row>
    <row r="1472" spans="1:11" x14ac:dyDescent="0.25">
      <c r="A1472" s="66"/>
      <c r="B1472" s="66"/>
      <c r="C1472" s="66"/>
      <c r="D1472" s="66"/>
      <c r="E1472" s="66"/>
      <c r="F1472" s="66"/>
      <c r="G1472" s="66"/>
      <c r="H1472" s="66"/>
      <c r="I1472" s="66"/>
      <c r="J1472" s="66"/>
      <c r="K1472" s="66"/>
    </row>
    <row r="1473" spans="1:11" x14ac:dyDescent="0.25">
      <c r="A1473" s="66"/>
      <c r="B1473" s="66"/>
      <c r="C1473" s="66"/>
      <c r="D1473" s="66"/>
      <c r="E1473" s="66"/>
      <c r="F1473" s="66"/>
      <c r="G1473" s="66"/>
      <c r="H1473" s="66"/>
      <c r="I1473" s="66"/>
      <c r="J1473" s="66"/>
      <c r="K1473" s="66"/>
    </row>
    <row r="1474" spans="1:11" x14ac:dyDescent="0.25">
      <c r="A1474" s="66"/>
      <c r="B1474" s="66"/>
      <c r="C1474" s="66"/>
      <c r="D1474" s="66"/>
      <c r="E1474" s="66"/>
      <c r="F1474" s="66"/>
      <c r="G1474" s="66"/>
      <c r="H1474" s="66"/>
      <c r="I1474" s="66"/>
      <c r="J1474" s="66"/>
      <c r="K1474" s="66"/>
    </row>
    <row r="1475" spans="1:11" x14ac:dyDescent="0.25">
      <c r="A1475" s="66"/>
      <c r="B1475" s="66"/>
      <c r="C1475" s="66"/>
      <c r="D1475" s="66"/>
      <c r="E1475" s="66"/>
      <c r="F1475" s="66"/>
      <c r="G1475" s="66"/>
      <c r="H1475" s="66"/>
      <c r="I1475" s="66"/>
      <c r="J1475" s="66"/>
      <c r="K1475" s="66"/>
    </row>
    <row r="1476" spans="1:11" x14ac:dyDescent="0.25">
      <c r="A1476" s="66"/>
      <c r="B1476" s="66"/>
      <c r="C1476" s="66"/>
      <c r="D1476" s="66"/>
      <c r="E1476" s="66"/>
      <c r="F1476" s="66"/>
      <c r="G1476" s="66"/>
      <c r="H1476" s="66"/>
      <c r="I1476" s="66"/>
      <c r="J1476" s="66"/>
      <c r="K1476" s="66"/>
    </row>
    <row r="1477" spans="1:11" x14ac:dyDescent="0.25">
      <c r="A1477" s="66"/>
      <c r="B1477" s="66"/>
      <c r="C1477" s="66"/>
      <c r="D1477" s="66"/>
      <c r="E1477" s="66"/>
      <c r="F1477" s="66"/>
      <c r="G1477" s="66"/>
      <c r="H1477" s="66"/>
      <c r="I1477" s="66"/>
      <c r="J1477" s="66"/>
      <c r="K1477" s="66"/>
    </row>
    <row r="1478" spans="1:11" x14ac:dyDescent="0.25">
      <c r="A1478" s="66"/>
      <c r="B1478" s="66"/>
      <c r="C1478" s="66"/>
      <c r="D1478" s="66"/>
      <c r="E1478" s="66"/>
      <c r="F1478" s="66"/>
      <c r="G1478" s="66"/>
      <c r="H1478" s="66"/>
      <c r="I1478" s="66"/>
      <c r="J1478" s="66"/>
      <c r="K1478" s="66"/>
    </row>
    <row r="1479" spans="1:11" x14ac:dyDescent="0.25">
      <c r="A1479" s="66"/>
      <c r="B1479" s="66"/>
      <c r="C1479" s="66"/>
      <c r="D1479" s="66"/>
      <c r="E1479" s="66"/>
      <c r="F1479" s="66"/>
      <c r="G1479" s="66"/>
      <c r="H1479" s="66"/>
      <c r="I1479" s="66"/>
      <c r="J1479" s="66"/>
      <c r="K1479" s="66"/>
    </row>
    <row r="1480" spans="1:11" x14ac:dyDescent="0.25">
      <c r="A1480" s="66"/>
      <c r="B1480" s="66"/>
      <c r="C1480" s="66"/>
      <c r="D1480" s="66"/>
      <c r="E1480" s="66"/>
      <c r="F1480" s="66"/>
      <c r="G1480" s="66"/>
      <c r="H1480" s="66"/>
      <c r="I1480" s="66"/>
      <c r="J1480" s="66"/>
      <c r="K1480" s="66"/>
    </row>
    <row r="1481" spans="1:11" x14ac:dyDescent="0.25">
      <c r="A1481" s="66"/>
      <c r="B1481" s="66"/>
      <c r="C1481" s="66"/>
      <c r="D1481" s="66"/>
      <c r="E1481" s="66"/>
      <c r="F1481" s="66"/>
      <c r="G1481" s="66"/>
      <c r="H1481" s="66"/>
      <c r="I1481" s="66"/>
      <c r="J1481" s="66"/>
      <c r="K1481" s="66"/>
    </row>
    <row r="1482" spans="1:11" x14ac:dyDescent="0.25">
      <c r="A1482" s="66"/>
      <c r="B1482" s="66"/>
      <c r="C1482" s="66"/>
      <c r="D1482" s="66"/>
      <c r="E1482" s="66"/>
      <c r="F1482" s="66"/>
      <c r="G1482" s="66"/>
      <c r="H1482" s="66"/>
      <c r="I1482" s="66"/>
      <c r="J1482" s="66"/>
      <c r="K1482" s="66"/>
    </row>
    <row r="1483" spans="1:11" x14ac:dyDescent="0.25">
      <c r="A1483" s="66"/>
      <c r="B1483" s="66"/>
      <c r="C1483" s="66"/>
      <c r="D1483" s="66"/>
      <c r="E1483" s="66"/>
      <c r="F1483" s="66"/>
      <c r="G1483" s="66"/>
      <c r="H1483" s="66"/>
      <c r="I1483" s="66"/>
      <c r="J1483" s="66"/>
      <c r="K1483" s="66"/>
    </row>
    <row r="1484" spans="1:11" x14ac:dyDescent="0.25">
      <c r="A1484" s="66"/>
      <c r="B1484" s="66"/>
      <c r="C1484" s="66"/>
      <c r="D1484" s="66"/>
      <c r="E1484" s="66"/>
      <c r="F1484" s="66"/>
      <c r="G1484" s="66"/>
      <c r="H1484" s="66"/>
      <c r="I1484" s="66"/>
      <c r="J1484" s="66"/>
      <c r="K1484" s="66"/>
    </row>
    <row r="1485" spans="1:11" x14ac:dyDescent="0.25">
      <c r="A1485" s="66"/>
      <c r="B1485" s="66"/>
      <c r="C1485" s="66"/>
      <c r="D1485" s="66"/>
      <c r="E1485" s="66"/>
      <c r="F1485" s="66"/>
      <c r="G1485" s="66"/>
      <c r="H1485" s="66"/>
      <c r="I1485" s="66"/>
      <c r="J1485" s="66"/>
      <c r="K1485" s="66"/>
    </row>
    <row r="1486" spans="1:11" x14ac:dyDescent="0.25">
      <c r="A1486" s="66"/>
      <c r="B1486" s="66"/>
      <c r="C1486" s="66"/>
      <c r="D1486" s="66"/>
      <c r="E1486" s="66"/>
      <c r="F1486" s="66"/>
      <c r="G1486" s="66"/>
      <c r="H1486" s="66"/>
      <c r="I1486" s="66"/>
      <c r="J1486" s="66"/>
      <c r="K1486" s="66"/>
    </row>
    <row r="1487" spans="1:11" x14ac:dyDescent="0.25">
      <c r="A1487" s="66"/>
      <c r="B1487" s="66"/>
      <c r="C1487" s="66"/>
      <c r="D1487" s="66"/>
      <c r="E1487" s="66"/>
      <c r="F1487" s="66"/>
      <c r="G1487" s="66"/>
      <c r="H1487" s="66"/>
      <c r="I1487" s="66"/>
      <c r="J1487" s="66"/>
      <c r="K1487" s="66"/>
    </row>
    <row r="1488" spans="1:11" x14ac:dyDescent="0.25">
      <c r="A1488" s="66"/>
      <c r="B1488" s="66"/>
      <c r="C1488" s="66"/>
      <c r="D1488" s="66"/>
      <c r="E1488" s="66"/>
      <c r="F1488" s="66"/>
      <c r="G1488" s="66"/>
      <c r="H1488" s="66"/>
      <c r="I1488" s="66"/>
      <c r="J1488" s="66"/>
      <c r="K1488" s="66"/>
    </row>
    <row r="1489" spans="1:11" x14ac:dyDescent="0.25">
      <c r="A1489" s="66"/>
      <c r="B1489" s="66"/>
      <c r="C1489" s="66"/>
      <c r="D1489" s="66"/>
      <c r="E1489" s="66"/>
      <c r="F1489" s="66"/>
      <c r="G1489" s="66"/>
      <c r="H1489" s="66"/>
      <c r="I1489" s="66"/>
      <c r="J1489" s="66"/>
      <c r="K1489" s="66"/>
    </row>
    <row r="1490" spans="1:11" x14ac:dyDescent="0.25">
      <c r="A1490" s="66"/>
      <c r="B1490" s="66"/>
      <c r="C1490" s="66"/>
      <c r="D1490" s="66"/>
      <c r="E1490" s="66"/>
      <c r="F1490" s="66"/>
      <c r="G1490" s="66"/>
      <c r="H1490" s="66"/>
      <c r="I1490" s="66"/>
      <c r="J1490" s="66"/>
      <c r="K1490" s="66"/>
    </row>
    <row r="1491" spans="1:11" x14ac:dyDescent="0.25">
      <c r="A1491" s="66"/>
      <c r="B1491" s="66"/>
      <c r="C1491" s="66"/>
      <c r="D1491" s="66"/>
      <c r="E1491" s="66"/>
      <c r="F1491" s="66"/>
      <c r="G1491" s="66"/>
      <c r="H1491" s="66"/>
      <c r="I1491" s="66"/>
      <c r="J1491" s="66"/>
      <c r="K1491" s="66"/>
    </row>
    <row r="1492" spans="1:11" x14ac:dyDescent="0.25">
      <c r="A1492" s="66"/>
      <c r="B1492" s="66"/>
      <c r="C1492" s="66"/>
      <c r="D1492" s="66"/>
      <c r="E1492" s="66"/>
      <c r="F1492" s="66"/>
      <c r="G1492" s="66"/>
      <c r="H1492" s="66"/>
      <c r="I1492" s="66"/>
      <c r="J1492" s="66"/>
      <c r="K1492" s="66"/>
    </row>
    <row r="1493" spans="1:11" x14ac:dyDescent="0.25">
      <c r="A1493" s="66"/>
      <c r="B1493" s="66"/>
      <c r="C1493" s="66"/>
      <c r="D1493" s="66"/>
      <c r="E1493" s="66"/>
      <c r="F1493" s="66"/>
      <c r="G1493" s="66"/>
      <c r="H1493" s="66"/>
      <c r="I1493" s="66"/>
      <c r="J1493" s="66"/>
      <c r="K1493" s="66"/>
    </row>
    <row r="1494" spans="1:11" x14ac:dyDescent="0.25">
      <c r="A1494" s="66"/>
      <c r="B1494" s="66"/>
      <c r="C1494" s="66"/>
      <c r="D1494" s="66"/>
      <c r="E1494" s="66"/>
      <c r="F1494" s="66"/>
      <c r="G1494" s="66"/>
      <c r="H1494" s="66"/>
      <c r="I1494" s="66"/>
      <c r="J1494" s="66"/>
      <c r="K1494" s="66"/>
    </row>
    <row r="1495" spans="1:11" x14ac:dyDescent="0.25">
      <c r="A1495" s="66"/>
      <c r="B1495" s="66"/>
      <c r="C1495" s="66"/>
      <c r="D1495" s="66"/>
      <c r="E1495" s="66"/>
      <c r="F1495" s="66"/>
      <c r="G1495" s="66"/>
      <c r="H1495" s="66"/>
      <c r="I1495" s="66"/>
      <c r="J1495" s="66"/>
      <c r="K1495" s="66"/>
    </row>
    <row r="1496" spans="1:11" x14ac:dyDescent="0.25">
      <c r="A1496" s="66"/>
      <c r="B1496" s="66"/>
      <c r="C1496" s="66"/>
      <c r="D1496" s="66"/>
      <c r="E1496" s="66"/>
      <c r="F1496" s="66"/>
      <c r="G1496" s="66"/>
      <c r="H1496" s="66"/>
      <c r="I1496" s="66"/>
      <c r="J1496" s="66"/>
      <c r="K1496" s="66"/>
    </row>
    <row r="1497" spans="1:11" x14ac:dyDescent="0.25">
      <c r="A1497" s="66"/>
      <c r="B1497" s="66"/>
      <c r="C1497" s="66"/>
      <c r="D1497" s="66"/>
      <c r="E1497" s="66"/>
      <c r="F1497" s="66"/>
      <c r="G1497" s="66"/>
      <c r="H1497" s="66"/>
      <c r="I1497" s="66"/>
      <c r="J1497" s="66"/>
      <c r="K1497" s="66"/>
    </row>
    <row r="1498" spans="1:11" x14ac:dyDescent="0.25">
      <c r="A1498" s="66"/>
      <c r="B1498" s="66"/>
      <c r="C1498" s="66"/>
      <c r="D1498" s="66"/>
      <c r="E1498" s="66"/>
      <c r="F1498" s="66"/>
      <c r="G1498" s="66"/>
      <c r="H1498" s="66"/>
      <c r="I1498" s="66"/>
      <c r="J1498" s="66"/>
      <c r="K1498" s="66"/>
    </row>
    <row r="1499" spans="1:11" x14ac:dyDescent="0.25">
      <c r="A1499" s="66"/>
      <c r="B1499" s="66"/>
      <c r="C1499" s="66"/>
      <c r="D1499" s="66"/>
      <c r="E1499" s="66"/>
      <c r="F1499" s="66"/>
      <c r="G1499" s="66"/>
      <c r="H1499" s="66"/>
      <c r="I1499" s="66"/>
      <c r="J1499" s="66"/>
      <c r="K1499" s="66"/>
    </row>
    <row r="1500" spans="1:11" x14ac:dyDescent="0.25">
      <c r="A1500" s="66"/>
      <c r="B1500" s="66"/>
      <c r="C1500" s="66"/>
      <c r="D1500" s="66"/>
      <c r="E1500" s="66"/>
      <c r="F1500" s="66"/>
      <c r="G1500" s="66"/>
      <c r="H1500" s="66"/>
      <c r="I1500" s="66"/>
      <c r="J1500" s="66"/>
      <c r="K1500" s="66"/>
    </row>
    <row r="1501" spans="1:11" x14ac:dyDescent="0.25">
      <c r="A1501" s="66"/>
      <c r="B1501" s="66"/>
      <c r="C1501" s="66"/>
      <c r="D1501" s="66"/>
      <c r="E1501" s="66"/>
      <c r="F1501" s="66"/>
      <c r="G1501" s="66"/>
      <c r="H1501" s="66"/>
      <c r="I1501" s="66"/>
      <c r="J1501" s="66"/>
      <c r="K1501" s="66"/>
    </row>
    <row r="1502" spans="1:11" x14ac:dyDescent="0.25">
      <c r="A1502" s="66"/>
      <c r="B1502" s="66"/>
      <c r="C1502" s="66"/>
      <c r="D1502" s="66"/>
      <c r="E1502" s="66"/>
      <c r="F1502" s="66"/>
      <c r="G1502" s="66"/>
      <c r="H1502" s="66"/>
      <c r="I1502" s="66"/>
      <c r="J1502" s="66"/>
      <c r="K1502" s="66"/>
    </row>
    <row r="1503" spans="1:11" x14ac:dyDescent="0.25">
      <c r="A1503" s="66"/>
      <c r="B1503" s="66"/>
      <c r="C1503" s="66"/>
      <c r="D1503" s="66"/>
      <c r="E1503" s="66"/>
      <c r="F1503" s="66"/>
      <c r="G1503" s="66"/>
      <c r="H1503" s="66"/>
      <c r="I1503" s="66"/>
      <c r="J1503" s="66"/>
      <c r="K1503" s="66"/>
    </row>
    <row r="1504" spans="1:11" x14ac:dyDescent="0.25">
      <c r="A1504" s="66"/>
      <c r="B1504" s="66"/>
      <c r="C1504" s="66"/>
      <c r="D1504" s="66"/>
      <c r="E1504" s="66"/>
      <c r="F1504" s="66"/>
      <c r="G1504" s="66"/>
      <c r="H1504" s="66"/>
      <c r="I1504" s="66"/>
      <c r="J1504" s="66"/>
      <c r="K1504" s="66"/>
    </row>
    <row r="1505" spans="1:11" x14ac:dyDescent="0.25">
      <c r="A1505" s="66"/>
      <c r="B1505" s="66"/>
      <c r="C1505" s="66"/>
      <c r="D1505" s="66"/>
      <c r="E1505" s="66"/>
      <c r="F1505" s="66"/>
      <c r="G1505" s="66"/>
      <c r="H1505" s="66"/>
      <c r="I1505" s="66"/>
      <c r="J1505" s="66"/>
      <c r="K1505" s="66"/>
    </row>
    <row r="1506" spans="1:11" x14ac:dyDescent="0.25">
      <c r="A1506" s="66"/>
      <c r="B1506" s="66"/>
      <c r="C1506" s="66"/>
      <c r="D1506" s="66"/>
      <c r="E1506" s="66"/>
      <c r="F1506" s="66"/>
      <c r="G1506" s="66"/>
      <c r="H1506" s="66"/>
      <c r="I1506" s="66"/>
      <c r="J1506" s="66"/>
      <c r="K1506" s="66"/>
    </row>
    <row r="1507" spans="1:11" x14ac:dyDescent="0.25">
      <c r="A1507" s="66"/>
      <c r="B1507" s="66"/>
      <c r="C1507" s="66"/>
      <c r="D1507" s="66"/>
      <c r="E1507" s="66"/>
      <c r="F1507" s="66"/>
      <c r="G1507" s="66"/>
      <c r="H1507" s="66"/>
      <c r="I1507" s="66"/>
      <c r="J1507" s="66"/>
      <c r="K1507" s="66"/>
    </row>
    <row r="1508" spans="1:11" x14ac:dyDescent="0.25">
      <c r="A1508" s="66"/>
      <c r="B1508" s="66"/>
      <c r="C1508" s="66"/>
      <c r="D1508" s="66"/>
      <c r="E1508" s="66"/>
      <c r="F1508" s="66"/>
      <c r="G1508" s="66"/>
      <c r="H1508" s="66"/>
      <c r="I1508" s="66"/>
      <c r="J1508" s="66"/>
      <c r="K1508" s="66"/>
    </row>
    <row r="1509" spans="1:11" x14ac:dyDescent="0.25">
      <c r="A1509" s="66"/>
      <c r="B1509" s="66"/>
      <c r="C1509" s="66"/>
      <c r="D1509" s="66"/>
      <c r="E1509" s="66"/>
      <c r="F1509" s="66"/>
      <c r="G1509" s="66"/>
      <c r="H1509" s="66"/>
      <c r="I1509" s="66"/>
      <c r="J1509" s="66"/>
      <c r="K1509" s="66"/>
    </row>
    <row r="1510" spans="1:11" x14ac:dyDescent="0.25">
      <c r="A1510" s="66"/>
      <c r="B1510" s="66"/>
      <c r="C1510" s="66"/>
      <c r="D1510" s="66"/>
      <c r="E1510" s="66"/>
      <c r="F1510" s="66"/>
      <c r="G1510" s="66"/>
      <c r="H1510" s="66"/>
      <c r="I1510" s="66"/>
      <c r="J1510" s="66"/>
      <c r="K1510" s="66"/>
    </row>
    <row r="1511" spans="1:11" x14ac:dyDescent="0.25">
      <c r="A1511" s="66"/>
      <c r="B1511" s="66"/>
      <c r="C1511" s="66"/>
      <c r="D1511" s="66"/>
      <c r="E1511" s="66"/>
      <c r="F1511" s="66"/>
      <c r="G1511" s="66"/>
      <c r="H1511" s="66"/>
      <c r="I1511" s="66"/>
      <c r="J1511" s="66"/>
      <c r="K1511" s="66"/>
    </row>
    <row r="1512" spans="1:11" x14ac:dyDescent="0.25">
      <c r="A1512" s="66"/>
      <c r="B1512" s="66"/>
      <c r="C1512" s="66"/>
      <c r="D1512" s="66"/>
      <c r="E1512" s="66"/>
      <c r="F1512" s="66"/>
      <c r="G1512" s="66"/>
      <c r="H1512" s="66"/>
      <c r="I1512" s="66"/>
      <c r="J1512" s="66"/>
      <c r="K1512" s="66"/>
    </row>
    <row r="1513" spans="1:11" x14ac:dyDescent="0.25">
      <c r="A1513" s="66"/>
      <c r="B1513" s="66"/>
      <c r="C1513" s="66"/>
      <c r="D1513" s="66"/>
      <c r="E1513" s="66"/>
      <c r="F1513" s="66"/>
      <c r="G1513" s="66"/>
      <c r="H1513" s="66"/>
      <c r="I1513" s="66"/>
      <c r="J1513" s="66"/>
      <c r="K1513" s="66"/>
    </row>
    <row r="1514" spans="1:11" x14ac:dyDescent="0.25">
      <c r="A1514" s="66"/>
      <c r="B1514" s="66"/>
      <c r="C1514" s="66"/>
      <c r="D1514" s="66"/>
      <c r="E1514" s="66"/>
      <c r="F1514" s="66"/>
      <c r="G1514" s="66"/>
      <c r="H1514" s="66"/>
      <c r="I1514" s="66"/>
      <c r="J1514" s="66"/>
      <c r="K1514" s="66"/>
    </row>
    <row r="1515" spans="1:11" x14ac:dyDescent="0.25">
      <c r="A1515" s="66"/>
      <c r="B1515" s="66"/>
      <c r="C1515" s="66"/>
      <c r="D1515" s="66"/>
      <c r="E1515" s="66"/>
      <c r="F1515" s="66"/>
      <c r="G1515" s="66"/>
      <c r="H1515" s="66"/>
      <c r="I1515" s="66"/>
      <c r="J1515" s="66"/>
      <c r="K1515" s="66"/>
    </row>
    <row r="1516" spans="1:11" x14ac:dyDescent="0.25">
      <c r="A1516" s="66"/>
      <c r="B1516" s="66"/>
      <c r="C1516" s="66"/>
      <c r="D1516" s="66"/>
      <c r="E1516" s="66"/>
      <c r="F1516" s="66"/>
      <c r="G1516" s="66"/>
      <c r="H1516" s="66"/>
      <c r="I1516" s="66"/>
      <c r="J1516" s="66"/>
      <c r="K1516" s="66"/>
    </row>
    <row r="1517" spans="1:11" x14ac:dyDescent="0.25">
      <c r="A1517" s="66"/>
      <c r="B1517" s="66"/>
      <c r="C1517" s="66"/>
      <c r="D1517" s="66"/>
      <c r="E1517" s="66"/>
      <c r="F1517" s="66"/>
      <c r="G1517" s="66"/>
      <c r="H1517" s="66"/>
      <c r="I1517" s="66"/>
      <c r="J1517" s="66"/>
      <c r="K1517" s="66"/>
    </row>
    <row r="1518" spans="1:11" x14ac:dyDescent="0.25">
      <c r="A1518" s="66"/>
      <c r="B1518" s="66"/>
      <c r="C1518" s="66"/>
      <c r="D1518" s="66"/>
      <c r="E1518" s="66"/>
      <c r="F1518" s="66"/>
      <c r="G1518" s="66"/>
      <c r="H1518" s="66"/>
      <c r="I1518" s="66"/>
      <c r="J1518" s="66"/>
      <c r="K1518" s="66"/>
    </row>
    <row r="1519" spans="1:11" x14ac:dyDescent="0.25">
      <c r="A1519" s="66"/>
      <c r="B1519" s="66"/>
      <c r="C1519" s="66"/>
      <c r="D1519" s="66"/>
      <c r="E1519" s="66"/>
      <c r="F1519" s="66"/>
      <c r="G1519" s="66"/>
      <c r="H1519" s="66"/>
      <c r="I1519" s="66"/>
      <c r="J1519" s="66"/>
      <c r="K1519" s="66"/>
    </row>
    <row r="1520" spans="1:11" x14ac:dyDescent="0.25">
      <c r="A1520" s="66"/>
      <c r="B1520" s="66"/>
      <c r="C1520" s="66"/>
      <c r="D1520" s="66"/>
      <c r="E1520" s="66"/>
      <c r="F1520" s="66"/>
      <c r="G1520" s="66"/>
      <c r="H1520" s="66"/>
      <c r="I1520" s="66"/>
      <c r="J1520" s="66"/>
      <c r="K1520" s="66"/>
    </row>
    <row r="1521" spans="1:11" x14ac:dyDescent="0.25">
      <c r="A1521" s="66"/>
      <c r="B1521" s="66"/>
      <c r="C1521" s="66"/>
      <c r="D1521" s="66"/>
      <c r="E1521" s="66"/>
      <c r="F1521" s="66"/>
      <c r="G1521" s="66"/>
      <c r="H1521" s="66"/>
      <c r="I1521" s="66"/>
      <c r="J1521" s="66"/>
      <c r="K1521" s="66"/>
    </row>
    <row r="1522" spans="1:11" x14ac:dyDescent="0.25">
      <c r="A1522" s="66"/>
      <c r="B1522" s="66"/>
      <c r="C1522" s="66"/>
      <c r="D1522" s="66"/>
      <c r="E1522" s="66"/>
      <c r="F1522" s="66"/>
      <c r="G1522" s="66"/>
      <c r="H1522" s="66"/>
      <c r="I1522" s="66"/>
      <c r="J1522" s="66"/>
      <c r="K1522" s="66"/>
    </row>
    <row r="1523" spans="1:11" x14ac:dyDescent="0.25">
      <c r="A1523" s="66"/>
      <c r="B1523" s="66"/>
      <c r="C1523" s="66"/>
      <c r="D1523" s="66"/>
      <c r="E1523" s="66"/>
      <c r="F1523" s="66"/>
      <c r="G1523" s="66"/>
      <c r="H1523" s="66"/>
      <c r="I1523" s="66"/>
      <c r="J1523" s="66"/>
      <c r="K1523" s="66"/>
    </row>
    <row r="1524" spans="1:11" x14ac:dyDescent="0.25">
      <c r="A1524" s="66"/>
      <c r="B1524" s="66"/>
      <c r="C1524" s="66"/>
      <c r="D1524" s="66"/>
      <c r="E1524" s="66"/>
      <c r="F1524" s="66"/>
      <c r="G1524" s="66"/>
      <c r="H1524" s="66"/>
      <c r="I1524" s="66"/>
      <c r="J1524" s="66"/>
      <c r="K1524" s="66"/>
    </row>
    <row r="1525" spans="1:11" x14ac:dyDescent="0.25">
      <c r="A1525" s="66"/>
      <c r="B1525" s="66"/>
      <c r="C1525" s="66"/>
      <c r="D1525" s="66"/>
      <c r="E1525" s="66"/>
      <c r="F1525" s="66"/>
      <c r="G1525" s="66"/>
      <c r="H1525" s="66"/>
      <c r="I1525" s="66"/>
      <c r="J1525" s="66"/>
      <c r="K1525" s="66"/>
    </row>
    <row r="1526" spans="1:11" x14ac:dyDescent="0.25">
      <c r="A1526" s="66"/>
      <c r="B1526" s="66"/>
      <c r="C1526" s="66"/>
      <c r="D1526" s="66"/>
      <c r="E1526" s="66"/>
      <c r="F1526" s="66"/>
      <c r="G1526" s="66"/>
      <c r="H1526" s="66"/>
      <c r="I1526" s="66"/>
      <c r="J1526" s="66"/>
      <c r="K1526" s="66"/>
    </row>
    <row r="1527" spans="1:11" x14ac:dyDescent="0.25">
      <c r="A1527" s="66"/>
      <c r="B1527" s="66"/>
      <c r="C1527" s="66"/>
      <c r="D1527" s="66"/>
      <c r="E1527" s="66"/>
      <c r="F1527" s="66"/>
      <c r="G1527" s="66"/>
      <c r="H1527" s="66"/>
      <c r="I1527" s="66"/>
      <c r="J1527" s="66"/>
      <c r="K1527" s="66"/>
    </row>
    <row r="1528" spans="1:11" x14ac:dyDescent="0.25">
      <c r="A1528" s="66"/>
      <c r="B1528" s="66"/>
      <c r="C1528" s="66"/>
      <c r="D1528" s="66"/>
      <c r="E1528" s="66"/>
      <c r="F1528" s="66"/>
      <c r="G1528" s="66"/>
      <c r="H1528" s="66"/>
      <c r="I1528" s="66"/>
      <c r="J1528" s="66"/>
      <c r="K1528" s="66"/>
    </row>
    <row r="1529" spans="1:11" x14ac:dyDescent="0.25">
      <c r="A1529" s="66"/>
      <c r="B1529" s="66"/>
      <c r="C1529" s="66"/>
      <c r="D1529" s="66"/>
      <c r="E1529" s="66"/>
      <c r="F1529" s="66"/>
      <c r="G1529" s="66"/>
      <c r="H1529" s="66"/>
      <c r="I1529" s="66"/>
      <c r="J1529" s="66"/>
      <c r="K1529" s="66"/>
    </row>
    <row r="1530" spans="1:11" x14ac:dyDescent="0.25">
      <c r="A1530" s="66"/>
      <c r="B1530" s="66"/>
      <c r="C1530" s="66"/>
      <c r="D1530" s="66"/>
      <c r="E1530" s="66"/>
      <c r="F1530" s="66"/>
      <c r="G1530" s="66"/>
      <c r="H1530" s="66"/>
      <c r="I1530" s="66"/>
      <c r="J1530" s="66"/>
      <c r="K1530" s="66"/>
    </row>
    <row r="1531" spans="1:11" x14ac:dyDescent="0.25">
      <c r="A1531" s="66"/>
      <c r="B1531" s="66"/>
      <c r="C1531" s="66"/>
      <c r="D1531" s="66"/>
      <c r="E1531" s="66"/>
      <c r="F1531" s="66"/>
      <c r="G1531" s="66"/>
      <c r="H1531" s="66"/>
      <c r="I1531" s="66"/>
      <c r="J1531" s="66"/>
      <c r="K1531" s="66"/>
    </row>
    <row r="1532" spans="1:11" x14ac:dyDescent="0.25">
      <c r="A1532" s="66"/>
      <c r="B1532" s="66"/>
      <c r="C1532" s="66"/>
      <c r="D1532" s="66"/>
      <c r="E1532" s="66"/>
      <c r="F1532" s="66"/>
      <c r="G1532" s="66"/>
      <c r="H1532" s="66"/>
      <c r="I1532" s="66"/>
      <c r="J1532" s="66"/>
      <c r="K1532" s="66"/>
    </row>
    <row r="1533" spans="1:11" x14ac:dyDescent="0.25">
      <c r="A1533" s="66"/>
      <c r="B1533" s="66"/>
      <c r="C1533" s="66"/>
      <c r="D1533" s="66"/>
      <c r="E1533" s="66"/>
      <c r="F1533" s="66"/>
      <c r="G1533" s="66"/>
      <c r="H1533" s="66"/>
      <c r="I1533" s="66"/>
      <c r="J1533" s="66"/>
      <c r="K1533" s="66"/>
    </row>
    <row r="1534" spans="1:11" x14ac:dyDescent="0.25">
      <c r="A1534" s="66"/>
      <c r="B1534" s="66"/>
      <c r="C1534" s="66"/>
      <c r="D1534" s="66"/>
      <c r="E1534" s="66"/>
      <c r="F1534" s="66"/>
      <c r="G1534" s="66"/>
      <c r="H1534" s="66"/>
      <c r="I1534" s="66"/>
      <c r="J1534" s="66"/>
      <c r="K1534" s="66"/>
    </row>
    <row r="1535" spans="1:11" x14ac:dyDescent="0.25">
      <c r="A1535" s="66"/>
      <c r="B1535" s="66"/>
      <c r="C1535" s="66"/>
      <c r="D1535" s="66"/>
      <c r="E1535" s="66"/>
      <c r="F1535" s="66"/>
      <c r="G1535" s="66"/>
      <c r="H1535" s="66"/>
      <c r="I1535" s="66"/>
      <c r="J1535" s="66"/>
      <c r="K1535" s="66"/>
    </row>
    <row r="1536" spans="1:11" x14ac:dyDescent="0.25">
      <c r="A1536" s="66"/>
      <c r="B1536" s="66"/>
      <c r="C1536" s="66"/>
      <c r="D1536" s="66"/>
      <c r="E1536" s="66"/>
      <c r="F1536" s="66"/>
      <c r="G1536" s="66"/>
      <c r="H1536" s="66"/>
      <c r="I1536" s="66"/>
      <c r="J1536" s="66"/>
      <c r="K1536" s="66"/>
    </row>
    <row r="1537" spans="1:11" x14ac:dyDescent="0.25">
      <c r="A1537" s="66"/>
      <c r="B1537" s="66"/>
      <c r="C1537" s="66"/>
      <c r="D1537" s="66"/>
      <c r="E1537" s="66"/>
      <c r="F1537" s="66"/>
      <c r="G1537" s="66"/>
      <c r="H1537" s="66"/>
      <c r="I1537" s="66"/>
      <c r="J1537" s="66"/>
      <c r="K1537" s="66"/>
    </row>
    <row r="1538" spans="1:11" x14ac:dyDescent="0.25">
      <c r="A1538" s="66"/>
      <c r="B1538" s="66"/>
      <c r="C1538" s="66"/>
      <c r="D1538" s="66"/>
      <c r="E1538" s="66"/>
      <c r="F1538" s="66"/>
      <c r="G1538" s="66"/>
      <c r="H1538" s="66"/>
      <c r="I1538" s="66"/>
      <c r="J1538" s="66"/>
      <c r="K1538" s="66"/>
    </row>
    <row r="1539" spans="1:11" x14ac:dyDescent="0.25">
      <c r="A1539" s="66"/>
      <c r="B1539" s="66"/>
      <c r="C1539" s="66"/>
      <c r="D1539" s="66"/>
      <c r="E1539" s="66"/>
      <c r="F1539" s="66"/>
      <c r="G1539" s="66"/>
      <c r="H1539" s="66"/>
      <c r="I1539" s="66"/>
      <c r="J1539" s="66"/>
      <c r="K1539" s="66"/>
    </row>
    <row r="1540" spans="1:11" x14ac:dyDescent="0.25">
      <c r="A1540" s="66"/>
      <c r="B1540" s="66"/>
      <c r="C1540" s="66"/>
      <c r="D1540" s="66"/>
      <c r="E1540" s="66"/>
      <c r="F1540" s="66"/>
      <c r="G1540" s="66"/>
      <c r="H1540" s="66"/>
      <c r="I1540" s="66"/>
      <c r="J1540" s="66"/>
      <c r="K1540" s="66"/>
    </row>
    <row r="1541" spans="1:11" x14ac:dyDescent="0.25">
      <c r="A1541" s="66"/>
      <c r="B1541" s="66"/>
      <c r="C1541" s="66"/>
      <c r="D1541" s="66"/>
      <c r="E1541" s="66"/>
      <c r="F1541" s="66"/>
      <c r="G1541" s="66"/>
      <c r="H1541" s="66"/>
      <c r="I1541" s="66"/>
      <c r="J1541" s="66"/>
      <c r="K1541" s="66"/>
    </row>
    <row r="1542" spans="1:11" x14ac:dyDescent="0.25">
      <c r="A1542" s="66"/>
      <c r="B1542" s="66"/>
      <c r="C1542" s="66"/>
      <c r="D1542" s="66"/>
      <c r="E1542" s="66"/>
      <c r="F1542" s="66"/>
      <c r="G1542" s="66"/>
      <c r="H1542" s="66"/>
      <c r="I1542" s="66"/>
      <c r="J1542" s="66"/>
      <c r="K1542" s="66"/>
    </row>
    <row r="1543" spans="1:11" x14ac:dyDescent="0.25">
      <c r="A1543" s="66"/>
      <c r="B1543" s="66"/>
      <c r="C1543" s="66"/>
      <c r="D1543" s="66"/>
      <c r="E1543" s="66"/>
      <c r="F1543" s="66"/>
      <c r="G1543" s="66"/>
      <c r="H1543" s="66"/>
      <c r="I1543" s="66"/>
      <c r="J1543" s="66"/>
      <c r="K1543" s="66"/>
    </row>
    <row r="1544" spans="1:11" x14ac:dyDescent="0.25">
      <c r="A1544" s="66"/>
      <c r="B1544" s="66"/>
      <c r="C1544" s="66"/>
      <c r="D1544" s="66"/>
      <c r="E1544" s="66"/>
      <c r="F1544" s="66"/>
      <c r="G1544" s="66"/>
      <c r="H1544" s="66"/>
      <c r="I1544" s="66"/>
      <c r="J1544" s="66"/>
      <c r="K1544" s="66"/>
    </row>
    <row r="1545" spans="1:11" x14ac:dyDescent="0.25">
      <c r="A1545" s="66"/>
      <c r="B1545" s="66"/>
      <c r="C1545" s="66"/>
      <c r="D1545" s="66"/>
      <c r="E1545" s="66"/>
      <c r="F1545" s="66"/>
      <c r="G1545" s="66"/>
      <c r="H1545" s="66"/>
      <c r="I1545" s="66"/>
      <c r="J1545" s="66"/>
      <c r="K1545" s="66"/>
    </row>
    <row r="1546" spans="1:11" x14ac:dyDescent="0.25">
      <c r="A1546" s="66"/>
      <c r="B1546" s="66"/>
      <c r="C1546" s="66"/>
      <c r="D1546" s="66"/>
      <c r="E1546" s="66"/>
      <c r="F1546" s="66"/>
      <c r="G1546" s="66"/>
      <c r="H1546" s="66"/>
      <c r="I1546" s="66"/>
      <c r="J1546" s="66"/>
      <c r="K1546" s="66"/>
    </row>
    <row r="1547" spans="1:11" x14ac:dyDescent="0.25">
      <c r="A1547" s="66"/>
      <c r="B1547" s="66"/>
      <c r="C1547" s="66"/>
      <c r="D1547" s="66"/>
      <c r="E1547" s="66"/>
      <c r="F1547" s="66"/>
      <c r="G1547" s="66"/>
      <c r="H1547" s="66"/>
      <c r="I1547" s="66"/>
      <c r="J1547" s="66"/>
      <c r="K1547" s="66"/>
    </row>
    <row r="1548" spans="1:11" x14ac:dyDescent="0.25">
      <c r="A1548" s="66"/>
      <c r="B1548" s="66"/>
      <c r="C1548" s="66"/>
      <c r="D1548" s="66"/>
      <c r="E1548" s="66"/>
      <c r="F1548" s="66"/>
      <c r="G1548" s="66"/>
      <c r="H1548" s="66"/>
      <c r="I1548" s="66"/>
      <c r="J1548" s="66"/>
      <c r="K1548" s="66"/>
    </row>
    <row r="1549" spans="1:11" x14ac:dyDescent="0.25">
      <c r="A1549" s="66"/>
      <c r="B1549" s="66"/>
      <c r="C1549" s="66"/>
      <c r="D1549" s="66"/>
      <c r="E1549" s="66"/>
      <c r="F1549" s="66"/>
      <c r="G1549" s="66"/>
      <c r="H1549" s="66"/>
      <c r="I1549" s="66"/>
      <c r="J1549" s="66"/>
      <c r="K1549" s="66"/>
    </row>
    <row r="1550" spans="1:11" x14ac:dyDescent="0.25">
      <c r="A1550" s="66"/>
      <c r="B1550" s="66"/>
      <c r="C1550" s="66"/>
      <c r="D1550" s="66"/>
      <c r="E1550" s="66"/>
      <c r="F1550" s="66"/>
      <c r="G1550" s="66"/>
      <c r="H1550" s="66"/>
      <c r="I1550" s="66"/>
      <c r="J1550" s="66"/>
      <c r="K1550" s="66"/>
    </row>
    <row r="1551" spans="1:11" x14ac:dyDescent="0.25">
      <c r="A1551" s="66"/>
      <c r="B1551" s="66"/>
      <c r="C1551" s="66"/>
      <c r="D1551" s="66"/>
      <c r="E1551" s="66"/>
      <c r="F1551" s="66"/>
      <c r="G1551" s="66"/>
      <c r="H1551" s="66"/>
      <c r="I1551" s="66"/>
      <c r="J1551" s="66"/>
      <c r="K1551" s="66"/>
    </row>
    <row r="1552" spans="1:11" x14ac:dyDescent="0.25">
      <c r="A1552" s="66"/>
      <c r="B1552" s="66"/>
      <c r="C1552" s="66"/>
      <c r="D1552" s="66"/>
      <c r="E1552" s="66"/>
      <c r="F1552" s="66"/>
      <c r="G1552" s="66"/>
      <c r="H1552" s="66"/>
      <c r="I1552" s="66"/>
      <c r="J1552" s="66"/>
      <c r="K1552" s="66"/>
    </row>
    <row r="1553" spans="1:11" x14ac:dyDescent="0.25">
      <c r="A1553" s="66"/>
      <c r="B1553" s="66"/>
      <c r="C1553" s="66"/>
      <c r="D1553" s="66"/>
      <c r="E1553" s="66"/>
      <c r="F1553" s="66"/>
      <c r="G1553" s="66"/>
      <c r="H1553" s="66"/>
      <c r="I1553" s="66"/>
      <c r="J1553" s="66"/>
      <c r="K1553" s="66"/>
    </row>
    <row r="1554" spans="1:11" x14ac:dyDescent="0.25">
      <c r="A1554" s="66"/>
      <c r="B1554" s="66"/>
      <c r="C1554" s="66"/>
      <c r="D1554" s="66"/>
      <c r="E1554" s="66"/>
      <c r="F1554" s="66"/>
      <c r="G1554" s="66"/>
      <c r="H1554" s="66"/>
      <c r="I1554" s="66"/>
      <c r="J1554" s="66"/>
      <c r="K1554" s="66"/>
    </row>
    <row r="1555" spans="1:11" x14ac:dyDescent="0.25">
      <c r="A1555" s="66"/>
      <c r="B1555" s="66"/>
      <c r="C1555" s="66"/>
      <c r="D1555" s="66"/>
      <c r="E1555" s="66"/>
      <c r="F1555" s="66"/>
      <c r="G1555" s="66"/>
      <c r="H1555" s="66"/>
      <c r="I1555" s="66"/>
      <c r="J1555" s="66"/>
      <c r="K1555" s="66"/>
    </row>
    <row r="1556" spans="1:11" x14ac:dyDescent="0.25">
      <c r="A1556" s="66"/>
      <c r="B1556" s="66"/>
      <c r="C1556" s="66"/>
      <c r="D1556" s="66"/>
      <c r="E1556" s="66"/>
      <c r="F1556" s="66"/>
      <c r="G1556" s="66"/>
      <c r="H1556" s="66"/>
      <c r="I1556" s="66"/>
      <c r="J1556" s="66"/>
      <c r="K1556" s="66"/>
    </row>
    <row r="1557" spans="1:11" x14ac:dyDescent="0.25">
      <c r="A1557" s="66"/>
      <c r="B1557" s="66"/>
      <c r="C1557" s="66"/>
      <c r="D1557" s="66"/>
      <c r="E1557" s="66"/>
      <c r="F1557" s="66"/>
      <c r="G1557" s="66"/>
      <c r="H1557" s="66"/>
      <c r="I1557" s="66"/>
      <c r="J1557" s="66"/>
      <c r="K1557" s="66"/>
    </row>
    <row r="1558" spans="1:11" x14ac:dyDescent="0.25">
      <c r="A1558" s="66"/>
      <c r="B1558" s="66"/>
      <c r="C1558" s="66"/>
      <c r="D1558" s="66"/>
      <c r="E1558" s="66"/>
      <c r="F1558" s="66"/>
      <c r="G1558" s="66"/>
      <c r="H1558" s="66"/>
      <c r="I1558" s="66"/>
      <c r="J1558" s="66"/>
      <c r="K1558" s="66"/>
    </row>
  </sheetData>
  <mergeCells count="8">
    <mergeCell ref="B34:D34"/>
    <mergeCell ref="B36:D36"/>
    <mergeCell ref="A1:H1"/>
    <mergeCell ref="A2:H2"/>
    <mergeCell ref="A3:H3"/>
    <mergeCell ref="B22:C22"/>
    <mergeCell ref="B23:C23"/>
    <mergeCell ref="B33:D33"/>
  </mergeCells>
  <pageMargins left="0.7" right="0.7" top="0.75" bottom="0.75" header="0.3" footer="0.3"/>
  <pageSetup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0E271-E1F9-42F2-ABBC-DF62C283C44D}">
  <sheetPr>
    <pageSetUpPr fitToPage="1"/>
  </sheetPr>
  <dimension ref="B1:L209"/>
  <sheetViews>
    <sheetView zoomScaleNormal="100" workbookViewId="0"/>
  </sheetViews>
  <sheetFormatPr defaultRowHeight="12.75" x14ac:dyDescent="0.2"/>
  <cols>
    <col min="1" max="1" width="6.85546875" style="307" customWidth="1"/>
    <col min="2" max="2" width="41.140625" style="307" customWidth="1"/>
    <col min="3" max="3" width="44.85546875" style="307" bestFit="1" customWidth="1"/>
    <col min="4" max="4" width="18.7109375" style="307" customWidth="1"/>
    <col min="5" max="5" width="21.28515625" style="307" customWidth="1"/>
    <col min="6" max="6" width="16.5703125" style="307" customWidth="1"/>
    <col min="7" max="7" width="19" style="307" customWidth="1"/>
    <col min="8" max="8" width="17.5703125" style="307" customWidth="1"/>
    <col min="9" max="9" width="15.5703125" style="307" bestFit="1" customWidth="1"/>
    <col min="10" max="10" width="13.5703125" style="307" customWidth="1"/>
    <col min="11" max="11" width="20.5703125" style="307" customWidth="1"/>
    <col min="12" max="12" width="12.42578125" style="307" bestFit="1" customWidth="1"/>
    <col min="13" max="256" width="9.140625" style="307"/>
    <col min="257" max="257" width="6.85546875" style="307" customWidth="1"/>
    <col min="258" max="258" width="41.140625" style="307" customWidth="1"/>
    <col min="259" max="259" width="44.85546875" style="307" bestFit="1" customWidth="1"/>
    <col min="260" max="260" width="18.7109375" style="307" customWidth="1"/>
    <col min="261" max="261" width="21.28515625" style="307" customWidth="1"/>
    <col min="262" max="262" width="16.5703125" style="307" customWidth="1"/>
    <col min="263" max="263" width="19" style="307" customWidth="1"/>
    <col min="264" max="264" width="17.5703125" style="307" customWidth="1"/>
    <col min="265" max="265" width="15.5703125" style="307" bestFit="1" customWidth="1"/>
    <col min="266" max="266" width="13.5703125" style="307" customWidth="1"/>
    <col min="267" max="267" width="20.5703125" style="307" customWidth="1"/>
    <col min="268" max="268" width="12.42578125" style="307" bestFit="1" customWidth="1"/>
    <col min="269" max="512" width="9.140625" style="307"/>
    <col min="513" max="513" width="6.85546875" style="307" customWidth="1"/>
    <col min="514" max="514" width="41.140625" style="307" customWidth="1"/>
    <col min="515" max="515" width="44.85546875" style="307" bestFit="1" customWidth="1"/>
    <col min="516" max="516" width="18.7109375" style="307" customWidth="1"/>
    <col min="517" max="517" width="21.28515625" style="307" customWidth="1"/>
    <col min="518" max="518" width="16.5703125" style="307" customWidth="1"/>
    <col min="519" max="519" width="19" style="307" customWidth="1"/>
    <col min="520" max="520" width="17.5703125" style="307" customWidth="1"/>
    <col min="521" max="521" width="15.5703125" style="307" bestFit="1" customWidth="1"/>
    <col min="522" max="522" width="13.5703125" style="307" customWidth="1"/>
    <col min="523" max="523" width="20.5703125" style="307" customWidth="1"/>
    <col min="524" max="524" width="12.42578125" style="307" bestFit="1" customWidth="1"/>
    <col min="525" max="768" width="9.140625" style="307"/>
    <col min="769" max="769" width="6.85546875" style="307" customWidth="1"/>
    <col min="770" max="770" width="41.140625" style="307" customWidth="1"/>
    <col min="771" max="771" width="44.85546875" style="307" bestFit="1" customWidth="1"/>
    <col min="772" max="772" width="18.7109375" style="307" customWidth="1"/>
    <col min="773" max="773" width="21.28515625" style="307" customWidth="1"/>
    <col min="774" max="774" width="16.5703125" style="307" customWidth="1"/>
    <col min="775" max="775" width="19" style="307" customWidth="1"/>
    <col min="776" max="776" width="17.5703125" style="307" customWidth="1"/>
    <col min="777" max="777" width="15.5703125" style="307" bestFit="1" customWidth="1"/>
    <col min="778" max="778" width="13.5703125" style="307" customWidth="1"/>
    <col min="779" max="779" width="20.5703125" style="307" customWidth="1"/>
    <col min="780" max="780" width="12.42578125" style="307" bestFit="1" customWidth="1"/>
    <col min="781" max="1024" width="9.140625" style="307"/>
    <col min="1025" max="1025" width="6.85546875" style="307" customWidth="1"/>
    <col min="1026" max="1026" width="41.140625" style="307" customWidth="1"/>
    <col min="1027" max="1027" width="44.85546875" style="307" bestFit="1" customWidth="1"/>
    <col min="1028" max="1028" width="18.7109375" style="307" customWidth="1"/>
    <col min="1029" max="1029" width="21.28515625" style="307" customWidth="1"/>
    <col min="1030" max="1030" width="16.5703125" style="307" customWidth="1"/>
    <col min="1031" max="1031" width="19" style="307" customWidth="1"/>
    <col min="1032" max="1032" width="17.5703125" style="307" customWidth="1"/>
    <col min="1033" max="1033" width="15.5703125" style="307" bestFit="1" customWidth="1"/>
    <col min="1034" max="1034" width="13.5703125" style="307" customWidth="1"/>
    <col min="1035" max="1035" width="20.5703125" style="307" customWidth="1"/>
    <col min="1036" max="1036" width="12.42578125" style="307" bestFit="1" customWidth="1"/>
    <col min="1037" max="1280" width="9.140625" style="307"/>
    <col min="1281" max="1281" width="6.85546875" style="307" customWidth="1"/>
    <col min="1282" max="1282" width="41.140625" style="307" customWidth="1"/>
    <col min="1283" max="1283" width="44.85546875" style="307" bestFit="1" customWidth="1"/>
    <col min="1284" max="1284" width="18.7109375" style="307" customWidth="1"/>
    <col min="1285" max="1285" width="21.28515625" style="307" customWidth="1"/>
    <col min="1286" max="1286" width="16.5703125" style="307" customWidth="1"/>
    <col min="1287" max="1287" width="19" style="307" customWidth="1"/>
    <col min="1288" max="1288" width="17.5703125" style="307" customWidth="1"/>
    <col min="1289" max="1289" width="15.5703125" style="307" bestFit="1" customWidth="1"/>
    <col min="1290" max="1290" width="13.5703125" style="307" customWidth="1"/>
    <col min="1291" max="1291" width="20.5703125" style="307" customWidth="1"/>
    <col min="1292" max="1292" width="12.42578125" style="307" bestFit="1" customWidth="1"/>
    <col min="1293" max="1536" width="9.140625" style="307"/>
    <col min="1537" max="1537" width="6.85546875" style="307" customWidth="1"/>
    <col min="1538" max="1538" width="41.140625" style="307" customWidth="1"/>
    <col min="1539" max="1539" width="44.85546875" style="307" bestFit="1" customWidth="1"/>
    <col min="1540" max="1540" width="18.7109375" style="307" customWidth="1"/>
    <col min="1541" max="1541" width="21.28515625" style="307" customWidth="1"/>
    <col min="1542" max="1542" width="16.5703125" style="307" customWidth="1"/>
    <col min="1543" max="1543" width="19" style="307" customWidth="1"/>
    <col min="1544" max="1544" width="17.5703125" style="307" customWidth="1"/>
    <col min="1545" max="1545" width="15.5703125" style="307" bestFit="1" customWidth="1"/>
    <col min="1546" max="1546" width="13.5703125" style="307" customWidth="1"/>
    <col min="1547" max="1547" width="20.5703125" style="307" customWidth="1"/>
    <col min="1548" max="1548" width="12.42578125" style="307" bestFit="1" customWidth="1"/>
    <col min="1549" max="1792" width="9.140625" style="307"/>
    <col min="1793" max="1793" width="6.85546875" style="307" customWidth="1"/>
    <col min="1794" max="1794" width="41.140625" style="307" customWidth="1"/>
    <col min="1795" max="1795" width="44.85546875" style="307" bestFit="1" customWidth="1"/>
    <col min="1796" max="1796" width="18.7109375" style="307" customWidth="1"/>
    <col min="1797" max="1797" width="21.28515625" style="307" customWidth="1"/>
    <col min="1798" max="1798" width="16.5703125" style="307" customWidth="1"/>
    <col min="1799" max="1799" width="19" style="307" customWidth="1"/>
    <col min="1800" max="1800" width="17.5703125" style="307" customWidth="1"/>
    <col min="1801" max="1801" width="15.5703125" style="307" bestFit="1" customWidth="1"/>
    <col min="1802" max="1802" width="13.5703125" style="307" customWidth="1"/>
    <col min="1803" max="1803" width="20.5703125" style="307" customWidth="1"/>
    <col min="1804" max="1804" width="12.42578125" style="307" bestFit="1" customWidth="1"/>
    <col min="1805" max="2048" width="9.140625" style="307"/>
    <col min="2049" max="2049" width="6.85546875" style="307" customWidth="1"/>
    <col min="2050" max="2050" width="41.140625" style="307" customWidth="1"/>
    <col min="2051" max="2051" width="44.85546875" style="307" bestFit="1" customWidth="1"/>
    <col min="2052" max="2052" width="18.7109375" style="307" customWidth="1"/>
    <col min="2053" max="2053" width="21.28515625" style="307" customWidth="1"/>
    <col min="2054" max="2054" width="16.5703125" style="307" customWidth="1"/>
    <col min="2055" max="2055" width="19" style="307" customWidth="1"/>
    <col min="2056" max="2056" width="17.5703125" style="307" customWidth="1"/>
    <col min="2057" max="2057" width="15.5703125" style="307" bestFit="1" customWidth="1"/>
    <col min="2058" max="2058" width="13.5703125" style="307" customWidth="1"/>
    <col min="2059" max="2059" width="20.5703125" style="307" customWidth="1"/>
    <col min="2060" max="2060" width="12.42578125" style="307" bestFit="1" customWidth="1"/>
    <col min="2061" max="2304" width="9.140625" style="307"/>
    <col min="2305" max="2305" width="6.85546875" style="307" customWidth="1"/>
    <col min="2306" max="2306" width="41.140625" style="307" customWidth="1"/>
    <col min="2307" max="2307" width="44.85546875" style="307" bestFit="1" customWidth="1"/>
    <col min="2308" max="2308" width="18.7109375" style="307" customWidth="1"/>
    <col min="2309" max="2309" width="21.28515625" style="307" customWidth="1"/>
    <col min="2310" max="2310" width="16.5703125" style="307" customWidth="1"/>
    <col min="2311" max="2311" width="19" style="307" customWidth="1"/>
    <col min="2312" max="2312" width="17.5703125" style="307" customWidth="1"/>
    <col min="2313" max="2313" width="15.5703125" style="307" bestFit="1" customWidth="1"/>
    <col min="2314" max="2314" width="13.5703125" style="307" customWidth="1"/>
    <col min="2315" max="2315" width="20.5703125" style="307" customWidth="1"/>
    <col min="2316" max="2316" width="12.42578125" style="307" bestFit="1" customWidth="1"/>
    <col min="2317" max="2560" width="9.140625" style="307"/>
    <col min="2561" max="2561" width="6.85546875" style="307" customWidth="1"/>
    <col min="2562" max="2562" width="41.140625" style="307" customWidth="1"/>
    <col min="2563" max="2563" width="44.85546875" style="307" bestFit="1" customWidth="1"/>
    <col min="2564" max="2564" width="18.7109375" style="307" customWidth="1"/>
    <col min="2565" max="2565" width="21.28515625" style="307" customWidth="1"/>
    <col min="2566" max="2566" width="16.5703125" style="307" customWidth="1"/>
    <col min="2567" max="2567" width="19" style="307" customWidth="1"/>
    <col min="2568" max="2568" width="17.5703125" style="307" customWidth="1"/>
    <col min="2569" max="2569" width="15.5703125" style="307" bestFit="1" customWidth="1"/>
    <col min="2570" max="2570" width="13.5703125" style="307" customWidth="1"/>
    <col min="2571" max="2571" width="20.5703125" style="307" customWidth="1"/>
    <col min="2572" max="2572" width="12.42578125" style="307" bestFit="1" customWidth="1"/>
    <col min="2573" max="2816" width="9.140625" style="307"/>
    <col min="2817" max="2817" width="6.85546875" style="307" customWidth="1"/>
    <col min="2818" max="2818" width="41.140625" style="307" customWidth="1"/>
    <col min="2819" max="2819" width="44.85546875" style="307" bestFit="1" customWidth="1"/>
    <col min="2820" max="2820" width="18.7109375" style="307" customWidth="1"/>
    <col min="2821" max="2821" width="21.28515625" style="307" customWidth="1"/>
    <col min="2822" max="2822" width="16.5703125" style="307" customWidth="1"/>
    <col min="2823" max="2823" width="19" style="307" customWidth="1"/>
    <col min="2824" max="2824" width="17.5703125" style="307" customWidth="1"/>
    <col min="2825" max="2825" width="15.5703125" style="307" bestFit="1" customWidth="1"/>
    <col min="2826" max="2826" width="13.5703125" style="307" customWidth="1"/>
    <col min="2827" max="2827" width="20.5703125" style="307" customWidth="1"/>
    <col min="2828" max="2828" width="12.42578125" style="307" bestFit="1" customWidth="1"/>
    <col min="2829" max="3072" width="9.140625" style="307"/>
    <col min="3073" max="3073" width="6.85546875" style="307" customWidth="1"/>
    <col min="3074" max="3074" width="41.140625" style="307" customWidth="1"/>
    <col min="3075" max="3075" width="44.85546875" style="307" bestFit="1" customWidth="1"/>
    <col min="3076" max="3076" width="18.7109375" style="307" customWidth="1"/>
    <col min="3077" max="3077" width="21.28515625" style="307" customWidth="1"/>
    <col min="3078" max="3078" width="16.5703125" style="307" customWidth="1"/>
    <col min="3079" max="3079" width="19" style="307" customWidth="1"/>
    <col min="3080" max="3080" width="17.5703125" style="307" customWidth="1"/>
    <col min="3081" max="3081" width="15.5703125" style="307" bestFit="1" customWidth="1"/>
    <col min="3082" max="3082" width="13.5703125" style="307" customWidth="1"/>
    <col min="3083" max="3083" width="20.5703125" style="307" customWidth="1"/>
    <col min="3084" max="3084" width="12.42578125" style="307" bestFit="1" customWidth="1"/>
    <col min="3085" max="3328" width="9.140625" style="307"/>
    <col min="3329" max="3329" width="6.85546875" style="307" customWidth="1"/>
    <col min="3330" max="3330" width="41.140625" style="307" customWidth="1"/>
    <col min="3331" max="3331" width="44.85546875" style="307" bestFit="1" customWidth="1"/>
    <col min="3332" max="3332" width="18.7109375" style="307" customWidth="1"/>
    <col min="3333" max="3333" width="21.28515625" style="307" customWidth="1"/>
    <col min="3334" max="3334" width="16.5703125" style="307" customWidth="1"/>
    <col min="3335" max="3335" width="19" style="307" customWidth="1"/>
    <col min="3336" max="3336" width="17.5703125" style="307" customWidth="1"/>
    <col min="3337" max="3337" width="15.5703125" style="307" bestFit="1" customWidth="1"/>
    <col min="3338" max="3338" width="13.5703125" style="307" customWidth="1"/>
    <col min="3339" max="3339" width="20.5703125" style="307" customWidth="1"/>
    <col min="3340" max="3340" width="12.42578125" style="307" bestFit="1" customWidth="1"/>
    <col min="3341" max="3584" width="9.140625" style="307"/>
    <col min="3585" max="3585" width="6.85546875" style="307" customWidth="1"/>
    <col min="3586" max="3586" width="41.140625" style="307" customWidth="1"/>
    <col min="3587" max="3587" width="44.85546875" style="307" bestFit="1" customWidth="1"/>
    <col min="3588" max="3588" width="18.7109375" style="307" customWidth="1"/>
    <col min="3589" max="3589" width="21.28515625" style="307" customWidth="1"/>
    <col min="3590" max="3590" width="16.5703125" style="307" customWidth="1"/>
    <col min="3591" max="3591" width="19" style="307" customWidth="1"/>
    <col min="3592" max="3592" width="17.5703125" style="307" customWidth="1"/>
    <col min="3593" max="3593" width="15.5703125" style="307" bestFit="1" customWidth="1"/>
    <col min="3594" max="3594" width="13.5703125" style="307" customWidth="1"/>
    <col min="3595" max="3595" width="20.5703125" style="307" customWidth="1"/>
    <col min="3596" max="3596" width="12.42578125" style="307" bestFit="1" customWidth="1"/>
    <col min="3597" max="3840" width="9.140625" style="307"/>
    <col min="3841" max="3841" width="6.85546875" style="307" customWidth="1"/>
    <col min="3842" max="3842" width="41.140625" style="307" customWidth="1"/>
    <col min="3843" max="3843" width="44.85546875" style="307" bestFit="1" customWidth="1"/>
    <col min="3844" max="3844" width="18.7109375" style="307" customWidth="1"/>
    <col min="3845" max="3845" width="21.28515625" style="307" customWidth="1"/>
    <col min="3846" max="3846" width="16.5703125" style="307" customWidth="1"/>
    <col min="3847" max="3847" width="19" style="307" customWidth="1"/>
    <col min="3848" max="3848" width="17.5703125" style="307" customWidth="1"/>
    <col min="3849" max="3849" width="15.5703125" style="307" bestFit="1" customWidth="1"/>
    <col min="3850" max="3850" width="13.5703125" style="307" customWidth="1"/>
    <col min="3851" max="3851" width="20.5703125" style="307" customWidth="1"/>
    <col min="3852" max="3852" width="12.42578125" style="307" bestFit="1" customWidth="1"/>
    <col min="3853" max="4096" width="9.140625" style="307"/>
    <col min="4097" max="4097" width="6.85546875" style="307" customWidth="1"/>
    <col min="4098" max="4098" width="41.140625" style="307" customWidth="1"/>
    <col min="4099" max="4099" width="44.85546875" style="307" bestFit="1" customWidth="1"/>
    <col min="4100" max="4100" width="18.7109375" style="307" customWidth="1"/>
    <col min="4101" max="4101" width="21.28515625" style="307" customWidth="1"/>
    <col min="4102" max="4102" width="16.5703125" style="307" customWidth="1"/>
    <col min="4103" max="4103" width="19" style="307" customWidth="1"/>
    <col min="4104" max="4104" width="17.5703125" style="307" customWidth="1"/>
    <col min="4105" max="4105" width="15.5703125" style="307" bestFit="1" customWidth="1"/>
    <col min="4106" max="4106" width="13.5703125" style="307" customWidth="1"/>
    <col min="4107" max="4107" width="20.5703125" style="307" customWidth="1"/>
    <col min="4108" max="4108" width="12.42578125" style="307" bestFit="1" customWidth="1"/>
    <col min="4109" max="4352" width="9.140625" style="307"/>
    <col min="4353" max="4353" width="6.85546875" style="307" customWidth="1"/>
    <col min="4354" max="4354" width="41.140625" style="307" customWidth="1"/>
    <col min="4355" max="4355" width="44.85546875" style="307" bestFit="1" customWidth="1"/>
    <col min="4356" max="4356" width="18.7109375" style="307" customWidth="1"/>
    <col min="4357" max="4357" width="21.28515625" style="307" customWidth="1"/>
    <col min="4358" max="4358" width="16.5703125" style="307" customWidth="1"/>
    <col min="4359" max="4359" width="19" style="307" customWidth="1"/>
    <col min="4360" max="4360" width="17.5703125" style="307" customWidth="1"/>
    <col min="4361" max="4361" width="15.5703125" style="307" bestFit="1" customWidth="1"/>
    <col min="4362" max="4362" width="13.5703125" style="307" customWidth="1"/>
    <col min="4363" max="4363" width="20.5703125" style="307" customWidth="1"/>
    <col min="4364" max="4364" width="12.42578125" style="307" bestFit="1" customWidth="1"/>
    <col min="4365" max="4608" width="9.140625" style="307"/>
    <col min="4609" max="4609" width="6.85546875" style="307" customWidth="1"/>
    <col min="4610" max="4610" width="41.140625" style="307" customWidth="1"/>
    <col min="4611" max="4611" width="44.85546875" style="307" bestFit="1" customWidth="1"/>
    <col min="4612" max="4612" width="18.7109375" style="307" customWidth="1"/>
    <col min="4613" max="4613" width="21.28515625" style="307" customWidth="1"/>
    <col min="4614" max="4614" width="16.5703125" style="307" customWidth="1"/>
    <col min="4615" max="4615" width="19" style="307" customWidth="1"/>
    <col min="4616" max="4616" width="17.5703125" style="307" customWidth="1"/>
    <col min="4617" max="4617" width="15.5703125" style="307" bestFit="1" customWidth="1"/>
    <col min="4618" max="4618" width="13.5703125" style="307" customWidth="1"/>
    <col min="4619" max="4619" width="20.5703125" style="307" customWidth="1"/>
    <col min="4620" max="4620" width="12.42578125" style="307" bestFit="1" customWidth="1"/>
    <col min="4621" max="4864" width="9.140625" style="307"/>
    <col min="4865" max="4865" width="6.85546875" style="307" customWidth="1"/>
    <col min="4866" max="4866" width="41.140625" style="307" customWidth="1"/>
    <col min="4867" max="4867" width="44.85546875" style="307" bestFit="1" customWidth="1"/>
    <col min="4868" max="4868" width="18.7109375" style="307" customWidth="1"/>
    <col min="4869" max="4869" width="21.28515625" style="307" customWidth="1"/>
    <col min="4870" max="4870" width="16.5703125" style="307" customWidth="1"/>
    <col min="4871" max="4871" width="19" style="307" customWidth="1"/>
    <col min="4872" max="4872" width="17.5703125" style="307" customWidth="1"/>
    <col min="4873" max="4873" width="15.5703125" style="307" bestFit="1" customWidth="1"/>
    <col min="4874" max="4874" width="13.5703125" style="307" customWidth="1"/>
    <col min="4875" max="4875" width="20.5703125" style="307" customWidth="1"/>
    <col min="4876" max="4876" width="12.42578125" style="307" bestFit="1" customWidth="1"/>
    <col min="4877" max="5120" width="9.140625" style="307"/>
    <col min="5121" max="5121" width="6.85546875" style="307" customWidth="1"/>
    <col min="5122" max="5122" width="41.140625" style="307" customWidth="1"/>
    <col min="5123" max="5123" width="44.85546875" style="307" bestFit="1" customWidth="1"/>
    <col min="5124" max="5124" width="18.7109375" style="307" customWidth="1"/>
    <col min="5125" max="5125" width="21.28515625" style="307" customWidth="1"/>
    <col min="5126" max="5126" width="16.5703125" style="307" customWidth="1"/>
    <col min="5127" max="5127" width="19" style="307" customWidth="1"/>
    <col min="5128" max="5128" width="17.5703125" style="307" customWidth="1"/>
    <col min="5129" max="5129" width="15.5703125" style="307" bestFit="1" customWidth="1"/>
    <col min="5130" max="5130" width="13.5703125" style="307" customWidth="1"/>
    <col min="5131" max="5131" width="20.5703125" style="307" customWidth="1"/>
    <col min="5132" max="5132" width="12.42578125" style="307" bestFit="1" customWidth="1"/>
    <col min="5133" max="5376" width="9.140625" style="307"/>
    <col min="5377" max="5377" width="6.85546875" style="307" customWidth="1"/>
    <col min="5378" max="5378" width="41.140625" style="307" customWidth="1"/>
    <col min="5379" max="5379" width="44.85546875" style="307" bestFit="1" customWidth="1"/>
    <col min="5380" max="5380" width="18.7109375" style="307" customWidth="1"/>
    <col min="5381" max="5381" width="21.28515625" style="307" customWidth="1"/>
    <col min="5382" max="5382" width="16.5703125" style="307" customWidth="1"/>
    <col min="5383" max="5383" width="19" style="307" customWidth="1"/>
    <col min="5384" max="5384" width="17.5703125" style="307" customWidth="1"/>
    <col min="5385" max="5385" width="15.5703125" style="307" bestFit="1" customWidth="1"/>
    <col min="5386" max="5386" width="13.5703125" style="307" customWidth="1"/>
    <col min="5387" max="5387" width="20.5703125" style="307" customWidth="1"/>
    <col min="5388" max="5388" width="12.42578125" style="307" bestFit="1" customWidth="1"/>
    <col min="5389" max="5632" width="9.140625" style="307"/>
    <col min="5633" max="5633" width="6.85546875" style="307" customWidth="1"/>
    <col min="5634" max="5634" width="41.140625" style="307" customWidth="1"/>
    <col min="5635" max="5635" width="44.85546875" style="307" bestFit="1" customWidth="1"/>
    <col min="5636" max="5636" width="18.7109375" style="307" customWidth="1"/>
    <col min="5637" max="5637" width="21.28515625" style="307" customWidth="1"/>
    <col min="5638" max="5638" width="16.5703125" style="307" customWidth="1"/>
    <col min="5639" max="5639" width="19" style="307" customWidth="1"/>
    <col min="5640" max="5640" width="17.5703125" style="307" customWidth="1"/>
    <col min="5641" max="5641" width="15.5703125" style="307" bestFit="1" customWidth="1"/>
    <col min="5642" max="5642" width="13.5703125" style="307" customWidth="1"/>
    <col min="5643" max="5643" width="20.5703125" style="307" customWidth="1"/>
    <col min="5644" max="5644" width="12.42578125" style="307" bestFit="1" customWidth="1"/>
    <col min="5645" max="5888" width="9.140625" style="307"/>
    <col min="5889" max="5889" width="6.85546875" style="307" customWidth="1"/>
    <col min="5890" max="5890" width="41.140625" style="307" customWidth="1"/>
    <col min="5891" max="5891" width="44.85546875" style="307" bestFit="1" customWidth="1"/>
    <col min="5892" max="5892" width="18.7109375" style="307" customWidth="1"/>
    <col min="5893" max="5893" width="21.28515625" style="307" customWidth="1"/>
    <col min="5894" max="5894" width="16.5703125" style="307" customWidth="1"/>
    <col min="5895" max="5895" width="19" style="307" customWidth="1"/>
    <col min="5896" max="5896" width="17.5703125" style="307" customWidth="1"/>
    <col min="5897" max="5897" width="15.5703125" style="307" bestFit="1" customWidth="1"/>
    <col min="5898" max="5898" width="13.5703125" style="307" customWidth="1"/>
    <col min="5899" max="5899" width="20.5703125" style="307" customWidth="1"/>
    <col min="5900" max="5900" width="12.42578125" style="307" bestFit="1" customWidth="1"/>
    <col min="5901" max="6144" width="9.140625" style="307"/>
    <col min="6145" max="6145" width="6.85546875" style="307" customWidth="1"/>
    <col min="6146" max="6146" width="41.140625" style="307" customWidth="1"/>
    <col min="6147" max="6147" width="44.85546875" style="307" bestFit="1" customWidth="1"/>
    <col min="6148" max="6148" width="18.7109375" style="307" customWidth="1"/>
    <col min="6149" max="6149" width="21.28515625" style="307" customWidth="1"/>
    <col min="6150" max="6150" width="16.5703125" style="307" customWidth="1"/>
    <col min="6151" max="6151" width="19" style="307" customWidth="1"/>
    <col min="6152" max="6152" width="17.5703125" style="307" customWidth="1"/>
    <col min="6153" max="6153" width="15.5703125" style="307" bestFit="1" customWidth="1"/>
    <col min="6154" max="6154" width="13.5703125" style="307" customWidth="1"/>
    <col min="6155" max="6155" width="20.5703125" style="307" customWidth="1"/>
    <col min="6156" max="6156" width="12.42578125" style="307" bestFit="1" customWidth="1"/>
    <col min="6157" max="6400" width="9.140625" style="307"/>
    <col min="6401" max="6401" width="6.85546875" style="307" customWidth="1"/>
    <col min="6402" max="6402" width="41.140625" style="307" customWidth="1"/>
    <col min="6403" max="6403" width="44.85546875" style="307" bestFit="1" customWidth="1"/>
    <col min="6404" max="6404" width="18.7109375" style="307" customWidth="1"/>
    <col min="6405" max="6405" width="21.28515625" style="307" customWidth="1"/>
    <col min="6406" max="6406" width="16.5703125" style="307" customWidth="1"/>
    <col min="6407" max="6407" width="19" style="307" customWidth="1"/>
    <col min="6408" max="6408" width="17.5703125" style="307" customWidth="1"/>
    <col min="6409" max="6409" width="15.5703125" style="307" bestFit="1" customWidth="1"/>
    <col min="6410" max="6410" width="13.5703125" style="307" customWidth="1"/>
    <col min="6411" max="6411" width="20.5703125" style="307" customWidth="1"/>
    <col min="6412" max="6412" width="12.42578125" style="307" bestFit="1" customWidth="1"/>
    <col min="6413" max="6656" width="9.140625" style="307"/>
    <col min="6657" max="6657" width="6.85546875" style="307" customWidth="1"/>
    <col min="6658" max="6658" width="41.140625" style="307" customWidth="1"/>
    <col min="6659" max="6659" width="44.85546875" style="307" bestFit="1" customWidth="1"/>
    <col min="6660" max="6660" width="18.7109375" style="307" customWidth="1"/>
    <col min="6661" max="6661" width="21.28515625" style="307" customWidth="1"/>
    <col min="6662" max="6662" width="16.5703125" style="307" customWidth="1"/>
    <col min="6663" max="6663" width="19" style="307" customWidth="1"/>
    <col min="6664" max="6664" width="17.5703125" style="307" customWidth="1"/>
    <col min="6665" max="6665" width="15.5703125" style="307" bestFit="1" customWidth="1"/>
    <col min="6666" max="6666" width="13.5703125" style="307" customWidth="1"/>
    <col min="6667" max="6667" width="20.5703125" style="307" customWidth="1"/>
    <col min="6668" max="6668" width="12.42578125" style="307" bestFit="1" customWidth="1"/>
    <col min="6669" max="6912" width="9.140625" style="307"/>
    <col min="6913" max="6913" width="6.85546875" style="307" customWidth="1"/>
    <col min="6914" max="6914" width="41.140625" style="307" customWidth="1"/>
    <col min="6915" max="6915" width="44.85546875" style="307" bestFit="1" customWidth="1"/>
    <col min="6916" max="6916" width="18.7109375" style="307" customWidth="1"/>
    <col min="6917" max="6917" width="21.28515625" style="307" customWidth="1"/>
    <col min="6918" max="6918" width="16.5703125" style="307" customWidth="1"/>
    <col min="6919" max="6919" width="19" style="307" customWidth="1"/>
    <col min="6920" max="6920" width="17.5703125" style="307" customWidth="1"/>
    <col min="6921" max="6921" width="15.5703125" style="307" bestFit="1" customWidth="1"/>
    <col min="6922" max="6922" width="13.5703125" style="307" customWidth="1"/>
    <col min="6923" max="6923" width="20.5703125" style="307" customWidth="1"/>
    <col min="6924" max="6924" width="12.42578125" style="307" bestFit="1" customWidth="1"/>
    <col min="6925" max="7168" width="9.140625" style="307"/>
    <col min="7169" max="7169" width="6.85546875" style="307" customWidth="1"/>
    <col min="7170" max="7170" width="41.140625" style="307" customWidth="1"/>
    <col min="7171" max="7171" width="44.85546875" style="307" bestFit="1" customWidth="1"/>
    <col min="7172" max="7172" width="18.7109375" style="307" customWidth="1"/>
    <col min="7173" max="7173" width="21.28515625" style="307" customWidth="1"/>
    <col min="7174" max="7174" width="16.5703125" style="307" customWidth="1"/>
    <col min="7175" max="7175" width="19" style="307" customWidth="1"/>
    <col min="7176" max="7176" width="17.5703125" style="307" customWidth="1"/>
    <col min="7177" max="7177" width="15.5703125" style="307" bestFit="1" customWidth="1"/>
    <col min="7178" max="7178" width="13.5703125" style="307" customWidth="1"/>
    <col min="7179" max="7179" width="20.5703125" style="307" customWidth="1"/>
    <col min="7180" max="7180" width="12.42578125" style="307" bestFit="1" customWidth="1"/>
    <col min="7181" max="7424" width="9.140625" style="307"/>
    <col min="7425" max="7425" width="6.85546875" style="307" customWidth="1"/>
    <col min="7426" max="7426" width="41.140625" style="307" customWidth="1"/>
    <col min="7427" max="7427" width="44.85546875" style="307" bestFit="1" customWidth="1"/>
    <col min="7428" max="7428" width="18.7109375" style="307" customWidth="1"/>
    <col min="7429" max="7429" width="21.28515625" style="307" customWidth="1"/>
    <col min="7430" max="7430" width="16.5703125" style="307" customWidth="1"/>
    <col min="7431" max="7431" width="19" style="307" customWidth="1"/>
    <col min="7432" max="7432" width="17.5703125" style="307" customWidth="1"/>
    <col min="7433" max="7433" width="15.5703125" style="307" bestFit="1" customWidth="1"/>
    <col min="7434" max="7434" width="13.5703125" style="307" customWidth="1"/>
    <col min="7435" max="7435" width="20.5703125" style="307" customWidth="1"/>
    <col min="7436" max="7436" width="12.42578125" style="307" bestFit="1" customWidth="1"/>
    <col min="7437" max="7680" width="9.140625" style="307"/>
    <col min="7681" max="7681" width="6.85546875" style="307" customWidth="1"/>
    <col min="7682" max="7682" width="41.140625" style="307" customWidth="1"/>
    <col min="7683" max="7683" width="44.85546875" style="307" bestFit="1" customWidth="1"/>
    <col min="7684" max="7684" width="18.7109375" style="307" customWidth="1"/>
    <col min="7685" max="7685" width="21.28515625" style="307" customWidth="1"/>
    <col min="7686" max="7686" width="16.5703125" style="307" customWidth="1"/>
    <col min="7687" max="7687" width="19" style="307" customWidth="1"/>
    <col min="7688" max="7688" width="17.5703125" style="307" customWidth="1"/>
    <col min="7689" max="7689" width="15.5703125" style="307" bestFit="1" customWidth="1"/>
    <col min="7690" max="7690" width="13.5703125" style="307" customWidth="1"/>
    <col min="7691" max="7691" width="20.5703125" style="307" customWidth="1"/>
    <col min="7692" max="7692" width="12.42578125" style="307" bestFit="1" customWidth="1"/>
    <col min="7693" max="7936" width="9.140625" style="307"/>
    <col min="7937" max="7937" width="6.85546875" style="307" customWidth="1"/>
    <col min="7938" max="7938" width="41.140625" style="307" customWidth="1"/>
    <col min="7939" max="7939" width="44.85546875" style="307" bestFit="1" customWidth="1"/>
    <col min="7940" max="7940" width="18.7109375" style="307" customWidth="1"/>
    <col min="7941" max="7941" width="21.28515625" style="307" customWidth="1"/>
    <col min="7942" max="7942" width="16.5703125" style="307" customWidth="1"/>
    <col min="7943" max="7943" width="19" style="307" customWidth="1"/>
    <col min="7944" max="7944" width="17.5703125" style="307" customWidth="1"/>
    <col min="7945" max="7945" width="15.5703125" style="307" bestFit="1" customWidth="1"/>
    <col min="7946" max="7946" width="13.5703125" style="307" customWidth="1"/>
    <col min="7947" max="7947" width="20.5703125" style="307" customWidth="1"/>
    <col min="7948" max="7948" width="12.42578125" style="307" bestFit="1" customWidth="1"/>
    <col min="7949" max="8192" width="9.140625" style="307"/>
    <col min="8193" max="8193" width="6.85546875" style="307" customWidth="1"/>
    <col min="8194" max="8194" width="41.140625" style="307" customWidth="1"/>
    <col min="8195" max="8195" width="44.85546875" style="307" bestFit="1" customWidth="1"/>
    <col min="8196" max="8196" width="18.7109375" style="307" customWidth="1"/>
    <col min="8197" max="8197" width="21.28515625" style="307" customWidth="1"/>
    <col min="8198" max="8198" width="16.5703125" style="307" customWidth="1"/>
    <col min="8199" max="8199" width="19" style="307" customWidth="1"/>
    <col min="8200" max="8200" width="17.5703125" style="307" customWidth="1"/>
    <col min="8201" max="8201" width="15.5703125" style="307" bestFit="1" customWidth="1"/>
    <col min="8202" max="8202" width="13.5703125" style="307" customWidth="1"/>
    <col min="8203" max="8203" width="20.5703125" style="307" customWidth="1"/>
    <col min="8204" max="8204" width="12.42578125" style="307" bestFit="1" customWidth="1"/>
    <col min="8205" max="8448" width="9.140625" style="307"/>
    <col min="8449" max="8449" width="6.85546875" style="307" customWidth="1"/>
    <col min="8450" max="8450" width="41.140625" style="307" customWidth="1"/>
    <col min="8451" max="8451" width="44.85546875" style="307" bestFit="1" customWidth="1"/>
    <col min="8452" max="8452" width="18.7109375" style="307" customWidth="1"/>
    <col min="8453" max="8453" width="21.28515625" style="307" customWidth="1"/>
    <col min="8454" max="8454" width="16.5703125" style="307" customWidth="1"/>
    <col min="8455" max="8455" width="19" style="307" customWidth="1"/>
    <col min="8456" max="8456" width="17.5703125" style="307" customWidth="1"/>
    <col min="8457" max="8457" width="15.5703125" style="307" bestFit="1" customWidth="1"/>
    <col min="8458" max="8458" width="13.5703125" style="307" customWidth="1"/>
    <col min="8459" max="8459" width="20.5703125" style="307" customWidth="1"/>
    <col min="8460" max="8460" width="12.42578125" style="307" bestFit="1" customWidth="1"/>
    <col min="8461" max="8704" width="9.140625" style="307"/>
    <col min="8705" max="8705" width="6.85546875" style="307" customWidth="1"/>
    <col min="8706" max="8706" width="41.140625" style="307" customWidth="1"/>
    <col min="8707" max="8707" width="44.85546875" style="307" bestFit="1" customWidth="1"/>
    <col min="8708" max="8708" width="18.7109375" style="307" customWidth="1"/>
    <col min="8709" max="8709" width="21.28515625" style="307" customWidth="1"/>
    <col min="8710" max="8710" width="16.5703125" style="307" customWidth="1"/>
    <col min="8711" max="8711" width="19" style="307" customWidth="1"/>
    <col min="8712" max="8712" width="17.5703125" style="307" customWidth="1"/>
    <col min="8713" max="8713" width="15.5703125" style="307" bestFit="1" customWidth="1"/>
    <col min="8714" max="8714" width="13.5703125" style="307" customWidth="1"/>
    <col min="8715" max="8715" width="20.5703125" style="307" customWidth="1"/>
    <col min="8716" max="8716" width="12.42578125" style="307" bestFit="1" customWidth="1"/>
    <col min="8717" max="8960" width="9.140625" style="307"/>
    <col min="8961" max="8961" width="6.85546875" style="307" customWidth="1"/>
    <col min="8962" max="8962" width="41.140625" style="307" customWidth="1"/>
    <col min="8963" max="8963" width="44.85546875" style="307" bestFit="1" customWidth="1"/>
    <col min="8964" max="8964" width="18.7109375" style="307" customWidth="1"/>
    <col min="8965" max="8965" width="21.28515625" style="307" customWidth="1"/>
    <col min="8966" max="8966" width="16.5703125" style="307" customWidth="1"/>
    <col min="8967" max="8967" width="19" style="307" customWidth="1"/>
    <col min="8968" max="8968" width="17.5703125" style="307" customWidth="1"/>
    <col min="8969" max="8969" width="15.5703125" style="307" bestFit="1" customWidth="1"/>
    <col min="8970" max="8970" width="13.5703125" style="307" customWidth="1"/>
    <col min="8971" max="8971" width="20.5703125" style="307" customWidth="1"/>
    <col min="8972" max="8972" width="12.42578125" style="307" bestFit="1" customWidth="1"/>
    <col min="8973" max="9216" width="9.140625" style="307"/>
    <col min="9217" max="9217" width="6.85546875" style="307" customWidth="1"/>
    <col min="9218" max="9218" width="41.140625" style="307" customWidth="1"/>
    <col min="9219" max="9219" width="44.85546875" style="307" bestFit="1" customWidth="1"/>
    <col min="9220" max="9220" width="18.7109375" style="307" customWidth="1"/>
    <col min="9221" max="9221" width="21.28515625" style="307" customWidth="1"/>
    <col min="9222" max="9222" width="16.5703125" style="307" customWidth="1"/>
    <col min="9223" max="9223" width="19" style="307" customWidth="1"/>
    <col min="9224" max="9224" width="17.5703125" style="307" customWidth="1"/>
    <col min="9225" max="9225" width="15.5703125" style="307" bestFit="1" customWidth="1"/>
    <col min="9226" max="9226" width="13.5703125" style="307" customWidth="1"/>
    <col min="9227" max="9227" width="20.5703125" style="307" customWidth="1"/>
    <col min="9228" max="9228" width="12.42578125" style="307" bestFit="1" customWidth="1"/>
    <col min="9229" max="9472" width="9.140625" style="307"/>
    <col min="9473" max="9473" width="6.85546875" style="307" customWidth="1"/>
    <col min="9474" max="9474" width="41.140625" style="307" customWidth="1"/>
    <col min="9475" max="9475" width="44.85546875" style="307" bestFit="1" customWidth="1"/>
    <col min="9476" max="9476" width="18.7109375" style="307" customWidth="1"/>
    <col min="9477" max="9477" width="21.28515625" style="307" customWidth="1"/>
    <col min="9478" max="9478" width="16.5703125" style="307" customWidth="1"/>
    <col min="9479" max="9479" width="19" style="307" customWidth="1"/>
    <col min="9480" max="9480" width="17.5703125" style="307" customWidth="1"/>
    <col min="9481" max="9481" width="15.5703125" style="307" bestFit="1" customWidth="1"/>
    <col min="9482" max="9482" width="13.5703125" style="307" customWidth="1"/>
    <col min="9483" max="9483" width="20.5703125" style="307" customWidth="1"/>
    <col min="9484" max="9484" width="12.42578125" style="307" bestFit="1" customWidth="1"/>
    <col min="9485" max="9728" width="9.140625" style="307"/>
    <col min="9729" max="9729" width="6.85546875" style="307" customWidth="1"/>
    <col min="9730" max="9730" width="41.140625" style="307" customWidth="1"/>
    <col min="9731" max="9731" width="44.85546875" style="307" bestFit="1" customWidth="1"/>
    <col min="9732" max="9732" width="18.7109375" style="307" customWidth="1"/>
    <col min="9733" max="9733" width="21.28515625" style="307" customWidth="1"/>
    <col min="9734" max="9734" width="16.5703125" style="307" customWidth="1"/>
    <col min="9735" max="9735" width="19" style="307" customWidth="1"/>
    <col min="9736" max="9736" width="17.5703125" style="307" customWidth="1"/>
    <col min="9737" max="9737" width="15.5703125" style="307" bestFit="1" customWidth="1"/>
    <col min="9738" max="9738" width="13.5703125" style="307" customWidth="1"/>
    <col min="9739" max="9739" width="20.5703125" style="307" customWidth="1"/>
    <col min="9740" max="9740" width="12.42578125" style="307" bestFit="1" customWidth="1"/>
    <col min="9741" max="9984" width="9.140625" style="307"/>
    <col min="9985" max="9985" width="6.85546875" style="307" customWidth="1"/>
    <col min="9986" max="9986" width="41.140625" style="307" customWidth="1"/>
    <col min="9987" max="9987" width="44.85546875" style="307" bestFit="1" customWidth="1"/>
    <col min="9988" max="9988" width="18.7109375" style="307" customWidth="1"/>
    <col min="9989" max="9989" width="21.28515625" style="307" customWidth="1"/>
    <col min="9990" max="9990" width="16.5703125" style="307" customWidth="1"/>
    <col min="9991" max="9991" width="19" style="307" customWidth="1"/>
    <col min="9992" max="9992" width="17.5703125" style="307" customWidth="1"/>
    <col min="9993" max="9993" width="15.5703125" style="307" bestFit="1" customWidth="1"/>
    <col min="9994" max="9994" width="13.5703125" style="307" customWidth="1"/>
    <col min="9995" max="9995" width="20.5703125" style="307" customWidth="1"/>
    <col min="9996" max="9996" width="12.42578125" style="307" bestFit="1" customWidth="1"/>
    <col min="9997" max="10240" width="9.140625" style="307"/>
    <col min="10241" max="10241" width="6.85546875" style="307" customWidth="1"/>
    <col min="10242" max="10242" width="41.140625" style="307" customWidth="1"/>
    <col min="10243" max="10243" width="44.85546875" style="307" bestFit="1" customWidth="1"/>
    <col min="10244" max="10244" width="18.7109375" style="307" customWidth="1"/>
    <col min="10245" max="10245" width="21.28515625" style="307" customWidth="1"/>
    <col min="10246" max="10246" width="16.5703125" style="307" customWidth="1"/>
    <col min="10247" max="10247" width="19" style="307" customWidth="1"/>
    <col min="10248" max="10248" width="17.5703125" style="307" customWidth="1"/>
    <col min="10249" max="10249" width="15.5703125" style="307" bestFit="1" customWidth="1"/>
    <col min="10250" max="10250" width="13.5703125" style="307" customWidth="1"/>
    <col min="10251" max="10251" width="20.5703125" style="307" customWidth="1"/>
    <col min="10252" max="10252" width="12.42578125" style="307" bestFit="1" customWidth="1"/>
    <col min="10253" max="10496" width="9.140625" style="307"/>
    <col min="10497" max="10497" width="6.85546875" style="307" customWidth="1"/>
    <col min="10498" max="10498" width="41.140625" style="307" customWidth="1"/>
    <col min="10499" max="10499" width="44.85546875" style="307" bestFit="1" customWidth="1"/>
    <col min="10500" max="10500" width="18.7109375" style="307" customWidth="1"/>
    <col min="10501" max="10501" width="21.28515625" style="307" customWidth="1"/>
    <col min="10502" max="10502" width="16.5703125" style="307" customWidth="1"/>
    <col min="10503" max="10503" width="19" style="307" customWidth="1"/>
    <col min="10504" max="10504" width="17.5703125" style="307" customWidth="1"/>
    <col min="10505" max="10505" width="15.5703125" style="307" bestFit="1" customWidth="1"/>
    <col min="10506" max="10506" width="13.5703125" style="307" customWidth="1"/>
    <col min="10507" max="10507" width="20.5703125" style="307" customWidth="1"/>
    <col min="10508" max="10508" width="12.42578125" style="307" bestFit="1" customWidth="1"/>
    <col min="10509" max="10752" width="9.140625" style="307"/>
    <col min="10753" max="10753" width="6.85546875" style="307" customWidth="1"/>
    <col min="10754" max="10754" width="41.140625" style="307" customWidth="1"/>
    <col min="10755" max="10755" width="44.85546875" style="307" bestFit="1" customWidth="1"/>
    <col min="10756" max="10756" width="18.7109375" style="307" customWidth="1"/>
    <col min="10757" max="10757" width="21.28515625" style="307" customWidth="1"/>
    <col min="10758" max="10758" width="16.5703125" style="307" customWidth="1"/>
    <col min="10759" max="10759" width="19" style="307" customWidth="1"/>
    <col min="10760" max="10760" width="17.5703125" style="307" customWidth="1"/>
    <col min="10761" max="10761" width="15.5703125" style="307" bestFit="1" customWidth="1"/>
    <col min="10762" max="10762" width="13.5703125" style="307" customWidth="1"/>
    <col min="10763" max="10763" width="20.5703125" style="307" customWidth="1"/>
    <col min="10764" max="10764" width="12.42578125" style="307" bestFit="1" customWidth="1"/>
    <col min="10765" max="11008" width="9.140625" style="307"/>
    <col min="11009" max="11009" width="6.85546875" style="307" customWidth="1"/>
    <col min="11010" max="11010" width="41.140625" style="307" customWidth="1"/>
    <col min="11011" max="11011" width="44.85546875" style="307" bestFit="1" customWidth="1"/>
    <col min="11012" max="11012" width="18.7109375" style="307" customWidth="1"/>
    <col min="11013" max="11013" width="21.28515625" style="307" customWidth="1"/>
    <col min="11014" max="11014" width="16.5703125" style="307" customWidth="1"/>
    <col min="11015" max="11015" width="19" style="307" customWidth="1"/>
    <col min="11016" max="11016" width="17.5703125" style="307" customWidth="1"/>
    <col min="11017" max="11017" width="15.5703125" style="307" bestFit="1" customWidth="1"/>
    <col min="11018" max="11018" width="13.5703125" style="307" customWidth="1"/>
    <col min="11019" max="11019" width="20.5703125" style="307" customWidth="1"/>
    <col min="11020" max="11020" width="12.42578125" style="307" bestFit="1" customWidth="1"/>
    <col min="11021" max="11264" width="9.140625" style="307"/>
    <col min="11265" max="11265" width="6.85546875" style="307" customWidth="1"/>
    <col min="11266" max="11266" width="41.140625" style="307" customWidth="1"/>
    <col min="11267" max="11267" width="44.85546875" style="307" bestFit="1" customWidth="1"/>
    <col min="11268" max="11268" width="18.7109375" style="307" customWidth="1"/>
    <col min="11269" max="11269" width="21.28515625" style="307" customWidth="1"/>
    <col min="11270" max="11270" width="16.5703125" style="307" customWidth="1"/>
    <col min="11271" max="11271" width="19" style="307" customWidth="1"/>
    <col min="11272" max="11272" width="17.5703125" style="307" customWidth="1"/>
    <col min="11273" max="11273" width="15.5703125" style="307" bestFit="1" customWidth="1"/>
    <col min="11274" max="11274" width="13.5703125" style="307" customWidth="1"/>
    <col min="11275" max="11275" width="20.5703125" style="307" customWidth="1"/>
    <col min="11276" max="11276" width="12.42578125" style="307" bestFit="1" customWidth="1"/>
    <col min="11277" max="11520" width="9.140625" style="307"/>
    <col min="11521" max="11521" width="6.85546875" style="307" customWidth="1"/>
    <col min="11522" max="11522" width="41.140625" style="307" customWidth="1"/>
    <col min="11523" max="11523" width="44.85546875" style="307" bestFit="1" customWidth="1"/>
    <col min="11524" max="11524" width="18.7109375" style="307" customWidth="1"/>
    <col min="11525" max="11525" width="21.28515625" style="307" customWidth="1"/>
    <col min="11526" max="11526" width="16.5703125" style="307" customWidth="1"/>
    <col min="11527" max="11527" width="19" style="307" customWidth="1"/>
    <col min="11528" max="11528" width="17.5703125" style="307" customWidth="1"/>
    <col min="11529" max="11529" width="15.5703125" style="307" bestFit="1" customWidth="1"/>
    <col min="11530" max="11530" width="13.5703125" style="307" customWidth="1"/>
    <col min="11531" max="11531" width="20.5703125" style="307" customWidth="1"/>
    <col min="11532" max="11532" width="12.42578125" style="307" bestFit="1" customWidth="1"/>
    <col min="11533" max="11776" width="9.140625" style="307"/>
    <col min="11777" max="11777" width="6.85546875" style="307" customWidth="1"/>
    <col min="11778" max="11778" width="41.140625" style="307" customWidth="1"/>
    <col min="11779" max="11779" width="44.85546875" style="307" bestFit="1" customWidth="1"/>
    <col min="11780" max="11780" width="18.7109375" style="307" customWidth="1"/>
    <col min="11781" max="11781" width="21.28515625" style="307" customWidth="1"/>
    <col min="11782" max="11782" width="16.5703125" style="307" customWidth="1"/>
    <col min="11783" max="11783" width="19" style="307" customWidth="1"/>
    <col min="11784" max="11784" width="17.5703125" style="307" customWidth="1"/>
    <col min="11785" max="11785" width="15.5703125" style="307" bestFit="1" customWidth="1"/>
    <col min="11786" max="11786" width="13.5703125" style="307" customWidth="1"/>
    <col min="11787" max="11787" width="20.5703125" style="307" customWidth="1"/>
    <col min="11788" max="11788" width="12.42578125" style="307" bestFit="1" customWidth="1"/>
    <col min="11789" max="12032" width="9.140625" style="307"/>
    <col min="12033" max="12033" width="6.85546875" style="307" customWidth="1"/>
    <col min="12034" max="12034" width="41.140625" style="307" customWidth="1"/>
    <col min="12035" max="12035" width="44.85546875" style="307" bestFit="1" customWidth="1"/>
    <col min="12036" max="12036" width="18.7109375" style="307" customWidth="1"/>
    <col min="12037" max="12037" width="21.28515625" style="307" customWidth="1"/>
    <col min="12038" max="12038" width="16.5703125" style="307" customWidth="1"/>
    <col min="12039" max="12039" width="19" style="307" customWidth="1"/>
    <col min="12040" max="12040" width="17.5703125" style="307" customWidth="1"/>
    <col min="12041" max="12041" width="15.5703125" style="307" bestFit="1" customWidth="1"/>
    <col min="12042" max="12042" width="13.5703125" style="307" customWidth="1"/>
    <col min="12043" max="12043" width="20.5703125" style="307" customWidth="1"/>
    <col min="12044" max="12044" width="12.42578125" style="307" bestFit="1" customWidth="1"/>
    <col min="12045" max="12288" width="9.140625" style="307"/>
    <col min="12289" max="12289" width="6.85546875" style="307" customWidth="1"/>
    <col min="12290" max="12290" width="41.140625" style="307" customWidth="1"/>
    <col min="12291" max="12291" width="44.85546875" style="307" bestFit="1" customWidth="1"/>
    <col min="12292" max="12292" width="18.7109375" style="307" customWidth="1"/>
    <col min="12293" max="12293" width="21.28515625" style="307" customWidth="1"/>
    <col min="12294" max="12294" width="16.5703125" style="307" customWidth="1"/>
    <col min="12295" max="12295" width="19" style="307" customWidth="1"/>
    <col min="12296" max="12296" width="17.5703125" style="307" customWidth="1"/>
    <col min="12297" max="12297" width="15.5703125" style="307" bestFit="1" customWidth="1"/>
    <col min="12298" max="12298" width="13.5703125" style="307" customWidth="1"/>
    <col min="12299" max="12299" width="20.5703125" style="307" customWidth="1"/>
    <col min="12300" max="12300" width="12.42578125" style="307" bestFit="1" customWidth="1"/>
    <col min="12301" max="12544" width="9.140625" style="307"/>
    <col min="12545" max="12545" width="6.85546875" style="307" customWidth="1"/>
    <col min="12546" max="12546" width="41.140625" style="307" customWidth="1"/>
    <col min="12547" max="12547" width="44.85546875" style="307" bestFit="1" customWidth="1"/>
    <col min="12548" max="12548" width="18.7109375" style="307" customWidth="1"/>
    <col min="12549" max="12549" width="21.28515625" style="307" customWidth="1"/>
    <col min="12550" max="12550" width="16.5703125" style="307" customWidth="1"/>
    <col min="12551" max="12551" width="19" style="307" customWidth="1"/>
    <col min="12552" max="12552" width="17.5703125" style="307" customWidth="1"/>
    <col min="12553" max="12553" width="15.5703125" style="307" bestFit="1" customWidth="1"/>
    <col min="12554" max="12554" width="13.5703125" style="307" customWidth="1"/>
    <col min="12555" max="12555" width="20.5703125" style="307" customWidth="1"/>
    <col min="12556" max="12556" width="12.42578125" style="307" bestFit="1" customWidth="1"/>
    <col min="12557" max="12800" width="9.140625" style="307"/>
    <col min="12801" max="12801" width="6.85546875" style="307" customWidth="1"/>
    <col min="12802" max="12802" width="41.140625" style="307" customWidth="1"/>
    <col min="12803" max="12803" width="44.85546875" style="307" bestFit="1" customWidth="1"/>
    <col min="12804" max="12804" width="18.7109375" style="307" customWidth="1"/>
    <col min="12805" max="12805" width="21.28515625" style="307" customWidth="1"/>
    <col min="12806" max="12806" width="16.5703125" style="307" customWidth="1"/>
    <col min="12807" max="12807" width="19" style="307" customWidth="1"/>
    <col min="12808" max="12808" width="17.5703125" style="307" customWidth="1"/>
    <col min="12809" max="12809" width="15.5703125" style="307" bestFit="1" customWidth="1"/>
    <col min="12810" max="12810" width="13.5703125" style="307" customWidth="1"/>
    <col min="12811" max="12811" width="20.5703125" style="307" customWidth="1"/>
    <col min="12812" max="12812" width="12.42578125" style="307" bestFit="1" customWidth="1"/>
    <col min="12813" max="13056" width="9.140625" style="307"/>
    <col min="13057" max="13057" width="6.85546875" style="307" customWidth="1"/>
    <col min="13058" max="13058" width="41.140625" style="307" customWidth="1"/>
    <col min="13059" max="13059" width="44.85546875" style="307" bestFit="1" customWidth="1"/>
    <col min="13060" max="13060" width="18.7109375" style="307" customWidth="1"/>
    <col min="13061" max="13061" width="21.28515625" style="307" customWidth="1"/>
    <col min="13062" max="13062" width="16.5703125" style="307" customWidth="1"/>
    <col min="13063" max="13063" width="19" style="307" customWidth="1"/>
    <col min="13064" max="13064" width="17.5703125" style="307" customWidth="1"/>
    <col min="13065" max="13065" width="15.5703125" style="307" bestFit="1" customWidth="1"/>
    <col min="13066" max="13066" width="13.5703125" style="307" customWidth="1"/>
    <col min="13067" max="13067" width="20.5703125" style="307" customWidth="1"/>
    <col min="13068" max="13068" width="12.42578125" style="307" bestFit="1" customWidth="1"/>
    <col min="13069" max="13312" width="9.140625" style="307"/>
    <col min="13313" max="13313" width="6.85546875" style="307" customWidth="1"/>
    <col min="13314" max="13314" width="41.140625" style="307" customWidth="1"/>
    <col min="13315" max="13315" width="44.85546875" style="307" bestFit="1" customWidth="1"/>
    <col min="13316" max="13316" width="18.7109375" style="307" customWidth="1"/>
    <col min="13317" max="13317" width="21.28515625" style="307" customWidth="1"/>
    <col min="13318" max="13318" width="16.5703125" style="307" customWidth="1"/>
    <col min="13319" max="13319" width="19" style="307" customWidth="1"/>
    <col min="13320" max="13320" width="17.5703125" style="307" customWidth="1"/>
    <col min="13321" max="13321" width="15.5703125" style="307" bestFit="1" customWidth="1"/>
    <col min="13322" max="13322" width="13.5703125" style="307" customWidth="1"/>
    <col min="13323" max="13323" width="20.5703125" style="307" customWidth="1"/>
    <col min="13324" max="13324" width="12.42578125" style="307" bestFit="1" customWidth="1"/>
    <col min="13325" max="13568" width="9.140625" style="307"/>
    <col min="13569" max="13569" width="6.85546875" style="307" customWidth="1"/>
    <col min="13570" max="13570" width="41.140625" style="307" customWidth="1"/>
    <col min="13571" max="13571" width="44.85546875" style="307" bestFit="1" customWidth="1"/>
    <col min="13572" max="13572" width="18.7109375" style="307" customWidth="1"/>
    <col min="13573" max="13573" width="21.28515625" style="307" customWidth="1"/>
    <col min="13574" max="13574" width="16.5703125" style="307" customWidth="1"/>
    <col min="13575" max="13575" width="19" style="307" customWidth="1"/>
    <col min="13576" max="13576" width="17.5703125" style="307" customWidth="1"/>
    <col min="13577" max="13577" width="15.5703125" style="307" bestFit="1" customWidth="1"/>
    <col min="13578" max="13578" width="13.5703125" style="307" customWidth="1"/>
    <col min="13579" max="13579" width="20.5703125" style="307" customWidth="1"/>
    <col min="13580" max="13580" width="12.42578125" style="307" bestFit="1" customWidth="1"/>
    <col min="13581" max="13824" width="9.140625" style="307"/>
    <col min="13825" max="13825" width="6.85546875" style="307" customWidth="1"/>
    <col min="13826" max="13826" width="41.140625" style="307" customWidth="1"/>
    <col min="13827" max="13827" width="44.85546875" style="307" bestFit="1" customWidth="1"/>
    <col min="13828" max="13828" width="18.7109375" style="307" customWidth="1"/>
    <col min="13829" max="13829" width="21.28515625" style="307" customWidth="1"/>
    <col min="13830" max="13830" width="16.5703125" style="307" customWidth="1"/>
    <col min="13831" max="13831" width="19" style="307" customWidth="1"/>
    <col min="13832" max="13832" width="17.5703125" style="307" customWidth="1"/>
    <col min="13833" max="13833" width="15.5703125" style="307" bestFit="1" customWidth="1"/>
    <col min="13834" max="13834" width="13.5703125" style="307" customWidth="1"/>
    <col min="13835" max="13835" width="20.5703125" style="307" customWidth="1"/>
    <col min="13836" max="13836" width="12.42578125" style="307" bestFit="1" customWidth="1"/>
    <col min="13837" max="14080" width="9.140625" style="307"/>
    <col min="14081" max="14081" width="6.85546875" style="307" customWidth="1"/>
    <col min="14082" max="14082" width="41.140625" style="307" customWidth="1"/>
    <col min="14083" max="14083" width="44.85546875" style="307" bestFit="1" customWidth="1"/>
    <col min="14084" max="14084" width="18.7109375" style="307" customWidth="1"/>
    <col min="14085" max="14085" width="21.28515625" style="307" customWidth="1"/>
    <col min="14086" max="14086" width="16.5703125" style="307" customWidth="1"/>
    <col min="14087" max="14087" width="19" style="307" customWidth="1"/>
    <col min="14088" max="14088" width="17.5703125" style="307" customWidth="1"/>
    <col min="14089" max="14089" width="15.5703125" style="307" bestFit="1" customWidth="1"/>
    <col min="14090" max="14090" width="13.5703125" style="307" customWidth="1"/>
    <col min="14091" max="14091" width="20.5703125" style="307" customWidth="1"/>
    <col min="14092" max="14092" width="12.42578125" style="307" bestFit="1" customWidth="1"/>
    <col min="14093" max="14336" width="9.140625" style="307"/>
    <col min="14337" max="14337" width="6.85546875" style="307" customWidth="1"/>
    <col min="14338" max="14338" width="41.140625" style="307" customWidth="1"/>
    <col min="14339" max="14339" width="44.85546875" style="307" bestFit="1" customWidth="1"/>
    <col min="14340" max="14340" width="18.7109375" style="307" customWidth="1"/>
    <col min="14341" max="14341" width="21.28515625" style="307" customWidth="1"/>
    <col min="14342" max="14342" width="16.5703125" style="307" customWidth="1"/>
    <col min="14343" max="14343" width="19" style="307" customWidth="1"/>
    <col min="14344" max="14344" width="17.5703125" style="307" customWidth="1"/>
    <col min="14345" max="14345" width="15.5703125" style="307" bestFit="1" customWidth="1"/>
    <col min="14346" max="14346" width="13.5703125" style="307" customWidth="1"/>
    <col min="14347" max="14347" width="20.5703125" style="307" customWidth="1"/>
    <col min="14348" max="14348" width="12.42578125" style="307" bestFit="1" customWidth="1"/>
    <col min="14349" max="14592" width="9.140625" style="307"/>
    <col min="14593" max="14593" width="6.85546875" style="307" customWidth="1"/>
    <col min="14594" max="14594" width="41.140625" style="307" customWidth="1"/>
    <col min="14595" max="14595" width="44.85546875" style="307" bestFit="1" customWidth="1"/>
    <col min="14596" max="14596" width="18.7109375" style="307" customWidth="1"/>
    <col min="14597" max="14597" width="21.28515625" style="307" customWidth="1"/>
    <col min="14598" max="14598" width="16.5703125" style="307" customWidth="1"/>
    <col min="14599" max="14599" width="19" style="307" customWidth="1"/>
    <col min="14600" max="14600" width="17.5703125" style="307" customWidth="1"/>
    <col min="14601" max="14601" width="15.5703125" style="307" bestFit="1" customWidth="1"/>
    <col min="14602" max="14602" width="13.5703125" style="307" customWidth="1"/>
    <col min="14603" max="14603" width="20.5703125" style="307" customWidth="1"/>
    <col min="14604" max="14604" width="12.42578125" style="307" bestFit="1" customWidth="1"/>
    <col min="14605" max="14848" width="9.140625" style="307"/>
    <col min="14849" max="14849" width="6.85546875" style="307" customWidth="1"/>
    <col min="14850" max="14850" width="41.140625" style="307" customWidth="1"/>
    <col min="14851" max="14851" width="44.85546875" style="307" bestFit="1" customWidth="1"/>
    <col min="14852" max="14852" width="18.7109375" style="307" customWidth="1"/>
    <col min="14853" max="14853" width="21.28515625" style="307" customWidth="1"/>
    <col min="14854" max="14854" width="16.5703125" style="307" customWidth="1"/>
    <col min="14855" max="14855" width="19" style="307" customWidth="1"/>
    <col min="14856" max="14856" width="17.5703125" style="307" customWidth="1"/>
    <col min="14857" max="14857" width="15.5703125" style="307" bestFit="1" customWidth="1"/>
    <col min="14858" max="14858" width="13.5703125" style="307" customWidth="1"/>
    <col min="14859" max="14859" width="20.5703125" style="307" customWidth="1"/>
    <col min="14860" max="14860" width="12.42578125" style="307" bestFit="1" customWidth="1"/>
    <col min="14861" max="15104" width="9.140625" style="307"/>
    <col min="15105" max="15105" width="6.85546875" style="307" customWidth="1"/>
    <col min="15106" max="15106" width="41.140625" style="307" customWidth="1"/>
    <col min="15107" max="15107" width="44.85546875" style="307" bestFit="1" customWidth="1"/>
    <col min="15108" max="15108" width="18.7109375" style="307" customWidth="1"/>
    <col min="15109" max="15109" width="21.28515625" style="307" customWidth="1"/>
    <col min="15110" max="15110" width="16.5703125" style="307" customWidth="1"/>
    <col min="15111" max="15111" width="19" style="307" customWidth="1"/>
    <col min="15112" max="15112" width="17.5703125" style="307" customWidth="1"/>
    <col min="15113" max="15113" width="15.5703125" style="307" bestFit="1" customWidth="1"/>
    <col min="15114" max="15114" width="13.5703125" style="307" customWidth="1"/>
    <col min="15115" max="15115" width="20.5703125" style="307" customWidth="1"/>
    <col min="15116" max="15116" width="12.42578125" style="307" bestFit="1" customWidth="1"/>
    <col min="15117" max="15360" width="9.140625" style="307"/>
    <col min="15361" max="15361" width="6.85546875" style="307" customWidth="1"/>
    <col min="15362" max="15362" width="41.140625" style="307" customWidth="1"/>
    <col min="15363" max="15363" width="44.85546875" style="307" bestFit="1" customWidth="1"/>
    <col min="15364" max="15364" width="18.7109375" style="307" customWidth="1"/>
    <col min="15365" max="15365" width="21.28515625" style="307" customWidth="1"/>
    <col min="15366" max="15366" width="16.5703125" style="307" customWidth="1"/>
    <col min="15367" max="15367" width="19" style="307" customWidth="1"/>
    <col min="15368" max="15368" width="17.5703125" style="307" customWidth="1"/>
    <col min="15369" max="15369" width="15.5703125" style="307" bestFit="1" customWidth="1"/>
    <col min="15370" max="15370" width="13.5703125" style="307" customWidth="1"/>
    <col min="15371" max="15371" width="20.5703125" style="307" customWidth="1"/>
    <col min="15372" max="15372" width="12.42578125" style="307" bestFit="1" customWidth="1"/>
    <col min="15373" max="15616" width="9.140625" style="307"/>
    <col min="15617" max="15617" width="6.85546875" style="307" customWidth="1"/>
    <col min="15618" max="15618" width="41.140625" style="307" customWidth="1"/>
    <col min="15619" max="15619" width="44.85546875" style="307" bestFit="1" customWidth="1"/>
    <col min="15620" max="15620" width="18.7109375" style="307" customWidth="1"/>
    <col min="15621" max="15621" width="21.28515625" style="307" customWidth="1"/>
    <col min="15622" max="15622" width="16.5703125" style="307" customWidth="1"/>
    <col min="15623" max="15623" width="19" style="307" customWidth="1"/>
    <col min="15624" max="15624" width="17.5703125" style="307" customWidth="1"/>
    <col min="15625" max="15625" width="15.5703125" style="307" bestFit="1" customWidth="1"/>
    <col min="15626" max="15626" width="13.5703125" style="307" customWidth="1"/>
    <col min="15627" max="15627" width="20.5703125" style="307" customWidth="1"/>
    <col min="15628" max="15628" width="12.42578125" style="307" bestFit="1" customWidth="1"/>
    <col min="15629" max="15872" width="9.140625" style="307"/>
    <col min="15873" max="15873" width="6.85546875" style="307" customWidth="1"/>
    <col min="15874" max="15874" width="41.140625" style="307" customWidth="1"/>
    <col min="15875" max="15875" width="44.85546875" style="307" bestFit="1" customWidth="1"/>
    <col min="15876" max="15876" width="18.7109375" style="307" customWidth="1"/>
    <col min="15877" max="15877" width="21.28515625" style="307" customWidth="1"/>
    <col min="15878" max="15878" width="16.5703125" style="307" customWidth="1"/>
    <col min="15879" max="15879" width="19" style="307" customWidth="1"/>
    <col min="15880" max="15880" width="17.5703125" style="307" customWidth="1"/>
    <col min="15881" max="15881" width="15.5703125" style="307" bestFit="1" customWidth="1"/>
    <col min="15882" max="15882" width="13.5703125" style="307" customWidth="1"/>
    <col min="15883" max="15883" width="20.5703125" style="307" customWidth="1"/>
    <col min="15884" max="15884" width="12.42578125" style="307" bestFit="1" customWidth="1"/>
    <col min="15885" max="16128" width="9.140625" style="307"/>
    <col min="16129" max="16129" width="6.85546875" style="307" customWidth="1"/>
    <col min="16130" max="16130" width="41.140625" style="307" customWidth="1"/>
    <col min="16131" max="16131" width="44.85546875" style="307" bestFit="1" customWidth="1"/>
    <col min="16132" max="16132" width="18.7109375" style="307" customWidth="1"/>
    <col min="16133" max="16133" width="21.28515625" style="307" customWidth="1"/>
    <col min="16134" max="16134" width="16.5703125" style="307" customWidth="1"/>
    <col min="16135" max="16135" width="19" style="307" customWidth="1"/>
    <col min="16136" max="16136" width="17.5703125" style="307" customWidth="1"/>
    <col min="16137" max="16137" width="15.5703125" style="307" bestFit="1" customWidth="1"/>
    <col min="16138" max="16138" width="13.5703125" style="307" customWidth="1"/>
    <col min="16139" max="16139" width="20.5703125" style="307" customWidth="1"/>
    <col min="16140" max="16140" width="12.42578125" style="307" bestFit="1" customWidth="1"/>
    <col min="16141" max="16384" width="9.140625" style="307"/>
  </cols>
  <sheetData>
    <row r="1" spans="2:9" x14ac:dyDescent="0.2">
      <c r="G1" s="308" t="s">
        <v>1025</v>
      </c>
    </row>
    <row r="2" spans="2:9" x14ac:dyDescent="0.2">
      <c r="B2" s="309" t="s">
        <v>1026</v>
      </c>
      <c r="C2" s="309"/>
      <c r="D2" s="309"/>
      <c r="E2" s="309"/>
      <c r="F2" s="309"/>
      <c r="G2" s="309"/>
    </row>
    <row r="3" spans="2:9" x14ac:dyDescent="0.2">
      <c r="B3" s="309" t="s">
        <v>1027</v>
      </c>
      <c r="C3" s="309"/>
      <c r="D3" s="309"/>
      <c r="E3" s="309"/>
      <c r="F3" s="309"/>
      <c r="G3" s="309"/>
    </row>
    <row r="4" spans="2:9" x14ac:dyDescent="0.2">
      <c r="B4" s="308"/>
      <c r="C4" s="308"/>
      <c r="D4" s="308"/>
      <c r="E4" s="308"/>
      <c r="F4" s="308"/>
      <c r="G4" s="308"/>
    </row>
    <row r="5" spans="2:9" x14ac:dyDescent="0.2">
      <c r="B5" s="309" t="s">
        <v>1028</v>
      </c>
      <c r="C5" s="309"/>
      <c r="D5" s="309"/>
      <c r="E5" s="309"/>
      <c r="F5" s="309"/>
      <c r="G5" s="309"/>
    </row>
    <row r="6" spans="2:9" x14ac:dyDescent="0.2">
      <c r="B6" s="308" t="s">
        <v>1029</v>
      </c>
    </row>
    <row r="8" spans="2:9" ht="25.5" x14ac:dyDescent="0.2">
      <c r="B8" s="310" t="s">
        <v>1030</v>
      </c>
      <c r="C8" s="310" t="s">
        <v>1031</v>
      </c>
      <c r="D8" s="310" t="s">
        <v>1032</v>
      </c>
      <c r="E8" s="311" t="s">
        <v>1033</v>
      </c>
      <c r="F8" s="311" t="s">
        <v>1034</v>
      </c>
      <c r="G8" s="311" t="s">
        <v>1035</v>
      </c>
    </row>
    <row r="9" spans="2:9" x14ac:dyDescent="0.2">
      <c r="B9" s="312" t="s">
        <v>687</v>
      </c>
      <c r="C9" s="313" t="s">
        <v>885</v>
      </c>
      <c r="D9" s="314" t="s">
        <v>1036</v>
      </c>
      <c r="E9" s="315">
        <v>740.64</v>
      </c>
      <c r="F9" s="379">
        <v>735.1</v>
      </c>
      <c r="G9" s="316">
        <v>57.332548799999998</v>
      </c>
      <c r="I9" s="317"/>
    </row>
    <row r="10" spans="2:9" x14ac:dyDescent="0.2">
      <c r="B10" s="312" t="s">
        <v>687</v>
      </c>
      <c r="C10" s="313" t="s">
        <v>901</v>
      </c>
      <c r="D10" s="314" t="s">
        <v>1036</v>
      </c>
      <c r="E10" s="315">
        <v>118.91</v>
      </c>
      <c r="F10" s="379">
        <v>112.95</v>
      </c>
      <c r="G10" s="316">
        <v>105.1581568</v>
      </c>
      <c r="I10" s="317"/>
    </row>
    <row r="11" spans="2:9" x14ac:dyDescent="0.2">
      <c r="B11" s="312" t="s">
        <v>687</v>
      </c>
      <c r="C11" s="313" t="s">
        <v>870</v>
      </c>
      <c r="D11" s="314" t="s">
        <v>1036</v>
      </c>
      <c r="E11" s="315">
        <v>671.67</v>
      </c>
      <c r="F11" s="379">
        <v>716.95</v>
      </c>
      <c r="G11" s="316">
        <v>144.97274400000001</v>
      </c>
      <c r="I11" s="317"/>
    </row>
    <row r="12" spans="2:9" x14ac:dyDescent="0.2">
      <c r="B12" s="312" t="s">
        <v>687</v>
      </c>
      <c r="C12" s="313" t="s">
        <v>368</v>
      </c>
      <c r="D12" s="314" t="s">
        <v>1036</v>
      </c>
      <c r="E12" s="315">
        <v>67.599999999999994</v>
      </c>
      <c r="F12" s="379">
        <v>67.05</v>
      </c>
      <c r="G12" s="316">
        <v>40.093677599999999</v>
      </c>
      <c r="I12" s="317"/>
    </row>
    <row r="13" spans="2:9" x14ac:dyDescent="0.2">
      <c r="B13" s="312" t="s">
        <v>687</v>
      </c>
      <c r="C13" s="313" t="s">
        <v>902</v>
      </c>
      <c r="D13" s="314" t="s">
        <v>1036</v>
      </c>
      <c r="E13" s="315">
        <v>587.38</v>
      </c>
      <c r="F13" s="379">
        <v>613.79999999999995</v>
      </c>
      <c r="G13" s="316">
        <v>103.1058</v>
      </c>
      <c r="I13" s="317"/>
    </row>
    <row r="14" spans="2:9" x14ac:dyDescent="0.2">
      <c r="B14" s="312" t="s">
        <v>687</v>
      </c>
      <c r="C14" s="313" t="s">
        <v>897</v>
      </c>
      <c r="D14" s="314" t="s">
        <v>1036</v>
      </c>
      <c r="E14" s="315">
        <v>139.93</v>
      </c>
      <c r="F14" s="379">
        <v>139.4</v>
      </c>
      <c r="G14" s="316">
        <v>35.123004000000002</v>
      </c>
      <c r="I14" s="317"/>
    </row>
    <row r="15" spans="2:9" x14ac:dyDescent="0.2">
      <c r="B15" s="312" t="s">
        <v>687</v>
      </c>
      <c r="C15" s="313" t="s">
        <v>895</v>
      </c>
      <c r="D15" s="314" t="s">
        <v>1036</v>
      </c>
      <c r="E15" s="315">
        <v>3786.31</v>
      </c>
      <c r="F15" s="379">
        <v>4080.45</v>
      </c>
      <c r="G15" s="316">
        <v>11.6781805</v>
      </c>
      <c r="I15" s="317"/>
    </row>
    <row r="16" spans="2:9" x14ac:dyDescent="0.2">
      <c r="B16" s="312" t="s">
        <v>687</v>
      </c>
      <c r="C16" s="313" t="s">
        <v>872</v>
      </c>
      <c r="D16" s="314" t="s">
        <v>1036</v>
      </c>
      <c r="E16" s="315">
        <v>77.150000000000006</v>
      </c>
      <c r="F16" s="379">
        <v>80.25</v>
      </c>
      <c r="G16" s="316">
        <v>41.392874999999997</v>
      </c>
      <c r="I16" s="317"/>
    </row>
    <row r="17" spans="2:9" x14ac:dyDescent="0.2">
      <c r="B17" s="312" t="s">
        <v>687</v>
      </c>
      <c r="C17" s="313" t="s">
        <v>898</v>
      </c>
      <c r="D17" s="314" t="s">
        <v>1036</v>
      </c>
      <c r="E17" s="315">
        <v>514.70000000000005</v>
      </c>
      <c r="F17" s="379">
        <v>511.85</v>
      </c>
      <c r="G17" s="316">
        <v>41.138195000000003</v>
      </c>
      <c r="I17" s="317"/>
    </row>
    <row r="18" spans="2:9" x14ac:dyDescent="0.2">
      <c r="B18" s="312" t="s">
        <v>687</v>
      </c>
      <c r="C18" s="313" t="s">
        <v>879</v>
      </c>
      <c r="D18" s="314" t="s">
        <v>1036</v>
      </c>
      <c r="E18" s="315">
        <v>448.22</v>
      </c>
      <c r="F18" s="379">
        <v>443.35</v>
      </c>
      <c r="G18" s="316">
        <v>101.1967112</v>
      </c>
      <c r="I18" s="317"/>
    </row>
    <row r="19" spans="2:9" x14ac:dyDescent="0.2">
      <c r="B19" s="312" t="s">
        <v>687</v>
      </c>
      <c r="C19" s="313" t="s">
        <v>888</v>
      </c>
      <c r="D19" s="314" t="s">
        <v>1036</v>
      </c>
      <c r="E19" s="315">
        <v>1338.56</v>
      </c>
      <c r="F19" s="379">
        <v>1348.95</v>
      </c>
      <c r="G19" s="316">
        <v>51.596824699999999</v>
      </c>
      <c r="I19" s="317"/>
    </row>
    <row r="20" spans="2:9" x14ac:dyDescent="0.2">
      <c r="B20" s="312" t="s">
        <v>687</v>
      </c>
      <c r="C20" s="313" t="s">
        <v>900</v>
      </c>
      <c r="D20" s="314" t="s">
        <v>1036</v>
      </c>
      <c r="E20" s="315">
        <v>408.38</v>
      </c>
      <c r="F20" s="379">
        <v>406.55</v>
      </c>
      <c r="G20" s="316">
        <v>89.344260000000006</v>
      </c>
      <c r="I20" s="317"/>
    </row>
    <row r="21" spans="2:9" x14ac:dyDescent="0.2">
      <c r="B21" s="312" t="s">
        <v>687</v>
      </c>
      <c r="C21" s="313" t="s">
        <v>896</v>
      </c>
      <c r="D21" s="314" t="s">
        <v>1036</v>
      </c>
      <c r="E21" s="315">
        <v>6671.64</v>
      </c>
      <c r="F21" s="379">
        <v>6486.9</v>
      </c>
      <c r="G21" s="316">
        <v>17.066215</v>
      </c>
      <c r="I21" s="317"/>
    </row>
    <row r="22" spans="2:9" x14ac:dyDescent="0.2">
      <c r="B22" s="318" t="s">
        <v>687</v>
      </c>
      <c r="C22" s="319" t="s">
        <v>899</v>
      </c>
      <c r="D22" s="314" t="s">
        <v>1036</v>
      </c>
      <c r="E22" s="315">
        <v>30158.94</v>
      </c>
      <c r="F22" s="379">
        <v>29746.35</v>
      </c>
      <c r="G22" s="316">
        <v>65.979801699999996</v>
      </c>
      <c r="I22" s="317"/>
    </row>
    <row r="23" spans="2:9" x14ac:dyDescent="0.2">
      <c r="B23" s="312" t="s">
        <v>687</v>
      </c>
      <c r="C23" s="320" t="s">
        <v>874</v>
      </c>
      <c r="D23" s="314" t="s">
        <v>1036</v>
      </c>
      <c r="E23" s="315">
        <v>1987.49</v>
      </c>
      <c r="F23" s="379">
        <v>2005.6</v>
      </c>
      <c r="G23" s="316">
        <v>90.795199999999994</v>
      </c>
      <c r="I23" s="317"/>
    </row>
    <row r="24" spans="2:9" x14ac:dyDescent="0.2">
      <c r="B24" s="312" t="s">
        <v>687</v>
      </c>
      <c r="C24" s="320" t="s">
        <v>891</v>
      </c>
      <c r="D24" s="314" t="s">
        <v>1036</v>
      </c>
      <c r="E24" s="315">
        <v>351.19</v>
      </c>
      <c r="F24" s="379">
        <v>354</v>
      </c>
      <c r="G24" s="316">
        <v>82.090800000000002</v>
      </c>
      <c r="I24" s="317"/>
    </row>
    <row r="25" spans="2:9" x14ac:dyDescent="0.2">
      <c r="B25" s="312" t="s">
        <v>780</v>
      </c>
      <c r="C25" s="321" t="s">
        <v>885</v>
      </c>
      <c r="D25" s="314" t="s">
        <v>1036</v>
      </c>
      <c r="E25" s="315">
        <v>754.2</v>
      </c>
      <c r="F25" s="379">
        <v>735.1</v>
      </c>
      <c r="G25" s="316">
        <v>57.332548799999998</v>
      </c>
      <c r="I25" s="317"/>
    </row>
    <row r="26" spans="2:9" x14ac:dyDescent="0.2">
      <c r="B26" s="312" t="s">
        <v>780</v>
      </c>
      <c r="C26" s="321" t="s">
        <v>870</v>
      </c>
      <c r="D26" s="314" t="s">
        <v>1036</v>
      </c>
      <c r="E26" s="315">
        <v>705.15</v>
      </c>
      <c r="F26" s="379">
        <v>716.95</v>
      </c>
      <c r="G26" s="316">
        <v>160.505538</v>
      </c>
      <c r="I26" s="317"/>
    </row>
    <row r="27" spans="2:9" x14ac:dyDescent="0.2">
      <c r="B27" s="312" t="s">
        <v>780</v>
      </c>
      <c r="C27" s="321" t="s">
        <v>873</v>
      </c>
      <c r="D27" s="314" t="s">
        <v>1036</v>
      </c>
      <c r="E27" s="315">
        <v>3784.34</v>
      </c>
      <c r="F27" s="379">
        <v>3847.8</v>
      </c>
      <c r="G27" s="316">
        <v>193.19112000000001</v>
      </c>
      <c r="I27" s="317"/>
    </row>
    <row r="28" spans="2:9" x14ac:dyDescent="0.2">
      <c r="B28" s="312" t="s">
        <v>780</v>
      </c>
      <c r="C28" s="321" t="s">
        <v>878</v>
      </c>
      <c r="D28" s="314" t="s">
        <v>1036</v>
      </c>
      <c r="E28" s="315">
        <v>534.64</v>
      </c>
      <c r="F28" s="379">
        <v>539.35</v>
      </c>
      <c r="G28" s="316">
        <v>378.52134210000003</v>
      </c>
      <c r="I28" s="317"/>
    </row>
    <row r="29" spans="2:9" x14ac:dyDescent="0.2">
      <c r="B29" s="312" t="s">
        <v>780</v>
      </c>
      <c r="C29" s="321" t="s">
        <v>890</v>
      </c>
      <c r="D29" s="314" t="s">
        <v>1036</v>
      </c>
      <c r="E29" s="315">
        <v>5081.34</v>
      </c>
      <c r="F29" s="379">
        <v>5195.1000000000004</v>
      </c>
      <c r="G29" s="316">
        <v>142.4385872</v>
      </c>
      <c r="I29" s="317"/>
    </row>
    <row r="30" spans="2:9" x14ac:dyDescent="0.2">
      <c r="B30" s="312" t="s">
        <v>780</v>
      </c>
      <c r="C30" s="321" t="s">
        <v>882</v>
      </c>
      <c r="D30" s="314" t="s">
        <v>1036</v>
      </c>
      <c r="E30" s="315">
        <v>2527.61</v>
      </c>
      <c r="F30" s="379">
        <v>2435.25</v>
      </c>
      <c r="G30" s="316">
        <v>188.25111999999999</v>
      </c>
      <c r="I30" s="317"/>
    </row>
    <row r="31" spans="2:9" ht="18" customHeight="1" x14ac:dyDescent="0.2">
      <c r="B31" s="312" t="s">
        <v>780</v>
      </c>
      <c r="C31" s="321" t="s">
        <v>889</v>
      </c>
      <c r="D31" s="314" t="s">
        <v>1036</v>
      </c>
      <c r="E31" s="315">
        <v>682.36</v>
      </c>
      <c r="F31" s="379">
        <v>669.5</v>
      </c>
      <c r="G31" s="316">
        <v>156.08843250000001</v>
      </c>
      <c r="I31" s="317"/>
    </row>
    <row r="32" spans="2:9" x14ac:dyDescent="0.2">
      <c r="B32" s="312" t="s">
        <v>780</v>
      </c>
      <c r="C32" s="321" t="s">
        <v>883</v>
      </c>
      <c r="D32" s="314" t="s">
        <v>1036</v>
      </c>
      <c r="E32" s="315">
        <v>2382.36</v>
      </c>
      <c r="F32" s="379">
        <v>2361.6999999999998</v>
      </c>
      <c r="G32" s="316">
        <v>154.69589850000003</v>
      </c>
      <c r="I32" s="317"/>
    </row>
    <row r="33" spans="2:9" x14ac:dyDescent="0.2">
      <c r="B33" s="312" t="s">
        <v>780</v>
      </c>
      <c r="C33" s="321" t="s">
        <v>881</v>
      </c>
      <c r="D33" s="314" t="s">
        <v>1036</v>
      </c>
      <c r="E33" s="315">
        <v>600.29999999999995</v>
      </c>
      <c r="F33" s="379">
        <v>603.1</v>
      </c>
      <c r="G33" s="316">
        <v>877.78542779999998</v>
      </c>
      <c r="I33" s="317"/>
    </row>
    <row r="34" spans="2:9" ht="25.5" x14ac:dyDescent="0.2">
      <c r="B34" s="312" t="s">
        <v>780</v>
      </c>
      <c r="C34" s="321" t="s">
        <v>887</v>
      </c>
      <c r="D34" s="314" t="s">
        <v>1036</v>
      </c>
      <c r="E34" s="315">
        <v>1446.16</v>
      </c>
      <c r="F34" s="379">
        <v>1421.4</v>
      </c>
      <c r="G34" s="316">
        <v>71.378539999999987</v>
      </c>
      <c r="I34" s="317"/>
    </row>
    <row r="35" spans="2:9" x14ac:dyDescent="0.2">
      <c r="B35" s="312" t="s">
        <v>780</v>
      </c>
      <c r="C35" s="321" t="s">
        <v>888</v>
      </c>
      <c r="D35" s="314" t="s">
        <v>1036</v>
      </c>
      <c r="E35" s="315">
        <v>1388.34</v>
      </c>
      <c r="F35" s="379">
        <v>1348.95</v>
      </c>
      <c r="G35" s="316">
        <v>66.576548000000003</v>
      </c>
      <c r="I35" s="317"/>
    </row>
    <row r="36" spans="2:9" x14ac:dyDescent="0.2">
      <c r="B36" s="312" t="s">
        <v>780</v>
      </c>
      <c r="C36" s="321" t="s">
        <v>893</v>
      </c>
      <c r="D36" s="314" t="s">
        <v>1036</v>
      </c>
      <c r="E36" s="315">
        <v>410.44</v>
      </c>
      <c r="F36" s="379">
        <v>413.45</v>
      </c>
      <c r="G36" s="316">
        <v>291.84300000000002</v>
      </c>
      <c r="I36" s="317"/>
    </row>
    <row r="37" spans="2:9" x14ac:dyDescent="0.2">
      <c r="B37" s="312" t="s">
        <v>780</v>
      </c>
      <c r="C37" s="321" t="s">
        <v>877</v>
      </c>
      <c r="D37" s="314" t="s">
        <v>1036</v>
      </c>
      <c r="E37" s="315">
        <v>523.64</v>
      </c>
      <c r="F37" s="379">
        <v>522.25</v>
      </c>
      <c r="G37" s="322">
        <v>329.72625600000003</v>
      </c>
      <c r="I37" s="317"/>
    </row>
    <row r="38" spans="2:9" x14ac:dyDescent="0.2">
      <c r="B38" s="312" t="s">
        <v>780</v>
      </c>
      <c r="C38" s="321" t="s">
        <v>894</v>
      </c>
      <c r="D38" s="314" t="s">
        <v>1036</v>
      </c>
      <c r="E38" s="315">
        <v>14635.91</v>
      </c>
      <c r="F38" s="379">
        <v>14690.8</v>
      </c>
      <c r="G38" s="322">
        <v>424.38014249999998</v>
      </c>
      <c r="I38" s="317"/>
    </row>
    <row r="39" spans="2:9" x14ac:dyDescent="0.2">
      <c r="B39" s="312" t="s">
        <v>780</v>
      </c>
      <c r="C39" s="321" t="s">
        <v>871</v>
      </c>
      <c r="D39" s="314" t="s">
        <v>1036</v>
      </c>
      <c r="E39" s="315">
        <v>1863.88</v>
      </c>
      <c r="F39" s="379">
        <v>1826.3</v>
      </c>
      <c r="G39" s="322">
        <v>530.98575000000005</v>
      </c>
      <c r="I39" s="317"/>
    </row>
    <row r="40" spans="2:9" x14ac:dyDescent="0.2">
      <c r="B40" s="312" t="s">
        <v>780</v>
      </c>
      <c r="C40" s="321" t="s">
        <v>874</v>
      </c>
      <c r="D40" s="314" t="s">
        <v>1036</v>
      </c>
      <c r="E40" s="315">
        <v>1993.03</v>
      </c>
      <c r="F40" s="379">
        <v>2005.6</v>
      </c>
      <c r="G40" s="322">
        <v>181.59039999999999</v>
      </c>
      <c r="I40" s="317"/>
    </row>
    <row r="41" spans="2:9" x14ac:dyDescent="0.2">
      <c r="B41" s="312" t="s">
        <v>780</v>
      </c>
      <c r="C41" s="321" t="s">
        <v>892</v>
      </c>
      <c r="D41" s="314" t="s">
        <v>1036</v>
      </c>
      <c r="E41" s="315">
        <v>100.66</v>
      </c>
      <c r="F41" s="379">
        <v>120.3</v>
      </c>
      <c r="G41" s="322">
        <v>643.63288499999999</v>
      </c>
      <c r="I41" s="317"/>
    </row>
    <row r="42" spans="2:9" x14ac:dyDescent="0.2">
      <c r="B42" s="312" t="s">
        <v>780</v>
      </c>
      <c r="C42" s="321" t="s">
        <v>891</v>
      </c>
      <c r="D42" s="314" t="s">
        <v>1036</v>
      </c>
      <c r="E42" s="315">
        <v>352.37</v>
      </c>
      <c r="F42" s="379">
        <v>354</v>
      </c>
      <c r="G42" s="322">
        <v>261.19799999999998</v>
      </c>
      <c r="I42" s="317"/>
    </row>
    <row r="43" spans="2:9" x14ac:dyDescent="0.2">
      <c r="B43" s="312" t="s">
        <v>780</v>
      </c>
      <c r="C43" s="313" t="s">
        <v>1037</v>
      </c>
      <c r="D43" s="314" t="s">
        <v>1036</v>
      </c>
      <c r="E43" s="315">
        <v>691.73</v>
      </c>
      <c r="F43" s="379">
        <v>670.75</v>
      </c>
      <c r="G43" s="322">
        <v>61.238109999999999</v>
      </c>
      <c r="I43" s="317"/>
    </row>
    <row r="44" spans="2:9" x14ac:dyDescent="0.2">
      <c r="B44" s="312" t="s">
        <v>780</v>
      </c>
      <c r="C44" s="321" t="s">
        <v>875</v>
      </c>
      <c r="D44" s="314" t="s">
        <v>1036</v>
      </c>
      <c r="E44" s="315">
        <v>3133.8</v>
      </c>
      <c r="F44" s="379">
        <v>3052.5</v>
      </c>
      <c r="G44" s="322">
        <v>212.52642750000001</v>
      </c>
      <c r="I44" s="317"/>
    </row>
    <row r="45" spans="2:9" x14ac:dyDescent="0.2">
      <c r="B45" s="312" t="s">
        <v>780</v>
      </c>
      <c r="C45" s="321" t="s">
        <v>880</v>
      </c>
      <c r="D45" s="314" t="s">
        <v>1036</v>
      </c>
      <c r="E45" s="315">
        <v>970.19</v>
      </c>
      <c r="F45" s="379">
        <v>964.9</v>
      </c>
      <c r="G45" s="322">
        <v>71.444183999999993</v>
      </c>
      <c r="I45" s="317"/>
    </row>
    <row r="46" spans="2:9" x14ac:dyDescent="0.2">
      <c r="B46" s="312" t="s">
        <v>780</v>
      </c>
      <c r="C46" s="321" t="s">
        <v>886</v>
      </c>
      <c r="D46" s="314" t="s">
        <v>1036</v>
      </c>
      <c r="E46" s="315">
        <v>602.92999999999995</v>
      </c>
      <c r="F46" s="379">
        <v>610.54999999999995</v>
      </c>
      <c r="G46" s="322">
        <v>76.3463268</v>
      </c>
      <c r="I46" s="317"/>
    </row>
    <row r="47" spans="2:9" x14ac:dyDescent="0.2">
      <c r="B47" s="312" t="s">
        <v>780</v>
      </c>
      <c r="C47" s="321" t="s">
        <v>884</v>
      </c>
      <c r="D47" s="314" t="s">
        <v>1036</v>
      </c>
      <c r="E47" s="315">
        <v>974.7</v>
      </c>
      <c r="F47" s="379">
        <v>959.8</v>
      </c>
      <c r="G47" s="322">
        <v>46.101660000000003</v>
      </c>
      <c r="I47" s="317"/>
    </row>
    <row r="48" spans="2:9" x14ac:dyDescent="0.2">
      <c r="B48" s="312" t="s">
        <v>701</v>
      </c>
      <c r="C48" s="321" t="s">
        <v>870</v>
      </c>
      <c r="D48" s="314" t="s">
        <v>1036</v>
      </c>
      <c r="E48" s="315">
        <v>670.9</v>
      </c>
      <c r="F48" s="323">
        <v>716.95</v>
      </c>
      <c r="G48" s="322">
        <v>7.7663969999999996</v>
      </c>
      <c r="H48" s="324"/>
      <c r="I48" s="317"/>
    </row>
    <row r="49" spans="2:9" x14ac:dyDescent="0.2">
      <c r="B49" s="312" t="s">
        <v>701</v>
      </c>
      <c r="C49" s="321" t="s">
        <v>873</v>
      </c>
      <c r="D49" s="314" t="s">
        <v>1036</v>
      </c>
      <c r="E49" s="315">
        <v>3747.63</v>
      </c>
      <c r="F49" s="323">
        <v>3847.8</v>
      </c>
      <c r="G49" s="322">
        <v>26.1612975</v>
      </c>
      <c r="H49" s="324"/>
      <c r="I49" s="317"/>
    </row>
    <row r="50" spans="2:9" x14ac:dyDescent="0.2">
      <c r="B50" s="312" t="s">
        <v>701</v>
      </c>
      <c r="C50" s="321" t="s">
        <v>878</v>
      </c>
      <c r="D50" s="314" t="s">
        <v>1036</v>
      </c>
      <c r="E50" s="315">
        <v>530.45000000000005</v>
      </c>
      <c r="F50" s="323">
        <v>539.35</v>
      </c>
      <c r="G50" s="316">
        <v>51.953909699999997</v>
      </c>
      <c r="H50" s="324"/>
      <c r="I50" s="317"/>
    </row>
    <row r="51" spans="2:9" x14ac:dyDescent="0.2">
      <c r="B51" s="312" t="s">
        <v>701</v>
      </c>
      <c r="C51" s="321" t="s">
        <v>872</v>
      </c>
      <c r="D51" s="314" t="s">
        <v>1036</v>
      </c>
      <c r="E51" s="315">
        <v>78.650000000000006</v>
      </c>
      <c r="F51" s="323">
        <v>80.25</v>
      </c>
      <c r="G51" s="316">
        <v>36.523125</v>
      </c>
      <c r="H51" s="324"/>
      <c r="I51" s="317"/>
    </row>
    <row r="52" spans="2:9" x14ac:dyDescent="0.2">
      <c r="B52" s="312" t="s">
        <v>701</v>
      </c>
      <c r="C52" s="321" t="s">
        <v>882</v>
      </c>
      <c r="D52" s="314" t="s">
        <v>1036</v>
      </c>
      <c r="E52" s="315">
        <v>2524.9</v>
      </c>
      <c r="F52" s="323">
        <v>2435.25</v>
      </c>
      <c r="G52" s="316">
        <v>144.9533624</v>
      </c>
      <c r="H52" s="324"/>
      <c r="I52" s="317"/>
    </row>
    <row r="53" spans="2:9" x14ac:dyDescent="0.2">
      <c r="B53" s="312" t="s">
        <v>701</v>
      </c>
      <c r="C53" s="321" t="s">
        <v>883</v>
      </c>
      <c r="D53" s="314" t="s">
        <v>1036</v>
      </c>
      <c r="E53" s="315">
        <v>2361.13</v>
      </c>
      <c r="F53" s="323">
        <v>2361.6999999999998</v>
      </c>
      <c r="G53" s="316">
        <v>127.84784999999999</v>
      </c>
      <c r="H53" s="324"/>
      <c r="I53" s="317"/>
    </row>
    <row r="54" spans="2:9" x14ac:dyDescent="0.2">
      <c r="B54" s="312" t="s">
        <v>701</v>
      </c>
      <c r="C54" s="321" t="s">
        <v>881</v>
      </c>
      <c r="D54" s="314" t="s">
        <v>1036</v>
      </c>
      <c r="E54" s="315">
        <v>601.13</v>
      </c>
      <c r="F54" s="323">
        <v>603.1</v>
      </c>
      <c r="G54" s="316">
        <v>102.06807300000001</v>
      </c>
      <c r="H54" s="324"/>
      <c r="I54" s="317"/>
    </row>
    <row r="55" spans="2:9" x14ac:dyDescent="0.2">
      <c r="B55" s="312" t="s">
        <v>701</v>
      </c>
      <c r="C55" s="321" t="s">
        <v>879</v>
      </c>
      <c r="D55" s="314" t="s">
        <v>1036</v>
      </c>
      <c r="E55" s="315">
        <v>447.54</v>
      </c>
      <c r="F55" s="323">
        <v>443.35</v>
      </c>
      <c r="G55" s="316">
        <v>93.41234879999999</v>
      </c>
      <c r="H55" s="324"/>
      <c r="I55" s="317"/>
    </row>
    <row r="56" spans="2:9" x14ac:dyDescent="0.2">
      <c r="B56" s="312" t="s">
        <v>701</v>
      </c>
      <c r="C56" s="321" t="s">
        <v>877</v>
      </c>
      <c r="D56" s="314" t="s">
        <v>1036</v>
      </c>
      <c r="E56" s="315">
        <v>523.24</v>
      </c>
      <c r="F56" s="323">
        <v>522.25</v>
      </c>
      <c r="G56" s="316">
        <v>43.963500799999998</v>
      </c>
      <c r="H56" s="324"/>
      <c r="I56" s="317"/>
    </row>
    <row r="57" spans="2:9" x14ac:dyDescent="0.2">
      <c r="B57" s="312" t="s">
        <v>701</v>
      </c>
      <c r="C57" s="321" t="s">
        <v>871</v>
      </c>
      <c r="D57" s="314" t="s">
        <v>1036</v>
      </c>
      <c r="E57" s="315">
        <v>1837.15</v>
      </c>
      <c r="F57" s="323">
        <v>1826.3</v>
      </c>
      <c r="G57" s="316">
        <v>12.3896675</v>
      </c>
      <c r="H57" s="324"/>
      <c r="I57" s="317"/>
    </row>
    <row r="58" spans="2:9" x14ac:dyDescent="0.2">
      <c r="B58" s="312" t="s">
        <v>701</v>
      </c>
      <c r="C58" s="321" t="s">
        <v>874</v>
      </c>
      <c r="D58" s="314" t="s">
        <v>1036</v>
      </c>
      <c r="E58" s="315">
        <v>1982.57</v>
      </c>
      <c r="F58" s="323">
        <v>2005.6</v>
      </c>
      <c r="G58" s="316">
        <v>34.048200000000001</v>
      </c>
      <c r="H58" s="324"/>
      <c r="I58" s="317"/>
    </row>
    <row r="59" spans="2:9" x14ac:dyDescent="0.2">
      <c r="B59" s="312" t="s">
        <v>701</v>
      </c>
      <c r="C59" s="313" t="s">
        <v>1037</v>
      </c>
      <c r="D59" s="314" t="s">
        <v>1036</v>
      </c>
      <c r="E59" s="315">
        <v>672.9</v>
      </c>
      <c r="F59" s="323">
        <v>670.75</v>
      </c>
      <c r="G59" s="316">
        <v>48.990487999999999</v>
      </c>
      <c r="H59" s="324"/>
      <c r="I59" s="317"/>
    </row>
    <row r="60" spans="2:9" x14ac:dyDescent="0.2">
      <c r="B60" s="312" t="s">
        <v>701</v>
      </c>
      <c r="C60" s="321" t="s">
        <v>876</v>
      </c>
      <c r="D60" s="314" t="s">
        <v>1036</v>
      </c>
      <c r="E60" s="315">
        <v>299.88</v>
      </c>
      <c r="F60" s="323">
        <v>294.75</v>
      </c>
      <c r="G60" s="316">
        <v>62.189778200000006</v>
      </c>
      <c r="H60" s="324"/>
      <c r="I60" s="317"/>
    </row>
    <row r="61" spans="2:9" x14ac:dyDescent="0.2">
      <c r="B61" s="312" t="s">
        <v>701</v>
      </c>
      <c r="C61" s="321" t="s">
        <v>880</v>
      </c>
      <c r="D61" s="314" t="s">
        <v>1036</v>
      </c>
      <c r="E61" s="315">
        <v>964.03</v>
      </c>
      <c r="F61" s="323">
        <v>964.9</v>
      </c>
      <c r="G61" s="316">
        <v>76.547340000000005</v>
      </c>
      <c r="H61" s="324"/>
      <c r="I61" s="317"/>
    </row>
    <row r="62" spans="2:9" x14ac:dyDescent="0.2">
      <c r="B62" s="325"/>
      <c r="C62" s="326"/>
      <c r="E62" s="327"/>
      <c r="F62" s="327"/>
      <c r="G62" s="327"/>
    </row>
    <row r="64" spans="2:9" x14ac:dyDescent="0.2">
      <c r="B64" s="308" t="s">
        <v>1038</v>
      </c>
    </row>
    <row r="66" spans="2:11" x14ac:dyDescent="0.2">
      <c r="B66" s="328" t="s">
        <v>1030</v>
      </c>
      <c r="C66" s="328" t="s">
        <v>1039</v>
      </c>
    </row>
    <row r="67" spans="2:11" x14ac:dyDescent="0.2">
      <c r="B67" s="312" t="s">
        <v>687</v>
      </c>
      <c r="C67" s="329">
        <v>66.290000000000006</v>
      </c>
    </row>
    <row r="68" spans="2:11" x14ac:dyDescent="0.2">
      <c r="B68" s="312" t="s">
        <v>780</v>
      </c>
      <c r="C68" s="330">
        <v>26.16</v>
      </c>
    </row>
    <row r="69" spans="2:11" x14ac:dyDescent="0.2">
      <c r="B69" s="331" t="s">
        <v>701</v>
      </c>
      <c r="C69" s="329">
        <v>34.78</v>
      </c>
    </row>
    <row r="71" spans="2:11" x14ac:dyDescent="0.2">
      <c r="B71" s="308" t="s">
        <v>1040</v>
      </c>
    </row>
    <row r="72" spans="2:11" x14ac:dyDescent="0.2">
      <c r="B72" s="308"/>
    </row>
    <row r="73" spans="2:11" ht="63.75" x14ac:dyDescent="0.2">
      <c r="B73" s="310" t="s">
        <v>1030</v>
      </c>
      <c r="C73" s="311" t="s">
        <v>1041</v>
      </c>
      <c r="D73" s="311" t="s">
        <v>1042</v>
      </c>
      <c r="E73" s="311" t="s">
        <v>1043</v>
      </c>
      <c r="F73" s="311" t="s">
        <v>1044</v>
      </c>
      <c r="G73" s="311" t="s">
        <v>1045</v>
      </c>
    </row>
    <row r="74" spans="2:11" ht="15" customHeight="1" x14ac:dyDescent="0.2">
      <c r="B74" s="331" t="s">
        <v>747</v>
      </c>
      <c r="C74" s="332">
        <v>500</v>
      </c>
      <c r="D74" s="332">
        <v>500</v>
      </c>
      <c r="E74" s="322">
        <v>3653.5999000000002</v>
      </c>
      <c r="F74" s="322">
        <v>3563.7611000000002</v>
      </c>
      <c r="G74" s="333">
        <v>-89.838799999999992</v>
      </c>
      <c r="H74" s="334"/>
      <c r="I74" s="335"/>
      <c r="J74" s="317"/>
    </row>
    <row r="75" spans="2:11" ht="15" customHeight="1" x14ac:dyDescent="0.2">
      <c r="B75" s="336" t="s">
        <v>486</v>
      </c>
      <c r="C75" s="337">
        <v>150</v>
      </c>
      <c r="D75" s="337">
        <v>150</v>
      </c>
      <c r="E75" s="338">
        <v>1264.2937999999999</v>
      </c>
      <c r="F75" s="338">
        <v>1229.8857</v>
      </c>
      <c r="G75" s="333">
        <v>-34.408099999999877</v>
      </c>
      <c r="H75" s="334"/>
      <c r="I75" s="335"/>
      <c r="J75" s="317"/>
    </row>
    <row r="76" spans="2:11" ht="15" customHeight="1" x14ac:dyDescent="0.2">
      <c r="B76" s="312" t="s">
        <v>687</v>
      </c>
      <c r="C76" s="332">
        <v>478</v>
      </c>
      <c r="D76" s="332">
        <v>478</v>
      </c>
      <c r="E76" s="322">
        <v>3993.6763999999998</v>
      </c>
      <c r="F76" s="322">
        <v>3976.6505000000002</v>
      </c>
      <c r="G76" s="333">
        <v>-17.025899999999638</v>
      </c>
      <c r="H76" s="334"/>
      <c r="I76" s="335"/>
      <c r="J76" s="317"/>
    </row>
    <row r="77" spans="2:11" ht="15" customHeight="1" x14ac:dyDescent="0.2">
      <c r="B77" s="312" t="s">
        <v>780</v>
      </c>
      <c r="C77" s="337">
        <v>3077</v>
      </c>
      <c r="D77" s="337">
        <v>3077</v>
      </c>
      <c r="E77" s="338">
        <v>26143.875199999999</v>
      </c>
      <c r="F77" s="338">
        <v>25532.827099999999</v>
      </c>
      <c r="G77" s="333">
        <v>-611.04809999999998</v>
      </c>
      <c r="H77" s="334"/>
      <c r="I77" s="338"/>
      <c r="J77" s="338"/>
      <c r="K77" s="317"/>
    </row>
    <row r="78" spans="2:11" ht="15" customHeight="1" x14ac:dyDescent="0.2">
      <c r="B78" s="331" t="str">
        <f>B123</f>
        <v>Sundaram Bluechip Fund</v>
      </c>
      <c r="C78" s="332">
        <v>125</v>
      </c>
      <c r="D78" s="332">
        <v>125</v>
      </c>
      <c r="E78" s="322">
        <v>1028.5071</v>
      </c>
      <c r="F78" s="322">
        <v>1031.2494999999999</v>
      </c>
      <c r="G78" s="333">
        <v>2.7423999999998614</v>
      </c>
      <c r="H78" s="334"/>
      <c r="I78" s="335"/>
      <c r="J78" s="317"/>
    </row>
    <row r="79" spans="2:11" ht="15" customHeight="1" x14ac:dyDescent="0.2">
      <c r="B79" s="312" t="s">
        <v>701</v>
      </c>
      <c r="C79" s="337">
        <v>416</v>
      </c>
      <c r="D79" s="337">
        <v>416</v>
      </c>
      <c r="E79" s="338">
        <v>3527.1244000000002</v>
      </c>
      <c r="F79" s="338">
        <v>3443.3789000000002</v>
      </c>
      <c r="G79" s="333">
        <v>-83.745499999999993</v>
      </c>
      <c r="H79" s="334"/>
      <c r="I79" s="339"/>
      <c r="J79" s="339"/>
    </row>
    <row r="80" spans="2:11" ht="15" hidden="1" customHeight="1" x14ac:dyDescent="0.2">
      <c r="B80" s="336" t="s">
        <v>561</v>
      </c>
      <c r="C80" s="337"/>
      <c r="D80" s="337"/>
      <c r="E80" s="338"/>
      <c r="F80" s="338"/>
      <c r="G80" s="333">
        <f t="shared" ref="G75:G100" si="0">+F80-E80</f>
        <v>0</v>
      </c>
      <c r="H80" s="334"/>
      <c r="I80" s="335"/>
      <c r="J80" s="317"/>
    </row>
    <row r="81" spans="2:10" ht="15" hidden="1" customHeight="1" x14ac:dyDescent="0.2">
      <c r="B81" s="331" t="s">
        <v>782</v>
      </c>
      <c r="C81" s="337"/>
      <c r="D81" s="337"/>
      <c r="E81" s="338"/>
      <c r="F81" s="338"/>
      <c r="G81" s="333">
        <f t="shared" si="0"/>
        <v>0</v>
      </c>
      <c r="H81" s="334"/>
      <c r="I81" s="335"/>
      <c r="J81" s="317"/>
    </row>
    <row r="82" spans="2:10" ht="15" hidden="1" customHeight="1" x14ac:dyDescent="0.2">
      <c r="B82" s="331" t="s">
        <v>286</v>
      </c>
      <c r="C82" s="332"/>
      <c r="D82" s="332"/>
      <c r="E82" s="322"/>
      <c r="F82" s="322"/>
      <c r="G82" s="333">
        <f t="shared" si="0"/>
        <v>0</v>
      </c>
      <c r="H82" s="334"/>
      <c r="I82" s="335"/>
      <c r="J82" s="317"/>
    </row>
    <row r="83" spans="2:10" ht="15" hidden="1" customHeight="1" x14ac:dyDescent="0.2">
      <c r="B83" s="331" t="str">
        <f>B129</f>
        <v>Sundaram Equity Fund</v>
      </c>
      <c r="C83" s="332"/>
      <c r="D83" s="332"/>
      <c r="E83" s="322"/>
      <c r="F83" s="322"/>
      <c r="G83" s="333">
        <f t="shared" si="0"/>
        <v>0</v>
      </c>
      <c r="H83" s="334"/>
      <c r="I83" s="335"/>
      <c r="J83" s="317"/>
    </row>
    <row r="84" spans="2:10" ht="15" hidden="1" customHeight="1" x14ac:dyDescent="0.2">
      <c r="B84" s="331" t="str">
        <f>B146</f>
        <v>Sundaram Small Cap Fund</v>
      </c>
      <c r="C84" s="332"/>
      <c r="D84" s="332"/>
      <c r="E84" s="322"/>
      <c r="F84" s="322"/>
      <c r="G84" s="333">
        <f t="shared" si="0"/>
        <v>0</v>
      </c>
      <c r="H84" s="334"/>
      <c r="I84" s="335"/>
      <c r="J84" s="317"/>
    </row>
    <row r="85" spans="2:10" ht="15" hidden="1" customHeight="1" x14ac:dyDescent="0.2">
      <c r="B85" s="312" t="s">
        <v>1046</v>
      </c>
      <c r="C85" s="337"/>
      <c r="D85" s="337"/>
      <c r="E85" s="338"/>
      <c r="F85" s="338"/>
      <c r="G85" s="333">
        <f t="shared" si="0"/>
        <v>0</v>
      </c>
      <c r="H85" s="334"/>
      <c r="I85" s="335"/>
      <c r="J85" s="317"/>
    </row>
    <row r="86" spans="2:10" ht="15" hidden="1" customHeight="1" x14ac:dyDescent="0.2">
      <c r="B86" s="312" t="s">
        <v>1047</v>
      </c>
      <c r="C86" s="337"/>
      <c r="D86" s="337"/>
      <c r="E86" s="338"/>
      <c r="F86" s="338"/>
      <c r="G86" s="333">
        <f t="shared" si="0"/>
        <v>0</v>
      </c>
      <c r="H86" s="334"/>
      <c r="I86" s="335"/>
      <c r="J86" s="317"/>
    </row>
    <row r="87" spans="2:10" ht="15" hidden="1" customHeight="1" x14ac:dyDescent="0.2">
      <c r="B87" s="312" t="s">
        <v>1048</v>
      </c>
      <c r="C87" s="337"/>
      <c r="D87" s="337"/>
      <c r="E87" s="338"/>
      <c r="F87" s="338"/>
      <c r="G87" s="333">
        <f t="shared" si="0"/>
        <v>0</v>
      </c>
      <c r="H87" s="334"/>
      <c r="I87" s="335"/>
      <c r="J87" s="317"/>
    </row>
    <row r="88" spans="2:10" ht="15" hidden="1" customHeight="1" x14ac:dyDescent="0.2">
      <c r="B88" s="312" t="s">
        <v>1049</v>
      </c>
      <c r="C88" s="337"/>
      <c r="D88" s="337"/>
      <c r="E88" s="338"/>
      <c r="F88" s="338"/>
      <c r="G88" s="333">
        <f t="shared" si="0"/>
        <v>0</v>
      </c>
      <c r="H88" s="334"/>
      <c r="I88" s="335"/>
      <c r="J88" s="317"/>
    </row>
    <row r="89" spans="2:10" ht="15" hidden="1" customHeight="1" x14ac:dyDescent="0.2">
      <c r="B89" s="312" t="s">
        <v>439</v>
      </c>
      <c r="C89" s="337"/>
      <c r="D89" s="337"/>
      <c r="E89" s="338"/>
      <c r="F89" s="338"/>
      <c r="G89" s="333">
        <f t="shared" si="0"/>
        <v>0</v>
      </c>
      <c r="H89" s="334"/>
      <c r="I89" s="335"/>
      <c r="J89" s="317"/>
    </row>
    <row r="90" spans="2:10" ht="15" hidden="1" customHeight="1" x14ac:dyDescent="0.2">
      <c r="B90" s="312" t="s">
        <v>459</v>
      </c>
      <c r="C90" s="337"/>
      <c r="D90" s="337"/>
      <c r="E90" s="338"/>
      <c r="F90" s="338"/>
      <c r="G90" s="333">
        <f t="shared" si="0"/>
        <v>0</v>
      </c>
      <c r="H90" s="334"/>
      <c r="I90" s="335"/>
      <c r="J90" s="317"/>
    </row>
    <row r="91" spans="2:10" ht="15" hidden="1" customHeight="1" x14ac:dyDescent="0.2">
      <c r="B91" s="312" t="s">
        <v>460</v>
      </c>
      <c r="C91" s="337"/>
      <c r="D91" s="337"/>
      <c r="E91" s="338"/>
      <c r="F91" s="338"/>
      <c r="G91" s="333">
        <f t="shared" si="0"/>
        <v>0</v>
      </c>
      <c r="H91" s="334"/>
      <c r="I91" s="335"/>
      <c r="J91" s="317"/>
    </row>
    <row r="92" spans="2:10" ht="15" hidden="1" customHeight="1" x14ac:dyDescent="0.2">
      <c r="B92" s="312" t="s">
        <v>463</v>
      </c>
      <c r="C92" s="337"/>
      <c r="D92" s="337"/>
      <c r="E92" s="338"/>
      <c r="F92" s="338"/>
      <c r="G92" s="333">
        <f t="shared" si="0"/>
        <v>0</v>
      </c>
      <c r="H92" s="334"/>
      <c r="I92" s="335"/>
      <c r="J92" s="317"/>
    </row>
    <row r="93" spans="2:10" ht="15" hidden="1" customHeight="1" x14ac:dyDescent="0.2">
      <c r="B93" s="312" t="s">
        <v>466</v>
      </c>
      <c r="C93" s="337"/>
      <c r="D93" s="337"/>
      <c r="E93" s="338"/>
      <c r="F93" s="338"/>
      <c r="G93" s="333">
        <f t="shared" si="0"/>
        <v>0</v>
      </c>
      <c r="H93" s="334"/>
      <c r="I93" s="335"/>
      <c r="J93" s="317"/>
    </row>
    <row r="94" spans="2:10" ht="15" hidden="1" customHeight="1" x14ac:dyDescent="0.2">
      <c r="B94" s="312" t="s">
        <v>464</v>
      </c>
      <c r="C94" s="337"/>
      <c r="D94" s="337"/>
      <c r="E94" s="338"/>
      <c r="F94" s="338"/>
      <c r="G94" s="333">
        <f t="shared" si="0"/>
        <v>0</v>
      </c>
      <c r="H94" s="334"/>
      <c r="I94" s="335"/>
      <c r="J94" s="317"/>
    </row>
    <row r="95" spans="2:10" ht="15" hidden="1" customHeight="1" x14ac:dyDescent="0.2">
      <c r="B95" s="312" t="s">
        <v>465</v>
      </c>
      <c r="C95" s="337"/>
      <c r="D95" s="337"/>
      <c r="E95" s="338"/>
      <c r="F95" s="338"/>
      <c r="G95" s="333">
        <f t="shared" si="0"/>
        <v>0</v>
      </c>
      <c r="H95" s="334"/>
      <c r="I95" s="335"/>
      <c r="J95" s="317"/>
    </row>
    <row r="96" spans="2:10" ht="15" hidden="1" customHeight="1" x14ac:dyDescent="0.2">
      <c r="B96" s="312" t="s">
        <v>281</v>
      </c>
      <c r="C96" s="337"/>
      <c r="D96" s="337"/>
      <c r="E96" s="338"/>
      <c r="F96" s="338"/>
      <c r="G96" s="333">
        <f t="shared" si="0"/>
        <v>0</v>
      </c>
      <c r="H96" s="334"/>
      <c r="I96" s="335"/>
      <c r="J96" s="317"/>
    </row>
    <row r="97" spans="2:12" ht="15" hidden="1" customHeight="1" x14ac:dyDescent="0.2">
      <c r="B97" s="312" t="s">
        <v>280</v>
      </c>
      <c r="C97" s="337"/>
      <c r="D97" s="337"/>
      <c r="E97" s="338"/>
      <c r="F97" s="338"/>
      <c r="G97" s="333">
        <f t="shared" si="0"/>
        <v>0</v>
      </c>
      <c r="H97" s="334"/>
      <c r="I97" s="335"/>
      <c r="J97" s="317"/>
    </row>
    <row r="98" spans="2:12" ht="15" hidden="1" customHeight="1" x14ac:dyDescent="0.2">
      <c r="B98" s="312" t="s">
        <v>143</v>
      </c>
      <c r="C98" s="337"/>
      <c r="D98" s="337"/>
      <c r="E98" s="338"/>
      <c r="F98" s="338"/>
      <c r="G98" s="333">
        <f t="shared" si="0"/>
        <v>0</v>
      </c>
      <c r="H98" s="334"/>
      <c r="I98" s="335"/>
      <c r="J98" s="317"/>
    </row>
    <row r="99" spans="2:12" ht="15" hidden="1" customHeight="1" x14ac:dyDescent="0.2">
      <c r="B99" s="312" t="s">
        <v>277</v>
      </c>
      <c r="C99" s="337"/>
      <c r="D99" s="337"/>
      <c r="E99" s="338"/>
      <c r="F99" s="338"/>
      <c r="G99" s="333">
        <f t="shared" si="0"/>
        <v>0</v>
      </c>
      <c r="H99" s="334"/>
      <c r="I99" s="335"/>
      <c r="J99" s="317"/>
    </row>
    <row r="100" spans="2:12" ht="15" hidden="1" customHeight="1" x14ac:dyDescent="0.2">
      <c r="B100" s="312" t="s">
        <v>1050</v>
      </c>
      <c r="C100" s="337"/>
      <c r="D100" s="337"/>
      <c r="E100" s="338"/>
      <c r="F100" s="338"/>
      <c r="G100" s="333">
        <f t="shared" si="0"/>
        <v>0</v>
      </c>
      <c r="H100" s="334"/>
      <c r="I100" s="335"/>
      <c r="J100" s="317"/>
    </row>
    <row r="101" spans="2:12" ht="15" customHeight="1" x14ac:dyDescent="0.2">
      <c r="H101" s="334"/>
      <c r="I101" s="335"/>
      <c r="J101" s="317"/>
    </row>
    <row r="102" spans="2:12" ht="15" customHeight="1" x14ac:dyDescent="0.2">
      <c r="E102" s="317"/>
      <c r="F102" s="317"/>
      <c r="H102" s="334"/>
      <c r="I102" s="335"/>
      <c r="J102" s="317"/>
    </row>
    <row r="103" spans="2:12" x14ac:dyDescent="0.2">
      <c r="B103" s="308" t="s">
        <v>1051</v>
      </c>
      <c r="F103" s="317"/>
      <c r="G103" s="335"/>
      <c r="H103" s="334"/>
      <c r="I103" s="335"/>
      <c r="L103" s="334"/>
    </row>
    <row r="104" spans="2:12" x14ac:dyDescent="0.2">
      <c r="H104" s="340"/>
      <c r="L104" s="335"/>
    </row>
    <row r="105" spans="2:12" ht="25.5" x14ac:dyDescent="0.2">
      <c r="B105" s="310" t="s">
        <v>1030</v>
      </c>
      <c r="C105" s="310" t="s">
        <v>1031</v>
      </c>
      <c r="D105" s="310" t="s">
        <v>1032</v>
      </c>
      <c r="E105" s="311" t="s">
        <v>1033</v>
      </c>
      <c r="F105" s="311" t="s">
        <v>1034</v>
      </c>
      <c r="G105" s="311" t="s">
        <v>1052</v>
      </c>
    </row>
    <row r="106" spans="2:12" x14ac:dyDescent="0.2">
      <c r="B106" s="312" t="s">
        <v>1</v>
      </c>
      <c r="C106" s="312" t="s">
        <v>869</v>
      </c>
      <c r="D106" s="314" t="s">
        <v>1053</v>
      </c>
      <c r="E106" s="341">
        <v>104.68</v>
      </c>
      <c r="F106" s="342">
        <v>108.7</v>
      </c>
      <c r="G106" s="343">
        <v>396.11</v>
      </c>
    </row>
    <row r="107" spans="2:12" x14ac:dyDescent="0.2">
      <c r="D107" s="344"/>
      <c r="E107" s="345"/>
      <c r="F107" s="345"/>
      <c r="G107" s="345"/>
      <c r="I107" s="335"/>
    </row>
    <row r="108" spans="2:12" x14ac:dyDescent="0.2">
      <c r="C108" s="346"/>
      <c r="D108" s="347"/>
      <c r="E108" s="348"/>
      <c r="F108" s="349"/>
      <c r="G108" s="349"/>
      <c r="I108" s="335"/>
    </row>
    <row r="109" spans="2:12" x14ac:dyDescent="0.2">
      <c r="B109" s="308" t="s">
        <v>1054</v>
      </c>
      <c r="I109" s="335"/>
    </row>
    <row r="110" spans="2:12" x14ac:dyDescent="0.2">
      <c r="I110" s="335"/>
      <c r="L110" s="317"/>
    </row>
    <row r="111" spans="2:12" x14ac:dyDescent="0.2">
      <c r="B111" s="328" t="s">
        <v>1030</v>
      </c>
      <c r="C111" s="328" t="s">
        <v>1039</v>
      </c>
    </row>
    <row r="112" spans="2:12" x14ac:dyDescent="0.2">
      <c r="B112" s="312" t="s">
        <v>1</v>
      </c>
      <c r="C112" s="350">
        <v>1.4200000000000001E-2</v>
      </c>
    </row>
    <row r="113" spans="2:9" x14ac:dyDescent="0.2">
      <c r="B113" s="351"/>
      <c r="C113" s="352"/>
    </row>
    <row r="114" spans="2:9" x14ac:dyDescent="0.2">
      <c r="B114" s="351"/>
      <c r="C114" s="352"/>
    </row>
    <row r="115" spans="2:9" x14ac:dyDescent="0.2">
      <c r="B115" s="308" t="s">
        <v>1055</v>
      </c>
    </row>
    <row r="116" spans="2:9" x14ac:dyDescent="0.2">
      <c r="B116" s="308"/>
    </row>
    <row r="117" spans="2:9" ht="63.75" x14ac:dyDescent="0.2">
      <c r="B117" s="310" t="s">
        <v>1030</v>
      </c>
      <c r="C117" s="311" t="s">
        <v>1041</v>
      </c>
      <c r="D117" s="311" t="s">
        <v>1042</v>
      </c>
      <c r="E117" s="311" t="s">
        <v>1043</v>
      </c>
      <c r="F117" s="311" t="s">
        <v>1056</v>
      </c>
      <c r="G117" s="311" t="s">
        <v>1057</v>
      </c>
    </row>
    <row r="118" spans="2:9" ht="15" customHeight="1" x14ac:dyDescent="0.2">
      <c r="B118" s="312" t="s">
        <v>1</v>
      </c>
      <c r="C118" s="337">
        <v>93</v>
      </c>
      <c r="D118" s="337">
        <v>93</v>
      </c>
      <c r="E118" s="338">
        <v>764.66250000000002</v>
      </c>
      <c r="F118" s="338">
        <v>745.2509</v>
      </c>
      <c r="G118" s="353">
        <v>-19.411600000000021</v>
      </c>
      <c r="H118" s="334"/>
      <c r="I118" s="335"/>
    </row>
    <row r="119" spans="2:9" hidden="1" x14ac:dyDescent="0.2">
      <c r="B119" s="331" t="s">
        <v>747</v>
      </c>
      <c r="C119" s="330"/>
      <c r="D119" s="330"/>
      <c r="E119" s="354"/>
      <c r="F119" s="354"/>
      <c r="G119" s="353">
        <v>0</v>
      </c>
    </row>
    <row r="120" spans="2:9" hidden="1" x14ac:dyDescent="0.2">
      <c r="B120" s="331" t="s">
        <v>486</v>
      </c>
      <c r="C120" s="330"/>
      <c r="D120" s="330"/>
      <c r="E120" s="354"/>
      <c r="F120" s="354"/>
      <c r="G120" s="353">
        <v>0</v>
      </c>
    </row>
    <row r="121" spans="2:9" ht="15" hidden="1" customHeight="1" x14ac:dyDescent="0.2">
      <c r="B121" s="312" t="s">
        <v>687</v>
      </c>
      <c r="C121" s="355"/>
      <c r="D121" s="355"/>
      <c r="E121" s="354"/>
      <c r="F121" s="354"/>
      <c r="G121" s="353">
        <v>0</v>
      </c>
      <c r="H121" s="356"/>
      <c r="I121" s="357"/>
    </row>
    <row r="122" spans="2:9" ht="15" customHeight="1" x14ac:dyDescent="0.2">
      <c r="B122" s="312" t="s">
        <v>780</v>
      </c>
      <c r="C122" s="355">
        <v>50</v>
      </c>
      <c r="D122" s="355">
        <v>50</v>
      </c>
      <c r="E122" s="354">
        <v>458.80309999999997</v>
      </c>
      <c r="F122" s="354">
        <v>435.53</v>
      </c>
      <c r="G122" s="353">
        <v>-23.273099999999999</v>
      </c>
      <c r="H122" s="356"/>
      <c r="I122" s="335"/>
    </row>
    <row r="123" spans="2:9" hidden="1" x14ac:dyDescent="0.2">
      <c r="B123" s="331" t="s">
        <v>691</v>
      </c>
      <c r="C123" s="330"/>
      <c r="D123" s="330"/>
      <c r="E123" s="354"/>
      <c r="F123" s="354"/>
      <c r="G123" s="353">
        <f t="shared" ref="G118:G146" si="1">+F123-E123</f>
        <v>0</v>
      </c>
    </row>
    <row r="124" spans="2:9" s="308" customFormat="1" ht="15" hidden="1" customHeight="1" x14ac:dyDescent="0.2">
      <c r="B124" s="312" t="s">
        <v>701</v>
      </c>
      <c r="C124" s="337"/>
      <c r="D124" s="337"/>
      <c r="E124" s="338"/>
      <c r="F124" s="338"/>
      <c r="G124" s="353">
        <f t="shared" si="1"/>
        <v>0</v>
      </c>
      <c r="H124" s="356"/>
      <c r="I124" s="358"/>
    </row>
    <row r="125" spans="2:9" hidden="1" x14ac:dyDescent="0.2">
      <c r="B125" s="331" t="s">
        <v>286</v>
      </c>
      <c r="C125" s="330"/>
      <c r="D125" s="330"/>
      <c r="E125" s="354"/>
      <c r="F125" s="354"/>
      <c r="G125" s="353">
        <f t="shared" si="1"/>
        <v>0</v>
      </c>
      <c r="H125" s="359"/>
    </row>
    <row r="126" spans="2:9" ht="15" hidden="1" customHeight="1" x14ac:dyDescent="0.2">
      <c r="B126" s="336" t="s">
        <v>561</v>
      </c>
      <c r="C126" s="355"/>
      <c r="D126" s="355"/>
      <c r="E126" s="354"/>
      <c r="F126" s="354"/>
      <c r="G126" s="353">
        <f t="shared" si="1"/>
        <v>0</v>
      </c>
      <c r="H126" s="356"/>
      <c r="I126" s="359"/>
    </row>
    <row r="127" spans="2:9" ht="15" hidden="1" customHeight="1" x14ac:dyDescent="0.2">
      <c r="B127" s="360" t="s">
        <v>576</v>
      </c>
      <c r="C127" s="355"/>
      <c r="D127" s="355"/>
      <c r="E127" s="354"/>
      <c r="F127" s="354"/>
      <c r="G127" s="353">
        <f t="shared" si="1"/>
        <v>0</v>
      </c>
      <c r="H127" s="356"/>
    </row>
    <row r="128" spans="2:9" ht="15" hidden="1" customHeight="1" x14ac:dyDescent="0.2">
      <c r="B128" s="331" t="s">
        <v>782</v>
      </c>
      <c r="C128" s="355"/>
      <c r="D128" s="355"/>
      <c r="E128" s="354"/>
      <c r="F128" s="354"/>
      <c r="G128" s="353">
        <f t="shared" si="1"/>
        <v>0</v>
      </c>
      <c r="H128" s="356"/>
      <c r="I128" s="335"/>
    </row>
    <row r="129" spans="2:9" s="308" customFormat="1" ht="15" hidden="1" customHeight="1" x14ac:dyDescent="0.2">
      <c r="B129" s="312" t="s">
        <v>693</v>
      </c>
      <c r="C129" s="337"/>
      <c r="D129" s="337"/>
      <c r="E129" s="338"/>
      <c r="F129" s="338"/>
      <c r="G129" s="353">
        <f t="shared" si="1"/>
        <v>0</v>
      </c>
      <c r="H129" s="356"/>
      <c r="I129" s="358"/>
    </row>
    <row r="130" spans="2:9" s="308" customFormat="1" ht="15" hidden="1" customHeight="1" x14ac:dyDescent="0.2">
      <c r="B130" s="312" t="s">
        <v>713</v>
      </c>
      <c r="C130" s="337"/>
      <c r="D130" s="337"/>
      <c r="E130" s="338"/>
      <c r="F130" s="338"/>
      <c r="G130" s="353">
        <f t="shared" si="1"/>
        <v>0</v>
      </c>
      <c r="H130" s="356"/>
      <c r="I130" s="358"/>
    </row>
    <row r="131" spans="2:9" ht="15" hidden="1" customHeight="1" x14ac:dyDescent="0.2">
      <c r="B131" s="312" t="s">
        <v>465</v>
      </c>
      <c r="C131" s="337"/>
      <c r="D131" s="337"/>
      <c r="E131" s="338"/>
      <c r="F131" s="338"/>
      <c r="G131" s="353">
        <f t="shared" si="1"/>
        <v>0</v>
      </c>
      <c r="H131" s="334"/>
      <c r="I131" s="335"/>
    </row>
    <row r="132" spans="2:9" ht="15" hidden="1" customHeight="1" x14ac:dyDescent="0.2">
      <c r="B132" s="312" t="s">
        <v>464</v>
      </c>
      <c r="C132" s="337"/>
      <c r="D132" s="337"/>
      <c r="E132" s="338"/>
      <c r="F132" s="338"/>
      <c r="G132" s="353">
        <f t="shared" si="1"/>
        <v>0</v>
      </c>
      <c r="H132" s="334"/>
      <c r="I132" s="335"/>
    </row>
    <row r="133" spans="2:9" ht="15" hidden="1" customHeight="1" x14ac:dyDescent="0.2">
      <c r="B133" s="312" t="s">
        <v>463</v>
      </c>
      <c r="C133" s="337"/>
      <c r="D133" s="337"/>
      <c r="E133" s="338"/>
      <c r="F133" s="338"/>
      <c r="G133" s="353">
        <f t="shared" si="1"/>
        <v>0</v>
      </c>
      <c r="H133" s="334"/>
      <c r="I133" s="335"/>
    </row>
    <row r="134" spans="2:9" ht="15" hidden="1" customHeight="1" x14ac:dyDescent="0.2">
      <c r="B134" s="312" t="s">
        <v>460</v>
      </c>
      <c r="C134" s="337"/>
      <c r="D134" s="337"/>
      <c r="E134" s="338"/>
      <c r="F134" s="338"/>
      <c r="G134" s="353">
        <f t="shared" si="1"/>
        <v>0</v>
      </c>
      <c r="H134" s="334"/>
      <c r="I134" s="335"/>
    </row>
    <row r="135" spans="2:9" ht="15" hidden="1" customHeight="1" x14ac:dyDescent="0.2">
      <c r="B135" s="312" t="s">
        <v>459</v>
      </c>
      <c r="C135" s="337"/>
      <c r="D135" s="337"/>
      <c r="E135" s="338"/>
      <c r="F135" s="338"/>
      <c r="G135" s="353">
        <f t="shared" si="1"/>
        <v>0</v>
      </c>
      <c r="H135" s="334"/>
      <c r="I135" s="335"/>
    </row>
    <row r="136" spans="2:9" ht="15" hidden="1" customHeight="1" x14ac:dyDescent="0.2">
      <c r="B136" s="312" t="s">
        <v>439</v>
      </c>
      <c r="C136" s="337"/>
      <c r="D136" s="337"/>
      <c r="E136" s="338"/>
      <c r="F136" s="338"/>
      <c r="G136" s="353">
        <f t="shared" si="1"/>
        <v>0</v>
      </c>
      <c r="H136" s="334"/>
      <c r="I136" s="335"/>
    </row>
    <row r="137" spans="2:9" ht="15" hidden="1" customHeight="1" x14ac:dyDescent="0.2">
      <c r="B137" s="312" t="s">
        <v>392</v>
      </c>
      <c r="C137" s="337"/>
      <c r="D137" s="337"/>
      <c r="E137" s="338"/>
      <c r="F137" s="338"/>
      <c r="G137" s="353">
        <f t="shared" si="1"/>
        <v>0</v>
      </c>
      <c r="H137" s="334"/>
      <c r="I137" s="335"/>
    </row>
    <row r="138" spans="2:9" ht="15" hidden="1" customHeight="1" x14ac:dyDescent="0.2">
      <c r="B138" s="312" t="s">
        <v>745</v>
      </c>
      <c r="C138" s="337"/>
      <c r="D138" s="337"/>
      <c r="E138" s="338"/>
      <c r="F138" s="338"/>
      <c r="G138" s="353">
        <f t="shared" si="1"/>
        <v>0</v>
      </c>
      <c r="H138" s="334"/>
      <c r="I138" s="335"/>
    </row>
    <row r="139" spans="2:9" ht="15" hidden="1" customHeight="1" x14ac:dyDescent="0.2">
      <c r="B139" s="312" t="s">
        <v>1047</v>
      </c>
      <c r="C139" s="337"/>
      <c r="D139" s="337"/>
      <c r="E139" s="338"/>
      <c r="F139" s="338"/>
      <c r="G139" s="353">
        <f t="shared" si="1"/>
        <v>0</v>
      </c>
      <c r="H139" s="334"/>
      <c r="I139" s="335"/>
    </row>
    <row r="140" spans="2:9" ht="15" hidden="1" customHeight="1" x14ac:dyDescent="0.2">
      <c r="B140" s="312" t="s">
        <v>1046</v>
      </c>
      <c r="C140" s="337"/>
      <c r="D140" s="337"/>
      <c r="E140" s="338"/>
      <c r="F140" s="338"/>
      <c r="G140" s="353">
        <f t="shared" si="1"/>
        <v>0</v>
      </c>
      <c r="H140" s="334"/>
      <c r="I140" s="335"/>
    </row>
    <row r="141" spans="2:9" ht="15" hidden="1" customHeight="1" x14ac:dyDescent="0.2">
      <c r="B141" s="312" t="s">
        <v>281</v>
      </c>
      <c r="C141" s="337"/>
      <c r="D141" s="337"/>
      <c r="E141" s="338"/>
      <c r="F141" s="338"/>
      <c r="G141" s="353">
        <f t="shared" si="1"/>
        <v>0</v>
      </c>
      <c r="H141" s="334"/>
      <c r="I141" s="335"/>
    </row>
    <row r="142" spans="2:9" ht="15" hidden="1" customHeight="1" x14ac:dyDescent="0.2">
      <c r="B142" s="312" t="s">
        <v>280</v>
      </c>
      <c r="C142" s="337"/>
      <c r="D142" s="337"/>
      <c r="E142" s="338"/>
      <c r="F142" s="338"/>
      <c r="G142" s="353">
        <f t="shared" si="1"/>
        <v>0</v>
      </c>
      <c r="H142" s="334"/>
      <c r="I142" s="335"/>
    </row>
    <row r="143" spans="2:9" ht="15" hidden="1" customHeight="1" x14ac:dyDescent="0.2">
      <c r="B143" s="312" t="s">
        <v>1048</v>
      </c>
      <c r="C143" s="337"/>
      <c r="D143" s="337"/>
      <c r="E143" s="338"/>
      <c r="F143" s="338"/>
      <c r="G143" s="353">
        <f t="shared" si="1"/>
        <v>0</v>
      </c>
      <c r="H143" s="334"/>
      <c r="I143" s="335"/>
    </row>
    <row r="144" spans="2:9" ht="15" hidden="1" customHeight="1" x14ac:dyDescent="0.2">
      <c r="B144" s="312" t="s">
        <v>1049</v>
      </c>
      <c r="C144" s="337"/>
      <c r="D144" s="337"/>
      <c r="E144" s="338"/>
      <c r="F144" s="338"/>
      <c r="G144" s="353">
        <f t="shared" si="1"/>
        <v>0</v>
      </c>
      <c r="H144" s="334"/>
      <c r="I144" s="335"/>
    </row>
    <row r="145" spans="2:9" ht="15" hidden="1" customHeight="1" x14ac:dyDescent="0.2">
      <c r="B145" s="312" t="s">
        <v>1050</v>
      </c>
      <c r="C145" s="337"/>
      <c r="D145" s="337"/>
      <c r="E145" s="338"/>
      <c r="F145" s="338"/>
      <c r="G145" s="353">
        <f t="shared" si="1"/>
        <v>0</v>
      </c>
      <c r="H145" s="334"/>
      <c r="I145" s="335"/>
    </row>
    <row r="146" spans="2:9" ht="15" hidden="1" customHeight="1" x14ac:dyDescent="0.2">
      <c r="B146" s="312" t="s">
        <v>523</v>
      </c>
      <c r="C146" s="337"/>
      <c r="D146" s="337"/>
      <c r="E146" s="338"/>
      <c r="F146" s="338"/>
      <c r="G146" s="353">
        <f t="shared" si="1"/>
        <v>0</v>
      </c>
      <c r="H146" s="334"/>
      <c r="I146" s="335"/>
    </row>
    <row r="147" spans="2:9" ht="15" customHeight="1" x14ac:dyDescent="0.2">
      <c r="H147" s="334"/>
      <c r="I147" s="335"/>
    </row>
    <row r="148" spans="2:9" x14ac:dyDescent="0.2">
      <c r="B148" s="361"/>
      <c r="C148" s="362"/>
      <c r="D148" s="362"/>
      <c r="E148" s="363"/>
      <c r="F148" s="363"/>
      <c r="G148" s="363"/>
      <c r="H148" s="335"/>
    </row>
    <row r="149" spans="2:9" x14ac:dyDescent="0.2">
      <c r="B149" s="308" t="s">
        <v>1058</v>
      </c>
      <c r="D149" s="364"/>
    </row>
    <row r="151" spans="2:9" ht="25.5" x14ac:dyDescent="0.2">
      <c r="B151" s="311" t="s">
        <v>1030</v>
      </c>
      <c r="C151" s="311" t="s">
        <v>1031</v>
      </c>
      <c r="D151" s="311" t="s">
        <v>1059</v>
      </c>
      <c r="E151" s="311" t="s">
        <v>1060</v>
      </c>
      <c r="F151" s="311" t="s">
        <v>1061</v>
      </c>
      <c r="G151" s="311" t="s">
        <v>1062</v>
      </c>
    </row>
    <row r="152" spans="2:9" x14ac:dyDescent="0.2">
      <c r="B152" s="341" t="s">
        <v>1063</v>
      </c>
      <c r="C152" s="341" t="s">
        <v>1063</v>
      </c>
      <c r="D152" s="341" t="s">
        <v>1063</v>
      </c>
      <c r="E152" s="341" t="s">
        <v>1063</v>
      </c>
      <c r="F152" s="341" t="s">
        <v>1063</v>
      </c>
      <c r="G152" s="341" t="s">
        <v>1063</v>
      </c>
    </row>
    <row r="153" spans="2:9" x14ac:dyDescent="0.2">
      <c r="D153" s="364"/>
      <c r="E153" s="364"/>
      <c r="F153" s="365"/>
      <c r="G153" s="365"/>
    </row>
    <row r="154" spans="2:9" x14ac:dyDescent="0.2">
      <c r="D154" s="364"/>
      <c r="E154" s="364"/>
      <c r="F154" s="365"/>
      <c r="G154" s="365"/>
    </row>
    <row r="155" spans="2:9" x14ac:dyDescent="0.2">
      <c r="B155" s="308" t="s">
        <v>1064</v>
      </c>
      <c r="G155" s="307" t="s">
        <v>919</v>
      </c>
    </row>
    <row r="156" spans="2:9" x14ac:dyDescent="0.2">
      <c r="B156" s="308"/>
    </row>
    <row r="157" spans="2:9" x14ac:dyDescent="0.2">
      <c r="B157" s="328" t="s">
        <v>1030</v>
      </c>
      <c r="C157" s="328" t="s">
        <v>1039</v>
      </c>
    </row>
    <row r="158" spans="2:9" x14ac:dyDescent="0.2">
      <c r="B158" s="341" t="s">
        <v>1063</v>
      </c>
      <c r="C158" s="341" t="s">
        <v>1063</v>
      </c>
    </row>
    <row r="159" spans="2:9" x14ac:dyDescent="0.2">
      <c r="C159" s="366"/>
      <c r="D159" s="352"/>
    </row>
    <row r="160" spans="2:9" x14ac:dyDescent="0.2">
      <c r="B160" s="308" t="s">
        <v>1065</v>
      </c>
    </row>
    <row r="162" spans="2:7" ht="38.25" x14ac:dyDescent="0.2">
      <c r="B162" s="310" t="s">
        <v>1030</v>
      </c>
      <c r="C162" s="311" t="s">
        <v>1066</v>
      </c>
      <c r="D162" s="311" t="s">
        <v>1067</v>
      </c>
      <c r="E162" s="311" t="s">
        <v>1068</v>
      </c>
      <c r="F162" s="311" t="s">
        <v>1069</v>
      </c>
    </row>
    <row r="163" spans="2:7" x14ac:dyDescent="0.2">
      <c r="B163" s="360"/>
      <c r="C163" s="341"/>
      <c r="D163" s="342"/>
      <c r="E163" s="353"/>
      <c r="F163" s="353">
        <f>+E163-D163</f>
        <v>0</v>
      </c>
    </row>
    <row r="164" spans="2:7" x14ac:dyDescent="0.2">
      <c r="B164" s="367"/>
      <c r="C164" s="368"/>
      <c r="D164" s="369"/>
      <c r="E164" s="369"/>
      <c r="F164" s="370"/>
    </row>
    <row r="165" spans="2:7" x14ac:dyDescent="0.2">
      <c r="B165" s="367"/>
      <c r="C165" s="368"/>
      <c r="D165" s="369"/>
      <c r="E165" s="369"/>
      <c r="F165" s="370"/>
    </row>
    <row r="167" spans="2:7" x14ac:dyDescent="0.2">
      <c r="B167" s="308" t="s">
        <v>1070</v>
      </c>
    </row>
    <row r="169" spans="2:7" ht="25.5" x14ac:dyDescent="0.2">
      <c r="B169" s="311" t="s">
        <v>1030</v>
      </c>
      <c r="C169" s="311" t="s">
        <v>1031</v>
      </c>
      <c r="D169" s="311" t="s">
        <v>1059</v>
      </c>
      <c r="E169" s="311" t="s">
        <v>1060</v>
      </c>
      <c r="F169" s="311" t="s">
        <v>1061</v>
      </c>
      <c r="G169" s="311" t="s">
        <v>1062</v>
      </c>
    </row>
    <row r="170" spans="2:7" x14ac:dyDescent="0.2">
      <c r="B170" s="312" t="s">
        <v>1063</v>
      </c>
      <c r="C170" s="312" t="s">
        <v>1063</v>
      </c>
      <c r="D170" s="312" t="s">
        <v>1063</v>
      </c>
      <c r="E170" s="312" t="s">
        <v>1063</v>
      </c>
      <c r="F170" s="312" t="s">
        <v>1063</v>
      </c>
      <c r="G170" s="312" t="s">
        <v>1063</v>
      </c>
    </row>
    <row r="171" spans="2:7" x14ac:dyDescent="0.2">
      <c r="C171" s="346"/>
      <c r="D171" s="371"/>
      <c r="E171" s="372"/>
      <c r="F171" s="365"/>
      <c r="G171" s="365"/>
    </row>
    <row r="172" spans="2:7" x14ac:dyDescent="0.2">
      <c r="B172" s="308" t="s">
        <v>1071</v>
      </c>
    </row>
    <row r="173" spans="2:7" x14ac:dyDescent="0.2">
      <c r="B173" s="308"/>
    </row>
    <row r="174" spans="2:7" x14ac:dyDescent="0.2">
      <c r="B174" s="328" t="s">
        <v>1030</v>
      </c>
      <c r="C174" s="328" t="s">
        <v>1039</v>
      </c>
    </row>
    <row r="175" spans="2:7" x14ac:dyDescent="0.2">
      <c r="B175" s="312" t="s">
        <v>1063</v>
      </c>
      <c r="C175" s="312" t="s">
        <v>1063</v>
      </c>
    </row>
    <row r="176" spans="2:7" x14ac:dyDescent="0.2">
      <c r="B176" s="351"/>
      <c r="C176" s="352"/>
    </row>
    <row r="177" spans="2:7" x14ac:dyDescent="0.2">
      <c r="B177" s="308" t="s">
        <v>1072</v>
      </c>
    </row>
    <row r="179" spans="2:7" ht="38.25" x14ac:dyDescent="0.2">
      <c r="B179" s="310" t="s">
        <v>1030</v>
      </c>
      <c r="C179" s="311" t="s">
        <v>1066</v>
      </c>
      <c r="D179" s="311" t="s">
        <v>1073</v>
      </c>
      <c r="E179" s="311" t="s">
        <v>1074</v>
      </c>
      <c r="F179" s="311" t="s">
        <v>1069</v>
      </c>
    </row>
    <row r="180" spans="2:7" x14ac:dyDescent="0.2">
      <c r="B180" s="312"/>
      <c r="C180" s="341"/>
      <c r="D180" s="342"/>
      <c r="E180" s="341"/>
      <c r="F180" s="341"/>
    </row>
    <row r="181" spans="2:7" x14ac:dyDescent="0.2">
      <c r="G181" s="373"/>
    </row>
    <row r="182" spans="2:7" x14ac:dyDescent="0.2">
      <c r="F182" s="339"/>
      <c r="G182" s="317"/>
    </row>
    <row r="183" spans="2:7" x14ac:dyDescent="0.2">
      <c r="B183" s="308" t="s">
        <v>1075</v>
      </c>
    </row>
    <row r="184" spans="2:7" x14ac:dyDescent="0.2">
      <c r="B184" s="308"/>
    </row>
    <row r="185" spans="2:7" x14ac:dyDescent="0.2">
      <c r="E185" s="317"/>
    </row>
    <row r="186" spans="2:7" x14ac:dyDescent="0.2">
      <c r="B186" s="308" t="s">
        <v>1076</v>
      </c>
      <c r="E186" s="317"/>
    </row>
    <row r="187" spans="2:7" x14ac:dyDescent="0.2">
      <c r="E187" s="317"/>
    </row>
    <row r="188" spans="2:7" ht="25.5" x14ac:dyDescent="0.2">
      <c r="B188" s="310" t="s">
        <v>1030</v>
      </c>
      <c r="C188" s="311" t="s">
        <v>1031</v>
      </c>
      <c r="D188" s="311" t="s">
        <v>1032</v>
      </c>
      <c r="E188" s="311" t="s">
        <v>1077</v>
      </c>
      <c r="F188" s="311" t="s">
        <v>1078</v>
      </c>
      <c r="G188" s="311" t="s">
        <v>1079</v>
      </c>
    </row>
    <row r="189" spans="2:7" x14ac:dyDescent="0.2">
      <c r="B189" s="331" t="s">
        <v>1063</v>
      </c>
      <c r="C189" s="336" t="s">
        <v>1063</v>
      </c>
      <c r="D189" s="374" t="s">
        <v>1063</v>
      </c>
      <c r="E189" s="375" t="s">
        <v>1063</v>
      </c>
      <c r="F189" s="375" t="s">
        <v>1063</v>
      </c>
      <c r="G189" s="375" t="s">
        <v>1063</v>
      </c>
    </row>
    <row r="190" spans="2:7" x14ac:dyDescent="0.2">
      <c r="E190" s="317"/>
    </row>
    <row r="191" spans="2:7" x14ac:dyDescent="0.2">
      <c r="B191" s="308" t="s">
        <v>1080</v>
      </c>
      <c r="E191" s="317"/>
    </row>
    <row r="192" spans="2:7" x14ac:dyDescent="0.2">
      <c r="B192" s="308"/>
      <c r="E192" s="317"/>
    </row>
    <row r="193" spans="2:10" x14ac:dyDescent="0.2">
      <c r="B193" s="328" t="s">
        <v>1030</v>
      </c>
      <c r="C193" s="328" t="s">
        <v>1039</v>
      </c>
      <c r="E193" s="317"/>
    </row>
    <row r="194" spans="2:10" x14ac:dyDescent="0.2">
      <c r="B194" s="341" t="s">
        <v>1063</v>
      </c>
      <c r="C194" s="330" t="s">
        <v>1063</v>
      </c>
      <c r="E194" s="317"/>
    </row>
    <row r="195" spans="2:10" x14ac:dyDescent="0.2">
      <c r="E195" s="317"/>
    </row>
    <row r="196" spans="2:10" x14ac:dyDescent="0.2">
      <c r="B196" s="308" t="s">
        <v>1081</v>
      </c>
      <c r="E196" s="317"/>
    </row>
    <row r="197" spans="2:10" x14ac:dyDescent="0.2">
      <c r="E197" s="317"/>
    </row>
    <row r="198" spans="2:10" ht="63.75" x14ac:dyDescent="0.2">
      <c r="B198" s="310" t="s">
        <v>1030</v>
      </c>
      <c r="C198" s="311" t="s">
        <v>1041</v>
      </c>
      <c r="D198" s="311" t="s">
        <v>1042</v>
      </c>
      <c r="E198" s="311" t="s">
        <v>1043</v>
      </c>
      <c r="F198" s="311" t="s">
        <v>1044</v>
      </c>
      <c r="G198" s="311" t="s">
        <v>1045</v>
      </c>
    </row>
    <row r="199" spans="2:10" x14ac:dyDescent="0.2">
      <c r="B199" s="330"/>
      <c r="C199" s="330"/>
      <c r="D199" s="332"/>
      <c r="E199" s="376"/>
      <c r="F199" s="377"/>
      <c r="G199" s="378"/>
      <c r="I199" s="335"/>
      <c r="J199" s="317"/>
    </row>
    <row r="200" spans="2:10" x14ac:dyDescent="0.2">
      <c r="E200" s="317"/>
    </row>
    <row r="201" spans="2:10" x14ac:dyDescent="0.2">
      <c r="E201" s="317"/>
    </row>
    <row r="202" spans="2:10" x14ac:dyDescent="0.2">
      <c r="B202" s="308" t="s">
        <v>1082</v>
      </c>
      <c r="E202" s="317"/>
    </row>
    <row r="203" spans="2:10" x14ac:dyDescent="0.2">
      <c r="E203" s="317"/>
    </row>
    <row r="204" spans="2:10" ht="63.75" x14ac:dyDescent="0.2">
      <c r="B204" s="310" t="s">
        <v>1030</v>
      </c>
      <c r="C204" s="311" t="s">
        <v>1041</v>
      </c>
      <c r="D204" s="311" t="s">
        <v>1042</v>
      </c>
      <c r="E204" s="311" t="s">
        <v>1043</v>
      </c>
      <c r="F204" s="311" t="s">
        <v>1044</v>
      </c>
      <c r="G204" s="311" t="s">
        <v>1045</v>
      </c>
    </row>
    <row r="205" spans="2:10" x14ac:dyDescent="0.2">
      <c r="B205" s="314"/>
      <c r="C205" s="341"/>
      <c r="D205" s="341"/>
      <c r="E205" s="343"/>
      <c r="F205" s="343"/>
      <c r="G205" s="343"/>
    </row>
    <row r="206" spans="2:10" x14ac:dyDescent="0.2">
      <c r="E206" s="317"/>
    </row>
    <row r="207" spans="2:10" x14ac:dyDescent="0.2">
      <c r="E207" s="317"/>
    </row>
    <row r="208" spans="2:10" x14ac:dyDescent="0.2">
      <c r="E208" s="317"/>
    </row>
    <row r="209" spans="2:2" x14ac:dyDescent="0.2">
      <c r="B209" s="307" t="s">
        <v>1083</v>
      </c>
    </row>
  </sheetData>
  <mergeCells count="3">
    <mergeCell ref="B2:G2"/>
    <mergeCell ref="B3:G3"/>
    <mergeCell ref="B5:G5"/>
  </mergeCells>
  <printOptions horizontalCentered="1"/>
  <pageMargins left="0.17" right="0.15748031496062992" top="0.43307086614173229" bottom="0.47244094488188981" header="0.31496062992125984" footer="0.31496062992125984"/>
  <pageSetup paperSize="9" scale="50" fitToHeight="3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CCF6-588E-4496-912A-B50CF7745A4E}">
  <sheetPr codeName="Sheet46"/>
  <dimension ref="B1:H23"/>
  <sheetViews>
    <sheetView workbookViewId="0"/>
  </sheetViews>
  <sheetFormatPr defaultColWidth="8.85546875" defaultRowHeight="15" x14ac:dyDescent="0.25"/>
  <cols>
    <col min="1" max="1" width="2.5703125" style="206" customWidth="1"/>
    <col min="2" max="2" width="13.42578125" style="206" bestFit="1" customWidth="1"/>
    <col min="3" max="3" width="56.140625" style="206" bestFit="1" customWidth="1"/>
    <col min="4" max="4" width="14.140625" style="206" bestFit="1" customWidth="1"/>
    <col min="5" max="5" width="18.7109375" style="206" bestFit="1" customWidth="1"/>
    <col min="6" max="6" width="26.28515625" style="206" bestFit="1" customWidth="1"/>
    <col min="7" max="7" width="11.140625" style="206" bestFit="1" customWidth="1"/>
    <col min="8" max="8" width="15" style="206" bestFit="1" customWidth="1"/>
    <col min="9" max="253" width="8.85546875" style="206"/>
    <col min="254" max="254" width="2.5703125" style="206" customWidth="1"/>
    <col min="255" max="255" width="14" style="206" bestFit="1" customWidth="1"/>
    <col min="256" max="256" width="61.140625" style="206" bestFit="1" customWidth="1"/>
    <col min="257" max="257" width="14.140625" style="206" bestFit="1" customWidth="1"/>
    <col min="258" max="258" width="18.7109375" style="206" bestFit="1" customWidth="1"/>
    <col min="259" max="259" width="29.42578125" style="206" bestFit="1" customWidth="1"/>
    <col min="260" max="260" width="11.140625" style="206" bestFit="1" customWidth="1"/>
    <col min="261" max="261" width="15" style="206" bestFit="1" customWidth="1"/>
    <col min="262" max="262" width="9.5703125" style="206" bestFit="1" customWidth="1"/>
    <col min="263" max="264" width="12" style="206" bestFit="1" customWidth="1"/>
    <col min="265" max="509" width="8.85546875" style="206"/>
    <col min="510" max="510" width="2.5703125" style="206" customWidth="1"/>
    <col min="511" max="511" width="14" style="206" bestFit="1" customWidth="1"/>
    <col min="512" max="512" width="61.140625" style="206" bestFit="1" customWidth="1"/>
    <col min="513" max="513" width="14.140625" style="206" bestFit="1" customWidth="1"/>
    <col min="514" max="514" width="18.7109375" style="206" bestFit="1" customWidth="1"/>
    <col min="515" max="515" width="29.42578125" style="206" bestFit="1" customWidth="1"/>
    <col min="516" max="516" width="11.140625" style="206" bestFit="1" customWidth="1"/>
    <col min="517" max="517" width="15" style="206" bestFit="1" customWidth="1"/>
    <col min="518" max="518" width="9.5703125" style="206" bestFit="1" customWidth="1"/>
    <col min="519" max="520" width="12" style="206" bestFit="1" customWidth="1"/>
    <col min="521" max="765" width="8.85546875" style="206"/>
    <col min="766" max="766" width="2.5703125" style="206" customWidth="1"/>
    <col min="767" max="767" width="14" style="206" bestFit="1" customWidth="1"/>
    <col min="768" max="768" width="61.140625" style="206" bestFit="1" customWidth="1"/>
    <col min="769" max="769" width="14.140625" style="206" bestFit="1" customWidth="1"/>
    <col min="770" max="770" width="18.7109375" style="206" bestFit="1" customWidth="1"/>
    <col min="771" max="771" width="29.42578125" style="206" bestFit="1" customWidth="1"/>
    <col min="772" max="772" width="11.140625" style="206" bestFit="1" customWidth="1"/>
    <col min="773" max="773" width="15" style="206" bestFit="1" customWidth="1"/>
    <col min="774" max="774" width="9.5703125" style="206" bestFit="1" customWidth="1"/>
    <col min="775" max="776" width="12" style="206" bestFit="1" customWidth="1"/>
    <col min="777" max="1021" width="8.85546875" style="206"/>
    <col min="1022" max="1022" width="2.5703125" style="206" customWidth="1"/>
    <col min="1023" max="1023" width="14" style="206" bestFit="1" customWidth="1"/>
    <col min="1024" max="1024" width="61.140625" style="206" bestFit="1" customWidth="1"/>
    <col min="1025" max="1025" width="14.140625" style="206" bestFit="1" customWidth="1"/>
    <col min="1026" max="1026" width="18.7109375" style="206" bestFit="1" customWidth="1"/>
    <col min="1027" max="1027" width="29.42578125" style="206" bestFit="1" customWidth="1"/>
    <col min="1028" max="1028" width="11.140625" style="206" bestFit="1" customWidth="1"/>
    <col min="1029" max="1029" width="15" style="206" bestFit="1" customWidth="1"/>
    <col min="1030" max="1030" width="9.5703125" style="206" bestFit="1" customWidth="1"/>
    <col min="1031" max="1032" width="12" style="206" bestFit="1" customWidth="1"/>
    <col min="1033" max="1277" width="8.85546875" style="206"/>
    <col min="1278" max="1278" width="2.5703125" style="206" customWidth="1"/>
    <col min="1279" max="1279" width="14" style="206" bestFit="1" customWidth="1"/>
    <col min="1280" max="1280" width="61.140625" style="206" bestFit="1" customWidth="1"/>
    <col min="1281" max="1281" width="14.140625" style="206" bestFit="1" customWidth="1"/>
    <col min="1282" max="1282" width="18.7109375" style="206" bestFit="1" customWidth="1"/>
    <col min="1283" max="1283" width="29.42578125" style="206" bestFit="1" customWidth="1"/>
    <col min="1284" max="1284" width="11.140625" style="206" bestFit="1" customWidth="1"/>
    <col min="1285" max="1285" width="15" style="206" bestFit="1" customWidth="1"/>
    <col min="1286" max="1286" width="9.5703125" style="206" bestFit="1" customWidth="1"/>
    <col min="1287" max="1288" width="12" style="206" bestFit="1" customWidth="1"/>
    <col min="1289" max="1533" width="8.85546875" style="206"/>
    <col min="1534" max="1534" width="2.5703125" style="206" customWidth="1"/>
    <col min="1535" max="1535" width="14" style="206" bestFit="1" customWidth="1"/>
    <col min="1536" max="1536" width="61.140625" style="206" bestFit="1" customWidth="1"/>
    <col min="1537" max="1537" width="14.140625" style="206" bestFit="1" customWidth="1"/>
    <col min="1538" max="1538" width="18.7109375" style="206" bestFit="1" customWidth="1"/>
    <col min="1539" max="1539" width="29.42578125" style="206" bestFit="1" customWidth="1"/>
    <col min="1540" max="1540" width="11.140625" style="206" bestFit="1" customWidth="1"/>
    <col min="1541" max="1541" width="15" style="206" bestFit="1" customWidth="1"/>
    <col min="1542" max="1542" width="9.5703125" style="206" bestFit="1" customWidth="1"/>
    <col min="1543" max="1544" width="12" style="206" bestFit="1" customWidth="1"/>
    <col min="1545" max="1789" width="8.85546875" style="206"/>
    <col min="1790" max="1790" width="2.5703125" style="206" customWidth="1"/>
    <col min="1791" max="1791" width="14" style="206" bestFit="1" customWidth="1"/>
    <col min="1792" max="1792" width="61.140625" style="206" bestFit="1" customWidth="1"/>
    <col min="1793" max="1793" width="14.140625" style="206" bestFit="1" customWidth="1"/>
    <col min="1794" max="1794" width="18.7109375" style="206" bestFit="1" customWidth="1"/>
    <col min="1795" max="1795" width="29.42578125" style="206" bestFit="1" customWidth="1"/>
    <col min="1796" max="1796" width="11.140625" style="206" bestFit="1" customWidth="1"/>
    <col min="1797" max="1797" width="15" style="206" bestFit="1" customWidth="1"/>
    <col min="1798" max="1798" width="9.5703125" style="206" bestFit="1" customWidth="1"/>
    <col min="1799" max="1800" width="12" style="206" bestFit="1" customWidth="1"/>
    <col min="1801" max="2045" width="8.85546875" style="206"/>
    <col min="2046" max="2046" width="2.5703125" style="206" customWidth="1"/>
    <col min="2047" max="2047" width="14" style="206" bestFit="1" customWidth="1"/>
    <col min="2048" max="2048" width="61.140625" style="206" bestFit="1" customWidth="1"/>
    <col min="2049" max="2049" width="14.140625" style="206" bestFit="1" customWidth="1"/>
    <col min="2050" max="2050" width="18.7109375" style="206" bestFit="1" customWidth="1"/>
    <col min="2051" max="2051" width="29.42578125" style="206" bestFit="1" customWidth="1"/>
    <col min="2052" max="2052" width="11.140625" style="206" bestFit="1" customWidth="1"/>
    <col min="2053" max="2053" width="15" style="206" bestFit="1" customWidth="1"/>
    <col min="2054" max="2054" width="9.5703125" style="206" bestFit="1" customWidth="1"/>
    <col min="2055" max="2056" width="12" style="206" bestFit="1" customWidth="1"/>
    <col min="2057" max="2301" width="8.85546875" style="206"/>
    <col min="2302" max="2302" width="2.5703125" style="206" customWidth="1"/>
    <col min="2303" max="2303" width="14" style="206" bestFit="1" customWidth="1"/>
    <col min="2304" max="2304" width="61.140625" style="206" bestFit="1" customWidth="1"/>
    <col min="2305" max="2305" width="14.140625" style="206" bestFit="1" customWidth="1"/>
    <col min="2306" max="2306" width="18.7109375" style="206" bestFit="1" customWidth="1"/>
    <col min="2307" max="2307" width="29.42578125" style="206" bestFit="1" customWidth="1"/>
    <col min="2308" max="2308" width="11.140625" style="206" bestFit="1" customWidth="1"/>
    <col min="2309" max="2309" width="15" style="206" bestFit="1" customWidth="1"/>
    <col min="2310" max="2310" width="9.5703125" style="206" bestFit="1" customWidth="1"/>
    <col min="2311" max="2312" width="12" style="206" bestFit="1" customWidth="1"/>
    <col min="2313" max="2557" width="8.85546875" style="206"/>
    <col min="2558" max="2558" width="2.5703125" style="206" customWidth="1"/>
    <col min="2559" max="2559" width="14" style="206" bestFit="1" customWidth="1"/>
    <col min="2560" max="2560" width="61.140625" style="206" bestFit="1" customWidth="1"/>
    <col min="2561" max="2561" width="14.140625" style="206" bestFit="1" customWidth="1"/>
    <col min="2562" max="2562" width="18.7109375" style="206" bestFit="1" customWidth="1"/>
    <col min="2563" max="2563" width="29.42578125" style="206" bestFit="1" customWidth="1"/>
    <col min="2564" max="2564" width="11.140625" style="206" bestFit="1" customWidth="1"/>
    <col min="2565" max="2565" width="15" style="206" bestFit="1" customWidth="1"/>
    <col min="2566" max="2566" width="9.5703125" style="206" bestFit="1" customWidth="1"/>
    <col min="2567" max="2568" width="12" style="206" bestFit="1" customWidth="1"/>
    <col min="2569" max="2813" width="8.85546875" style="206"/>
    <col min="2814" max="2814" width="2.5703125" style="206" customWidth="1"/>
    <col min="2815" max="2815" width="14" style="206" bestFit="1" customWidth="1"/>
    <col min="2816" max="2816" width="61.140625" style="206" bestFit="1" customWidth="1"/>
    <col min="2817" max="2817" width="14.140625" style="206" bestFit="1" customWidth="1"/>
    <col min="2818" max="2818" width="18.7109375" style="206" bestFit="1" customWidth="1"/>
    <col min="2819" max="2819" width="29.42578125" style="206" bestFit="1" customWidth="1"/>
    <col min="2820" max="2820" width="11.140625" style="206" bestFit="1" customWidth="1"/>
    <col min="2821" max="2821" width="15" style="206" bestFit="1" customWidth="1"/>
    <col min="2822" max="2822" width="9.5703125" style="206" bestFit="1" customWidth="1"/>
    <col min="2823" max="2824" width="12" style="206" bestFit="1" customWidth="1"/>
    <col min="2825" max="3069" width="8.85546875" style="206"/>
    <col min="3070" max="3070" width="2.5703125" style="206" customWidth="1"/>
    <col min="3071" max="3071" width="14" style="206" bestFit="1" customWidth="1"/>
    <col min="3072" max="3072" width="61.140625" style="206" bestFit="1" customWidth="1"/>
    <col min="3073" max="3073" width="14.140625" style="206" bestFit="1" customWidth="1"/>
    <col min="3074" max="3074" width="18.7109375" style="206" bestFit="1" customWidth="1"/>
    <col min="3075" max="3075" width="29.42578125" style="206" bestFit="1" customWidth="1"/>
    <col min="3076" max="3076" width="11.140625" style="206" bestFit="1" customWidth="1"/>
    <col min="3077" max="3077" width="15" style="206" bestFit="1" customWidth="1"/>
    <col min="3078" max="3078" width="9.5703125" style="206" bestFit="1" customWidth="1"/>
    <col min="3079" max="3080" width="12" style="206" bestFit="1" customWidth="1"/>
    <col min="3081" max="3325" width="8.85546875" style="206"/>
    <col min="3326" max="3326" width="2.5703125" style="206" customWidth="1"/>
    <col min="3327" max="3327" width="14" style="206" bestFit="1" customWidth="1"/>
    <col min="3328" max="3328" width="61.140625" style="206" bestFit="1" customWidth="1"/>
    <col min="3329" max="3329" width="14.140625" style="206" bestFit="1" customWidth="1"/>
    <col min="3330" max="3330" width="18.7109375" style="206" bestFit="1" customWidth="1"/>
    <col min="3331" max="3331" width="29.42578125" style="206" bestFit="1" customWidth="1"/>
    <col min="3332" max="3332" width="11.140625" style="206" bestFit="1" customWidth="1"/>
    <col min="3333" max="3333" width="15" style="206" bestFit="1" customWidth="1"/>
    <col min="3334" max="3334" width="9.5703125" style="206" bestFit="1" customWidth="1"/>
    <col min="3335" max="3336" width="12" style="206" bestFit="1" customWidth="1"/>
    <col min="3337" max="3581" width="8.85546875" style="206"/>
    <col min="3582" max="3582" width="2.5703125" style="206" customWidth="1"/>
    <col min="3583" max="3583" width="14" style="206" bestFit="1" customWidth="1"/>
    <col min="3584" max="3584" width="61.140625" style="206" bestFit="1" customWidth="1"/>
    <col min="3585" max="3585" width="14.140625" style="206" bestFit="1" customWidth="1"/>
    <col min="3586" max="3586" width="18.7109375" style="206" bestFit="1" customWidth="1"/>
    <col min="3587" max="3587" width="29.42578125" style="206" bestFit="1" customWidth="1"/>
    <col min="3588" max="3588" width="11.140625" style="206" bestFit="1" customWidth="1"/>
    <col min="3589" max="3589" width="15" style="206" bestFit="1" customWidth="1"/>
    <col min="3590" max="3590" width="9.5703125" style="206" bestFit="1" customWidth="1"/>
    <col min="3591" max="3592" width="12" style="206" bestFit="1" customWidth="1"/>
    <col min="3593" max="3837" width="8.85546875" style="206"/>
    <col min="3838" max="3838" width="2.5703125" style="206" customWidth="1"/>
    <col min="3839" max="3839" width="14" style="206" bestFit="1" customWidth="1"/>
    <col min="3840" max="3840" width="61.140625" style="206" bestFit="1" customWidth="1"/>
    <col min="3841" max="3841" width="14.140625" style="206" bestFit="1" customWidth="1"/>
    <col min="3842" max="3842" width="18.7109375" style="206" bestFit="1" customWidth="1"/>
    <col min="3843" max="3843" width="29.42578125" style="206" bestFit="1" customWidth="1"/>
    <col min="3844" max="3844" width="11.140625" style="206" bestFit="1" customWidth="1"/>
    <col min="3845" max="3845" width="15" style="206" bestFit="1" customWidth="1"/>
    <col min="3846" max="3846" width="9.5703125" style="206" bestFit="1" customWidth="1"/>
    <col min="3847" max="3848" width="12" style="206" bestFit="1" customWidth="1"/>
    <col min="3849" max="4093" width="8.85546875" style="206"/>
    <col min="4094" max="4094" width="2.5703125" style="206" customWidth="1"/>
    <col min="4095" max="4095" width="14" style="206" bestFit="1" customWidth="1"/>
    <col min="4096" max="4096" width="61.140625" style="206" bestFit="1" customWidth="1"/>
    <col min="4097" max="4097" width="14.140625" style="206" bestFit="1" customWidth="1"/>
    <col min="4098" max="4098" width="18.7109375" style="206" bestFit="1" customWidth="1"/>
    <col min="4099" max="4099" width="29.42578125" style="206" bestFit="1" customWidth="1"/>
    <col min="4100" max="4100" width="11.140625" style="206" bestFit="1" customWidth="1"/>
    <col min="4101" max="4101" width="15" style="206" bestFit="1" customWidth="1"/>
    <col min="4102" max="4102" width="9.5703125" style="206" bestFit="1" customWidth="1"/>
    <col min="4103" max="4104" width="12" style="206" bestFit="1" customWidth="1"/>
    <col min="4105" max="4349" width="8.85546875" style="206"/>
    <col min="4350" max="4350" width="2.5703125" style="206" customWidth="1"/>
    <col min="4351" max="4351" width="14" style="206" bestFit="1" customWidth="1"/>
    <col min="4352" max="4352" width="61.140625" style="206" bestFit="1" customWidth="1"/>
    <col min="4353" max="4353" width="14.140625" style="206" bestFit="1" customWidth="1"/>
    <col min="4354" max="4354" width="18.7109375" style="206" bestFit="1" customWidth="1"/>
    <col min="4355" max="4355" width="29.42578125" style="206" bestFit="1" customWidth="1"/>
    <col min="4356" max="4356" width="11.140625" style="206" bestFit="1" customWidth="1"/>
    <col min="4357" max="4357" width="15" style="206" bestFit="1" customWidth="1"/>
    <col min="4358" max="4358" width="9.5703125" style="206" bestFit="1" customWidth="1"/>
    <col min="4359" max="4360" width="12" style="206" bestFit="1" customWidth="1"/>
    <col min="4361" max="4605" width="8.85546875" style="206"/>
    <col min="4606" max="4606" width="2.5703125" style="206" customWidth="1"/>
    <col min="4607" max="4607" width="14" style="206" bestFit="1" customWidth="1"/>
    <col min="4608" max="4608" width="61.140625" style="206" bestFit="1" customWidth="1"/>
    <col min="4609" max="4609" width="14.140625" style="206" bestFit="1" customWidth="1"/>
    <col min="4610" max="4610" width="18.7109375" style="206" bestFit="1" customWidth="1"/>
    <col min="4611" max="4611" width="29.42578125" style="206" bestFit="1" customWidth="1"/>
    <col min="4612" max="4612" width="11.140625" style="206" bestFit="1" customWidth="1"/>
    <col min="4613" max="4613" width="15" style="206" bestFit="1" customWidth="1"/>
    <col min="4614" max="4614" width="9.5703125" style="206" bestFit="1" customWidth="1"/>
    <col min="4615" max="4616" width="12" style="206" bestFit="1" customWidth="1"/>
    <col min="4617" max="4861" width="8.85546875" style="206"/>
    <col min="4862" max="4862" width="2.5703125" style="206" customWidth="1"/>
    <col min="4863" max="4863" width="14" style="206" bestFit="1" customWidth="1"/>
    <col min="4864" max="4864" width="61.140625" style="206" bestFit="1" customWidth="1"/>
    <col min="4865" max="4865" width="14.140625" style="206" bestFit="1" customWidth="1"/>
    <col min="4866" max="4866" width="18.7109375" style="206" bestFit="1" customWidth="1"/>
    <col min="4867" max="4867" width="29.42578125" style="206" bestFit="1" customWidth="1"/>
    <col min="4868" max="4868" width="11.140625" style="206" bestFit="1" customWidth="1"/>
    <col min="4869" max="4869" width="15" style="206" bestFit="1" customWidth="1"/>
    <col min="4870" max="4870" width="9.5703125" style="206" bestFit="1" customWidth="1"/>
    <col min="4871" max="4872" width="12" style="206" bestFit="1" customWidth="1"/>
    <col min="4873" max="5117" width="8.85546875" style="206"/>
    <col min="5118" max="5118" width="2.5703125" style="206" customWidth="1"/>
    <col min="5119" max="5119" width="14" style="206" bestFit="1" customWidth="1"/>
    <col min="5120" max="5120" width="61.140625" style="206" bestFit="1" customWidth="1"/>
    <col min="5121" max="5121" width="14.140625" style="206" bestFit="1" customWidth="1"/>
    <col min="5122" max="5122" width="18.7109375" style="206" bestFit="1" customWidth="1"/>
    <col min="5123" max="5123" width="29.42578125" style="206" bestFit="1" customWidth="1"/>
    <col min="5124" max="5124" width="11.140625" style="206" bestFit="1" customWidth="1"/>
    <col min="5125" max="5125" width="15" style="206" bestFit="1" customWidth="1"/>
    <col min="5126" max="5126" width="9.5703125" style="206" bestFit="1" customWidth="1"/>
    <col min="5127" max="5128" width="12" style="206" bestFit="1" customWidth="1"/>
    <col min="5129" max="5373" width="8.85546875" style="206"/>
    <col min="5374" max="5374" width="2.5703125" style="206" customWidth="1"/>
    <col min="5375" max="5375" width="14" style="206" bestFit="1" customWidth="1"/>
    <col min="5376" max="5376" width="61.140625" style="206" bestFit="1" customWidth="1"/>
    <col min="5377" max="5377" width="14.140625" style="206" bestFit="1" customWidth="1"/>
    <col min="5378" max="5378" width="18.7109375" style="206" bestFit="1" customWidth="1"/>
    <col min="5379" max="5379" width="29.42578125" style="206" bestFit="1" customWidth="1"/>
    <col min="5380" max="5380" width="11.140625" style="206" bestFit="1" customWidth="1"/>
    <col min="5381" max="5381" width="15" style="206" bestFit="1" customWidth="1"/>
    <col min="5382" max="5382" width="9.5703125" style="206" bestFit="1" customWidth="1"/>
    <col min="5383" max="5384" width="12" style="206" bestFit="1" customWidth="1"/>
    <col min="5385" max="5629" width="8.85546875" style="206"/>
    <col min="5630" max="5630" width="2.5703125" style="206" customWidth="1"/>
    <col min="5631" max="5631" width="14" style="206" bestFit="1" customWidth="1"/>
    <col min="5632" max="5632" width="61.140625" style="206" bestFit="1" customWidth="1"/>
    <col min="5633" max="5633" width="14.140625" style="206" bestFit="1" customWidth="1"/>
    <col min="5634" max="5634" width="18.7109375" style="206" bestFit="1" customWidth="1"/>
    <col min="5635" max="5635" width="29.42578125" style="206" bestFit="1" customWidth="1"/>
    <col min="5636" max="5636" width="11.140625" style="206" bestFit="1" customWidth="1"/>
    <col min="5637" max="5637" width="15" style="206" bestFit="1" customWidth="1"/>
    <col min="5638" max="5638" width="9.5703125" style="206" bestFit="1" customWidth="1"/>
    <col min="5639" max="5640" width="12" style="206" bestFit="1" customWidth="1"/>
    <col min="5641" max="5885" width="8.85546875" style="206"/>
    <col min="5886" max="5886" width="2.5703125" style="206" customWidth="1"/>
    <col min="5887" max="5887" width="14" style="206" bestFit="1" customWidth="1"/>
    <col min="5888" max="5888" width="61.140625" style="206" bestFit="1" customWidth="1"/>
    <col min="5889" max="5889" width="14.140625" style="206" bestFit="1" customWidth="1"/>
    <col min="5890" max="5890" width="18.7109375" style="206" bestFit="1" customWidth="1"/>
    <col min="5891" max="5891" width="29.42578125" style="206" bestFit="1" customWidth="1"/>
    <col min="5892" max="5892" width="11.140625" style="206" bestFit="1" customWidth="1"/>
    <col min="5893" max="5893" width="15" style="206" bestFit="1" customWidth="1"/>
    <col min="5894" max="5894" width="9.5703125" style="206" bestFit="1" customWidth="1"/>
    <col min="5895" max="5896" width="12" style="206" bestFit="1" customWidth="1"/>
    <col min="5897" max="6141" width="8.85546875" style="206"/>
    <col min="6142" max="6142" width="2.5703125" style="206" customWidth="1"/>
    <col min="6143" max="6143" width="14" style="206" bestFit="1" customWidth="1"/>
    <col min="6144" max="6144" width="61.140625" style="206" bestFit="1" customWidth="1"/>
    <col min="6145" max="6145" width="14.140625" style="206" bestFit="1" customWidth="1"/>
    <col min="6146" max="6146" width="18.7109375" style="206" bestFit="1" customWidth="1"/>
    <col min="6147" max="6147" width="29.42578125" style="206" bestFit="1" customWidth="1"/>
    <col min="6148" max="6148" width="11.140625" style="206" bestFit="1" customWidth="1"/>
    <col min="6149" max="6149" width="15" style="206" bestFit="1" customWidth="1"/>
    <col min="6150" max="6150" width="9.5703125" style="206" bestFit="1" customWidth="1"/>
    <col min="6151" max="6152" width="12" style="206" bestFit="1" customWidth="1"/>
    <col min="6153" max="6397" width="8.85546875" style="206"/>
    <col min="6398" max="6398" width="2.5703125" style="206" customWidth="1"/>
    <col min="6399" max="6399" width="14" style="206" bestFit="1" customWidth="1"/>
    <col min="6400" max="6400" width="61.140625" style="206" bestFit="1" customWidth="1"/>
    <col min="6401" max="6401" width="14.140625" style="206" bestFit="1" customWidth="1"/>
    <col min="6402" max="6402" width="18.7109375" style="206" bestFit="1" customWidth="1"/>
    <col min="6403" max="6403" width="29.42578125" style="206" bestFit="1" customWidth="1"/>
    <col min="6404" max="6404" width="11.140625" style="206" bestFit="1" customWidth="1"/>
    <col min="6405" max="6405" width="15" style="206" bestFit="1" customWidth="1"/>
    <col min="6406" max="6406" width="9.5703125" style="206" bestFit="1" customWidth="1"/>
    <col min="6407" max="6408" width="12" style="206" bestFit="1" customWidth="1"/>
    <col min="6409" max="6653" width="8.85546875" style="206"/>
    <col min="6654" max="6654" width="2.5703125" style="206" customWidth="1"/>
    <col min="6655" max="6655" width="14" style="206" bestFit="1" customWidth="1"/>
    <col min="6656" max="6656" width="61.140625" style="206" bestFit="1" customWidth="1"/>
    <col min="6657" max="6657" width="14.140625" style="206" bestFit="1" customWidth="1"/>
    <col min="6658" max="6658" width="18.7109375" style="206" bestFit="1" customWidth="1"/>
    <col min="6659" max="6659" width="29.42578125" style="206" bestFit="1" customWidth="1"/>
    <col min="6660" max="6660" width="11.140625" style="206" bestFit="1" customWidth="1"/>
    <col min="6661" max="6661" width="15" style="206" bestFit="1" customWidth="1"/>
    <col min="6662" max="6662" width="9.5703125" style="206" bestFit="1" customWidth="1"/>
    <col min="6663" max="6664" width="12" style="206" bestFit="1" customWidth="1"/>
    <col min="6665" max="6909" width="8.85546875" style="206"/>
    <col min="6910" max="6910" width="2.5703125" style="206" customWidth="1"/>
    <col min="6911" max="6911" width="14" style="206" bestFit="1" customWidth="1"/>
    <col min="6912" max="6912" width="61.140625" style="206" bestFit="1" customWidth="1"/>
    <col min="6913" max="6913" width="14.140625" style="206" bestFit="1" customWidth="1"/>
    <col min="6914" max="6914" width="18.7109375" style="206" bestFit="1" customWidth="1"/>
    <col min="6915" max="6915" width="29.42578125" style="206" bestFit="1" customWidth="1"/>
    <col min="6916" max="6916" width="11.140625" style="206" bestFit="1" customWidth="1"/>
    <col min="6917" max="6917" width="15" style="206" bestFit="1" customWidth="1"/>
    <col min="6918" max="6918" width="9.5703125" style="206" bestFit="1" customWidth="1"/>
    <col min="6919" max="6920" width="12" style="206" bestFit="1" customWidth="1"/>
    <col min="6921" max="7165" width="8.85546875" style="206"/>
    <col min="7166" max="7166" width="2.5703125" style="206" customWidth="1"/>
    <col min="7167" max="7167" width="14" style="206" bestFit="1" customWidth="1"/>
    <col min="7168" max="7168" width="61.140625" style="206" bestFit="1" customWidth="1"/>
    <col min="7169" max="7169" width="14.140625" style="206" bestFit="1" customWidth="1"/>
    <col min="7170" max="7170" width="18.7109375" style="206" bestFit="1" customWidth="1"/>
    <col min="7171" max="7171" width="29.42578125" style="206" bestFit="1" customWidth="1"/>
    <col min="7172" max="7172" width="11.140625" style="206" bestFit="1" customWidth="1"/>
    <col min="7173" max="7173" width="15" style="206" bestFit="1" customWidth="1"/>
    <col min="7174" max="7174" width="9.5703125" style="206" bestFit="1" customWidth="1"/>
    <col min="7175" max="7176" width="12" style="206" bestFit="1" customWidth="1"/>
    <col min="7177" max="7421" width="8.85546875" style="206"/>
    <col min="7422" max="7422" width="2.5703125" style="206" customWidth="1"/>
    <col min="7423" max="7423" width="14" style="206" bestFit="1" customWidth="1"/>
    <col min="7424" max="7424" width="61.140625" style="206" bestFit="1" customWidth="1"/>
    <col min="7425" max="7425" width="14.140625" style="206" bestFit="1" customWidth="1"/>
    <col min="7426" max="7426" width="18.7109375" style="206" bestFit="1" customWidth="1"/>
    <col min="7427" max="7427" width="29.42578125" style="206" bestFit="1" customWidth="1"/>
    <col min="7428" max="7428" width="11.140625" style="206" bestFit="1" customWidth="1"/>
    <col min="7429" max="7429" width="15" style="206" bestFit="1" customWidth="1"/>
    <col min="7430" max="7430" width="9.5703125" style="206" bestFit="1" customWidth="1"/>
    <col min="7431" max="7432" width="12" style="206" bestFit="1" customWidth="1"/>
    <col min="7433" max="7677" width="8.85546875" style="206"/>
    <col min="7678" max="7678" width="2.5703125" style="206" customWidth="1"/>
    <col min="7679" max="7679" width="14" style="206" bestFit="1" customWidth="1"/>
    <col min="7680" max="7680" width="61.140625" style="206" bestFit="1" customWidth="1"/>
    <col min="7681" max="7681" width="14.140625" style="206" bestFit="1" customWidth="1"/>
    <col min="7682" max="7682" width="18.7109375" style="206" bestFit="1" customWidth="1"/>
    <col min="7683" max="7683" width="29.42578125" style="206" bestFit="1" customWidth="1"/>
    <col min="7684" max="7684" width="11.140625" style="206" bestFit="1" customWidth="1"/>
    <col min="7685" max="7685" width="15" style="206" bestFit="1" customWidth="1"/>
    <col min="7686" max="7686" width="9.5703125" style="206" bestFit="1" customWidth="1"/>
    <col min="7687" max="7688" width="12" style="206" bestFit="1" customWidth="1"/>
    <col min="7689" max="7933" width="8.85546875" style="206"/>
    <col min="7934" max="7934" width="2.5703125" style="206" customWidth="1"/>
    <col min="7935" max="7935" width="14" style="206" bestFit="1" customWidth="1"/>
    <col min="7936" max="7936" width="61.140625" style="206" bestFit="1" customWidth="1"/>
    <col min="7937" max="7937" width="14.140625" style="206" bestFit="1" customWidth="1"/>
    <col min="7938" max="7938" width="18.7109375" style="206" bestFit="1" customWidth="1"/>
    <col min="7939" max="7939" width="29.42578125" style="206" bestFit="1" customWidth="1"/>
    <col min="7940" max="7940" width="11.140625" style="206" bestFit="1" customWidth="1"/>
    <col min="7941" max="7941" width="15" style="206" bestFit="1" customWidth="1"/>
    <col min="7942" max="7942" width="9.5703125" style="206" bestFit="1" customWidth="1"/>
    <col min="7943" max="7944" width="12" style="206" bestFit="1" customWidth="1"/>
    <col min="7945" max="8189" width="8.85546875" style="206"/>
    <col min="8190" max="8190" width="2.5703125" style="206" customWidth="1"/>
    <col min="8191" max="8191" width="14" style="206" bestFit="1" customWidth="1"/>
    <col min="8192" max="8192" width="61.140625" style="206" bestFit="1" customWidth="1"/>
    <col min="8193" max="8193" width="14.140625" style="206" bestFit="1" customWidth="1"/>
    <col min="8194" max="8194" width="18.7109375" style="206" bestFit="1" customWidth="1"/>
    <col min="8195" max="8195" width="29.42578125" style="206" bestFit="1" customWidth="1"/>
    <col min="8196" max="8196" width="11.140625" style="206" bestFit="1" customWidth="1"/>
    <col min="8197" max="8197" width="15" style="206" bestFit="1" customWidth="1"/>
    <col min="8198" max="8198" width="9.5703125" style="206" bestFit="1" customWidth="1"/>
    <col min="8199" max="8200" width="12" style="206" bestFit="1" customWidth="1"/>
    <col min="8201" max="8445" width="8.85546875" style="206"/>
    <col min="8446" max="8446" width="2.5703125" style="206" customWidth="1"/>
    <col min="8447" max="8447" width="14" style="206" bestFit="1" customWidth="1"/>
    <col min="8448" max="8448" width="61.140625" style="206" bestFit="1" customWidth="1"/>
    <col min="8449" max="8449" width="14.140625" style="206" bestFit="1" customWidth="1"/>
    <col min="8450" max="8450" width="18.7109375" style="206" bestFit="1" customWidth="1"/>
    <col min="8451" max="8451" width="29.42578125" style="206" bestFit="1" customWidth="1"/>
    <col min="8452" max="8452" width="11.140625" style="206" bestFit="1" customWidth="1"/>
    <col min="8453" max="8453" width="15" style="206" bestFit="1" customWidth="1"/>
    <col min="8454" max="8454" width="9.5703125" style="206" bestFit="1" customWidth="1"/>
    <col min="8455" max="8456" width="12" style="206" bestFit="1" customWidth="1"/>
    <col min="8457" max="8701" width="8.85546875" style="206"/>
    <col min="8702" max="8702" width="2.5703125" style="206" customWidth="1"/>
    <col min="8703" max="8703" width="14" style="206" bestFit="1" customWidth="1"/>
    <col min="8704" max="8704" width="61.140625" style="206" bestFit="1" customWidth="1"/>
    <col min="8705" max="8705" width="14.140625" style="206" bestFit="1" customWidth="1"/>
    <col min="8706" max="8706" width="18.7109375" style="206" bestFit="1" customWidth="1"/>
    <col min="8707" max="8707" width="29.42578125" style="206" bestFit="1" customWidth="1"/>
    <col min="8708" max="8708" width="11.140625" style="206" bestFit="1" customWidth="1"/>
    <col min="8709" max="8709" width="15" style="206" bestFit="1" customWidth="1"/>
    <col min="8710" max="8710" width="9.5703125" style="206" bestFit="1" customWidth="1"/>
    <col min="8711" max="8712" width="12" style="206" bestFit="1" customWidth="1"/>
    <col min="8713" max="8957" width="8.85546875" style="206"/>
    <col min="8958" max="8958" width="2.5703125" style="206" customWidth="1"/>
    <col min="8959" max="8959" width="14" style="206" bestFit="1" customWidth="1"/>
    <col min="8960" max="8960" width="61.140625" style="206" bestFit="1" customWidth="1"/>
    <col min="8961" max="8961" width="14.140625" style="206" bestFit="1" customWidth="1"/>
    <col min="8962" max="8962" width="18.7109375" style="206" bestFit="1" customWidth="1"/>
    <col min="8963" max="8963" width="29.42578125" style="206" bestFit="1" customWidth="1"/>
    <col min="8964" max="8964" width="11.140625" style="206" bestFit="1" customWidth="1"/>
    <col min="8965" max="8965" width="15" style="206" bestFit="1" customWidth="1"/>
    <col min="8966" max="8966" width="9.5703125" style="206" bestFit="1" customWidth="1"/>
    <col min="8967" max="8968" width="12" style="206" bestFit="1" customWidth="1"/>
    <col min="8969" max="9213" width="8.85546875" style="206"/>
    <col min="9214" max="9214" width="2.5703125" style="206" customWidth="1"/>
    <col min="9215" max="9215" width="14" style="206" bestFit="1" customWidth="1"/>
    <col min="9216" max="9216" width="61.140625" style="206" bestFit="1" customWidth="1"/>
    <col min="9217" max="9217" width="14.140625" style="206" bestFit="1" customWidth="1"/>
    <col min="9218" max="9218" width="18.7109375" style="206" bestFit="1" customWidth="1"/>
    <col min="9219" max="9219" width="29.42578125" style="206" bestFit="1" customWidth="1"/>
    <col min="9220" max="9220" width="11.140625" style="206" bestFit="1" customWidth="1"/>
    <col min="9221" max="9221" width="15" style="206" bestFit="1" customWidth="1"/>
    <col min="9222" max="9222" width="9.5703125" style="206" bestFit="1" customWidth="1"/>
    <col min="9223" max="9224" width="12" style="206" bestFit="1" customWidth="1"/>
    <col min="9225" max="9469" width="8.85546875" style="206"/>
    <col min="9470" max="9470" width="2.5703125" style="206" customWidth="1"/>
    <col min="9471" max="9471" width="14" style="206" bestFit="1" customWidth="1"/>
    <col min="9472" max="9472" width="61.140625" style="206" bestFit="1" customWidth="1"/>
    <col min="9473" max="9473" width="14.140625" style="206" bestFit="1" customWidth="1"/>
    <col min="9474" max="9474" width="18.7109375" style="206" bestFit="1" customWidth="1"/>
    <col min="9475" max="9475" width="29.42578125" style="206" bestFit="1" customWidth="1"/>
    <col min="9476" max="9476" width="11.140625" style="206" bestFit="1" customWidth="1"/>
    <col min="9477" max="9477" width="15" style="206" bestFit="1" customWidth="1"/>
    <col min="9478" max="9478" width="9.5703125" style="206" bestFit="1" customWidth="1"/>
    <col min="9479" max="9480" width="12" style="206" bestFit="1" customWidth="1"/>
    <col min="9481" max="9725" width="8.85546875" style="206"/>
    <col min="9726" max="9726" width="2.5703125" style="206" customWidth="1"/>
    <col min="9727" max="9727" width="14" style="206" bestFit="1" customWidth="1"/>
    <col min="9728" max="9728" width="61.140625" style="206" bestFit="1" customWidth="1"/>
    <col min="9729" max="9729" width="14.140625" style="206" bestFit="1" customWidth="1"/>
    <col min="9730" max="9730" width="18.7109375" style="206" bestFit="1" customWidth="1"/>
    <col min="9731" max="9731" width="29.42578125" style="206" bestFit="1" customWidth="1"/>
    <col min="9732" max="9732" width="11.140625" style="206" bestFit="1" customWidth="1"/>
    <col min="9733" max="9733" width="15" style="206" bestFit="1" customWidth="1"/>
    <col min="9734" max="9734" width="9.5703125" style="206" bestFit="1" customWidth="1"/>
    <col min="9735" max="9736" width="12" style="206" bestFit="1" customWidth="1"/>
    <col min="9737" max="9981" width="8.85546875" style="206"/>
    <col min="9982" max="9982" width="2.5703125" style="206" customWidth="1"/>
    <col min="9983" max="9983" width="14" style="206" bestFit="1" customWidth="1"/>
    <col min="9984" max="9984" width="61.140625" style="206" bestFit="1" customWidth="1"/>
    <col min="9985" max="9985" width="14.140625" style="206" bestFit="1" customWidth="1"/>
    <col min="9986" max="9986" width="18.7109375" style="206" bestFit="1" customWidth="1"/>
    <col min="9987" max="9987" width="29.42578125" style="206" bestFit="1" customWidth="1"/>
    <col min="9988" max="9988" width="11.140625" style="206" bestFit="1" customWidth="1"/>
    <col min="9989" max="9989" width="15" style="206" bestFit="1" customWidth="1"/>
    <col min="9990" max="9990" width="9.5703125" style="206" bestFit="1" customWidth="1"/>
    <col min="9991" max="9992" width="12" style="206" bestFit="1" customWidth="1"/>
    <col min="9993" max="10237" width="8.85546875" style="206"/>
    <col min="10238" max="10238" width="2.5703125" style="206" customWidth="1"/>
    <col min="10239" max="10239" width="14" style="206" bestFit="1" customWidth="1"/>
    <col min="10240" max="10240" width="61.140625" style="206" bestFit="1" customWidth="1"/>
    <col min="10241" max="10241" width="14.140625" style="206" bestFit="1" customWidth="1"/>
    <col min="10242" max="10242" width="18.7109375" style="206" bestFit="1" customWidth="1"/>
    <col min="10243" max="10243" width="29.42578125" style="206" bestFit="1" customWidth="1"/>
    <col min="10244" max="10244" width="11.140625" style="206" bestFit="1" customWidth="1"/>
    <col min="10245" max="10245" width="15" style="206" bestFit="1" customWidth="1"/>
    <col min="10246" max="10246" width="9.5703125" style="206" bestFit="1" customWidth="1"/>
    <col min="10247" max="10248" width="12" style="206" bestFit="1" customWidth="1"/>
    <col min="10249" max="10493" width="8.85546875" style="206"/>
    <col min="10494" max="10494" width="2.5703125" style="206" customWidth="1"/>
    <col min="10495" max="10495" width="14" style="206" bestFit="1" customWidth="1"/>
    <col min="10496" max="10496" width="61.140625" style="206" bestFit="1" customWidth="1"/>
    <col min="10497" max="10497" width="14.140625" style="206" bestFit="1" customWidth="1"/>
    <col min="10498" max="10498" width="18.7109375" style="206" bestFit="1" customWidth="1"/>
    <col min="10499" max="10499" width="29.42578125" style="206" bestFit="1" customWidth="1"/>
    <col min="10500" max="10500" width="11.140625" style="206" bestFit="1" customWidth="1"/>
    <col min="10501" max="10501" width="15" style="206" bestFit="1" customWidth="1"/>
    <col min="10502" max="10502" width="9.5703125" style="206" bestFit="1" customWidth="1"/>
    <col min="10503" max="10504" width="12" style="206" bestFit="1" customWidth="1"/>
    <col min="10505" max="10749" width="8.85546875" style="206"/>
    <col min="10750" max="10750" width="2.5703125" style="206" customWidth="1"/>
    <col min="10751" max="10751" width="14" style="206" bestFit="1" customWidth="1"/>
    <col min="10752" max="10752" width="61.140625" style="206" bestFit="1" customWidth="1"/>
    <col min="10753" max="10753" width="14.140625" style="206" bestFit="1" customWidth="1"/>
    <col min="10754" max="10754" width="18.7109375" style="206" bestFit="1" customWidth="1"/>
    <col min="10755" max="10755" width="29.42578125" style="206" bestFit="1" customWidth="1"/>
    <col min="10756" max="10756" width="11.140625" style="206" bestFit="1" customWidth="1"/>
    <col min="10757" max="10757" width="15" style="206" bestFit="1" customWidth="1"/>
    <col min="10758" max="10758" width="9.5703125" style="206" bestFit="1" customWidth="1"/>
    <col min="10759" max="10760" width="12" style="206" bestFit="1" customWidth="1"/>
    <col min="10761" max="11005" width="8.85546875" style="206"/>
    <col min="11006" max="11006" width="2.5703125" style="206" customWidth="1"/>
    <col min="11007" max="11007" width="14" style="206" bestFit="1" customWidth="1"/>
    <col min="11008" max="11008" width="61.140625" style="206" bestFit="1" customWidth="1"/>
    <col min="11009" max="11009" width="14.140625" style="206" bestFit="1" customWidth="1"/>
    <col min="11010" max="11010" width="18.7109375" style="206" bestFit="1" customWidth="1"/>
    <col min="11011" max="11011" width="29.42578125" style="206" bestFit="1" customWidth="1"/>
    <col min="11012" max="11012" width="11.140625" style="206" bestFit="1" customWidth="1"/>
    <col min="11013" max="11013" width="15" style="206" bestFit="1" customWidth="1"/>
    <col min="11014" max="11014" width="9.5703125" style="206" bestFit="1" customWidth="1"/>
    <col min="11015" max="11016" width="12" style="206" bestFit="1" customWidth="1"/>
    <col min="11017" max="11261" width="8.85546875" style="206"/>
    <col min="11262" max="11262" width="2.5703125" style="206" customWidth="1"/>
    <col min="11263" max="11263" width="14" style="206" bestFit="1" customWidth="1"/>
    <col min="11264" max="11264" width="61.140625" style="206" bestFit="1" customWidth="1"/>
    <col min="11265" max="11265" width="14.140625" style="206" bestFit="1" customWidth="1"/>
    <col min="11266" max="11266" width="18.7109375" style="206" bestFit="1" customWidth="1"/>
    <col min="11267" max="11267" width="29.42578125" style="206" bestFit="1" customWidth="1"/>
    <col min="11268" max="11268" width="11.140625" style="206" bestFit="1" customWidth="1"/>
    <col min="11269" max="11269" width="15" style="206" bestFit="1" customWidth="1"/>
    <col min="11270" max="11270" width="9.5703125" style="206" bestFit="1" customWidth="1"/>
    <col min="11271" max="11272" width="12" style="206" bestFit="1" customWidth="1"/>
    <col min="11273" max="11517" width="8.85546875" style="206"/>
    <col min="11518" max="11518" width="2.5703125" style="206" customWidth="1"/>
    <col min="11519" max="11519" width="14" style="206" bestFit="1" customWidth="1"/>
    <col min="11520" max="11520" width="61.140625" style="206" bestFit="1" customWidth="1"/>
    <col min="11521" max="11521" width="14.140625" style="206" bestFit="1" customWidth="1"/>
    <col min="11522" max="11522" width="18.7109375" style="206" bestFit="1" customWidth="1"/>
    <col min="11523" max="11523" width="29.42578125" style="206" bestFit="1" customWidth="1"/>
    <col min="11524" max="11524" width="11.140625" style="206" bestFit="1" customWidth="1"/>
    <col min="11525" max="11525" width="15" style="206" bestFit="1" customWidth="1"/>
    <col min="11526" max="11526" width="9.5703125" style="206" bestFit="1" customWidth="1"/>
    <col min="11527" max="11528" width="12" style="206" bestFit="1" customWidth="1"/>
    <col min="11529" max="11773" width="8.85546875" style="206"/>
    <col min="11774" max="11774" width="2.5703125" style="206" customWidth="1"/>
    <col min="11775" max="11775" width="14" style="206" bestFit="1" customWidth="1"/>
    <col min="11776" max="11776" width="61.140625" style="206" bestFit="1" customWidth="1"/>
    <col min="11777" max="11777" width="14.140625" style="206" bestFit="1" customWidth="1"/>
    <col min="11778" max="11778" width="18.7109375" style="206" bestFit="1" customWidth="1"/>
    <col min="11779" max="11779" width="29.42578125" style="206" bestFit="1" customWidth="1"/>
    <col min="11780" max="11780" width="11.140625" style="206" bestFit="1" customWidth="1"/>
    <col min="11781" max="11781" width="15" style="206" bestFit="1" customWidth="1"/>
    <col min="11782" max="11782" width="9.5703125" style="206" bestFit="1" customWidth="1"/>
    <col min="11783" max="11784" width="12" style="206" bestFit="1" customWidth="1"/>
    <col min="11785" max="12029" width="8.85546875" style="206"/>
    <col min="12030" max="12030" width="2.5703125" style="206" customWidth="1"/>
    <col min="12031" max="12031" width="14" style="206" bestFit="1" customWidth="1"/>
    <col min="12032" max="12032" width="61.140625" style="206" bestFit="1" customWidth="1"/>
    <col min="12033" max="12033" width="14.140625" style="206" bestFit="1" customWidth="1"/>
    <col min="12034" max="12034" width="18.7109375" style="206" bestFit="1" customWidth="1"/>
    <col min="12035" max="12035" width="29.42578125" style="206" bestFit="1" customWidth="1"/>
    <col min="12036" max="12036" width="11.140625" style="206" bestFit="1" customWidth="1"/>
    <col min="12037" max="12037" width="15" style="206" bestFit="1" customWidth="1"/>
    <col min="12038" max="12038" width="9.5703125" style="206" bestFit="1" customWidth="1"/>
    <col min="12039" max="12040" width="12" style="206" bestFit="1" customWidth="1"/>
    <col min="12041" max="12285" width="8.85546875" style="206"/>
    <col min="12286" max="12286" width="2.5703125" style="206" customWidth="1"/>
    <col min="12287" max="12287" width="14" style="206" bestFit="1" customWidth="1"/>
    <col min="12288" max="12288" width="61.140625" style="206" bestFit="1" customWidth="1"/>
    <col min="12289" max="12289" width="14.140625" style="206" bestFit="1" customWidth="1"/>
    <col min="12290" max="12290" width="18.7109375" style="206" bestFit="1" customWidth="1"/>
    <col min="12291" max="12291" width="29.42578125" style="206" bestFit="1" customWidth="1"/>
    <col min="12292" max="12292" width="11.140625" style="206" bestFit="1" customWidth="1"/>
    <col min="12293" max="12293" width="15" style="206" bestFit="1" customWidth="1"/>
    <col min="12294" max="12294" width="9.5703125" style="206" bestFit="1" customWidth="1"/>
    <col min="12295" max="12296" width="12" style="206" bestFit="1" customWidth="1"/>
    <col min="12297" max="12541" width="8.85546875" style="206"/>
    <col min="12542" max="12542" width="2.5703125" style="206" customWidth="1"/>
    <col min="12543" max="12543" width="14" style="206" bestFit="1" customWidth="1"/>
    <col min="12544" max="12544" width="61.140625" style="206" bestFit="1" customWidth="1"/>
    <col min="12545" max="12545" width="14.140625" style="206" bestFit="1" customWidth="1"/>
    <col min="12546" max="12546" width="18.7109375" style="206" bestFit="1" customWidth="1"/>
    <col min="12547" max="12547" width="29.42578125" style="206" bestFit="1" customWidth="1"/>
    <col min="12548" max="12548" width="11.140625" style="206" bestFit="1" customWidth="1"/>
    <col min="12549" max="12549" width="15" style="206" bestFit="1" customWidth="1"/>
    <col min="12550" max="12550" width="9.5703125" style="206" bestFit="1" customWidth="1"/>
    <col min="12551" max="12552" width="12" style="206" bestFit="1" customWidth="1"/>
    <col min="12553" max="12797" width="8.85546875" style="206"/>
    <col min="12798" max="12798" width="2.5703125" style="206" customWidth="1"/>
    <col min="12799" max="12799" width="14" style="206" bestFit="1" customWidth="1"/>
    <col min="12800" max="12800" width="61.140625" style="206" bestFit="1" customWidth="1"/>
    <col min="12801" max="12801" width="14.140625" style="206" bestFit="1" customWidth="1"/>
    <col min="12802" max="12802" width="18.7109375" style="206" bestFit="1" customWidth="1"/>
    <col min="12803" max="12803" width="29.42578125" style="206" bestFit="1" customWidth="1"/>
    <col min="12804" max="12804" width="11.140625" style="206" bestFit="1" customWidth="1"/>
    <col min="12805" max="12805" width="15" style="206" bestFit="1" customWidth="1"/>
    <col min="12806" max="12806" width="9.5703125" style="206" bestFit="1" customWidth="1"/>
    <col min="12807" max="12808" width="12" style="206" bestFit="1" customWidth="1"/>
    <col min="12809" max="13053" width="8.85546875" style="206"/>
    <col min="13054" max="13054" width="2.5703125" style="206" customWidth="1"/>
    <col min="13055" max="13055" width="14" style="206" bestFit="1" customWidth="1"/>
    <col min="13056" max="13056" width="61.140625" style="206" bestFit="1" customWidth="1"/>
    <col min="13057" max="13057" width="14.140625" style="206" bestFit="1" customWidth="1"/>
    <col min="13058" max="13058" width="18.7109375" style="206" bestFit="1" customWidth="1"/>
    <col min="13059" max="13059" width="29.42578125" style="206" bestFit="1" customWidth="1"/>
    <col min="13060" max="13060" width="11.140625" style="206" bestFit="1" customWidth="1"/>
    <col min="13061" max="13061" width="15" style="206" bestFit="1" customWidth="1"/>
    <col min="13062" max="13062" width="9.5703125" style="206" bestFit="1" customWidth="1"/>
    <col min="13063" max="13064" width="12" style="206" bestFit="1" customWidth="1"/>
    <col min="13065" max="13309" width="8.85546875" style="206"/>
    <col min="13310" max="13310" width="2.5703125" style="206" customWidth="1"/>
    <col min="13311" max="13311" width="14" style="206" bestFit="1" customWidth="1"/>
    <col min="13312" max="13312" width="61.140625" style="206" bestFit="1" customWidth="1"/>
    <col min="13313" max="13313" width="14.140625" style="206" bestFit="1" customWidth="1"/>
    <col min="13314" max="13314" width="18.7109375" style="206" bestFit="1" customWidth="1"/>
    <col min="13315" max="13315" width="29.42578125" style="206" bestFit="1" customWidth="1"/>
    <col min="13316" max="13316" width="11.140625" style="206" bestFit="1" customWidth="1"/>
    <col min="13317" max="13317" width="15" style="206" bestFit="1" customWidth="1"/>
    <col min="13318" max="13318" width="9.5703125" style="206" bestFit="1" customWidth="1"/>
    <col min="13319" max="13320" width="12" style="206" bestFit="1" customWidth="1"/>
    <col min="13321" max="13565" width="8.85546875" style="206"/>
    <col min="13566" max="13566" width="2.5703125" style="206" customWidth="1"/>
    <col min="13567" max="13567" width="14" style="206" bestFit="1" customWidth="1"/>
    <col min="13568" max="13568" width="61.140625" style="206" bestFit="1" customWidth="1"/>
    <col min="13569" max="13569" width="14.140625" style="206" bestFit="1" customWidth="1"/>
    <col min="13570" max="13570" width="18.7109375" style="206" bestFit="1" customWidth="1"/>
    <col min="13571" max="13571" width="29.42578125" style="206" bestFit="1" customWidth="1"/>
    <col min="13572" max="13572" width="11.140625" style="206" bestFit="1" customWidth="1"/>
    <col min="13573" max="13573" width="15" style="206" bestFit="1" customWidth="1"/>
    <col min="13574" max="13574" width="9.5703125" style="206" bestFit="1" customWidth="1"/>
    <col min="13575" max="13576" width="12" style="206" bestFit="1" customWidth="1"/>
    <col min="13577" max="13821" width="8.85546875" style="206"/>
    <col min="13822" max="13822" width="2.5703125" style="206" customWidth="1"/>
    <col min="13823" max="13823" width="14" style="206" bestFit="1" customWidth="1"/>
    <col min="13824" max="13824" width="61.140625" style="206" bestFit="1" customWidth="1"/>
    <col min="13825" max="13825" width="14.140625" style="206" bestFit="1" customWidth="1"/>
    <col min="13826" max="13826" width="18.7109375" style="206" bestFit="1" customWidth="1"/>
    <col min="13827" max="13827" width="29.42578125" style="206" bestFit="1" customWidth="1"/>
    <col min="13828" max="13828" width="11.140625" style="206" bestFit="1" customWidth="1"/>
    <col min="13829" max="13829" width="15" style="206" bestFit="1" customWidth="1"/>
    <col min="13830" max="13830" width="9.5703125" style="206" bestFit="1" customWidth="1"/>
    <col min="13831" max="13832" width="12" style="206" bestFit="1" customWidth="1"/>
    <col min="13833" max="14077" width="8.85546875" style="206"/>
    <col min="14078" max="14078" width="2.5703125" style="206" customWidth="1"/>
    <col min="14079" max="14079" width="14" style="206" bestFit="1" customWidth="1"/>
    <col min="14080" max="14080" width="61.140625" style="206" bestFit="1" customWidth="1"/>
    <col min="14081" max="14081" width="14.140625" style="206" bestFit="1" customWidth="1"/>
    <col min="14082" max="14082" width="18.7109375" style="206" bestFit="1" customWidth="1"/>
    <col min="14083" max="14083" width="29.42578125" style="206" bestFit="1" customWidth="1"/>
    <col min="14084" max="14084" width="11.140625" style="206" bestFit="1" customWidth="1"/>
    <col min="14085" max="14085" width="15" style="206" bestFit="1" customWidth="1"/>
    <col min="14086" max="14086" width="9.5703125" style="206" bestFit="1" customWidth="1"/>
    <col min="14087" max="14088" width="12" style="206" bestFit="1" customWidth="1"/>
    <col min="14089" max="14333" width="8.85546875" style="206"/>
    <col min="14334" max="14334" width="2.5703125" style="206" customWidth="1"/>
    <col min="14335" max="14335" width="14" style="206" bestFit="1" customWidth="1"/>
    <col min="14336" max="14336" width="61.140625" style="206" bestFit="1" customWidth="1"/>
    <col min="14337" max="14337" width="14.140625" style="206" bestFit="1" customWidth="1"/>
    <col min="14338" max="14338" width="18.7109375" style="206" bestFit="1" customWidth="1"/>
    <col min="14339" max="14339" width="29.42578125" style="206" bestFit="1" customWidth="1"/>
    <col min="14340" max="14340" width="11.140625" style="206" bestFit="1" customWidth="1"/>
    <col min="14341" max="14341" width="15" style="206" bestFit="1" customWidth="1"/>
    <col min="14342" max="14342" width="9.5703125" style="206" bestFit="1" customWidth="1"/>
    <col min="14343" max="14344" width="12" style="206" bestFit="1" customWidth="1"/>
    <col min="14345" max="14589" width="8.85546875" style="206"/>
    <col min="14590" max="14590" width="2.5703125" style="206" customWidth="1"/>
    <col min="14591" max="14591" width="14" style="206" bestFit="1" customWidth="1"/>
    <col min="14592" max="14592" width="61.140625" style="206" bestFit="1" customWidth="1"/>
    <col min="14593" max="14593" width="14.140625" style="206" bestFit="1" customWidth="1"/>
    <col min="14594" max="14594" width="18.7109375" style="206" bestFit="1" customWidth="1"/>
    <col min="14595" max="14595" width="29.42578125" style="206" bestFit="1" customWidth="1"/>
    <col min="14596" max="14596" width="11.140625" style="206" bestFit="1" customWidth="1"/>
    <col min="14597" max="14597" width="15" style="206" bestFit="1" customWidth="1"/>
    <col min="14598" max="14598" width="9.5703125" style="206" bestFit="1" customWidth="1"/>
    <col min="14599" max="14600" width="12" style="206" bestFit="1" customWidth="1"/>
    <col min="14601" max="14845" width="8.85546875" style="206"/>
    <col min="14846" max="14846" width="2.5703125" style="206" customWidth="1"/>
    <col min="14847" max="14847" width="14" style="206" bestFit="1" customWidth="1"/>
    <col min="14848" max="14848" width="61.140625" style="206" bestFit="1" customWidth="1"/>
    <col min="14849" max="14849" width="14.140625" style="206" bestFit="1" customWidth="1"/>
    <col min="14850" max="14850" width="18.7109375" style="206" bestFit="1" customWidth="1"/>
    <col min="14851" max="14851" width="29.42578125" style="206" bestFit="1" customWidth="1"/>
    <col min="14852" max="14852" width="11.140625" style="206" bestFit="1" customWidth="1"/>
    <col min="14853" max="14853" width="15" style="206" bestFit="1" customWidth="1"/>
    <col min="14854" max="14854" width="9.5703125" style="206" bestFit="1" customWidth="1"/>
    <col min="14855" max="14856" width="12" style="206" bestFit="1" customWidth="1"/>
    <col min="14857" max="15101" width="8.85546875" style="206"/>
    <col min="15102" max="15102" width="2.5703125" style="206" customWidth="1"/>
    <col min="15103" max="15103" width="14" style="206" bestFit="1" customWidth="1"/>
    <col min="15104" max="15104" width="61.140625" style="206" bestFit="1" customWidth="1"/>
    <col min="15105" max="15105" width="14.140625" style="206" bestFit="1" customWidth="1"/>
    <col min="15106" max="15106" width="18.7109375" style="206" bestFit="1" customWidth="1"/>
    <col min="15107" max="15107" width="29.42578125" style="206" bestFit="1" customWidth="1"/>
    <col min="15108" max="15108" width="11.140625" style="206" bestFit="1" customWidth="1"/>
    <col min="15109" max="15109" width="15" style="206" bestFit="1" customWidth="1"/>
    <col min="15110" max="15110" width="9.5703125" style="206" bestFit="1" customWidth="1"/>
    <col min="15111" max="15112" width="12" style="206" bestFit="1" customWidth="1"/>
    <col min="15113" max="15357" width="8.85546875" style="206"/>
    <col min="15358" max="15358" width="2.5703125" style="206" customWidth="1"/>
    <col min="15359" max="15359" width="14" style="206" bestFit="1" customWidth="1"/>
    <col min="15360" max="15360" width="61.140625" style="206" bestFit="1" customWidth="1"/>
    <col min="15361" max="15361" width="14.140625" style="206" bestFit="1" customWidth="1"/>
    <col min="15362" max="15362" width="18.7109375" style="206" bestFit="1" customWidth="1"/>
    <col min="15363" max="15363" width="29.42578125" style="206" bestFit="1" customWidth="1"/>
    <col min="15364" max="15364" width="11.140625" style="206" bestFit="1" customWidth="1"/>
    <col min="15365" max="15365" width="15" style="206" bestFit="1" customWidth="1"/>
    <col min="15366" max="15366" width="9.5703125" style="206" bestFit="1" customWidth="1"/>
    <col min="15367" max="15368" width="12" style="206" bestFit="1" customWidth="1"/>
    <col min="15369" max="15613" width="8.85546875" style="206"/>
    <col min="15614" max="15614" width="2.5703125" style="206" customWidth="1"/>
    <col min="15615" max="15615" width="14" style="206" bestFit="1" customWidth="1"/>
    <col min="15616" max="15616" width="61.140625" style="206" bestFit="1" customWidth="1"/>
    <col min="15617" max="15617" width="14.140625" style="206" bestFit="1" customWidth="1"/>
    <col min="15618" max="15618" width="18.7109375" style="206" bestFit="1" customWidth="1"/>
    <col min="15619" max="15619" width="29.42578125" style="206" bestFit="1" customWidth="1"/>
    <col min="15620" max="15620" width="11.140625" style="206" bestFit="1" customWidth="1"/>
    <col min="15621" max="15621" width="15" style="206" bestFit="1" customWidth="1"/>
    <col min="15622" max="15622" width="9.5703125" style="206" bestFit="1" customWidth="1"/>
    <col min="15623" max="15624" width="12" style="206" bestFit="1" customWidth="1"/>
    <col min="15625" max="15869" width="8.85546875" style="206"/>
    <col min="15870" max="15870" width="2.5703125" style="206" customWidth="1"/>
    <col min="15871" max="15871" width="14" style="206" bestFit="1" customWidth="1"/>
    <col min="15872" max="15872" width="61.140625" style="206" bestFit="1" customWidth="1"/>
    <col min="15873" max="15873" width="14.140625" style="206" bestFit="1" customWidth="1"/>
    <col min="15874" max="15874" width="18.7109375" style="206" bestFit="1" customWidth="1"/>
    <col min="15875" max="15875" width="29.42578125" style="206" bestFit="1" customWidth="1"/>
    <col min="15876" max="15876" width="11.140625" style="206" bestFit="1" customWidth="1"/>
    <col min="15877" max="15877" width="15" style="206" bestFit="1" customWidth="1"/>
    <col min="15878" max="15878" width="9.5703125" style="206" bestFit="1" customWidth="1"/>
    <col min="15879" max="15880" width="12" style="206" bestFit="1" customWidth="1"/>
    <col min="15881" max="16125" width="8.85546875" style="206"/>
    <col min="16126" max="16126" width="2.5703125" style="206" customWidth="1"/>
    <col min="16127" max="16127" width="14" style="206" bestFit="1" customWidth="1"/>
    <col min="16128" max="16128" width="61.140625" style="206" bestFit="1" customWidth="1"/>
    <col min="16129" max="16129" width="14.140625" style="206" bestFit="1" customWidth="1"/>
    <col min="16130" max="16130" width="18.7109375" style="206" bestFit="1" customWidth="1"/>
    <col min="16131" max="16131" width="29.42578125" style="206" bestFit="1" customWidth="1"/>
    <col min="16132" max="16132" width="11.140625" style="206" bestFit="1" customWidth="1"/>
    <col min="16133" max="16133" width="15" style="206" bestFit="1" customWidth="1"/>
    <col min="16134" max="16134" width="9.5703125" style="206" bestFit="1" customWidth="1"/>
    <col min="16135" max="16136" width="12" style="206" bestFit="1" customWidth="1"/>
    <col min="16137" max="16384" width="8.85546875" style="206"/>
  </cols>
  <sheetData>
    <row r="1" spans="2:8" ht="15.75" thickBot="1" x14ac:dyDescent="0.3"/>
    <row r="2" spans="2:8" ht="15.75" thickBot="1" x14ac:dyDescent="0.3">
      <c r="B2" s="280" t="s">
        <v>976</v>
      </c>
      <c r="C2" s="281"/>
      <c r="D2" s="281"/>
      <c r="E2" s="281"/>
      <c r="F2" s="281"/>
      <c r="G2" s="281"/>
      <c r="H2" s="282"/>
    </row>
    <row r="3" spans="2:8" ht="15.75" thickBot="1" x14ac:dyDescent="0.3">
      <c r="B3" s="89"/>
      <c r="C3" s="89"/>
      <c r="D3" s="89"/>
      <c r="E3" s="89"/>
    </row>
    <row r="4" spans="2:8" s="228" customFormat="1" x14ac:dyDescent="0.25">
      <c r="B4" s="283" t="s">
        <v>977</v>
      </c>
      <c r="C4" s="284"/>
      <c r="D4" s="284"/>
      <c r="E4" s="284"/>
      <c r="F4" s="284"/>
      <c r="G4" s="284"/>
      <c r="H4" s="285"/>
    </row>
    <row r="5" spans="2:8" s="228" customFormat="1" x14ac:dyDescent="0.25">
      <c r="B5" s="229" t="s">
        <v>978</v>
      </c>
      <c r="C5" s="230" t="s">
        <v>979</v>
      </c>
      <c r="D5" s="286" t="s">
        <v>980</v>
      </c>
      <c r="E5" s="286"/>
      <c r="F5" s="286"/>
      <c r="G5" s="287" t="s">
        <v>981</v>
      </c>
      <c r="H5" s="288"/>
    </row>
    <row r="6" spans="2:8" s="216" customFormat="1" ht="12.75" x14ac:dyDescent="0.2">
      <c r="B6" s="214" t="s">
        <v>982</v>
      </c>
      <c r="C6" s="215" t="s">
        <v>983</v>
      </c>
      <c r="D6" s="289">
        <v>0</v>
      </c>
      <c r="E6" s="289"/>
      <c r="F6" s="289"/>
      <c r="G6" s="289">
        <v>0</v>
      </c>
      <c r="H6" s="290"/>
    </row>
    <row r="7" spans="2:8" x14ac:dyDescent="0.25">
      <c r="B7" s="207"/>
      <c r="C7" s="208"/>
      <c r="D7" s="294"/>
      <c r="E7" s="295"/>
      <c r="F7" s="296"/>
      <c r="G7" s="294"/>
      <c r="H7" s="297"/>
    </row>
    <row r="8" spans="2:8" s="228" customFormat="1" x14ac:dyDescent="0.25">
      <c r="B8" s="298" t="s">
        <v>984</v>
      </c>
      <c r="C8" s="299"/>
      <c r="D8" s="299"/>
      <c r="E8" s="299"/>
      <c r="F8" s="299"/>
      <c r="G8" s="299"/>
      <c r="H8" s="300"/>
    </row>
    <row r="9" spans="2:8" x14ac:dyDescent="0.25">
      <c r="B9" s="301" t="s">
        <v>978</v>
      </c>
      <c r="C9" s="303" t="s">
        <v>979</v>
      </c>
      <c r="D9" s="305" t="s">
        <v>985</v>
      </c>
      <c r="E9" s="306"/>
      <c r="F9" s="306"/>
      <c r="G9" s="306"/>
      <c r="H9" s="209"/>
    </row>
    <row r="10" spans="2:8" ht="45" x14ac:dyDescent="0.25">
      <c r="B10" s="302"/>
      <c r="C10" s="304"/>
      <c r="D10" s="90" t="s">
        <v>986</v>
      </c>
      <c r="E10" s="90" t="s">
        <v>987</v>
      </c>
      <c r="F10" s="90" t="s">
        <v>1016</v>
      </c>
      <c r="G10" s="90" t="s">
        <v>988</v>
      </c>
      <c r="H10" s="91" t="s">
        <v>998</v>
      </c>
    </row>
    <row r="11" spans="2:8" s="216" customFormat="1" ht="13.5" thickBot="1" x14ac:dyDescent="0.25">
      <c r="B11" s="217" t="s">
        <v>982</v>
      </c>
      <c r="C11" s="218" t="s">
        <v>983</v>
      </c>
      <c r="D11" s="219">
        <v>700</v>
      </c>
      <c r="E11" s="219">
        <v>24.098357999999998</v>
      </c>
      <c r="F11" s="220">
        <v>0</v>
      </c>
      <c r="G11" s="221">
        <v>724.09835799999996</v>
      </c>
      <c r="H11" s="222">
        <v>4.3553372409209003E-3</v>
      </c>
    </row>
    <row r="12" spans="2:8" x14ac:dyDescent="0.25">
      <c r="B12" s="224"/>
      <c r="C12" s="223"/>
      <c r="D12" s="225"/>
      <c r="E12" s="225"/>
      <c r="F12" s="226"/>
      <c r="G12" s="225"/>
      <c r="H12" s="227"/>
    </row>
    <row r="13" spans="2:8" ht="28.5" customHeight="1" thickBot="1" x14ac:dyDescent="0.3">
      <c r="B13" s="291" t="s">
        <v>989</v>
      </c>
      <c r="C13" s="292"/>
      <c r="D13" s="292"/>
      <c r="E13" s="292"/>
      <c r="F13" s="292"/>
      <c r="G13" s="292"/>
      <c r="H13" s="293"/>
    </row>
    <row r="17" spans="5:6" x14ac:dyDescent="0.25">
      <c r="E17" s="210"/>
    </row>
    <row r="18" spans="5:6" x14ac:dyDescent="0.25">
      <c r="E18" s="210"/>
      <c r="F18" s="211"/>
    </row>
    <row r="20" spans="5:6" x14ac:dyDescent="0.25">
      <c r="E20" s="212"/>
      <c r="F20" s="211"/>
    </row>
    <row r="23" spans="5:6" x14ac:dyDescent="0.25">
      <c r="F23" s="213"/>
    </row>
  </sheetData>
  <mergeCells count="13">
    <mergeCell ref="B13:H13"/>
    <mergeCell ref="D7:F7"/>
    <mergeCell ref="G7:H7"/>
    <mergeCell ref="B8:H8"/>
    <mergeCell ref="B9:B10"/>
    <mergeCell ref="C9:C10"/>
    <mergeCell ref="D9:G9"/>
    <mergeCell ref="B2:H2"/>
    <mergeCell ref="B4:H4"/>
    <mergeCell ref="D5:F5"/>
    <mergeCell ref="G5:H5"/>
    <mergeCell ref="D6:F6"/>
    <mergeCell ref="G6: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Index</vt:lpstr>
      <vt:lpstr>CAPEXG</vt:lpstr>
      <vt:lpstr>MICAP14</vt:lpstr>
      <vt:lpstr>MICAP15</vt:lpstr>
      <vt:lpstr>MICAP16</vt:lpstr>
      <vt:lpstr>MICAP17</vt:lpstr>
      <vt:lpstr>MIDCAP</vt:lpstr>
      <vt:lpstr>MULTI1</vt:lpstr>
      <vt:lpstr>MULTI2</vt:lpstr>
      <vt:lpstr>MULTIP</vt:lpstr>
      <vt:lpstr>SESCAP1</vt:lpstr>
      <vt:lpstr>SESCAP2</vt:lpstr>
      <vt:lpstr>SESCAP3</vt:lpstr>
      <vt:lpstr>SESCAP4</vt:lpstr>
      <vt:lpstr>SESCAP5</vt:lpstr>
      <vt:lpstr>SESCAP6</vt:lpstr>
      <vt:lpstr>SESCAP7</vt:lpstr>
      <vt:lpstr>SFOCUS</vt:lpstr>
      <vt:lpstr>SLTADV3</vt:lpstr>
      <vt:lpstr>SLTADV4</vt:lpstr>
      <vt:lpstr>SLTAX1</vt:lpstr>
      <vt:lpstr>SLTAX2</vt:lpstr>
      <vt:lpstr>SLTAX3</vt:lpstr>
      <vt:lpstr>SLTAX4</vt:lpstr>
      <vt:lpstr>SLTAX5</vt:lpstr>
      <vt:lpstr>SLTAX6</vt:lpstr>
      <vt:lpstr>SMALL5</vt:lpstr>
      <vt:lpstr>SMALL6</vt:lpstr>
      <vt:lpstr>SMILE</vt:lpstr>
      <vt:lpstr>SRURAL</vt:lpstr>
      <vt:lpstr>SSFUND</vt:lpstr>
      <vt:lpstr>SSN100</vt:lpstr>
      <vt:lpstr>STAX</vt:lpstr>
      <vt:lpstr>SUNARF</vt:lpstr>
      <vt:lpstr>SUNBAF</vt:lpstr>
      <vt:lpstr>SUNBAL</vt:lpstr>
      <vt:lpstr>SUNBCF</vt:lpstr>
      <vt:lpstr>SUNEQF</vt:lpstr>
      <vt:lpstr>SUNESF</vt:lpstr>
      <vt:lpstr>SUNFOP</vt:lpstr>
      <vt:lpstr>SUNVALF10</vt:lpstr>
      <vt:lpstr>SUNVALF7</vt:lpstr>
      <vt:lpstr>SUNVALF8</vt:lpstr>
      <vt:lpstr>SUNVALF9</vt:lpstr>
      <vt:lpstr>GLOB</vt:lpstr>
      <vt:lpstr>Annexure A</vt:lpstr>
      <vt:lpstr>Annexure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Boopathi V - Sundaram Fund Services</dc:creator>
  <cp:lastModifiedBy>Venkat Raman R - Sundaram Mutual</cp:lastModifiedBy>
  <dcterms:created xsi:type="dcterms:W3CDTF">2021-05-03T05:11:29Z</dcterms:created>
  <dcterms:modified xsi:type="dcterms:W3CDTF">2021-05-10T14:09:51Z</dcterms:modified>
</cp:coreProperties>
</file>