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filterPrivacy="1" codeName="ThisWorkbook" defaultThemeVersion="166925"/>
  <xr:revisionPtr revIDLastSave="0" documentId="8_{C3B4BF8C-CAD8-4F55-9847-5D7DD0CE5C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FARB" sheetId="2" r:id="rId1"/>
    <sheet name="BFFLX" sheetId="3" r:id="rId2"/>
    <sheet name="BFLIQ" sheetId="4" r:id="rId3"/>
    <sheet name="BFMM" sheetId="5" r:id="rId4"/>
    <sheet name="BFON" sheetId="6" r:id="rId5"/>
  </sheets>
  <definedNames>
    <definedName name="BajajFinservArbitrageFund">#REF!</definedName>
    <definedName name="BajajFinservFlexiCapFund">#REF!</definedName>
    <definedName name="BajajFinservLiquidFund">#REF!</definedName>
    <definedName name="BajajFinservMoneyMarketFund">#REF!</definedName>
    <definedName name="BajajFinservOvernightFund">#REF!</definedName>
    <definedName name="Index">BFON!$B$1</definedName>
    <definedName name="JR_PAGE_ANCHOR_0_1">#REF!</definedName>
    <definedName name="JR_PAGE_ANCHOR_0_2">BFARB!$A$1</definedName>
    <definedName name="JR_PAGE_ANCHOR_0_3">BFFLX!$A$1</definedName>
    <definedName name="JR_PAGE_ANCHOR_0_4">BFLIQ!$A$1</definedName>
    <definedName name="JR_PAGE_ANCHOR_0_5">BFMM!$A$1</definedName>
    <definedName name="JR_PAGE_ANCHOR_0_6">BFON!$A$1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5" l="1"/>
</calcChain>
</file>

<file path=xl/sharedStrings.xml><?xml version="1.0" encoding="utf-8"?>
<sst xmlns="http://schemas.openxmlformats.org/spreadsheetml/2006/main" count="1094" uniqueCount="681">
  <si>
    <t>BFARB</t>
  </si>
  <si>
    <t>Bajaj Finserv Arbitrage Fund</t>
  </si>
  <si>
    <t>BFFLX</t>
  </si>
  <si>
    <t>Bajaj Finserv Flexi Cap Fund</t>
  </si>
  <si>
    <t>BFLIQ</t>
  </si>
  <si>
    <t>Bajaj Finserv Liquid Fund</t>
  </si>
  <si>
    <t>BFMM</t>
  </si>
  <si>
    <t>Bajaj Finserv Money Market Fund</t>
  </si>
  <si>
    <t>BFON</t>
  </si>
  <si>
    <t>Bajaj Finserv Overnight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</si>
  <si>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</si>
  <si>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</si>
  <si>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</si>
  <si>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</si>
  <si>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</si>
  <si>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</si>
  <si>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</si>
  <si>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</si>
  <si>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</si>
  <si>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</si>
  <si>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</si>
  <si>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</si>
  <si>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</si>
  <si>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</si>
  <si>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</si>
  <si>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</si>
  <si>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</si>
  <si>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</si>
  <si>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</si>
  <si>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</si>
  <si>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</si>
  <si>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AUPH03</t>
  </si>
  <si>
    <t>Aurobindo Pharma Limited</t>
  </si>
  <si>
    <t>INE406A01037</t>
  </si>
  <si>
    <t>Pharmaceuticals &amp; Biotechnology</t>
  </si>
  <si>
    <t>ULCC01</t>
  </si>
  <si>
    <t>UltraTech Cement Limited</t>
  </si>
  <si>
    <t>INE481G01011</t>
  </si>
  <si>
    <t>Cement &amp; Cement Products</t>
  </si>
  <si>
    <t>FEBA02</t>
  </si>
  <si>
    <t>The Federal Bank Limited</t>
  </si>
  <si>
    <t>INE171A01029</t>
  </si>
  <si>
    <t>EIML02</t>
  </si>
  <si>
    <t>Eicher Motors Limited</t>
  </si>
  <si>
    <t>INE066A01021</t>
  </si>
  <si>
    <t>Automobiles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</si>
  <si>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</si>
  <si>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</si>
  <si>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</si>
  <si>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</si>
  <si>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</si>
  <si>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</si>
  <si>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VSNL01</t>
  </si>
  <si>
    <t>Tata Communications Limited</t>
  </si>
  <si>
    <t>INE151A01013</t>
  </si>
  <si>
    <t>Telecom - Services</t>
  </si>
  <si>
    <t>GUAM02</t>
  </si>
  <si>
    <t>Ambuja Cements Limited</t>
  </si>
  <si>
    <t>INE079A01024</t>
  </si>
  <si>
    <t>UTIB02</t>
  </si>
  <si>
    <t>Axis Bank Limited</t>
  </si>
  <si>
    <t>INE238A01034</t>
  </si>
  <si>
    <t>MAUD01</t>
  </si>
  <si>
    <t>Maruti Suzuki India Limited</t>
  </si>
  <si>
    <t>INE585B01010</t>
  </si>
  <si>
    <t>HPEC01</t>
  </si>
  <si>
    <t>Hindustan Petroleum Corporation Limited</t>
  </si>
  <si>
    <t>INE094A01015</t>
  </si>
  <si>
    <t>IIBL01</t>
  </si>
  <si>
    <t>IndusInd Bank Limited</t>
  </si>
  <si>
    <t>INE095A01012</t>
  </si>
  <si>
    <t>SBAI02</t>
  </si>
  <si>
    <t>State Bank of India</t>
  </si>
  <si>
    <t>INE062A01020</t>
  </si>
  <si>
    <t>BHAH02</t>
  </si>
  <si>
    <t>Bharat Heavy Electricals Limited</t>
  </si>
  <si>
    <t>INE257A01026</t>
  </si>
  <si>
    <t>Electrical Equipment</t>
  </si>
  <si>
    <t>GMRI03</t>
  </si>
  <si>
    <t>GMR Airports Infrastructure Limited</t>
  </si>
  <si>
    <t>INE776C01039</t>
  </si>
  <si>
    <t>Transport Infrastructure</t>
  </si>
  <si>
    <t>DLFL01</t>
  </si>
  <si>
    <t>DLF Limited</t>
  </si>
  <si>
    <t>INE271C01023</t>
  </si>
  <si>
    <t>Realty</t>
  </si>
  <si>
    <t>TELC03</t>
  </si>
  <si>
    <t>Tata Motors Limited</t>
  </si>
  <si>
    <t>INE155A01022</t>
  </si>
  <si>
    <t>JVSL04</t>
  </si>
  <si>
    <t>JSW Steel Limited</t>
  </si>
  <si>
    <t>INE019A01038</t>
  </si>
  <si>
    <t>Ferrous Metals</t>
  </si>
  <si>
    <t>HINI02</t>
  </si>
  <si>
    <t>Hindalco Industries Limited</t>
  </si>
  <si>
    <t>INE038A01020</t>
  </si>
  <si>
    <t>Non - Ferrous Metals</t>
  </si>
  <si>
    <t>MCSP02</t>
  </si>
  <si>
    <t>United Spirits Limited</t>
  </si>
  <si>
    <t>INE854D01024</t>
  </si>
  <si>
    <t>Beverages</t>
  </si>
  <si>
    <t>MUND02</t>
  </si>
  <si>
    <t>Adani Ports and Special Economic Zone Limited</t>
  </si>
  <si>
    <t>INE742F01042</t>
  </si>
  <si>
    <t>PVRL01</t>
  </si>
  <si>
    <t>PVR INOX Limited</t>
  </si>
  <si>
    <t>INE191H01014</t>
  </si>
  <si>
    <t>Entertainment</t>
  </si>
  <si>
    <t>Sub Total</t>
  </si>
  <si>
    <t>(b) Unlisted</t>
  </si>
  <si>
    <t>NIL</t>
  </si>
  <si>
    <t>Total</t>
  </si>
  <si>
    <t>Derivatives</t>
  </si>
  <si>
    <t>Index / Stock Futures</t>
  </si>
  <si>
    <t>PVRLOCT23</t>
  </si>
  <si>
    <t>PVR INOX Limited October 2023 Future</t>
  </si>
  <si>
    <t>MUNDOCT23</t>
  </si>
  <si>
    <t>Adani Ports and Special Economic Zone Limited October 2023 Future</t>
  </si>
  <si>
    <t>MCSPOCT23</t>
  </si>
  <si>
    <t>United Spirits Limited October 2023 Future</t>
  </si>
  <si>
    <t>HINIOCT23</t>
  </si>
  <si>
    <t>Hindalco Industries Limited October 2023 Future</t>
  </si>
  <si>
    <t>JVSLOCT23</t>
  </si>
  <si>
    <t>JSW Steel Limited October 2023 Future</t>
  </si>
  <si>
    <t>TELCOCT23</t>
  </si>
  <si>
    <t>Tata Motors Limited October 2023 Future</t>
  </si>
  <si>
    <t>DLFLOCT23</t>
  </si>
  <si>
    <t>DLF Limited October 2023 Future</t>
  </si>
  <si>
    <t>GMRIOCT23</t>
  </si>
  <si>
    <t>GMR Airports Infrastructure Limited October 2023 Future</t>
  </si>
  <si>
    <t>BHAHOCT23</t>
  </si>
  <si>
    <t>Bharat Heavy Electricals Limited October 2023 Future</t>
  </si>
  <si>
    <t>SBAIOCT23</t>
  </si>
  <si>
    <t>State Bank of India October 2023 Future</t>
  </si>
  <si>
    <t>IIBLOCT23</t>
  </si>
  <si>
    <t>IndusInd Bank Limited October 2023 Future</t>
  </si>
  <si>
    <t>HPECOCT23</t>
  </si>
  <si>
    <t>Hindustan Petroleum Corporation Limited October 2023 Future</t>
  </si>
  <si>
    <t>MAUDOCT23</t>
  </si>
  <si>
    <t>Maruti Suzuki India Limited October 2023 Future</t>
  </si>
  <si>
    <t>UTIBOCT23</t>
  </si>
  <si>
    <t>Axis Bank Limited October 2023 Future</t>
  </si>
  <si>
    <t>GUAMOCT23</t>
  </si>
  <si>
    <t>Ambuja Cements Limited October 2023 Future</t>
  </si>
  <si>
    <t>VSNLOCT23</t>
  </si>
  <si>
    <t>Tata Communications Limited October 2023 Future</t>
  </si>
  <si>
    <t>SPILOCT23</t>
  </si>
  <si>
    <t>Sun Pharmaceutical Industries Limited October 2023 Future</t>
  </si>
  <si>
    <t>KMBKOCT23</t>
  </si>
  <si>
    <t>Kotak Mahindra Bank Limited October 2023 Future</t>
  </si>
  <si>
    <t>EIMLOCT23</t>
  </si>
  <si>
    <t>Eicher Motors Limited October 2023 Future</t>
  </si>
  <si>
    <t>FEBAOCT23</t>
  </si>
  <si>
    <t>The Federal Bank Limited October 2023 Future</t>
  </si>
  <si>
    <t>ULCCOCT23</t>
  </si>
  <si>
    <t>UltraTech Cement Limited October 2023 Future</t>
  </si>
  <si>
    <t>AUPHOCT23</t>
  </si>
  <si>
    <t>Aurobindo Pharma Limited October 2023 Future</t>
  </si>
  <si>
    <t>RINDOCT23</t>
  </si>
  <si>
    <t>Reliance Industries Limited October 2023 Future</t>
  </si>
  <si>
    <t>HDFBOCT23</t>
  </si>
  <si>
    <t>HDFC Bank Limited October 2023 Future</t>
  </si>
  <si>
    <t>Money Market Instruments</t>
  </si>
  <si>
    <t>Treasury Bill</t>
  </si>
  <si>
    <t>TBIL2237</t>
  </si>
  <si>
    <t>182 Days Tbill (MD 29/12/2023)</t>
  </si>
  <si>
    <t>IN002023Y136</t>
  </si>
  <si>
    <t>Sovereign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</si>
  <si>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</si>
  <si>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</si>
  <si>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</si>
  <si>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</si>
  <si>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</si>
  <si>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 TRI</t>
  </si>
  <si>
    <t>Scheme Risk-O-Meter</t>
  </si>
  <si>
    <t>Benchmark Risk-O-Meter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</si>
  <si>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</si>
  <si>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</si>
  <si>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</si>
  <si>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</si>
  <si>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</si>
  <si>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</si>
  <si>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</si>
  <si>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MAHI02</t>
  </si>
  <si>
    <t>Mahindra &amp; Mahindra Limited</t>
  </si>
  <si>
    <t>INE101A01026</t>
  </si>
  <si>
    <t>INFS02</t>
  </si>
  <si>
    <t>Infosys Limited</t>
  </si>
  <si>
    <t>INE009A01021</t>
  </si>
  <si>
    <t>IT - Software</t>
  </si>
  <si>
    <t>NEST01</t>
  </si>
  <si>
    <t>Nestle India Limited</t>
  </si>
  <si>
    <t>INE239A01016</t>
  </si>
  <si>
    <t>Food Products</t>
  </si>
  <si>
    <t>GRAM01</t>
  </si>
  <si>
    <t>CreditAccess Grameen Limited</t>
  </si>
  <si>
    <t>INE741K01010</t>
  </si>
  <si>
    <t>HAIL03</t>
  </si>
  <si>
    <t>Havells India Limited</t>
  </si>
  <si>
    <t>INE176B01034</t>
  </si>
  <si>
    <t>Consumer Durables</t>
  </si>
  <si>
    <t>TAHO01</t>
  </si>
  <si>
    <t>Honeywell Automation India Limited</t>
  </si>
  <si>
    <t>INE671A01010</t>
  </si>
  <si>
    <t>Industrial Manufacturing</t>
  </si>
  <si>
    <t>RELC01</t>
  </si>
  <si>
    <t>REC Limited</t>
  </si>
  <si>
    <t>INE020B01018</t>
  </si>
  <si>
    <t>ALLI02</t>
  </si>
  <si>
    <t>GE T&amp;D India Limited</t>
  </si>
  <si>
    <t>INE200A01026</t>
  </si>
  <si>
    <t>SLIF01</t>
  </si>
  <si>
    <t>SBI Life Insurance Company Limited</t>
  </si>
  <si>
    <t>INE123W01016</t>
  </si>
  <si>
    <t>Insurance</t>
  </si>
  <si>
    <t>HOCH01</t>
  </si>
  <si>
    <t>Sanofi India Limited</t>
  </si>
  <si>
    <t>INE058A01010</t>
  </si>
  <si>
    <t>ZMPL01</t>
  </si>
  <si>
    <t>Zomato Limited</t>
  </si>
  <si>
    <t>INE758T01015</t>
  </si>
  <si>
    <t>Retailing</t>
  </si>
  <si>
    <t>HLEL02</t>
  </si>
  <si>
    <t>Hindustan Unilever Limited</t>
  </si>
  <si>
    <t>INE030A01027</t>
  </si>
  <si>
    <t>Diversified FMCG</t>
  </si>
  <si>
    <t>JUFL02</t>
  </si>
  <si>
    <t>Jubilant Foodworks Limited</t>
  </si>
  <si>
    <t>INE797F01020</t>
  </si>
  <si>
    <t>Leisure Services</t>
  </si>
  <si>
    <t>ABBP01</t>
  </si>
  <si>
    <t>Hitachi Energy India Limited</t>
  </si>
  <si>
    <t>INE07Y701011</t>
  </si>
  <si>
    <t>DLPL01</t>
  </si>
  <si>
    <t>Dr. Lal Path Labs Limited</t>
  </si>
  <si>
    <t>INE600L01024</t>
  </si>
  <si>
    <t>Healthcare Services</t>
  </si>
  <si>
    <t>HMTP01</t>
  </si>
  <si>
    <t>Happiest Minds Technologies Limited</t>
  </si>
  <si>
    <t>INE419U01012</t>
  </si>
  <si>
    <t>BSEL02</t>
  </si>
  <si>
    <t>BSE Limited</t>
  </si>
  <si>
    <t>INE118H01025</t>
  </si>
  <si>
    <t>Capital Markets</t>
  </si>
  <si>
    <t>PSPL03</t>
  </si>
  <si>
    <t>Prataap Snacks Limited</t>
  </si>
  <si>
    <t>INE393P01035</t>
  </si>
  <si>
    <t>ONCO02</t>
  </si>
  <si>
    <t>One 97 Communications Limited</t>
  </si>
  <si>
    <t>INE982J01020</t>
  </si>
  <si>
    <t>Financial Technology (Fintech)</t>
  </si>
  <si>
    <t>CERA01</t>
  </si>
  <si>
    <t>Cera Sanitaryware Limited</t>
  </si>
  <si>
    <t>INE739E01017</t>
  </si>
  <si>
    <t>STHE01</t>
  </si>
  <si>
    <t>Star Health And Allied Insurance Company Limited</t>
  </si>
  <si>
    <t>INE575P01011</t>
  </si>
  <si>
    <t>MIIL02</t>
  </si>
  <si>
    <t>UNO Minda Limited</t>
  </si>
  <si>
    <t>INE405E01023</t>
  </si>
  <si>
    <t>Auto Components</t>
  </si>
  <si>
    <t>GRIN02</t>
  </si>
  <si>
    <t>Grindwell Norton Limited</t>
  </si>
  <si>
    <t>INE536A01023</t>
  </si>
  <si>
    <t>Industrial Products</t>
  </si>
  <si>
    <t>SIEM02</t>
  </si>
  <si>
    <t>Siemens Limited</t>
  </si>
  <si>
    <t>INE003A01024</t>
  </si>
  <si>
    <t>ASEA02</t>
  </si>
  <si>
    <t>ABB India Limited</t>
  </si>
  <si>
    <t>INE117A01022</t>
  </si>
  <si>
    <t>SAFI02</t>
  </si>
  <si>
    <t>Safari Industries (India) Limited</t>
  </si>
  <si>
    <t>INE429E01023</t>
  </si>
  <si>
    <t>GOEL02</t>
  </si>
  <si>
    <t>Genus Power Infrastructures Limited</t>
  </si>
  <si>
    <t>INE955D01029</t>
  </si>
  <si>
    <t>GHPL01</t>
  </si>
  <si>
    <t>Global Health Limited</t>
  </si>
  <si>
    <t>INE474Q01031</t>
  </si>
  <si>
    <t>NECH01</t>
  </si>
  <si>
    <t>Neogen Chemicals Limited</t>
  </si>
  <si>
    <t>INE136S01016</t>
  </si>
  <si>
    <t>Chemicals &amp; Petrochemicals</t>
  </si>
  <si>
    <t>BHEL02</t>
  </si>
  <si>
    <t>Bharat Electronics Limited</t>
  </si>
  <si>
    <t>INE263A01024</t>
  </si>
  <si>
    <t>Aerospace &amp; Defense</t>
  </si>
  <si>
    <t>SYNI01</t>
  </si>
  <si>
    <t>Syngene International Limited</t>
  </si>
  <si>
    <t>INE398R01022</t>
  </si>
  <si>
    <t>MCEX01</t>
  </si>
  <si>
    <t>Multi Commodity Exchange of India Limited</t>
  </si>
  <si>
    <t>INE745G01035</t>
  </si>
  <si>
    <t>DEVY01</t>
  </si>
  <si>
    <t>Devyani International Limited</t>
  </si>
  <si>
    <t>INE872J01023</t>
  </si>
  <si>
    <t>FSNE01</t>
  </si>
  <si>
    <t>FSN E-Commerce Ventures Limited</t>
  </si>
  <si>
    <t>INE388Y01029</t>
  </si>
  <si>
    <t>CAMS01</t>
  </si>
  <si>
    <t>Computer Age Management Services Limited</t>
  </si>
  <si>
    <t>INE596I01012</t>
  </si>
  <si>
    <t>LAKM02</t>
  </si>
  <si>
    <t>Trent Limited</t>
  </si>
  <si>
    <t>INE849A01020</t>
  </si>
  <si>
    <t>GFPL01</t>
  </si>
  <si>
    <t>Go Fashion (India) Limited</t>
  </si>
  <si>
    <t>INE0BJS01011</t>
  </si>
  <si>
    <t>DIXO02</t>
  </si>
  <si>
    <t>Dixon Technologies (India) Limited</t>
  </si>
  <si>
    <t>INE935N01020</t>
  </si>
  <si>
    <t>THCO02</t>
  </si>
  <si>
    <t>Thomas Cook  (India)  Limited</t>
  </si>
  <si>
    <t>INE332A01027</t>
  </si>
  <si>
    <t>NAZT02</t>
  </si>
  <si>
    <t>Nazara Technologies Limited</t>
  </si>
  <si>
    <t>INE418L01021</t>
  </si>
  <si>
    <t>SYRM01</t>
  </si>
  <si>
    <t>Syrma SGS Technology Limited</t>
  </si>
  <si>
    <t>INE0DYJ01015</t>
  </si>
  <si>
    <t>IMIN01</t>
  </si>
  <si>
    <t>Indiamart Intermesh Limited</t>
  </si>
  <si>
    <t>INE933S01016</t>
  </si>
  <si>
    <t>SONB01</t>
  </si>
  <si>
    <t>Sona BLW Precision Forgings Limited</t>
  </si>
  <si>
    <t>INE073K01018</t>
  </si>
  <si>
    <t>SUZE02</t>
  </si>
  <si>
    <t>Suzlon Energy Limited</t>
  </si>
  <si>
    <t>INE040H01021</t>
  </si>
  <si>
    <t>IEIN01</t>
  </si>
  <si>
    <t>Info Edge (India) Limited</t>
  </si>
  <si>
    <t>INE663F01024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</si>
  <si>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</si>
  <si>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</si>
  <si>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</si>
  <si>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</si>
  <si>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</si>
  <si>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(b) Privately placed / Unlisted</t>
  </si>
  <si>
    <t>Certificate of Deposit</t>
  </si>
  <si>
    <t>SIDB490</t>
  </si>
  <si>
    <t>Small Industries Dev Bank of India (06/12/2023)</t>
  </si>
  <si>
    <t>INE556F16AD4</t>
  </si>
  <si>
    <t>UTIB1263</t>
  </si>
  <si>
    <t>Axis Bank Limited (06/12/2023)</t>
  </si>
  <si>
    <t>INE238AD6215</t>
  </si>
  <si>
    <t>BKBA364</t>
  </si>
  <si>
    <t>Bank of Baroda (20/12/2023)</t>
  </si>
  <si>
    <t>INE028A16DC1</t>
  </si>
  <si>
    <t>IBCL1145</t>
  </si>
  <si>
    <t>ICICI Bank Limited (29/12/2023)</t>
  </si>
  <si>
    <t>INE090A162Z8</t>
  </si>
  <si>
    <t>NBAR703</t>
  </si>
  <si>
    <t>National Bank For Agriculture and Rural Development (06/02/2024)</t>
  </si>
  <si>
    <t>INE261F16694</t>
  </si>
  <si>
    <t>NBAR709</t>
  </si>
  <si>
    <t>National Bank For Agriculture and Rural Development (13/03/2024)</t>
  </si>
  <si>
    <t>INE261F16710</t>
  </si>
  <si>
    <t>SIDB503</t>
  </si>
  <si>
    <t>Small Industries Dev Bank of India (14/03/2024)</t>
  </si>
  <si>
    <t>INE556F16AG7</t>
  </si>
  <si>
    <t>Commercial Paper</t>
  </si>
  <si>
    <t>ADBM116</t>
  </si>
  <si>
    <t>Aditya Birla Money Limited (23/11/2023) **</t>
  </si>
  <si>
    <t>INE865C14JV4</t>
  </si>
  <si>
    <t>NBAR726</t>
  </si>
  <si>
    <t>INE261F14KD5</t>
  </si>
  <si>
    <t>EXIM758</t>
  </si>
  <si>
    <t>Export Import Bank of India (26/12/2023) **</t>
  </si>
  <si>
    <t>INE514E14RF0</t>
  </si>
  <si>
    <t>HDFB839</t>
  </si>
  <si>
    <t>HDFC Bank Limited (26/12/2023) **</t>
  </si>
  <si>
    <t>INE040A14169</t>
  </si>
  <si>
    <t>KOMP1681</t>
  </si>
  <si>
    <t>Kotak Mahindra Prime Limited (23/01/2024) **</t>
  </si>
  <si>
    <t>INE916D141Z1</t>
  </si>
  <si>
    <t>HDFB922</t>
  </si>
  <si>
    <t>INE040A14227</t>
  </si>
  <si>
    <t>HDFB852</t>
  </si>
  <si>
    <t>HDFC Bank Limited (22/03/2024) **</t>
  </si>
  <si>
    <t>INE040A14268</t>
  </si>
  <si>
    <t>SCIN305</t>
  </si>
  <si>
    <t>Standard Chartered Capital Limited (15/05/2024) **</t>
  </si>
  <si>
    <t>INE403G14RP0</t>
  </si>
  <si>
    <t>KMIL471</t>
  </si>
  <si>
    <t>Kotak Mahindra Investments Limited (14/06/2024) **</t>
  </si>
  <si>
    <t>INE975F14YW1</t>
  </si>
  <si>
    <t>Reverse Repo / TREPS</t>
  </si>
  <si>
    <t>TRP_031023</t>
  </si>
  <si>
    <t>Clearing Corporation of India Ltd</t>
  </si>
  <si>
    <t>**  Thinly Traded / Non Traded Security</t>
  </si>
  <si>
    <t>Benchmark Name - S&amp;P BSE 500 TRI</t>
  </si>
  <si>
    <t>Industry / Rating</t>
  </si>
  <si>
    <t>BKBA374</t>
  </si>
  <si>
    <t>Bank of Baroda (12/10/2023)</t>
  </si>
  <si>
    <t>INE028A16DM0</t>
  </si>
  <si>
    <t>UNBI365</t>
  </si>
  <si>
    <t>Union Bank of India (30/11/2023)</t>
  </si>
  <si>
    <t>INE692A16GG8</t>
  </si>
  <si>
    <t>CANB928</t>
  </si>
  <si>
    <t>Canara Bank (20/11/2023)</t>
  </si>
  <si>
    <t>INE476A16WH1</t>
  </si>
  <si>
    <t>CANB929</t>
  </si>
  <si>
    <t>Canara Bank (21/11/2023)</t>
  </si>
  <si>
    <t>INE476A16WI9</t>
  </si>
  <si>
    <t>CANB933</t>
  </si>
  <si>
    <t>Canara Bank (13/12/2023)</t>
  </si>
  <si>
    <t>INE476A16WN9</t>
  </si>
  <si>
    <t>BKBA377</t>
  </si>
  <si>
    <t>Bank of Baroda (23/11/2023)</t>
  </si>
  <si>
    <t>INE028A16DR9</t>
  </si>
  <si>
    <t>BKBA375</t>
  </si>
  <si>
    <t>Bank of Baroda (20/10/2023)</t>
  </si>
  <si>
    <t>INE028A16DO6</t>
  </si>
  <si>
    <t>IBCL1141</t>
  </si>
  <si>
    <t>ICICI Bank Limited (17/11/2023)</t>
  </si>
  <si>
    <t>INE090A169Y6</t>
  </si>
  <si>
    <t>KMBK807</t>
  </si>
  <si>
    <t>Kotak Mahindra Bank Limited (06/12/2023)</t>
  </si>
  <si>
    <t>INE237A162R9</t>
  </si>
  <si>
    <t>CANB935</t>
  </si>
  <si>
    <t>Canara Bank (26/12/2023)</t>
  </si>
  <si>
    <t>INE476A16WP4</t>
  </si>
  <si>
    <t>KMBK821</t>
  </si>
  <si>
    <t>Kotak Mahindra Bank Limited (27/12/2023)</t>
  </si>
  <si>
    <t>INE237A165R2</t>
  </si>
  <si>
    <t>LARS434</t>
  </si>
  <si>
    <t>Larsen &amp; Toubro Limited (30/11/2023) **</t>
  </si>
  <si>
    <t>INE018A14JY8</t>
  </si>
  <si>
    <t>ICBR434</t>
  </si>
  <si>
    <t>ICICI Securities Limited (25/10/2023) **</t>
  </si>
  <si>
    <t>INE763G14QI4</t>
  </si>
  <si>
    <t>RRVL119</t>
  </si>
  <si>
    <t>Reliance Retail Ventures Limited (27/10/2023) **</t>
  </si>
  <si>
    <t>INE929O14AS8</t>
  </si>
  <si>
    <t>BGFL1054</t>
  </si>
  <si>
    <t>Aditya Birla Finance Limited (27/10/2023) **</t>
  </si>
  <si>
    <t>INE860H141E8</t>
  </si>
  <si>
    <t>RIND448</t>
  </si>
  <si>
    <t>INE002A14KF9</t>
  </si>
  <si>
    <t>HDBF315</t>
  </si>
  <si>
    <t>HDB Financial Services Limited (15/11/2023) **</t>
  </si>
  <si>
    <t>INE756I14DC5</t>
  </si>
  <si>
    <t>AXSL50</t>
  </si>
  <si>
    <t>Axis Securities Limited (16/11/2023) **</t>
  </si>
  <si>
    <t>INE110O14AP1</t>
  </si>
  <si>
    <t>SIDB528</t>
  </si>
  <si>
    <t>Small Industries Dev Bank of India (22/11/2023) **</t>
  </si>
  <si>
    <t>INE556F14JN9</t>
  </si>
  <si>
    <t>NBAR725</t>
  </si>
  <si>
    <t>National Bank For Agriculture and Rural Development (28/11/2023) **</t>
  </si>
  <si>
    <t>INE261F14KC7</t>
  </si>
  <si>
    <t>SIDB529</t>
  </si>
  <si>
    <t>Small Industries Dev Bank of India (28/11/2023) **</t>
  </si>
  <si>
    <t>INE556F14JO7</t>
  </si>
  <si>
    <t>RRVL124</t>
  </si>
  <si>
    <t>Reliance Retail Ventures Limited (01/12/2023) **</t>
  </si>
  <si>
    <t>INE929O14AW0</t>
  </si>
  <si>
    <t>ICBR445</t>
  </si>
  <si>
    <t>ICICI Securities Limited (30/11/2023) **</t>
  </si>
  <si>
    <t>INE763G14QT1</t>
  </si>
  <si>
    <t>HDFS158</t>
  </si>
  <si>
    <t>HDFC Securities Limited (15/12/2023) **</t>
  </si>
  <si>
    <t>INE700G14GL1</t>
  </si>
  <si>
    <t>HDFB835</t>
  </si>
  <si>
    <t>HDFC Bank Limited (18/10/2023) **</t>
  </si>
  <si>
    <t>INE040A14110</t>
  </si>
  <si>
    <t>SIDB514</t>
  </si>
  <si>
    <t>Small Industries Dev Bank of India (20/11/2023)</t>
  </si>
  <si>
    <t>INE556F14JF5</t>
  </si>
  <si>
    <t>HDFB844</t>
  </si>
  <si>
    <t>HDFC Bank Limited (28/11/2023) **</t>
  </si>
  <si>
    <t>INE040A14136</t>
  </si>
  <si>
    <t>SIDB531</t>
  </si>
  <si>
    <t>INE556F14JQ2</t>
  </si>
  <si>
    <t>ISFC562</t>
  </si>
  <si>
    <t>ICICI Sec Primary Dealership Limited (09/11/2023) **</t>
  </si>
  <si>
    <t>INE849D14HI7</t>
  </si>
  <si>
    <t>SCIN299</t>
  </si>
  <si>
    <t>Standard Chartered Capital Limited (14/11/2023) **</t>
  </si>
  <si>
    <t>INE403G14QG1</t>
  </si>
  <si>
    <t>TBIL2260</t>
  </si>
  <si>
    <t>91 Days Tbill (MD 29/12/2023)</t>
  </si>
  <si>
    <t>IN002023X278</t>
  </si>
  <si>
    <t>TBIL2145</t>
  </si>
  <si>
    <t>364 Days Tbill (MD 28/12/2023)</t>
  </si>
  <si>
    <t>IN002022Z390</t>
  </si>
  <si>
    <t>TBIL2233</t>
  </si>
  <si>
    <t>91 Days Tbill (MD 02/11/2023)</t>
  </si>
  <si>
    <t>IN002023X187</t>
  </si>
  <si>
    <t>TBIL2197</t>
  </si>
  <si>
    <t>182 Days Tbill (MD 26/10/2023)</t>
  </si>
  <si>
    <t>IN002023Y045</t>
  </si>
  <si>
    <t>TBIL2186</t>
  </si>
  <si>
    <t>182 Days Tbill (MD 05/10/2023)</t>
  </si>
  <si>
    <t>IN002023Y011</t>
  </si>
  <si>
    <t>Benchmark Name - NIFTY LIQUID INDEX B-1</t>
  </si>
  <si>
    <t>CANB930</t>
  </si>
  <si>
    <t>Canara Bank (01/02/2024)</t>
  </si>
  <si>
    <t>INE476A16WK5</t>
  </si>
  <si>
    <t>SBAI222</t>
  </si>
  <si>
    <t>State Bank of India (15/03/2024)</t>
  </si>
  <si>
    <t>INE062A16481</t>
  </si>
  <si>
    <t>KMBK816</t>
  </si>
  <si>
    <t>Kotak Mahindra Bank Limited (08/03/2024)</t>
  </si>
  <si>
    <t>INE237A168S4</t>
  </si>
  <si>
    <t>UTIB1274</t>
  </si>
  <si>
    <t>Axis Bank Limited (14/02/2024)</t>
  </si>
  <si>
    <t>INE238AD6348</t>
  </si>
  <si>
    <t>BKBA361</t>
  </si>
  <si>
    <t>Bank of Baroda (15/11/2023)</t>
  </si>
  <si>
    <t>INE028A16CY7</t>
  </si>
  <si>
    <t>UTIB1272</t>
  </si>
  <si>
    <t>Axis Bank Limited (19/01/2024)</t>
  </si>
  <si>
    <t>INE238AD6306</t>
  </si>
  <si>
    <t>UNBI352</t>
  </si>
  <si>
    <t>Union Bank of India (19/01/2024)</t>
  </si>
  <si>
    <t>INE692A16FU1</t>
  </si>
  <si>
    <t>HDFB833</t>
  </si>
  <si>
    <t>HDFC Bank Limited (05/02/2024)</t>
  </si>
  <si>
    <t>INE040A16DT0</t>
  </si>
  <si>
    <t>INBK396</t>
  </si>
  <si>
    <t>Indian Bank (05/02/2024)</t>
  </si>
  <si>
    <t>INE562A16LK5</t>
  </si>
  <si>
    <t>PUBA979</t>
  </si>
  <si>
    <t>Punjab National Bank (16/02/2024)</t>
  </si>
  <si>
    <t>INE160A16MZ4</t>
  </si>
  <si>
    <t>CANB936</t>
  </si>
  <si>
    <t>Canara Bank (27/02/2024)</t>
  </si>
  <si>
    <t>INE476A16WQ2</t>
  </si>
  <si>
    <t>UTIB1293</t>
  </si>
  <si>
    <t>Axis Bank Limited (11/03/2024)</t>
  </si>
  <si>
    <t>INE238AD6496</t>
  </si>
  <si>
    <t>HDFB919</t>
  </si>
  <si>
    <t>HDFC Bank Limited (11/03/2024)</t>
  </si>
  <si>
    <t>INE040A16DV6</t>
  </si>
  <si>
    <t>NBAR712</t>
  </si>
  <si>
    <t>National Bank For Agriculture and Rural Development (28/03/2024)</t>
  </si>
  <si>
    <t>INE261F16728</t>
  </si>
  <si>
    <t>UTIB1283</t>
  </si>
  <si>
    <t>Axis Bank Limited (28/03/2024)</t>
  </si>
  <si>
    <t>INE238AD6405</t>
  </si>
  <si>
    <t>SIDB510</t>
  </si>
  <si>
    <t>Small Industries Dev Bank of India (24/04/2024)</t>
  </si>
  <si>
    <t>INE556F16AI3</t>
  </si>
  <si>
    <t>UTIB1294</t>
  </si>
  <si>
    <t>Axis Bank Limited (30/08/2024)</t>
  </si>
  <si>
    <t>INE238AD6504</t>
  </si>
  <si>
    <t>BGHP130</t>
  </si>
  <si>
    <t>Birla Group Holdings Private Limited (24/11/2023) **</t>
  </si>
  <si>
    <t>INE09OL14DV1</t>
  </si>
  <si>
    <t>ADBM117</t>
  </si>
  <si>
    <t>Aditya Birla Money Limited (30/11/2023) **</t>
  </si>
  <si>
    <t>INE865C14JW2</t>
  </si>
  <si>
    <t>SHKL59</t>
  </si>
  <si>
    <t>Sharekhan Limited (14/12/2023) **</t>
  </si>
  <si>
    <t>INE211H14500</t>
  </si>
  <si>
    <t>KOMP1660</t>
  </si>
  <si>
    <t>Kotak Mahindra Prime Limited (02/01/2024) **</t>
  </si>
  <si>
    <t>INE916D141W8</t>
  </si>
  <si>
    <t>HDFB843</t>
  </si>
  <si>
    <t>HDFC Bank Limited (25/01/2024) **</t>
  </si>
  <si>
    <t>INE040A14177</t>
  </si>
  <si>
    <t>HDFB841</t>
  </si>
  <si>
    <t>INE040A14201</t>
  </si>
  <si>
    <t>SIDB509</t>
  </si>
  <si>
    <t>Small Industries Dev Bank of India (15/03/2024) **</t>
  </si>
  <si>
    <t>INE556F14JB4</t>
  </si>
  <si>
    <t>TBIL2252</t>
  </si>
  <si>
    <t>182 Days Tbill (MD 07/03/2024)</t>
  </si>
  <si>
    <t>IN002023Y243</t>
  </si>
  <si>
    <t>TBIL2220</t>
  </si>
  <si>
    <t>182 Days Tbill (MD 04/01/2024)</t>
  </si>
  <si>
    <t>IN002023Y144</t>
  </si>
  <si>
    <t>TBIL2257</t>
  </si>
  <si>
    <t>182 Days Tbill (MD 21/03/2024)</t>
  </si>
  <si>
    <t>IN002023Y268</t>
  </si>
  <si>
    <t>TBIL2259</t>
  </si>
  <si>
    <t>182 Days Tbill (MD 29/03/2024)</t>
  </si>
  <si>
    <t>IN002023Y276</t>
  </si>
  <si>
    <t>TBIL2243</t>
  </si>
  <si>
    <t>182 Days Tbill (MD 16/02/2024)</t>
  </si>
  <si>
    <t>IN002023Y219</t>
  </si>
  <si>
    <t>Benchmark Name - NIFTY MONEY MARKET INDEX B-I</t>
  </si>
  <si>
    <t>CANB918</t>
  </si>
  <si>
    <t>Canara Bank (03/10/2023)</t>
  </si>
  <si>
    <t>INE476A16VY8</t>
  </si>
  <si>
    <t>PUBA997</t>
  </si>
  <si>
    <t>Punjab National Bank (03/10/2023)</t>
  </si>
  <si>
    <t>INE160A16NR9</t>
  </si>
  <si>
    <t>INBK408</t>
  </si>
  <si>
    <t>Indian Bank (03/10/2023)</t>
  </si>
  <si>
    <t>INE562A16MA4</t>
  </si>
  <si>
    <t>Benchmark Name - CRISIL LIQUID OVERNIGHT INDEX</t>
  </si>
  <si>
    <t>CRISIL A1+</t>
  </si>
  <si>
    <t>FITCH A1+</t>
  </si>
  <si>
    <t>ICRA A1+</t>
  </si>
  <si>
    <t>CARE A1+</t>
  </si>
  <si>
    <t>National Bank For Agriculture and Rural Development (08/12/2023)</t>
  </si>
  <si>
    <t>HDFC Bank Limited (14/02/2024) **</t>
  </si>
  <si>
    <t xml:space="preserve">Reliance Industries Limited (10/11/2023) </t>
  </si>
  <si>
    <t>Small Industries Dev Bank of India (15/12/2023)</t>
  </si>
  <si>
    <t>HDFC Bank Limited (06/02/2024) **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</si>
  <si>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</si>
  <si>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</si>
  <si>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</si>
  <si>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</si>
  <si>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Regular IDCW</t>
  </si>
  <si>
    <t>Regular Growth</t>
  </si>
  <si>
    <t>Direct IDCW</t>
  </si>
  <si>
    <t>Direct Growth</t>
  </si>
  <si>
    <t>(3) Details of gross distribution (of income and capital) during the month are as follows: Nil</t>
  </si>
  <si>
    <t>(9) Investment in short term deposits at the end of the month is Rs.NIL</t>
  </si>
  <si>
    <t>As on August 31, 2023</t>
  </si>
  <si>
    <t>Regular Weekly IDCW</t>
  </si>
  <si>
    <t>Regular Monthly IDCW</t>
  </si>
  <si>
    <t>Regular Fortnightly IDCW</t>
  </si>
  <si>
    <t>Regular Daily IDCW</t>
  </si>
  <si>
    <t>Direct Weekly IDCW</t>
  </si>
  <si>
    <t>Direct Monthly IDCW</t>
  </si>
  <si>
    <t>Direct Fortnightly IDCW</t>
  </si>
  <si>
    <t>Direct Daily IDCW</t>
  </si>
  <si>
    <t>As on September 29, 2023*</t>
  </si>
  <si>
    <t>* Since Allotment Date was 15 September 2023.no correspoding NAVs Per Unit for previous month are provided.</t>
  </si>
  <si>
    <t>(8) Investment in short term deposits at the end of the month is Rs.NIL</t>
  </si>
  <si>
    <t>(4) Total outstanding exposure in derivative instruments as on September 30, 2023 is Rs. (7880.30) Lakhs.</t>
  </si>
  <si>
    <t>(5) Total market value of investments in foreign securities/ American Depository Receipts/ Global Depository Receipts as at September 30, 2023 is Rs. Nil.</t>
  </si>
  <si>
    <t>(6) Total outstanding exposure of repo transactions in corporate debt securities as on September 30, 2023 is Rs. Nil.</t>
  </si>
  <si>
    <t>(7) Aggregate Investments by other schemes (at NAV) as on September 30, 2023 Rs Nil.</t>
  </si>
  <si>
    <t>As on September 29, 2023</t>
  </si>
  <si>
    <t>(4) Total outstanding exposure in derivative instruments as on September 30, 2023 is Rs. Nil.</t>
  </si>
  <si>
    <t>(7) Total outstanding exposure of repo transactions in corporate debt securities as on September 30, 2023 is Rs. Nil.</t>
  </si>
  <si>
    <t>(8) Aggregate Investments by other schemes (at NAV) as on September 30, 2023 Rs Nil.</t>
  </si>
  <si>
    <t xml:space="preserve">(7) Total outstanding exposure of repo transactions in corporate debt securities as on September 30, 2023 is Rs. Nil. </t>
  </si>
  <si>
    <t>As on September 30, 2023</t>
  </si>
  <si>
    <t>(8) Aggregate Investments by other schemes (at NAV) as on September 30, 2023 Rs Nil</t>
  </si>
  <si>
    <t>A. Hedging positions through futures as on September 30, 2023</t>
  </si>
  <si>
    <t>Underlying</t>
  </si>
  <si>
    <t>Long/ short</t>
  </si>
  <si>
    <t>Futures price when purchased</t>
  </si>
  <si>
    <t>Current price of the contract</t>
  </si>
  <si>
    <t>Margin maintained in Rs. Lakhs</t>
  </si>
  <si>
    <t>Hindalco Industries Limited October 2023 Futures</t>
  </si>
  <si>
    <t>Short</t>
  </si>
  <si>
    <t>State Bank of India October 2023 Futures</t>
  </si>
  <si>
    <t>Ambuja Cements Limited October 2023 Futures</t>
  </si>
  <si>
    <t>HDFC Bank Limited October 2023 Futures</t>
  </si>
  <si>
    <t>IndusInd Bank Limited October 2023 Futures</t>
  </si>
  <si>
    <t>United Spirits Limited October 2023 Futures</t>
  </si>
  <si>
    <t>Aurobindo Pharma Limited October 2023 Futures</t>
  </si>
  <si>
    <t>Bharat Heavy Electricals Limited October 2023 Futures</t>
  </si>
  <si>
    <t>DLF Limited October 2023 Futures</t>
  </si>
  <si>
    <t>Eicher Motors Limited October 2023 Futures</t>
  </si>
  <si>
    <t>The Federal Bank Limited October 2023 Futures</t>
  </si>
  <si>
    <t>GMR Airports Infrastructure Limited October 2023 Futures</t>
  </si>
  <si>
    <t>Hindustan Petroleum Corporation Limited October 2023 Futures</t>
  </si>
  <si>
    <t>Kotak Mahindra Bank Limited October 2023 Futures</t>
  </si>
  <si>
    <t>Maruti Suzuki India Limited October 2023 Futures</t>
  </si>
  <si>
    <t>PVR INOX Limited October 2023 Futures</t>
  </si>
  <si>
    <t>Reliance Industries Limited October 2023 Futures</t>
  </si>
  <si>
    <t>Sun Pharmaceutical Industries Limited October 2023 Futures</t>
  </si>
  <si>
    <t>Tata Motors Limited October 2023 Futures</t>
  </si>
  <si>
    <t>UltraTech Cement Limited October 2023 Futures</t>
  </si>
  <si>
    <t>JSW Steel Limited October 2023 Futures</t>
  </si>
  <si>
    <t>Adani Ports and Special Economic Zone Limited October 2023 Futures</t>
  </si>
  <si>
    <t>Axis Bank Limited October 2023 Futures</t>
  </si>
  <si>
    <t>Tata Communications Limited October 2023 Futures</t>
  </si>
  <si>
    <t>Total percentage of existing assets hedged through futures: 60.38%</t>
  </si>
  <si>
    <t>For the period ended September 30, 2023, following details specified for hedging transactions through futures which have been squared off/ expired: Nil</t>
  </si>
  <si>
    <t>B. Other than hedging positions through futures as on September 30, 2023 Nil</t>
  </si>
  <si>
    <t>C. Hedging positions through put options as on September 30, 2023 Nil</t>
  </si>
  <si>
    <t>D. Other than hedging positions through options as on September 30, 2023 Nil</t>
  </si>
  <si>
    <t>E. Hedging positions through swaps as on September 30, 2023 - Nil</t>
  </si>
  <si>
    <t>(9) Instances of Fair valuation of securities or Deviation in valuation from what is  provided by valuation agencies: Nil</t>
  </si>
  <si>
    <t>(10) Instances of Fair valuation of securities or Deviation in valuation from what is  provided by valuation agencies: Nil</t>
  </si>
  <si>
    <t>(6) The average maturity 52 days and Macaluay Duration  of the portfolio is  51 days.</t>
  </si>
  <si>
    <t>(10) Instances of Fair valuation of securities or Deviation in valuation from what is  provided by valuation agencies Nil</t>
  </si>
  <si>
    <t>(6) The average maturity / Macaluay Duration  of the portfolio is 4 days.</t>
  </si>
  <si>
    <t>(10) Portfolio Turover Ratio as on Septemeber 30,2023: N.A. ( Since the Scheme is not in existence for more than 1 year, Portfolio Turover Ratio is not calculated )</t>
  </si>
  <si>
    <t>(6) Portfolio Turover Ratio as on Septemeber 30,2023: N.A. ( Since the Scheme is not in existence for more than 1 year, Portfolio Turover Ratio is not calculated )</t>
  </si>
  <si>
    <t>(6)The average maturity  and  Macaluay Duration  of the portfolio is 133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</si>
</sst>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#,##0.000_ ;\-#,##0.000\ "/>
    <numFmt numFmtId="169" formatCode="#,##0.0000_ ;\-#,##0.0000\ "/>
    <numFmt numFmtId="170" formatCode="_(* #,##0.00_);_(* \(#,##0.00\);_(* &quot;-&quot;?_);_(@_)"/>
  </numFmts>
  <fonts count="12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7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5" fontId="1" fillId="21" borderId="9" xfId="0" applyNumberFormat="1" applyFont="1" applyFill="1" applyBorder="1" applyAlignment="1">
      <alignment horizontal="right" vertical="top" wrapText="1"/>
    </xf>
    <xf numFmtId="166" fontId="1" fillId="22" borderId="8" xfId="0" applyNumberFormat="1" applyFont="1" applyFill="1" applyBorder="1" applyAlignment="1">
      <alignment horizontal="right" vertical="top" wrapText="1"/>
    </xf>
    <xf numFmtId="0" fontId="1" fillId="23" borderId="9" xfId="0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5" fontId="3" fillId="25" borderId="11" xfId="0" applyNumberFormat="1" applyFont="1" applyFill="1" applyBorder="1" applyAlignment="1">
      <alignment horizontal="right" vertical="top" wrapText="1"/>
    </xf>
    <xf numFmtId="166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7" fontId="1" fillId="31" borderId="9" xfId="0" applyNumberFormat="1" applyFont="1" applyFill="1" applyBorder="1" applyAlignment="1">
      <alignment horizontal="right" vertical="top" wrapText="1"/>
    </xf>
    <xf numFmtId="165" fontId="3" fillId="32" borderId="1" xfId="0" applyNumberFormat="1" applyFont="1" applyFill="1" applyBorder="1" applyAlignment="1">
      <alignment horizontal="right" vertical="top" wrapText="1"/>
    </xf>
    <xf numFmtId="0" fontId="3" fillId="33" borderId="15" xfId="0" applyFont="1" applyFill="1" applyBorder="1" applyAlignment="1">
      <alignment horizontal="left" vertical="top" wrapText="1"/>
    </xf>
    <xf numFmtId="0" fontId="1" fillId="34" borderId="16" xfId="0" applyFont="1" applyFill="1" applyBorder="1" applyAlignment="1">
      <alignment horizontal="left" vertical="top" wrapText="1"/>
    </xf>
    <xf numFmtId="165" fontId="3" fillId="35" borderId="17" xfId="0" applyNumberFormat="1" applyFont="1" applyFill="1" applyBorder="1" applyAlignment="1">
      <alignment horizontal="right" vertical="top" wrapText="1"/>
    </xf>
    <xf numFmtId="167" fontId="3" fillId="36" borderId="17" xfId="0" applyNumberFormat="1" applyFont="1" applyFill="1" applyBorder="1" applyAlignment="1">
      <alignment horizontal="right" vertical="top" wrapText="1"/>
    </xf>
    <xf numFmtId="0" fontId="3" fillId="37" borderId="18" xfId="0" applyFont="1" applyFill="1" applyBorder="1" applyAlignment="1">
      <alignment horizontal="right" vertical="top" wrapText="1"/>
    </xf>
    <xf numFmtId="0" fontId="3" fillId="38" borderId="19" xfId="0" applyFont="1" applyFill="1" applyBorder="1" applyAlignment="1">
      <alignment horizontal="right" vertical="top" wrapText="1"/>
    </xf>
    <xf numFmtId="0" fontId="7" fillId="39" borderId="3" xfId="0" applyFont="1" applyFill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0" fontId="1" fillId="15" borderId="20" xfId="0" applyFont="1" applyFill="1" applyBorder="1" applyAlignment="1">
      <alignment horizontal="left" vertical="top" wrapText="1"/>
    </xf>
    <xf numFmtId="0" fontId="9" fillId="0" borderId="0" xfId="0" applyFont="1" applyAlignment="1">
      <alignment vertical="top"/>
    </xf>
    <xf numFmtId="0" fontId="10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10" fillId="0" borderId="26" xfId="0" applyFont="1" applyBorder="1" applyAlignment="1">
      <alignment vertical="top"/>
    </xf>
    <xf numFmtId="0" fontId="10" fillId="0" borderId="26" xfId="0" applyFont="1" applyBorder="1" applyAlignment="1">
      <alignment horizontal="center" vertical="top"/>
    </xf>
    <xf numFmtId="0" fontId="9" fillId="0" borderId="26" xfId="0" applyFont="1" applyBorder="1" applyAlignment="1">
      <alignment vertical="top"/>
    </xf>
    <xf numFmtId="168" fontId="11" fillId="0" borderId="26" xfId="0" applyNumberFormat="1" applyFont="1" applyBorder="1" applyAlignment="1">
      <alignment horizontal="center" vertical="top"/>
    </xf>
    <xf numFmtId="164" fontId="9" fillId="40" borderId="3" xfId="1" applyFont="1" applyFill="1" applyBorder="1" applyAlignment="1">
      <alignment vertical="top"/>
    </xf>
    <xf numFmtId="169" fontId="11" fillId="0" borderId="0" xfId="0" applyNumberFormat="1" applyFont="1" applyAlignment="1">
      <alignment horizontal="center" vertical="top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169" fontId="11" fillId="0" borderId="26" xfId="0" applyNumberFormat="1" applyFont="1" applyBorder="1" applyAlignment="1">
      <alignment horizontal="center" vertical="top"/>
    </xf>
    <xf numFmtId="0" fontId="9" fillId="0" borderId="3" xfId="0" applyFont="1" applyBorder="1" applyAlignment="1">
      <alignment vertical="top"/>
    </xf>
    <xf numFmtId="4" fontId="0" fillId="5" borderId="0" xfId="0" applyNumberFormat="1" applyFill="1" applyAlignment="1" applyProtection="1">
      <alignment wrapText="1"/>
      <protection locked="0"/>
    </xf>
    <xf numFmtId="3" fontId="0" fillId="5" borderId="0" xfId="0" applyNumberFormat="1" applyFill="1" applyAlignment="1" applyProtection="1">
      <alignment wrapText="1"/>
      <protection locked="0"/>
    </xf>
    <xf numFmtId="0" fontId="0" fillId="40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9" borderId="3" xfId="0" applyFont="1" applyFill="1" applyBorder="1" applyAlignment="1">
      <alignment horizontal="left" vertical="top" wrapText="1"/>
    </xf>
    <xf numFmtId="0" fontId="9" fillId="0" borderId="26" xfId="0" applyFont="1" applyBorder="1" applyAlignment="1">
      <alignment horizontal="right" vertical="top"/>
    </xf>
    <xf numFmtId="0" fontId="9" fillId="0" borderId="26" xfId="0" applyFont="1" applyBorder="1" applyAlignment="1">
      <alignment horizontal="right" vertical="top" wrapText="1"/>
    </xf>
    <xf numFmtId="0" fontId="9" fillId="40" borderId="26" xfId="0" applyFont="1" applyFill="1" applyBorder="1" applyAlignment="1">
      <alignment vertical="top"/>
    </xf>
    <xf numFmtId="170" fontId="9" fillId="40" borderId="26" xfId="0" applyNumberFormat="1" applyFont="1" applyFill="1" applyBorder="1" applyAlignment="1">
      <alignment vertical="top"/>
    </xf>
    <xf numFmtId="0" fontId="9" fillId="40" borderId="24" xfId="0" applyFont="1" applyFill="1" applyBorder="1" applyAlignment="1">
      <alignment vertical="top"/>
    </xf>
    <xf numFmtId="0" fontId="9" fillId="40" borderId="3" xfId="0" applyFont="1" applyFill="1" applyBorder="1" applyAlignment="1">
      <alignment vertical="top"/>
    </xf>
    <xf numFmtId="0" fontId="9" fillId="0" borderId="21" xfId="0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5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450850</xdr:rowOff>
    </xdr:from>
    <xdr:to>
      <xdr:col>2</xdr:col>
      <xdr:colOff>0</xdr:colOff>
      <xdr:row>129</xdr:row>
      <xdr:rowOff>82550</xdr:rowOff>
    </xdr:to>
    <xdr:pic>
      <xdr:nvPicPr>
        <xdr:cNvPr id="1598637238" name="Picture">
          <a:extLst>
            <a:ext uri="{FF2B5EF4-FFF2-40B4-BE49-F238E27FC236}">
              <a16:creationId xmlns:a16="http://schemas.microsoft.com/office/drawing/2014/main" id="{00000000-0008-0000-0100-0000B644495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28600" y="167894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3</xdr:col>
      <xdr:colOff>1911350</xdr:colOff>
      <xdr:row>127</xdr:row>
      <xdr:rowOff>0</xdr:rowOff>
    </xdr:to>
    <xdr:pic>
      <xdr:nvPicPr>
        <xdr:cNvPr id="1103093072" name="Picture">
          <a:extLst>
            <a:ext uri="{FF2B5EF4-FFF2-40B4-BE49-F238E27FC236}">
              <a16:creationId xmlns:a16="http://schemas.microsoft.com/office/drawing/2014/main" id="{00000000-0008-0000-0100-000050DDBF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718582211" name="Picture">
          <a:extLst>
            <a:ext uri="{FF2B5EF4-FFF2-40B4-BE49-F238E27FC236}">
              <a16:creationId xmlns:a16="http://schemas.microsoft.com/office/drawing/2014/main" id="{00000000-0008-0000-0200-0000C3B1D4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3</xdr:col>
      <xdr:colOff>1974850</xdr:colOff>
      <xdr:row>121</xdr:row>
      <xdr:rowOff>0</xdr:rowOff>
    </xdr:to>
    <xdr:pic>
      <xdr:nvPicPr>
        <xdr:cNvPr id="1658863171" name="Picture">
          <a:extLst>
            <a:ext uri="{FF2B5EF4-FFF2-40B4-BE49-F238E27FC236}">
              <a16:creationId xmlns:a16="http://schemas.microsoft.com/office/drawing/2014/main" id="{00000000-0008-0000-0200-0000433EE06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1302345916" name="Picture">
          <a:extLst>
            <a:ext uri="{FF2B5EF4-FFF2-40B4-BE49-F238E27FC236}">
              <a16:creationId xmlns:a16="http://schemas.microsoft.com/office/drawing/2014/main" id="{00000000-0008-0000-0300-0000BC38A0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4</xdr:col>
      <xdr:colOff>685800</xdr:colOff>
      <xdr:row>89</xdr:row>
      <xdr:rowOff>0</xdr:rowOff>
    </xdr:to>
    <xdr:pic>
      <xdr:nvPicPr>
        <xdr:cNvPr id="1268074852" name="Picture">
          <a:extLst>
            <a:ext uri="{FF2B5EF4-FFF2-40B4-BE49-F238E27FC236}">
              <a16:creationId xmlns:a16="http://schemas.microsoft.com/office/drawing/2014/main" id="{00000000-0008-0000-0300-00006449954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0</xdr:colOff>
      <xdr:row>82</xdr:row>
      <xdr:rowOff>0</xdr:rowOff>
    </xdr:to>
    <xdr:pic>
      <xdr:nvPicPr>
        <xdr:cNvPr id="1989358353" name="Picture">
          <a:extLst>
            <a:ext uri="{FF2B5EF4-FFF2-40B4-BE49-F238E27FC236}">
              <a16:creationId xmlns:a16="http://schemas.microsoft.com/office/drawing/2014/main" id="{00000000-0008-0000-0400-0000113393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3</xdr:col>
      <xdr:colOff>1974850</xdr:colOff>
      <xdr:row>82</xdr:row>
      <xdr:rowOff>0</xdr:rowOff>
    </xdr:to>
    <xdr:pic>
      <xdr:nvPicPr>
        <xdr:cNvPr id="642578784" name="Picture">
          <a:extLst>
            <a:ext uri="{FF2B5EF4-FFF2-40B4-BE49-F238E27FC236}">
              <a16:creationId xmlns:a16="http://schemas.microsoft.com/office/drawing/2014/main" id="{00000000-0008-0000-0400-000060F94C2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52</xdr:row>
      <xdr:rowOff>0</xdr:rowOff>
    </xdr:from>
    <xdr:to>
      <xdr:col>3</xdr:col>
      <xdr:colOff>1974850</xdr:colOff>
      <xdr:row>53</xdr:row>
      <xdr:rowOff>0</xdr:rowOff>
    </xdr:to>
    <xdr:pic>
      <xdr:nvPicPr>
        <xdr:cNvPr id="486022172" name="Picture">
          <a:extLst>
            <a:ext uri="{FF2B5EF4-FFF2-40B4-BE49-F238E27FC236}">
              <a16:creationId xmlns:a16="http://schemas.microsoft.com/office/drawing/2014/main" id="{00000000-0008-0000-0500-00001C1CF8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1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698500</xdr:colOff>
      <xdr:row>52</xdr:row>
      <xdr:rowOff>114300</xdr:rowOff>
    </xdr:from>
    <xdr:to>
      <xdr:col>1</xdr:col>
      <xdr:colOff>3371850</xdr:colOff>
      <xdr:row>55</xdr:row>
      <xdr:rowOff>17098</xdr:rowOff>
    </xdr:to>
    <xdr:pic>
      <xdr:nvPicPr>
        <xdr:cNvPr id="2" name="Picture 1" descr="A diagram of risk indicators&#10;&#10;Description automatically generated with medium confidence">
          <a:extLst>
            <a:ext uri="{FF2B5EF4-FFF2-40B4-BE49-F238E27FC236}">
              <a16:creationId xmlns:a16="http://schemas.microsoft.com/office/drawing/2014/main" id="{47FCC440-6B95-4F6C-B66C-6DEDCE4D4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100" y="9645650"/>
          <a:ext cx="2673350" cy="1807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127"/>
  <sheetViews>
    <sheetView tabSelected="1" topLeftCell="B1" workbookViewId="0">
      <selection activeCell="B6" sqref="B6"/>
    </sheetView>
  </sheetViews>
  <sheetFormatPr defaultRowHeight="14.5"/>
  <cols>
    <col min="1" max="1" width="3.26953125" customWidth="1"/>
    <col min="2" max="2" width="69.1796875" customWidth="1"/>
    <col min="3" max="3" width="22.36328125" bestFit="1" customWidth="1"/>
    <col min="4" max="4" width="27.81640625" bestFit="1" customWidth="1"/>
    <col min="5" max="5" width="16.7265625" customWidth="1"/>
    <col min="6" max="7" width="25" customWidth="1"/>
    <col min="8" max="8" width="11.26953125" customWidth="1"/>
    <col min="9" max="9" width="16.7265625" customWidth="1"/>
    <col min="10" max="10" width="10.81640625" customWidth="1"/>
  </cols>
  <sheetData>
    <row r="1" spans="1:10" ht="16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10</v>
      </c>
      <c r="B3" s="7" t="s">
        <v>11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12</v>
      </c>
      <c r="C4" s="9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1" t="s">
        <v>19</v>
      </c>
      <c r="J4" s="12" t="s">
        <v>20</v>
      </c>
    </row>
    <row r="5" spans="1:10" ht="13" customHeight="1">
      <c r="A5" s="4"/>
      <c r="B5" s="13" t="s">
        <v>21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22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23</v>
      </c>
      <c r="B7" s="18" t="s">
        <v>24</v>
      </c>
      <c r="C7" s="14" t="s">
        <v>25</v>
      </c>
      <c r="D7" s="14" t="s">
        <v>26</v>
      </c>
      <c r="E7" s="19">
        <v>79200</v>
      </c>
      <c r="F7" s="20">
        <v>1208.8296</v>
      </c>
      <c r="G7" s="21">
        <v>9.2600000000000002E-2</v>
      </c>
      <c r="H7" s="22"/>
      <c r="I7" s="23"/>
      <c r="J7" s="4"/>
    </row>
    <row r="8" spans="1:10" ht="13" customHeight="1">
      <c r="A8" s="17" t="s">
        <v>27</v>
      </c>
      <c r="B8" s="18" t="s">
        <v>28</v>
      </c>
      <c r="C8" s="14" t="s">
        <v>29</v>
      </c>
      <c r="D8" s="14" t="s">
        <v>30</v>
      </c>
      <c r="E8" s="19">
        <v>48250</v>
      </c>
      <c r="F8" s="20">
        <v>1131.4625000000001</v>
      </c>
      <c r="G8" s="21">
        <v>8.6699999999999999E-2</v>
      </c>
      <c r="H8" s="22"/>
      <c r="I8" s="23"/>
      <c r="J8" s="4"/>
    </row>
    <row r="9" spans="1:10" ht="13" customHeight="1">
      <c r="A9" s="17" t="s">
        <v>31</v>
      </c>
      <c r="B9" s="18" t="s">
        <v>32</v>
      </c>
      <c r="C9" s="14" t="s">
        <v>33</v>
      </c>
      <c r="D9" s="14" t="s">
        <v>34</v>
      </c>
      <c r="E9" s="19">
        <v>64900</v>
      </c>
      <c r="F9" s="20">
        <v>593.41319999999996</v>
      </c>
      <c r="G9" s="21">
        <v>4.5499999999999999E-2</v>
      </c>
      <c r="H9" s="22"/>
      <c r="I9" s="23"/>
      <c r="J9" s="4"/>
    </row>
    <row r="10" spans="1:10" ht="13" customHeight="1">
      <c r="A10" s="17" t="s">
        <v>35</v>
      </c>
      <c r="B10" s="18" t="s">
        <v>36</v>
      </c>
      <c r="C10" s="14" t="s">
        <v>37</v>
      </c>
      <c r="D10" s="14" t="s">
        <v>38</v>
      </c>
      <c r="E10" s="19">
        <v>6100</v>
      </c>
      <c r="F10" s="20">
        <v>503.54590000000002</v>
      </c>
      <c r="G10" s="21">
        <v>3.8600000000000002E-2</v>
      </c>
      <c r="H10" s="22"/>
      <c r="I10" s="23"/>
      <c r="J10" s="4"/>
    </row>
    <row r="11" spans="1:10" ht="13" customHeight="1">
      <c r="A11" s="17" t="s">
        <v>39</v>
      </c>
      <c r="B11" s="18" t="s">
        <v>40</v>
      </c>
      <c r="C11" s="14" t="s">
        <v>41</v>
      </c>
      <c r="D11" s="14" t="s">
        <v>26</v>
      </c>
      <c r="E11" s="19">
        <v>290000</v>
      </c>
      <c r="F11" s="20">
        <v>426.88</v>
      </c>
      <c r="G11" s="21">
        <v>3.27E-2</v>
      </c>
      <c r="H11" s="22"/>
      <c r="I11" s="23"/>
      <c r="J11" s="4"/>
    </row>
    <row r="12" spans="1:10" ht="13" customHeight="1">
      <c r="A12" s="17" t="s">
        <v>42</v>
      </c>
      <c r="B12" s="18" t="s">
        <v>43</v>
      </c>
      <c r="C12" s="14" t="s">
        <v>44</v>
      </c>
      <c r="D12" s="14" t="s">
        <v>45</v>
      </c>
      <c r="E12" s="19">
        <v>11900</v>
      </c>
      <c r="F12" s="20">
        <v>410.18709999999999</v>
      </c>
      <c r="G12" s="21">
        <v>3.1399999999999997E-2</v>
      </c>
      <c r="H12" s="22"/>
      <c r="I12" s="23"/>
      <c r="J12" s="4"/>
    </row>
    <row r="13" spans="1:10" ht="13" customHeight="1">
      <c r="A13" s="17" t="s">
        <v>46</v>
      </c>
      <c r="B13" s="18" t="s">
        <v>47</v>
      </c>
      <c r="C13" s="14" t="s">
        <v>48</v>
      </c>
      <c r="D13" s="14" t="s">
        <v>26</v>
      </c>
      <c r="E13" s="19">
        <v>22800</v>
      </c>
      <c r="F13" s="20">
        <v>395.7396</v>
      </c>
      <c r="G13" s="21">
        <v>3.0300000000000001E-2</v>
      </c>
      <c r="H13" s="22"/>
      <c r="I13" s="23"/>
      <c r="J13" s="4"/>
    </row>
    <row r="14" spans="1:10" ht="13" customHeight="1">
      <c r="A14" s="17" t="s">
        <v>49</v>
      </c>
      <c r="B14" s="18" t="s">
        <v>50</v>
      </c>
      <c r="C14" s="14" t="s">
        <v>51</v>
      </c>
      <c r="D14" s="14" t="s">
        <v>34</v>
      </c>
      <c r="E14" s="19">
        <v>33600</v>
      </c>
      <c r="F14" s="20">
        <v>389.3064</v>
      </c>
      <c r="G14" s="21">
        <v>2.98E-2</v>
      </c>
      <c r="H14" s="22"/>
      <c r="I14" s="23"/>
      <c r="J14" s="4"/>
    </row>
    <row r="15" spans="1:10" ht="13" customHeight="1">
      <c r="A15" s="17" t="s">
        <v>52</v>
      </c>
      <c r="B15" s="18" t="s">
        <v>53</v>
      </c>
      <c r="C15" s="14" t="s">
        <v>54</v>
      </c>
      <c r="D15" s="14" t="s">
        <v>55</v>
      </c>
      <c r="E15" s="19">
        <v>20000</v>
      </c>
      <c r="F15" s="20">
        <v>386.55</v>
      </c>
      <c r="G15" s="21">
        <v>2.9600000000000001E-2</v>
      </c>
      <c r="H15" s="22"/>
      <c r="I15" s="23"/>
      <c r="J15" s="4"/>
    </row>
    <row r="16" spans="1:10" ht="13" customHeight="1">
      <c r="A16" s="17" t="s">
        <v>56</v>
      </c>
      <c r="B16" s="18" t="s">
        <v>57</v>
      </c>
      <c r="C16" s="14" t="s">
        <v>58</v>
      </c>
      <c r="D16" s="14" t="s">
        <v>38</v>
      </c>
      <c r="E16" s="19">
        <v>90000</v>
      </c>
      <c r="F16" s="20">
        <v>382.32</v>
      </c>
      <c r="G16" s="21">
        <v>2.93E-2</v>
      </c>
      <c r="H16" s="22"/>
      <c r="I16" s="23"/>
      <c r="J16" s="4"/>
    </row>
    <row r="17" spans="1:10" ht="13" customHeight="1">
      <c r="A17" s="17" t="s">
        <v>59</v>
      </c>
      <c r="B17" s="18" t="s">
        <v>60</v>
      </c>
      <c r="C17" s="14" t="s">
        <v>61</v>
      </c>
      <c r="D17" s="14" t="s">
        <v>26</v>
      </c>
      <c r="E17" s="19">
        <v>36875</v>
      </c>
      <c r="F17" s="20">
        <v>382.28309999999999</v>
      </c>
      <c r="G17" s="21">
        <v>2.93E-2</v>
      </c>
      <c r="H17" s="22"/>
      <c r="I17" s="23"/>
      <c r="J17" s="4"/>
    </row>
    <row r="18" spans="1:10" ht="13" customHeight="1">
      <c r="A18" s="17" t="s">
        <v>62</v>
      </c>
      <c r="B18" s="18" t="s">
        <v>63</v>
      </c>
      <c r="C18" s="14" t="s">
        <v>64</v>
      </c>
      <c r="D18" s="14" t="s">
        <v>45</v>
      </c>
      <c r="E18" s="19">
        <v>3500</v>
      </c>
      <c r="F18" s="20">
        <v>371.37099999999998</v>
      </c>
      <c r="G18" s="21">
        <v>2.8500000000000001E-2</v>
      </c>
      <c r="H18" s="22"/>
      <c r="I18" s="23"/>
      <c r="J18" s="4"/>
    </row>
    <row r="19" spans="1:10" ht="13" customHeight="1">
      <c r="A19" s="17" t="s">
        <v>65</v>
      </c>
      <c r="B19" s="18" t="s">
        <v>66</v>
      </c>
      <c r="C19" s="14" t="s">
        <v>67</v>
      </c>
      <c r="D19" s="14" t="s">
        <v>30</v>
      </c>
      <c r="E19" s="19">
        <v>124200</v>
      </c>
      <c r="F19" s="20">
        <v>316.64789999999999</v>
      </c>
      <c r="G19" s="21">
        <v>2.4299999999999999E-2</v>
      </c>
      <c r="H19" s="22"/>
      <c r="I19" s="23"/>
      <c r="J19" s="4"/>
    </row>
    <row r="20" spans="1:10" ht="13" customHeight="1">
      <c r="A20" s="17" t="s">
        <v>68</v>
      </c>
      <c r="B20" s="18" t="s">
        <v>69</v>
      </c>
      <c r="C20" s="14" t="s">
        <v>70</v>
      </c>
      <c r="D20" s="14" t="s">
        <v>26</v>
      </c>
      <c r="E20" s="19">
        <v>12000</v>
      </c>
      <c r="F20" s="20">
        <v>171.46199999999999</v>
      </c>
      <c r="G20" s="21">
        <v>1.3100000000000001E-2</v>
      </c>
      <c r="H20" s="22"/>
      <c r="I20" s="23"/>
      <c r="J20" s="4"/>
    </row>
    <row r="21" spans="1:10" ht="13" customHeight="1">
      <c r="A21" s="17" t="s">
        <v>71</v>
      </c>
      <c r="B21" s="18" t="s">
        <v>72</v>
      </c>
      <c r="C21" s="14" t="s">
        <v>73</v>
      </c>
      <c r="D21" s="14" t="s">
        <v>26</v>
      </c>
      <c r="E21" s="19">
        <v>21000</v>
      </c>
      <c r="F21" s="20">
        <v>125.6955</v>
      </c>
      <c r="G21" s="21">
        <v>9.5999999999999992E-3</v>
      </c>
      <c r="H21" s="22"/>
      <c r="I21" s="23"/>
      <c r="J21" s="4"/>
    </row>
    <row r="22" spans="1:10" ht="13" customHeight="1">
      <c r="A22" s="17" t="s">
        <v>74</v>
      </c>
      <c r="B22" s="18" t="s">
        <v>75</v>
      </c>
      <c r="C22" s="14" t="s">
        <v>76</v>
      </c>
      <c r="D22" s="14" t="s">
        <v>77</v>
      </c>
      <c r="E22" s="19">
        <v>94500</v>
      </c>
      <c r="F22" s="20">
        <v>123.795</v>
      </c>
      <c r="G22" s="21">
        <v>9.4999999999999998E-3</v>
      </c>
      <c r="H22" s="22"/>
      <c r="I22" s="23"/>
      <c r="J22" s="4"/>
    </row>
    <row r="23" spans="1:10" ht="13" customHeight="1">
      <c r="A23" s="17" t="s">
        <v>78</v>
      </c>
      <c r="B23" s="18" t="s">
        <v>79</v>
      </c>
      <c r="C23" s="14" t="s">
        <v>80</v>
      </c>
      <c r="D23" s="14" t="s">
        <v>81</v>
      </c>
      <c r="E23" s="19">
        <v>202500</v>
      </c>
      <c r="F23" s="20">
        <v>120.58880000000001</v>
      </c>
      <c r="G23" s="21">
        <v>9.1999999999999998E-3</v>
      </c>
      <c r="H23" s="22"/>
      <c r="I23" s="23"/>
      <c r="J23" s="4"/>
    </row>
    <row r="24" spans="1:10" ht="13" customHeight="1">
      <c r="A24" s="17" t="s">
        <v>82</v>
      </c>
      <c r="B24" s="18" t="s">
        <v>83</v>
      </c>
      <c r="C24" s="14" t="s">
        <v>84</v>
      </c>
      <c r="D24" s="14" t="s">
        <v>85</v>
      </c>
      <c r="E24" s="19">
        <v>18150</v>
      </c>
      <c r="F24" s="20">
        <v>96.358400000000003</v>
      </c>
      <c r="G24" s="21">
        <v>7.4000000000000003E-3</v>
      </c>
      <c r="H24" s="22"/>
      <c r="I24" s="23"/>
      <c r="J24" s="4"/>
    </row>
    <row r="25" spans="1:10" ht="13" customHeight="1">
      <c r="A25" s="17" t="s">
        <v>86</v>
      </c>
      <c r="B25" s="18" t="s">
        <v>87</v>
      </c>
      <c r="C25" s="14" t="s">
        <v>88</v>
      </c>
      <c r="D25" s="14" t="s">
        <v>45</v>
      </c>
      <c r="E25" s="19">
        <v>14250</v>
      </c>
      <c r="F25" s="20">
        <v>89.8035</v>
      </c>
      <c r="G25" s="21">
        <v>6.8999999999999999E-3</v>
      </c>
      <c r="H25" s="22"/>
      <c r="I25" s="23"/>
      <c r="J25" s="4"/>
    </row>
    <row r="26" spans="1:10" ht="13" customHeight="1">
      <c r="A26" s="17" t="s">
        <v>89</v>
      </c>
      <c r="B26" s="18" t="s">
        <v>90</v>
      </c>
      <c r="C26" s="14" t="s">
        <v>91</v>
      </c>
      <c r="D26" s="14" t="s">
        <v>92</v>
      </c>
      <c r="E26" s="19">
        <v>9450</v>
      </c>
      <c r="F26" s="20">
        <v>73.672200000000004</v>
      </c>
      <c r="G26" s="21">
        <v>5.5999999999999999E-3</v>
      </c>
      <c r="H26" s="22"/>
      <c r="I26" s="23"/>
      <c r="J26" s="4"/>
    </row>
    <row r="27" spans="1:10" ht="13" customHeight="1">
      <c r="A27" s="17" t="s">
        <v>93</v>
      </c>
      <c r="B27" s="18" t="s">
        <v>94</v>
      </c>
      <c r="C27" s="14" t="s">
        <v>95</v>
      </c>
      <c r="D27" s="14" t="s">
        <v>96</v>
      </c>
      <c r="E27" s="19">
        <v>12600</v>
      </c>
      <c r="F27" s="20">
        <v>62.073900000000002</v>
      </c>
      <c r="G27" s="21">
        <v>4.7999999999999996E-3</v>
      </c>
      <c r="H27" s="22"/>
      <c r="I27" s="23"/>
      <c r="J27" s="4"/>
    </row>
    <row r="28" spans="1:10" ht="13" customHeight="1">
      <c r="A28" s="17" t="s">
        <v>97</v>
      </c>
      <c r="B28" s="18" t="s">
        <v>98</v>
      </c>
      <c r="C28" s="14" t="s">
        <v>99</v>
      </c>
      <c r="D28" s="14" t="s">
        <v>100</v>
      </c>
      <c r="E28" s="19">
        <v>3500</v>
      </c>
      <c r="F28" s="20">
        <v>35.253799999999998</v>
      </c>
      <c r="G28" s="21">
        <v>2.7000000000000001E-3</v>
      </c>
      <c r="H28" s="22"/>
      <c r="I28" s="23"/>
      <c r="J28" s="4"/>
    </row>
    <row r="29" spans="1:10" ht="13" customHeight="1">
      <c r="A29" s="17" t="s">
        <v>101</v>
      </c>
      <c r="B29" s="18" t="s">
        <v>102</v>
      </c>
      <c r="C29" s="14" t="s">
        <v>103</v>
      </c>
      <c r="D29" s="14" t="s">
        <v>81</v>
      </c>
      <c r="E29" s="19">
        <v>4000</v>
      </c>
      <c r="F29" s="20">
        <v>33.006</v>
      </c>
      <c r="G29" s="21">
        <v>2.5000000000000001E-3</v>
      </c>
      <c r="H29" s="22"/>
      <c r="I29" s="23"/>
      <c r="J29" s="4"/>
    </row>
    <row r="30" spans="1:10" ht="13" customHeight="1">
      <c r="A30" s="17" t="s">
        <v>104</v>
      </c>
      <c r="B30" s="18" t="s">
        <v>105</v>
      </c>
      <c r="C30" s="14" t="s">
        <v>106</v>
      </c>
      <c r="D30" s="14" t="s">
        <v>107</v>
      </c>
      <c r="E30" s="19">
        <v>407</v>
      </c>
      <c r="F30" s="20">
        <v>6.9880000000000004</v>
      </c>
      <c r="G30" s="21">
        <v>5.0000000000000001E-4</v>
      </c>
      <c r="H30" s="22"/>
      <c r="I30" s="23"/>
      <c r="J30" s="4"/>
    </row>
    <row r="31" spans="1:10" ht="13" customHeight="1">
      <c r="A31" s="4"/>
      <c r="B31" s="13" t="s">
        <v>108</v>
      </c>
      <c r="C31" s="14"/>
      <c r="D31" s="14"/>
      <c r="E31" s="14"/>
      <c r="F31" s="24">
        <v>7837.2331000000004</v>
      </c>
      <c r="G31" s="25">
        <v>0.60040000000000004</v>
      </c>
      <c r="H31" s="26"/>
      <c r="I31" s="27"/>
      <c r="J31" s="4"/>
    </row>
    <row r="32" spans="1:10" ht="13" customHeight="1">
      <c r="A32" s="4"/>
      <c r="B32" s="28" t="s">
        <v>109</v>
      </c>
      <c r="C32" s="1"/>
      <c r="D32" s="1"/>
      <c r="E32" s="1"/>
      <c r="F32" s="26" t="s">
        <v>110</v>
      </c>
      <c r="G32" s="26" t="s">
        <v>110</v>
      </c>
      <c r="H32" s="26"/>
      <c r="I32" s="27"/>
      <c r="J32" s="4"/>
    </row>
    <row r="33" spans="1:10" ht="13" customHeight="1">
      <c r="A33" s="4"/>
      <c r="B33" s="28" t="s">
        <v>108</v>
      </c>
      <c r="C33" s="1"/>
      <c r="D33" s="1"/>
      <c r="E33" s="1"/>
      <c r="F33" s="26" t="s">
        <v>110</v>
      </c>
      <c r="G33" s="26" t="s">
        <v>110</v>
      </c>
      <c r="H33" s="26"/>
      <c r="I33" s="27"/>
      <c r="J33" s="4"/>
    </row>
    <row r="34" spans="1:10" ht="13" customHeight="1">
      <c r="A34" s="4"/>
      <c r="B34" s="28" t="s">
        <v>111</v>
      </c>
      <c r="C34" s="29"/>
      <c r="D34" s="1"/>
      <c r="E34" s="29"/>
      <c r="F34" s="24">
        <v>7837.2331000000004</v>
      </c>
      <c r="G34" s="25">
        <v>0.60040000000000004</v>
      </c>
      <c r="H34" s="26"/>
      <c r="I34" s="27"/>
      <c r="J34" s="4"/>
    </row>
    <row r="35" spans="1:10" ht="13" customHeight="1">
      <c r="A35" s="4"/>
      <c r="B35" s="13" t="s">
        <v>112</v>
      </c>
      <c r="C35" s="14"/>
      <c r="D35" s="14"/>
      <c r="E35" s="14"/>
      <c r="F35" s="14"/>
      <c r="G35" s="14"/>
      <c r="H35" s="15"/>
      <c r="I35" s="16"/>
      <c r="J35" s="4"/>
    </row>
    <row r="36" spans="1:10" ht="13" customHeight="1">
      <c r="A36" s="4"/>
      <c r="B36" s="13" t="s">
        <v>113</v>
      </c>
      <c r="C36" s="14"/>
      <c r="D36" s="14"/>
      <c r="E36" s="14"/>
      <c r="F36" s="4"/>
      <c r="G36" s="15"/>
      <c r="H36" s="15"/>
      <c r="I36" s="16"/>
      <c r="J36" s="4"/>
    </row>
    <row r="37" spans="1:10" ht="13" customHeight="1">
      <c r="A37" s="17" t="s">
        <v>114</v>
      </c>
      <c r="B37" s="18" t="s">
        <v>115</v>
      </c>
      <c r="C37" s="14"/>
      <c r="D37" s="14"/>
      <c r="E37" s="19">
        <v>-407</v>
      </c>
      <c r="F37" s="20">
        <v>-7.0355999999999996</v>
      </c>
      <c r="G37" s="21">
        <v>-5.0000000000000001E-4</v>
      </c>
      <c r="H37" s="22"/>
      <c r="I37" s="23"/>
      <c r="J37" s="4"/>
    </row>
    <row r="38" spans="1:10" ht="13" customHeight="1">
      <c r="A38" s="17" t="s">
        <v>116</v>
      </c>
      <c r="B38" s="18" t="s">
        <v>117</v>
      </c>
      <c r="C38" s="14"/>
      <c r="D38" s="14"/>
      <c r="E38" s="19">
        <v>-4000</v>
      </c>
      <c r="F38" s="20">
        <v>-33.142000000000003</v>
      </c>
      <c r="G38" s="21">
        <v>-2.5000000000000001E-3</v>
      </c>
      <c r="H38" s="22"/>
      <c r="I38" s="23"/>
      <c r="J38" s="4"/>
    </row>
    <row r="39" spans="1:10" ht="13" customHeight="1">
      <c r="A39" s="17" t="s">
        <v>118</v>
      </c>
      <c r="B39" s="18" t="s">
        <v>119</v>
      </c>
      <c r="C39" s="14"/>
      <c r="D39" s="14"/>
      <c r="E39" s="19">
        <v>-3500</v>
      </c>
      <c r="F39" s="20">
        <v>-35.467300000000002</v>
      </c>
      <c r="G39" s="21">
        <v>-2.7000000000000001E-3</v>
      </c>
      <c r="H39" s="22"/>
      <c r="I39" s="23"/>
      <c r="J39" s="4"/>
    </row>
    <row r="40" spans="1:10" ht="13" customHeight="1">
      <c r="A40" s="17" t="s">
        <v>120</v>
      </c>
      <c r="B40" s="18" t="s">
        <v>121</v>
      </c>
      <c r="C40" s="14"/>
      <c r="D40" s="14"/>
      <c r="E40" s="19">
        <v>-12600</v>
      </c>
      <c r="F40" s="20">
        <v>-62.212499999999999</v>
      </c>
      <c r="G40" s="21">
        <v>-4.7999999999999996E-3</v>
      </c>
      <c r="H40" s="22"/>
      <c r="I40" s="23"/>
      <c r="J40" s="4"/>
    </row>
    <row r="41" spans="1:10" ht="13" customHeight="1">
      <c r="A41" s="17" t="s">
        <v>122</v>
      </c>
      <c r="B41" s="18" t="s">
        <v>123</v>
      </c>
      <c r="C41" s="14"/>
      <c r="D41" s="14"/>
      <c r="E41" s="19">
        <v>-9450</v>
      </c>
      <c r="F41" s="20">
        <v>-73.932100000000005</v>
      </c>
      <c r="G41" s="21">
        <v>-5.7000000000000002E-3</v>
      </c>
      <c r="H41" s="22"/>
      <c r="I41" s="23"/>
      <c r="J41" s="4"/>
    </row>
    <row r="42" spans="1:10" ht="13" customHeight="1">
      <c r="A42" s="17" t="s">
        <v>124</v>
      </c>
      <c r="B42" s="18" t="s">
        <v>125</v>
      </c>
      <c r="C42" s="14"/>
      <c r="D42" s="14"/>
      <c r="E42" s="19">
        <v>-14250</v>
      </c>
      <c r="F42" s="20">
        <v>-90.238100000000003</v>
      </c>
      <c r="G42" s="21">
        <v>-6.8999999999999999E-3</v>
      </c>
      <c r="H42" s="22"/>
      <c r="I42" s="23"/>
      <c r="J42" s="4"/>
    </row>
    <row r="43" spans="1:10" ht="13" customHeight="1">
      <c r="A43" s="17" t="s">
        <v>126</v>
      </c>
      <c r="B43" s="18" t="s">
        <v>127</v>
      </c>
      <c r="C43" s="14"/>
      <c r="D43" s="14"/>
      <c r="E43" s="19">
        <v>-18150</v>
      </c>
      <c r="F43" s="20">
        <v>-96.975499999999997</v>
      </c>
      <c r="G43" s="21">
        <v>-7.4000000000000003E-3</v>
      </c>
      <c r="H43" s="22"/>
      <c r="I43" s="23"/>
      <c r="J43" s="4"/>
    </row>
    <row r="44" spans="1:10" ht="13" customHeight="1">
      <c r="A44" s="17" t="s">
        <v>128</v>
      </c>
      <c r="B44" s="18" t="s">
        <v>129</v>
      </c>
      <c r="C44" s="14"/>
      <c r="D44" s="14"/>
      <c r="E44" s="19">
        <v>-202500</v>
      </c>
      <c r="F44" s="20">
        <v>-121.19629999999999</v>
      </c>
      <c r="G44" s="21">
        <v>-9.2999999999999992E-3</v>
      </c>
      <c r="H44" s="22"/>
      <c r="I44" s="23"/>
      <c r="J44" s="4"/>
    </row>
    <row r="45" spans="1:10" ht="13" customHeight="1">
      <c r="A45" s="17" t="s">
        <v>130</v>
      </c>
      <c r="B45" s="18" t="s">
        <v>131</v>
      </c>
      <c r="C45" s="14"/>
      <c r="D45" s="14"/>
      <c r="E45" s="19">
        <v>-94500</v>
      </c>
      <c r="F45" s="20">
        <v>-124.6455</v>
      </c>
      <c r="G45" s="21">
        <v>-9.5999999999999992E-3</v>
      </c>
      <c r="H45" s="22"/>
      <c r="I45" s="23"/>
      <c r="J45" s="4"/>
    </row>
    <row r="46" spans="1:10" ht="13" customHeight="1">
      <c r="A46" s="17" t="s">
        <v>132</v>
      </c>
      <c r="B46" s="18" t="s">
        <v>133</v>
      </c>
      <c r="C46" s="14"/>
      <c r="D46" s="14"/>
      <c r="E46" s="19">
        <v>-21000</v>
      </c>
      <c r="F46" s="20">
        <v>-126.14700000000001</v>
      </c>
      <c r="G46" s="21">
        <v>-9.7000000000000003E-3</v>
      </c>
      <c r="H46" s="22"/>
      <c r="I46" s="23"/>
      <c r="J46" s="4"/>
    </row>
    <row r="47" spans="1:10" ht="13" customHeight="1">
      <c r="A47" s="17" t="s">
        <v>134</v>
      </c>
      <c r="B47" s="18" t="s">
        <v>135</v>
      </c>
      <c r="C47" s="14"/>
      <c r="D47" s="14"/>
      <c r="E47" s="19">
        <v>-12000</v>
      </c>
      <c r="F47" s="20">
        <v>-172.548</v>
      </c>
      <c r="G47" s="21">
        <v>-1.32E-2</v>
      </c>
      <c r="H47" s="22"/>
      <c r="I47" s="23"/>
      <c r="J47" s="4"/>
    </row>
    <row r="48" spans="1:10" ht="13" customHeight="1">
      <c r="A48" s="17" t="s">
        <v>136</v>
      </c>
      <c r="B48" s="18" t="s">
        <v>137</v>
      </c>
      <c r="C48" s="14"/>
      <c r="D48" s="14"/>
      <c r="E48" s="19">
        <v>-124200</v>
      </c>
      <c r="F48" s="20">
        <v>-317.82780000000002</v>
      </c>
      <c r="G48" s="21">
        <v>-2.4400000000000002E-2</v>
      </c>
      <c r="H48" s="22"/>
      <c r="I48" s="23"/>
      <c r="J48" s="4"/>
    </row>
    <row r="49" spans="1:10" ht="13" customHeight="1">
      <c r="A49" s="17" t="s">
        <v>138</v>
      </c>
      <c r="B49" s="18" t="s">
        <v>139</v>
      </c>
      <c r="C49" s="14"/>
      <c r="D49" s="14"/>
      <c r="E49" s="19">
        <v>-3500</v>
      </c>
      <c r="F49" s="20">
        <v>-372.97230000000002</v>
      </c>
      <c r="G49" s="21">
        <v>-2.86E-2</v>
      </c>
      <c r="H49" s="22"/>
      <c r="I49" s="23"/>
      <c r="J49" s="4"/>
    </row>
    <row r="50" spans="1:10" ht="13" customHeight="1">
      <c r="A50" s="17" t="s">
        <v>140</v>
      </c>
      <c r="B50" s="18" t="s">
        <v>141</v>
      </c>
      <c r="C50" s="14"/>
      <c r="D50" s="14"/>
      <c r="E50" s="19">
        <v>-36875</v>
      </c>
      <c r="F50" s="20">
        <v>-384.31130000000002</v>
      </c>
      <c r="G50" s="21">
        <v>-2.9399999999999999E-2</v>
      </c>
      <c r="H50" s="22"/>
      <c r="I50" s="23"/>
      <c r="J50" s="4"/>
    </row>
    <row r="51" spans="1:10" ht="13" customHeight="1">
      <c r="A51" s="17" t="s">
        <v>142</v>
      </c>
      <c r="B51" s="18" t="s">
        <v>143</v>
      </c>
      <c r="C51" s="14"/>
      <c r="D51" s="14"/>
      <c r="E51" s="19">
        <v>-90000</v>
      </c>
      <c r="F51" s="20">
        <v>-384.75</v>
      </c>
      <c r="G51" s="21">
        <v>-2.9499999999999998E-2</v>
      </c>
      <c r="H51" s="22"/>
      <c r="I51" s="23"/>
      <c r="J51" s="4"/>
    </row>
    <row r="52" spans="1:10" ht="13" customHeight="1">
      <c r="A52" s="17" t="s">
        <v>144</v>
      </c>
      <c r="B52" s="18" t="s">
        <v>145</v>
      </c>
      <c r="C52" s="14"/>
      <c r="D52" s="14"/>
      <c r="E52" s="19">
        <v>-20000</v>
      </c>
      <c r="F52" s="20">
        <v>-388.01</v>
      </c>
      <c r="G52" s="21">
        <v>-2.9700000000000001E-2</v>
      </c>
      <c r="H52" s="22"/>
      <c r="I52" s="23"/>
      <c r="J52" s="4"/>
    </row>
    <row r="53" spans="1:10" ht="13" customHeight="1">
      <c r="A53" s="17" t="s">
        <v>146</v>
      </c>
      <c r="B53" s="18" t="s">
        <v>147</v>
      </c>
      <c r="C53" s="14"/>
      <c r="D53" s="14"/>
      <c r="E53" s="19">
        <v>-33600</v>
      </c>
      <c r="F53" s="20">
        <v>-391.0872</v>
      </c>
      <c r="G53" s="21">
        <v>-0.03</v>
      </c>
      <c r="H53" s="22"/>
      <c r="I53" s="23"/>
      <c r="J53" s="4"/>
    </row>
    <row r="54" spans="1:10" ht="13" customHeight="1">
      <c r="A54" s="17" t="s">
        <v>148</v>
      </c>
      <c r="B54" s="18" t="s">
        <v>149</v>
      </c>
      <c r="C54" s="14"/>
      <c r="D54" s="14"/>
      <c r="E54" s="19">
        <v>-22800</v>
      </c>
      <c r="F54" s="20">
        <v>-398.01960000000003</v>
      </c>
      <c r="G54" s="21">
        <v>-3.0499999999999999E-2</v>
      </c>
      <c r="H54" s="22"/>
      <c r="I54" s="23"/>
      <c r="J54" s="4"/>
    </row>
    <row r="55" spans="1:10" ht="13" customHeight="1">
      <c r="A55" s="17" t="s">
        <v>150</v>
      </c>
      <c r="B55" s="18" t="s">
        <v>151</v>
      </c>
      <c r="C55" s="14"/>
      <c r="D55" s="14"/>
      <c r="E55" s="19">
        <v>-11900</v>
      </c>
      <c r="F55" s="20">
        <v>-413.5369</v>
      </c>
      <c r="G55" s="21">
        <v>-3.1699999999999999E-2</v>
      </c>
      <c r="H55" s="22"/>
      <c r="I55" s="23"/>
      <c r="J55" s="4"/>
    </row>
    <row r="56" spans="1:10" ht="13" customHeight="1">
      <c r="A56" s="17" t="s">
        <v>152</v>
      </c>
      <c r="B56" s="18" t="s">
        <v>153</v>
      </c>
      <c r="C56" s="14"/>
      <c r="D56" s="14"/>
      <c r="E56" s="19">
        <v>-290000</v>
      </c>
      <c r="F56" s="20">
        <v>-428.47500000000002</v>
      </c>
      <c r="G56" s="21">
        <v>-3.2800000000000003E-2</v>
      </c>
      <c r="H56" s="22"/>
      <c r="I56" s="23"/>
      <c r="J56" s="4"/>
    </row>
    <row r="57" spans="1:10" ht="13" customHeight="1">
      <c r="A57" s="17" t="s">
        <v>154</v>
      </c>
      <c r="B57" s="18" t="s">
        <v>155</v>
      </c>
      <c r="C57" s="14"/>
      <c r="D57" s="14"/>
      <c r="E57" s="19">
        <v>-6100</v>
      </c>
      <c r="F57" s="20">
        <v>-505.65949999999998</v>
      </c>
      <c r="G57" s="21">
        <v>-3.8699999999999998E-2</v>
      </c>
      <c r="H57" s="22"/>
      <c r="I57" s="23"/>
      <c r="J57" s="4"/>
    </row>
    <row r="58" spans="1:10" ht="13" customHeight="1">
      <c r="A58" s="17" t="s">
        <v>156</v>
      </c>
      <c r="B58" s="18" t="s">
        <v>157</v>
      </c>
      <c r="C58" s="14"/>
      <c r="D58" s="14"/>
      <c r="E58" s="19">
        <v>-64900</v>
      </c>
      <c r="F58" s="20">
        <v>-597.30719999999997</v>
      </c>
      <c r="G58" s="21">
        <v>-4.58E-2</v>
      </c>
      <c r="H58" s="22"/>
      <c r="I58" s="23"/>
      <c r="J58" s="4"/>
    </row>
    <row r="59" spans="1:10" ht="13" customHeight="1">
      <c r="A59" s="17" t="s">
        <v>158</v>
      </c>
      <c r="B59" s="18" t="s">
        <v>159</v>
      </c>
      <c r="C59" s="14"/>
      <c r="D59" s="14"/>
      <c r="E59" s="19">
        <v>-48250</v>
      </c>
      <c r="F59" s="20">
        <v>-1137.7349999999999</v>
      </c>
      <c r="G59" s="21">
        <v>-8.72E-2</v>
      </c>
      <c r="H59" s="22"/>
      <c r="I59" s="23"/>
      <c r="J59" s="4"/>
    </row>
    <row r="60" spans="1:10" ht="13" customHeight="1">
      <c r="A60" s="17" t="s">
        <v>160</v>
      </c>
      <c r="B60" s="18" t="s">
        <v>161</v>
      </c>
      <c r="C60" s="14"/>
      <c r="D60" s="14"/>
      <c r="E60" s="19">
        <v>-79200</v>
      </c>
      <c r="F60" s="20">
        <v>-1217.0663999999999</v>
      </c>
      <c r="G60" s="21">
        <v>-9.3299999999999994E-2</v>
      </c>
      <c r="H60" s="22"/>
      <c r="I60" s="23"/>
      <c r="J60" s="4"/>
    </row>
    <row r="61" spans="1:10" ht="13" customHeight="1">
      <c r="A61" s="4"/>
      <c r="B61" s="13" t="s">
        <v>108</v>
      </c>
      <c r="C61" s="14"/>
      <c r="D61" s="14"/>
      <c r="E61" s="14"/>
      <c r="F61" s="24">
        <v>-7880.2978000000003</v>
      </c>
      <c r="G61" s="25">
        <v>-0.60389999999999999</v>
      </c>
      <c r="H61" s="26"/>
      <c r="I61" s="27"/>
      <c r="J61" s="4"/>
    </row>
    <row r="62" spans="1:10" ht="13" customHeight="1">
      <c r="A62" s="4"/>
      <c r="B62" s="28" t="s">
        <v>111</v>
      </c>
      <c r="C62" s="29"/>
      <c r="D62" s="1"/>
      <c r="E62" s="29"/>
      <c r="F62" s="24">
        <v>-7880.2978000000003</v>
      </c>
      <c r="G62" s="25">
        <v>-0.60389999999999999</v>
      </c>
      <c r="H62" s="26"/>
      <c r="I62" s="27"/>
      <c r="J62" s="4"/>
    </row>
    <row r="63" spans="1:10" ht="13" customHeight="1">
      <c r="A63" s="4"/>
      <c r="B63" s="13" t="s">
        <v>162</v>
      </c>
      <c r="C63" s="14"/>
      <c r="D63" s="14"/>
      <c r="E63" s="14"/>
      <c r="F63" s="14"/>
      <c r="G63" s="14"/>
      <c r="H63" s="15"/>
      <c r="I63" s="16"/>
      <c r="J63" s="4"/>
    </row>
    <row r="64" spans="1:10" ht="13" customHeight="1">
      <c r="A64" s="4"/>
      <c r="B64" s="13" t="s">
        <v>163</v>
      </c>
      <c r="C64" s="14"/>
      <c r="D64" s="14"/>
      <c r="E64" s="14"/>
      <c r="F64" s="4"/>
      <c r="G64" s="15"/>
      <c r="H64" s="15"/>
      <c r="I64" s="16"/>
      <c r="J64" s="4"/>
    </row>
    <row r="65" spans="1:10" ht="13" customHeight="1">
      <c r="A65" s="17" t="s">
        <v>164</v>
      </c>
      <c r="B65" s="18" t="s">
        <v>165</v>
      </c>
      <c r="C65" s="14" t="s">
        <v>166</v>
      </c>
      <c r="D65" s="14" t="s">
        <v>167</v>
      </c>
      <c r="E65" s="19">
        <v>2500000</v>
      </c>
      <c r="F65" s="20">
        <v>2459.2249999999999</v>
      </c>
      <c r="G65" s="21">
        <v>0.18840000000000001</v>
      </c>
      <c r="H65" s="30">
        <v>6.8000000000000005E-2</v>
      </c>
      <c r="I65" s="23"/>
      <c r="J65" s="4"/>
    </row>
    <row r="66" spans="1:10" ht="13" customHeight="1">
      <c r="A66" s="4"/>
      <c r="B66" s="13" t="s">
        <v>108</v>
      </c>
      <c r="C66" s="14"/>
      <c r="D66" s="14"/>
      <c r="E66" s="14"/>
      <c r="F66" s="24">
        <v>2459.2249999999999</v>
      </c>
      <c r="G66" s="25">
        <v>0.18840000000000001</v>
      </c>
      <c r="H66" s="26"/>
      <c r="I66" s="27"/>
      <c r="J66" s="4"/>
    </row>
    <row r="67" spans="1:10" ht="13" customHeight="1">
      <c r="A67" s="4"/>
      <c r="B67" s="28" t="s">
        <v>111</v>
      </c>
      <c r="C67" s="29"/>
      <c r="D67" s="1"/>
      <c r="E67" s="29"/>
      <c r="F67" s="24">
        <v>2459.2249999999999</v>
      </c>
      <c r="G67" s="25">
        <v>0.18840000000000001</v>
      </c>
      <c r="H67" s="26"/>
      <c r="I67" s="27"/>
      <c r="J67" s="4"/>
    </row>
    <row r="68" spans="1:10" ht="13" customHeight="1">
      <c r="A68" s="4"/>
      <c r="B68" s="28" t="s">
        <v>168</v>
      </c>
      <c r="C68" s="14"/>
      <c r="D68" s="1"/>
      <c r="E68" s="14"/>
      <c r="F68" s="31">
        <v>10635.019700000001</v>
      </c>
      <c r="G68" s="25">
        <v>0.81510000000000005</v>
      </c>
      <c r="H68" s="26"/>
      <c r="I68" s="27"/>
      <c r="J68" s="4"/>
    </row>
    <row r="69" spans="1:10" ht="13" customHeight="1">
      <c r="A69" s="4"/>
      <c r="B69" s="32" t="s">
        <v>169</v>
      </c>
      <c r="C69" s="33"/>
      <c r="D69" s="33"/>
      <c r="E69" s="33"/>
      <c r="F69" s="34">
        <v>13051.18</v>
      </c>
      <c r="G69" s="35">
        <v>1</v>
      </c>
      <c r="H69" s="36"/>
      <c r="I69" s="37"/>
      <c r="J69" s="4"/>
    </row>
    <row r="70" spans="1:10" ht="13" customHeight="1">
      <c r="A70" s="4"/>
      <c r="B70" s="6"/>
      <c r="C70" s="4"/>
      <c r="D70" s="4"/>
      <c r="E70" s="4"/>
      <c r="F70" s="59"/>
      <c r="G70" s="58"/>
      <c r="H70" s="4"/>
      <c r="I70" s="4"/>
      <c r="J70" s="4"/>
    </row>
    <row r="71" spans="1:10" ht="13" customHeight="1">
      <c r="A71" s="4"/>
      <c r="B71" s="3" t="s">
        <v>170</v>
      </c>
      <c r="C71" s="4"/>
      <c r="D71" s="4"/>
      <c r="E71" s="4"/>
      <c r="F71" s="4"/>
      <c r="G71" s="4"/>
      <c r="H71" s="4"/>
      <c r="I71" s="4"/>
      <c r="J71" s="4"/>
    </row>
    <row r="72" spans="1:10" ht="13" customHeight="1">
      <c r="A72" s="4"/>
      <c r="B72" s="3" t="s">
        <v>171</v>
      </c>
      <c r="C72" s="4"/>
      <c r="D72" s="4"/>
      <c r="E72" s="4"/>
      <c r="F72" s="4"/>
      <c r="G72" s="4"/>
      <c r="H72" s="4"/>
      <c r="I72" s="4"/>
      <c r="J72" s="4"/>
    </row>
    <row r="73" spans="1:10" ht="26.15" customHeight="1">
      <c r="A73" s="4"/>
      <c r="B73" s="61" t="s">
        <v>172</v>
      </c>
      <c r="C73" s="61"/>
      <c r="D73" s="61"/>
      <c r="E73" s="61"/>
      <c r="F73" s="61"/>
      <c r="G73" s="61"/>
      <c r="H73" s="61"/>
      <c r="I73" s="61"/>
      <c r="J73" s="4"/>
    </row>
    <row r="74" spans="1:10" ht="13" customHeight="1">
      <c r="A74" s="4"/>
      <c r="B74" s="61"/>
      <c r="C74" s="61"/>
      <c r="D74" s="61"/>
      <c r="E74" s="61"/>
      <c r="F74" s="61"/>
      <c r="G74" s="61"/>
      <c r="H74" s="61"/>
      <c r="I74" s="61"/>
      <c r="J74" s="4"/>
    </row>
    <row r="75" spans="1:10" s="41" customFormat="1" ht="15" customHeight="1">
      <c r="B75" s="42" t="s">
        <v>603</v>
      </c>
      <c r="C75" s="43"/>
      <c r="D75" s="43"/>
      <c r="E75" s="43"/>
      <c r="F75" s="43"/>
      <c r="G75" s="43"/>
      <c r="H75" s="43"/>
      <c r="I75" s="44"/>
    </row>
    <row r="76" spans="1:10" s="41" customFormat="1" ht="15" customHeight="1">
      <c r="B76" s="45" t="s">
        <v>604</v>
      </c>
      <c r="I76" s="46"/>
    </row>
    <row r="77" spans="1:10" s="41" customFormat="1" ht="15" customHeight="1">
      <c r="B77" s="45" t="s">
        <v>605</v>
      </c>
      <c r="I77" s="46"/>
    </row>
    <row r="78" spans="1:10" s="41" customFormat="1" ht="15" customHeight="1">
      <c r="B78" s="47" t="s">
        <v>606</v>
      </c>
      <c r="C78" s="48" t="s">
        <v>622</v>
      </c>
      <c r="D78"/>
      <c r="I78" s="46"/>
    </row>
    <row r="79" spans="1:10" s="41" customFormat="1" ht="15" customHeight="1">
      <c r="B79" s="49" t="s">
        <v>607</v>
      </c>
      <c r="C79" s="50">
        <v>10.029999999999999</v>
      </c>
      <c r="D79"/>
      <c r="F79" s="51"/>
      <c r="I79" s="46"/>
    </row>
    <row r="80" spans="1:10" s="41" customFormat="1" ht="15" customHeight="1">
      <c r="B80" s="49" t="s">
        <v>608</v>
      </c>
      <c r="C80" s="50">
        <v>10.029999999999999</v>
      </c>
      <c r="D80"/>
      <c r="F80" s="51"/>
      <c r="I80" s="46"/>
    </row>
    <row r="81" spans="1:9" s="41" customFormat="1" ht="15" customHeight="1">
      <c r="B81" s="49" t="s">
        <v>609</v>
      </c>
      <c r="C81" s="50">
        <v>10.032999999999999</v>
      </c>
      <c r="D81"/>
      <c r="F81" s="51"/>
      <c r="I81" s="46"/>
    </row>
    <row r="82" spans="1:9" s="41" customFormat="1" ht="15" customHeight="1">
      <c r="B82" s="49" t="s">
        <v>610</v>
      </c>
      <c r="C82" s="50">
        <v>10.032999999999999</v>
      </c>
      <c r="D82"/>
      <c r="F82" s="51"/>
      <c r="I82" s="46"/>
    </row>
    <row r="83" spans="1:9" s="41" customFormat="1" ht="15" customHeight="1">
      <c r="B83" s="45" t="s">
        <v>623</v>
      </c>
      <c r="C83" s="52"/>
      <c r="D83" s="52"/>
      <c r="I83" s="46"/>
    </row>
    <row r="84" spans="1:9" s="41" customFormat="1" ht="15" customHeight="1">
      <c r="B84" s="45" t="s">
        <v>611</v>
      </c>
      <c r="I84" s="46"/>
    </row>
    <row r="85" spans="1:9">
      <c r="A85" s="41"/>
      <c r="B85" s="45" t="s">
        <v>625</v>
      </c>
      <c r="C85" s="41"/>
      <c r="D85" s="41"/>
      <c r="E85" s="41"/>
      <c r="F85" s="41"/>
      <c r="G85" s="41"/>
      <c r="H85" s="41"/>
      <c r="I85" s="46"/>
    </row>
    <row r="86" spans="1:9">
      <c r="A86" s="41"/>
      <c r="B86" s="69" t="s">
        <v>636</v>
      </c>
      <c r="C86" s="43"/>
      <c r="D86" s="43"/>
      <c r="E86" s="43"/>
      <c r="F86" s="43"/>
      <c r="G86" s="41"/>
      <c r="H86" s="41"/>
      <c r="I86" s="46"/>
    </row>
    <row r="87" spans="1:9" ht="23">
      <c r="A87" s="41"/>
      <c r="B87" s="49" t="s">
        <v>637</v>
      </c>
      <c r="C87" s="49" t="s">
        <v>638</v>
      </c>
      <c r="D87" s="63" t="s">
        <v>639</v>
      </c>
      <c r="E87" s="64" t="s">
        <v>640</v>
      </c>
      <c r="F87" s="64" t="s">
        <v>641</v>
      </c>
      <c r="G87" s="41"/>
      <c r="H87" s="41"/>
      <c r="I87" s="46"/>
    </row>
    <row r="88" spans="1:9">
      <c r="A88" s="41"/>
      <c r="B88" s="65" t="s">
        <v>642</v>
      </c>
      <c r="C88" s="65" t="s">
        <v>643</v>
      </c>
      <c r="D88" s="66">
        <v>473.7722</v>
      </c>
      <c r="E88" s="66">
        <v>493.75</v>
      </c>
      <c r="F88" s="66">
        <v>11.156040000000001</v>
      </c>
      <c r="G88" s="41"/>
      <c r="H88" s="41"/>
      <c r="I88" s="46"/>
    </row>
    <row r="89" spans="1:9">
      <c r="A89" s="41"/>
      <c r="B89" s="65" t="s">
        <v>644</v>
      </c>
      <c r="C89" s="65" t="s">
        <v>643</v>
      </c>
      <c r="D89" s="66">
        <v>594.33569999999997</v>
      </c>
      <c r="E89" s="66">
        <v>600.70000000000005</v>
      </c>
      <c r="F89" s="66">
        <v>17.887799999999999</v>
      </c>
      <c r="G89" s="41"/>
      <c r="H89" s="41"/>
      <c r="I89" s="46"/>
    </row>
    <row r="90" spans="1:9">
      <c r="A90" s="41"/>
      <c r="B90" s="65" t="s">
        <v>645</v>
      </c>
      <c r="C90" s="65" t="s">
        <v>643</v>
      </c>
      <c r="D90" s="66">
        <v>424.90202399999998</v>
      </c>
      <c r="E90" s="66">
        <v>427.5</v>
      </c>
      <c r="F90" s="66">
        <v>77.634</v>
      </c>
      <c r="G90" s="41"/>
      <c r="H90" s="41"/>
      <c r="I90" s="46"/>
    </row>
    <row r="91" spans="1:9">
      <c r="A91" s="41"/>
      <c r="B91" s="65" t="s">
        <v>646</v>
      </c>
      <c r="C91" s="65" t="s">
        <v>643</v>
      </c>
      <c r="D91" s="66">
        <v>1573.8524444444445</v>
      </c>
      <c r="E91" s="66">
        <v>1536.7</v>
      </c>
      <c r="F91" s="66">
        <v>172.0224</v>
      </c>
      <c r="G91" s="41"/>
      <c r="H91" s="41"/>
      <c r="I91" s="46"/>
    </row>
    <row r="92" spans="1:9">
      <c r="A92" s="41"/>
      <c r="B92" s="65" t="s">
        <v>647</v>
      </c>
      <c r="C92" s="65" t="s">
        <v>643</v>
      </c>
      <c r="D92" s="66">
        <v>1436.8125</v>
      </c>
      <c r="E92" s="66">
        <v>1437.9</v>
      </c>
      <c r="F92" s="66">
        <v>28.886399999999998</v>
      </c>
      <c r="G92" s="41"/>
      <c r="H92" s="41"/>
      <c r="I92" s="46"/>
    </row>
    <row r="93" spans="1:9">
      <c r="A93" s="41"/>
      <c r="B93" s="65" t="s">
        <v>648</v>
      </c>
      <c r="C93" s="65" t="s">
        <v>643</v>
      </c>
      <c r="D93" s="66">
        <v>1023.5</v>
      </c>
      <c r="E93" s="66">
        <v>1013.35</v>
      </c>
      <c r="F93" s="66">
        <v>5.0168999999999997</v>
      </c>
      <c r="G93" s="41"/>
      <c r="H93" s="41"/>
      <c r="I93" s="46"/>
    </row>
    <row r="94" spans="1:9">
      <c r="A94" s="41"/>
      <c r="B94" s="65" t="s">
        <v>649</v>
      </c>
      <c r="C94" s="65" t="s">
        <v>643</v>
      </c>
      <c r="D94" s="66">
        <v>923.322</v>
      </c>
      <c r="E94" s="66">
        <v>920.35</v>
      </c>
      <c r="F94" s="66">
        <v>98.245620000000002</v>
      </c>
      <c r="G94" s="41"/>
      <c r="H94" s="41"/>
      <c r="I94" s="46"/>
    </row>
    <row r="95" spans="1:9">
      <c r="A95" s="41"/>
      <c r="B95" s="65" t="s">
        <v>650</v>
      </c>
      <c r="C95" s="65" t="s">
        <v>643</v>
      </c>
      <c r="D95" s="66">
        <v>128.06110000000001</v>
      </c>
      <c r="E95" s="66">
        <v>131.9</v>
      </c>
      <c r="F95" s="66">
        <v>29.295000000000002</v>
      </c>
      <c r="G95" s="41"/>
      <c r="H95" s="41"/>
      <c r="I95" s="46"/>
    </row>
    <row r="96" spans="1:9">
      <c r="A96" s="41"/>
      <c r="B96" s="65" t="s">
        <v>651</v>
      </c>
      <c r="C96" s="65" t="s">
        <v>643</v>
      </c>
      <c r="D96" s="66">
        <v>526.87730027548207</v>
      </c>
      <c r="E96" s="66">
        <v>534.29999999999995</v>
      </c>
      <c r="F96" s="66">
        <v>16.14085</v>
      </c>
      <c r="G96" s="41"/>
      <c r="H96" s="41"/>
      <c r="I96" s="46"/>
    </row>
    <row r="97" spans="1:9">
      <c r="A97" s="41"/>
      <c r="B97" s="65" t="s">
        <v>652</v>
      </c>
      <c r="C97" s="65" t="s">
        <v>643</v>
      </c>
      <c r="D97" s="66">
        <v>3469.3022000000001</v>
      </c>
      <c r="E97" s="66">
        <v>3475.1</v>
      </c>
      <c r="F97" s="66">
        <v>58.373240000000003</v>
      </c>
      <c r="G97" s="41"/>
      <c r="H97" s="41"/>
      <c r="I97" s="46"/>
    </row>
    <row r="98" spans="1:9">
      <c r="A98" s="41"/>
      <c r="B98" s="65" t="s">
        <v>653</v>
      </c>
      <c r="C98" s="65" t="s">
        <v>643</v>
      </c>
      <c r="D98" s="66">
        <v>147.28961034482759</v>
      </c>
      <c r="E98" s="66">
        <v>147.75</v>
      </c>
      <c r="F98" s="66">
        <v>66.555000000000007</v>
      </c>
      <c r="G98" s="41"/>
      <c r="H98" s="41"/>
      <c r="I98" s="46"/>
    </row>
    <row r="99" spans="1:9">
      <c r="A99" s="41"/>
      <c r="B99" s="65" t="s">
        <v>654</v>
      </c>
      <c r="C99" s="65" t="s">
        <v>643</v>
      </c>
      <c r="D99" s="66">
        <v>59.555599999999998</v>
      </c>
      <c r="E99" s="66">
        <v>59.85</v>
      </c>
      <c r="F99" s="66">
        <v>38.130749999999999</v>
      </c>
      <c r="G99" s="41"/>
      <c r="H99" s="41"/>
      <c r="I99" s="46"/>
    </row>
    <row r="100" spans="1:9">
      <c r="A100" s="41"/>
      <c r="B100" s="65" t="s">
        <v>655</v>
      </c>
      <c r="C100" s="65" t="s">
        <v>643</v>
      </c>
      <c r="D100" s="66">
        <v>264.14020217391305</v>
      </c>
      <c r="E100" s="66">
        <v>255.9</v>
      </c>
      <c r="F100" s="66">
        <v>51.791400000000003</v>
      </c>
      <c r="G100" s="41"/>
      <c r="H100" s="41"/>
      <c r="I100" s="46"/>
    </row>
    <row r="101" spans="1:9">
      <c r="A101" s="41"/>
      <c r="B101" s="65" t="s">
        <v>656</v>
      </c>
      <c r="C101" s="65" t="s">
        <v>643</v>
      </c>
      <c r="D101" s="66">
        <v>1777.4292280701754</v>
      </c>
      <c r="E101" s="66">
        <v>1745.7</v>
      </c>
      <c r="F101" s="66">
        <v>56.316000000000003</v>
      </c>
      <c r="G101" s="41"/>
      <c r="H101" s="41"/>
      <c r="I101" s="46"/>
    </row>
    <row r="102" spans="1:9">
      <c r="A102" s="41"/>
      <c r="B102" s="65" t="s">
        <v>657</v>
      </c>
      <c r="C102" s="65" t="s">
        <v>643</v>
      </c>
      <c r="D102" s="66">
        <v>10639.05</v>
      </c>
      <c r="E102" s="66">
        <v>10656.35</v>
      </c>
      <c r="F102" s="66">
        <v>52.847549999999998</v>
      </c>
      <c r="G102" s="41"/>
      <c r="H102" s="41"/>
      <c r="I102" s="46"/>
    </row>
    <row r="103" spans="1:9">
      <c r="A103" s="41"/>
      <c r="B103" s="65" t="s">
        <v>658</v>
      </c>
      <c r="C103" s="65" t="s">
        <v>643</v>
      </c>
      <c r="D103" s="66">
        <v>1735.3</v>
      </c>
      <c r="E103" s="66">
        <v>1728.65</v>
      </c>
      <c r="F103" s="66">
        <v>1.1126199999999999</v>
      </c>
      <c r="G103" s="41"/>
      <c r="H103" s="41"/>
      <c r="I103" s="46"/>
    </row>
    <row r="104" spans="1:9">
      <c r="A104" s="41"/>
      <c r="B104" s="65" t="s">
        <v>659</v>
      </c>
      <c r="C104" s="65" t="s">
        <v>643</v>
      </c>
      <c r="D104" s="66">
        <v>2381.1352331606217</v>
      </c>
      <c r="E104" s="66">
        <v>2358</v>
      </c>
      <c r="F104" s="66">
        <v>161.01604</v>
      </c>
      <c r="G104" s="41"/>
      <c r="H104" s="41"/>
      <c r="I104" s="46"/>
    </row>
    <row r="105" spans="1:9">
      <c r="A105" s="41"/>
      <c r="B105" s="65" t="s">
        <v>660</v>
      </c>
      <c r="C105" s="65" t="s">
        <v>643</v>
      </c>
      <c r="D105" s="66">
        <v>1133.6590000000001</v>
      </c>
      <c r="E105" s="66">
        <v>1163.95</v>
      </c>
      <c r="F105" s="66">
        <v>55.399679999999996</v>
      </c>
      <c r="G105" s="41"/>
      <c r="H105" s="41"/>
      <c r="I105" s="46"/>
    </row>
    <row r="106" spans="1:9">
      <c r="A106" s="41"/>
      <c r="B106" s="65" t="s">
        <v>661</v>
      </c>
      <c r="C106" s="65" t="s">
        <v>643</v>
      </c>
      <c r="D106" s="66">
        <v>625.22</v>
      </c>
      <c r="E106" s="66">
        <v>633.25</v>
      </c>
      <c r="F106" s="66">
        <v>14.814299999999999</v>
      </c>
      <c r="G106" s="41"/>
      <c r="H106" s="41"/>
      <c r="I106" s="46"/>
    </row>
    <row r="107" spans="1:9">
      <c r="A107" s="41"/>
      <c r="B107" s="65" t="s">
        <v>662</v>
      </c>
      <c r="C107" s="65" t="s">
        <v>643</v>
      </c>
      <c r="D107" s="66">
        <v>8327.9674508196713</v>
      </c>
      <c r="E107" s="66">
        <v>8289.5</v>
      </c>
      <c r="F107" s="66">
        <v>71.657309999999995</v>
      </c>
      <c r="G107" s="41"/>
      <c r="H107" s="41"/>
      <c r="I107" s="46"/>
    </row>
    <row r="108" spans="1:9">
      <c r="A108" s="41"/>
      <c r="B108" s="65" t="s">
        <v>663</v>
      </c>
      <c r="C108" s="65" t="s">
        <v>643</v>
      </c>
      <c r="D108" s="66">
        <v>786.31430052910048</v>
      </c>
      <c r="E108" s="66">
        <v>782.35</v>
      </c>
      <c r="F108" s="66">
        <v>10.75886</v>
      </c>
      <c r="G108" s="41"/>
      <c r="H108" s="41"/>
      <c r="I108" s="46"/>
    </row>
    <row r="109" spans="1:9">
      <c r="A109" s="41"/>
      <c r="B109" s="65" t="s">
        <v>664</v>
      </c>
      <c r="C109" s="65" t="s">
        <v>643</v>
      </c>
      <c r="D109" s="66">
        <v>840.04</v>
      </c>
      <c r="E109" s="66">
        <v>828.55</v>
      </c>
      <c r="F109" s="66">
        <v>7.2548000000000004</v>
      </c>
      <c r="G109" s="41"/>
      <c r="H109" s="41"/>
      <c r="I109" s="46"/>
    </row>
    <row r="110" spans="1:9">
      <c r="A110" s="41"/>
      <c r="B110" s="65" t="s">
        <v>665</v>
      </c>
      <c r="C110" s="65" t="s">
        <v>643</v>
      </c>
      <c r="D110" s="66">
        <v>1023.2170001355933</v>
      </c>
      <c r="E110" s="66">
        <v>1042.2</v>
      </c>
      <c r="F110" s="66">
        <v>54.401539999999997</v>
      </c>
      <c r="G110" s="41"/>
      <c r="H110" s="41"/>
      <c r="I110" s="46"/>
    </row>
    <row r="111" spans="1:9">
      <c r="A111" s="41"/>
      <c r="B111" s="65" t="s">
        <v>666</v>
      </c>
      <c r="C111" s="65" t="s">
        <v>643</v>
      </c>
      <c r="D111" s="66">
        <v>1874.86</v>
      </c>
      <c r="E111" s="66">
        <v>1940.05</v>
      </c>
      <c r="F111" s="66">
        <v>65.268000000000001</v>
      </c>
      <c r="G111" s="41"/>
      <c r="H111" s="41"/>
      <c r="I111" s="46"/>
    </row>
    <row r="112" spans="1:9">
      <c r="A112" s="41"/>
      <c r="B112" s="67" t="s">
        <v>667</v>
      </c>
      <c r="C112" s="68"/>
      <c r="D112" s="68"/>
      <c r="E112" s="68"/>
      <c r="F112" s="68"/>
      <c r="G112" s="41"/>
      <c r="H112" s="41"/>
      <c r="I112" s="46"/>
    </row>
    <row r="113" spans="1:10">
      <c r="A113" s="41"/>
      <c r="B113" s="45" t="s">
        <v>668</v>
      </c>
      <c r="C113" s="41"/>
      <c r="D113" s="41"/>
      <c r="E113" s="41"/>
      <c r="F113" s="41"/>
      <c r="G113" s="41"/>
      <c r="H113" s="41"/>
      <c r="I113" s="46"/>
    </row>
    <row r="114" spans="1:10">
      <c r="A114" s="41"/>
      <c r="B114" s="45" t="s">
        <v>669</v>
      </c>
      <c r="C114" s="41"/>
      <c r="D114" s="41"/>
      <c r="E114" s="41"/>
      <c r="F114" s="41"/>
      <c r="G114" s="41"/>
      <c r="H114" s="41"/>
      <c r="I114" s="46"/>
    </row>
    <row r="115" spans="1:10">
      <c r="A115" s="41"/>
      <c r="B115" s="45" t="s">
        <v>670</v>
      </c>
      <c r="C115" s="41"/>
      <c r="D115" s="41"/>
      <c r="E115" s="41"/>
      <c r="F115" s="41"/>
      <c r="G115" s="41"/>
      <c r="H115" s="41"/>
      <c r="I115" s="46"/>
    </row>
    <row r="116" spans="1:10">
      <c r="A116" s="41"/>
      <c r="B116" s="45" t="s">
        <v>671</v>
      </c>
      <c r="C116" s="41"/>
      <c r="D116" s="41"/>
      <c r="E116" s="41"/>
      <c r="F116" s="41"/>
      <c r="G116" s="41"/>
      <c r="H116" s="41"/>
      <c r="I116" s="46"/>
    </row>
    <row r="117" spans="1:10">
      <c r="A117" s="41"/>
      <c r="B117" s="45" t="s">
        <v>672</v>
      </c>
      <c r="C117" s="41"/>
      <c r="D117" s="41"/>
      <c r="E117" s="41"/>
      <c r="F117" s="41"/>
      <c r="G117" s="41"/>
      <c r="H117" s="41"/>
      <c r="I117" s="46"/>
    </row>
    <row r="118" spans="1:10" s="41" customFormat="1" ht="15" customHeight="1">
      <c r="B118" s="45" t="s">
        <v>626</v>
      </c>
      <c r="I118" s="46"/>
    </row>
    <row r="119" spans="1:10" s="41" customFormat="1" ht="15" customHeight="1">
      <c r="B119" s="45" t="s">
        <v>627</v>
      </c>
      <c r="I119" s="46"/>
    </row>
    <row r="120" spans="1:10" s="41" customFormat="1" ht="15" customHeight="1">
      <c r="B120" s="45" t="s">
        <v>628</v>
      </c>
      <c r="I120" s="46"/>
    </row>
    <row r="121" spans="1:10" s="41" customFormat="1" ht="15" customHeight="1">
      <c r="B121" s="45" t="s">
        <v>624</v>
      </c>
      <c r="I121" s="46"/>
    </row>
    <row r="122" spans="1:10" s="41" customFormat="1" ht="15" customHeight="1">
      <c r="B122" s="45" t="s">
        <v>673</v>
      </c>
      <c r="I122" s="46"/>
    </row>
    <row r="123" spans="1:10" s="41" customFormat="1" ht="15" customHeight="1">
      <c r="B123" s="53" t="s">
        <v>678</v>
      </c>
      <c r="C123" s="54"/>
      <c r="D123" s="54"/>
      <c r="E123" s="54"/>
      <c r="F123" s="54"/>
      <c r="G123" s="54"/>
      <c r="H123" s="54"/>
      <c r="I123" s="55"/>
    </row>
    <row r="124" spans="1:10" ht="13" customHeight="1">
      <c r="A124" s="4"/>
      <c r="B124" s="61"/>
      <c r="C124" s="61"/>
      <c r="D124" s="61"/>
      <c r="E124" s="61"/>
      <c r="F124" s="61"/>
      <c r="G124" s="61"/>
      <c r="H124" s="61"/>
      <c r="I124" s="61"/>
      <c r="J124" s="4"/>
    </row>
    <row r="125" spans="1:10" ht="13" customHeight="1">
      <c r="A125" s="4"/>
      <c r="B125" s="4"/>
      <c r="C125" s="62" t="s">
        <v>173</v>
      </c>
      <c r="D125" s="62"/>
      <c r="E125" s="62"/>
      <c r="F125" s="62"/>
      <c r="G125" s="4"/>
      <c r="H125" s="4"/>
      <c r="I125" s="4"/>
      <c r="J125" s="4"/>
    </row>
    <row r="126" spans="1:10" ht="13" customHeight="1">
      <c r="A126" s="4"/>
      <c r="B126" s="38" t="s">
        <v>174</v>
      </c>
      <c r="C126" s="62" t="s">
        <v>175</v>
      </c>
      <c r="D126" s="62"/>
      <c r="E126" s="62"/>
      <c r="F126" s="62"/>
      <c r="G126" s="4"/>
      <c r="H126" s="4"/>
      <c r="I126" s="4"/>
      <c r="J126" s="4"/>
    </row>
    <row r="127" spans="1:10" ht="121" customHeight="1">
      <c r="A127" s="4"/>
      <c r="B127" s="39"/>
      <c r="C127" s="60"/>
      <c r="D127" s="60"/>
      <c r="E127" s="4"/>
      <c r="F127" s="4"/>
      <c r="G127" s="4"/>
      <c r="H127" s="4"/>
      <c r="I127" s="4"/>
      <c r="J127" s="4"/>
    </row>
  </sheetData>
  <mergeCells count="6">
    <mergeCell ref="C127:D127"/>
    <mergeCell ref="B73:I73"/>
    <mergeCell ref="B74:I74"/>
    <mergeCell ref="B124:I124"/>
    <mergeCell ref="C125:F125"/>
    <mergeCell ref="C126:F126"/>
  </mergeCells>
  <hyperlinks>
    <hyperlink ref="A1" location="BajajFinservArbitrageFund" display="BFARB" xr:uid="{00000000-0004-0000-0100-000000000000}"/>
    <hyperlink ref="B1" location="BajajFinservArbitrageFund" display="Bajaj Finserv Arbitrage Fund" xr:uid="{00000000-0004-0000-0100-000001000000}"/>
  </hyperlink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21"/>
  <sheetViews>
    <sheetView workbookViewId="0">
      <selection activeCell="B8" sqref="B8"/>
    </sheetView>
  </sheetViews>
  <sheetFormatPr defaultRowHeight="14.5"/>
  <cols>
    <col min="1" max="1" width="3.26953125" customWidth="1"/>
    <col min="2" max="2" width="69.1796875" customWidth="1"/>
    <col min="3" max="3" width="21.7265625" bestFit="1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2</v>
      </c>
      <c r="B1" s="3" t="s">
        <v>3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10</v>
      </c>
      <c r="B3" s="7" t="s">
        <v>11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12</v>
      </c>
      <c r="C4" s="9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1" t="s">
        <v>19</v>
      </c>
      <c r="J4" s="12" t="s">
        <v>20</v>
      </c>
    </row>
    <row r="5" spans="1:10" ht="13" customHeight="1">
      <c r="A5" s="4"/>
      <c r="B5" s="13" t="s">
        <v>21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22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176</v>
      </c>
      <c r="B7" s="18" t="s">
        <v>177</v>
      </c>
      <c r="C7" s="14" t="s">
        <v>178</v>
      </c>
      <c r="D7" s="14" t="s">
        <v>179</v>
      </c>
      <c r="E7" s="19">
        <v>102214</v>
      </c>
      <c r="F7" s="20">
        <v>7983.68</v>
      </c>
      <c r="G7" s="21">
        <v>5.0999999999999997E-2</v>
      </c>
      <c r="H7" s="22"/>
      <c r="I7" s="23"/>
      <c r="J7" s="4"/>
    </row>
    <row r="8" spans="1:10" ht="13" customHeight="1">
      <c r="A8" s="17" t="s">
        <v>27</v>
      </c>
      <c r="B8" s="18" t="s">
        <v>28</v>
      </c>
      <c r="C8" s="14" t="s">
        <v>29</v>
      </c>
      <c r="D8" s="14" t="s">
        <v>30</v>
      </c>
      <c r="E8" s="19">
        <v>274509</v>
      </c>
      <c r="F8" s="20">
        <v>6437.2361000000001</v>
      </c>
      <c r="G8" s="21">
        <v>4.1099999999999998E-2</v>
      </c>
      <c r="H8" s="22"/>
      <c r="I8" s="23"/>
      <c r="J8" s="4"/>
    </row>
    <row r="9" spans="1:10" ht="13" customHeight="1">
      <c r="A9" s="17" t="s">
        <v>46</v>
      </c>
      <c r="B9" s="18" t="s">
        <v>47</v>
      </c>
      <c r="C9" s="14" t="s">
        <v>48</v>
      </c>
      <c r="D9" s="14" t="s">
        <v>26</v>
      </c>
      <c r="E9" s="19">
        <v>295141</v>
      </c>
      <c r="F9" s="20">
        <v>5122.7623000000003</v>
      </c>
      <c r="G9" s="21">
        <v>3.27E-2</v>
      </c>
      <c r="H9" s="22"/>
      <c r="I9" s="23"/>
      <c r="J9" s="4"/>
    </row>
    <row r="10" spans="1:10" ht="13" customHeight="1">
      <c r="A10" s="17" t="s">
        <v>180</v>
      </c>
      <c r="B10" s="18" t="s">
        <v>181</v>
      </c>
      <c r="C10" s="14" t="s">
        <v>182</v>
      </c>
      <c r="D10" s="14" t="s">
        <v>26</v>
      </c>
      <c r="E10" s="19">
        <v>453065</v>
      </c>
      <c r="F10" s="20">
        <v>4312.7257</v>
      </c>
      <c r="G10" s="21">
        <v>2.75E-2</v>
      </c>
      <c r="H10" s="22"/>
      <c r="I10" s="23"/>
      <c r="J10" s="4"/>
    </row>
    <row r="11" spans="1:10" ht="13" customHeight="1">
      <c r="A11" s="17" t="s">
        <v>183</v>
      </c>
      <c r="B11" s="18" t="s">
        <v>184</v>
      </c>
      <c r="C11" s="14" t="s">
        <v>185</v>
      </c>
      <c r="D11" s="14" t="s">
        <v>45</v>
      </c>
      <c r="E11" s="19">
        <v>269504</v>
      </c>
      <c r="F11" s="20">
        <v>4188.7659000000003</v>
      </c>
      <c r="G11" s="21">
        <v>2.6800000000000001E-2</v>
      </c>
      <c r="H11" s="22"/>
      <c r="I11" s="23"/>
      <c r="J11" s="4"/>
    </row>
    <row r="12" spans="1:10" ht="13" customHeight="1">
      <c r="A12" s="17" t="s">
        <v>186</v>
      </c>
      <c r="B12" s="18" t="s">
        <v>187</v>
      </c>
      <c r="C12" s="14" t="s">
        <v>188</v>
      </c>
      <c r="D12" s="14" t="s">
        <v>189</v>
      </c>
      <c r="E12" s="19">
        <v>283603</v>
      </c>
      <c r="F12" s="20">
        <v>4070.9793</v>
      </c>
      <c r="G12" s="21">
        <v>2.5999999999999999E-2</v>
      </c>
      <c r="H12" s="22"/>
      <c r="I12" s="23"/>
      <c r="J12" s="4"/>
    </row>
    <row r="13" spans="1:10" ht="13" customHeight="1">
      <c r="A13" s="17" t="s">
        <v>190</v>
      </c>
      <c r="B13" s="18" t="s">
        <v>191</v>
      </c>
      <c r="C13" s="14" t="s">
        <v>192</v>
      </c>
      <c r="D13" s="14" t="s">
        <v>193</v>
      </c>
      <c r="E13" s="19">
        <v>16965</v>
      </c>
      <c r="F13" s="20">
        <v>3818.2955999999999</v>
      </c>
      <c r="G13" s="21">
        <v>2.4400000000000002E-2</v>
      </c>
      <c r="H13" s="22"/>
      <c r="I13" s="23"/>
      <c r="J13" s="4"/>
    </row>
    <row r="14" spans="1:10" ht="13" customHeight="1">
      <c r="A14" s="17" t="s">
        <v>194</v>
      </c>
      <c r="B14" s="18" t="s">
        <v>195</v>
      </c>
      <c r="C14" s="14" t="s">
        <v>196</v>
      </c>
      <c r="D14" s="14" t="s">
        <v>179</v>
      </c>
      <c r="E14" s="19">
        <v>246429</v>
      </c>
      <c r="F14" s="20">
        <v>3241.7734999999998</v>
      </c>
      <c r="G14" s="21">
        <v>2.07E-2</v>
      </c>
      <c r="H14" s="22"/>
      <c r="I14" s="23"/>
      <c r="J14" s="4"/>
    </row>
    <row r="15" spans="1:10" ht="13" customHeight="1">
      <c r="A15" s="17" t="s">
        <v>197</v>
      </c>
      <c r="B15" s="18" t="s">
        <v>198</v>
      </c>
      <c r="C15" s="14" t="s">
        <v>199</v>
      </c>
      <c r="D15" s="14" t="s">
        <v>200</v>
      </c>
      <c r="E15" s="19">
        <v>178578</v>
      </c>
      <c r="F15" s="20">
        <v>2480.3591000000001</v>
      </c>
      <c r="G15" s="21">
        <v>1.5800000000000002E-2</v>
      </c>
      <c r="H15" s="22"/>
      <c r="I15" s="23"/>
      <c r="J15" s="4"/>
    </row>
    <row r="16" spans="1:10" ht="13" customHeight="1">
      <c r="A16" s="17" t="s">
        <v>201</v>
      </c>
      <c r="B16" s="18" t="s">
        <v>202</v>
      </c>
      <c r="C16" s="14" t="s">
        <v>203</v>
      </c>
      <c r="D16" s="14" t="s">
        <v>204</v>
      </c>
      <c r="E16" s="19">
        <v>5839</v>
      </c>
      <c r="F16" s="20">
        <v>2327.0605</v>
      </c>
      <c r="G16" s="21">
        <v>1.49E-2</v>
      </c>
      <c r="H16" s="22"/>
      <c r="I16" s="23"/>
      <c r="J16" s="4"/>
    </row>
    <row r="17" spans="1:10" ht="13" customHeight="1">
      <c r="A17" s="17" t="s">
        <v>205</v>
      </c>
      <c r="B17" s="18" t="s">
        <v>206</v>
      </c>
      <c r="C17" s="14" t="s">
        <v>207</v>
      </c>
      <c r="D17" s="14" t="s">
        <v>179</v>
      </c>
      <c r="E17" s="19">
        <v>785171</v>
      </c>
      <c r="F17" s="20">
        <v>2256.5814999999998</v>
      </c>
      <c r="G17" s="21">
        <v>1.44E-2</v>
      </c>
      <c r="H17" s="22"/>
      <c r="I17" s="23"/>
      <c r="J17" s="4"/>
    </row>
    <row r="18" spans="1:10" ht="13" customHeight="1">
      <c r="A18" s="17" t="s">
        <v>208</v>
      </c>
      <c r="B18" s="18" t="s">
        <v>209</v>
      </c>
      <c r="C18" s="14" t="s">
        <v>210</v>
      </c>
      <c r="D18" s="14" t="s">
        <v>77</v>
      </c>
      <c r="E18" s="19">
        <v>491356</v>
      </c>
      <c r="F18" s="20">
        <v>2174.9872999999998</v>
      </c>
      <c r="G18" s="21">
        <v>1.3899999999999999E-2</v>
      </c>
      <c r="H18" s="22"/>
      <c r="I18" s="23"/>
      <c r="J18" s="4"/>
    </row>
    <row r="19" spans="1:10" ht="13" customHeight="1">
      <c r="A19" s="17" t="s">
        <v>211</v>
      </c>
      <c r="B19" s="18" t="s">
        <v>212</v>
      </c>
      <c r="C19" s="14" t="s">
        <v>213</v>
      </c>
      <c r="D19" s="14" t="s">
        <v>214</v>
      </c>
      <c r="E19" s="19">
        <v>138169</v>
      </c>
      <c r="F19" s="20">
        <v>1803.6581000000001</v>
      </c>
      <c r="G19" s="21">
        <v>1.15E-2</v>
      </c>
      <c r="H19" s="22"/>
      <c r="I19" s="23"/>
      <c r="J19" s="4"/>
    </row>
    <row r="20" spans="1:10" ht="13" customHeight="1">
      <c r="A20" s="17" t="s">
        <v>215</v>
      </c>
      <c r="B20" s="18" t="s">
        <v>216</v>
      </c>
      <c r="C20" s="14" t="s">
        <v>217</v>
      </c>
      <c r="D20" s="14" t="s">
        <v>34</v>
      </c>
      <c r="E20" s="19">
        <v>21871</v>
      </c>
      <c r="F20" s="20">
        <v>1576.3086000000001</v>
      </c>
      <c r="G20" s="21">
        <v>1.01E-2</v>
      </c>
      <c r="H20" s="22"/>
      <c r="I20" s="23"/>
      <c r="J20" s="4"/>
    </row>
    <row r="21" spans="1:10" ht="13" customHeight="1">
      <c r="A21" s="17" t="s">
        <v>218</v>
      </c>
      <c r="B21" s="18" t="s">
        <v>219</v>
      </c>
      <c r="C21" s="14" t="s">
        <v>220</v>
      </c>
      <c r="D21" s="14" t="s">
        <v>221</v>
      </c>
      <c r="E21" s="19">
        <v>1535503</v>
      </c>
      <c r="F21" s="20">
        <v>1558.5355</v>
      </c>
      <c r="G21" s="21">
        <v>0.01</v>
      </c>
      <c r="H21" s="22"/>
      <c r="I21" s="23"/>
      <c r="J21" s="4"/>
    </row>
    <row r="22" spans="1:10" ht="13" customHeight="1">
      <c r="A22" s="17" t="s">
        <v>222</v>
      </c>
      <c r="B22" s="18" t="s">
        <v>223</v>
      </c>
      <c r="C22" s="14" t="s">
        <v>224</v>
      </c>
      <c r="D22" s="14" t="s">
        <v>225</v>
      </c>
      <c r="E22" s="19">
        <v>63150</v>
      </c>
      <c r="F22" s="20">
        <v>1557.0264</v>
      </c>
      <c r="G22" s="21">
        <v>9.9000000000000008E-3</v>
      </c>
      <c r="H22" s="22"/>
      <c r="I22" s="23"/>
      <c r="J22" s="4"/>
    </row>
    <row r="23" spans="1:10" ht="13" customHeight="1">
      <c r="A23" s="17" t="s">
        <v>226</v>
      </c>
      <c r="B23" s="18" t="s">
        <v>227</v>
      </c>
      <c r="C23" s="14" t="s">
        <v>228</v>
      </c>
      <c r="D23" s="14" t="s">
        <v>229</v>
      </c>
      <c r="E23" s="19">
        <v>274678</v>
      </c>
      <c r="F23" s="20">
        <v>1464.3083999999999</v>
      </c>
      <c r="G23" s="21">
        <v>9.4000000000000004E-3</v>
      </c>
      <c r="H23" s="22"/>
      <c r="I23" s="23"/>
      <c r="J23" s="4"/>
    </row>
    <row r="24" spans="1:10" ht="13" customHeight="1">
      <c r="A24" s="17" t="s">
        <v>230</v>
      </c>
      <c r="B24" s="18" t="s">
        <v>231</v>
      </c>
      <c r="C24" s="14" t="s">
        <v>232</v>
      </c>
      <c r="D24" s="14" t="s">
        <v>77</v>
      </c>
      <c r="E24" s="19">
        <v>33344</v>
      </c>
      <c r="F24" s="20">
        <v>1367.154</v>
      </c>
      <c r="G24" s="21">
        <v>8.6999999999999994E-3</v>
      </c>
      <c r="H24" s="22"/>
      <c r="I24" s="23"/>
      <c r="J24" s="4"/>
    </row>
    <row r="25" spans="1:10" ht="13" customHeight="1">
      <c r="A25" s="17" t="s">
        <v>233</v>
      </c>
      <c r="B25" s="18" t="s">
        <v>234</v>
      </c>
      <c r="C25" s="14" t="s">
        <v>235</v>
      </c>
      <c r="D25" s="14" t="s">
        <v>236</v>
      </c>
      <c r="E25" s="19">
        <v>51656</v>
      </c>
      <c r="F25" s="20">
        <v>1303.9782</v>
      </c>
      <c r="G25" s="21">
        <v>8.3000000000000001E-3</v>
      </c>
      <c r="H25" s="22"/>
      <c r="I25" s="23"/>
      <c r="J25" s="4"/>
    </row>
    <row r="26" spans="1:10" ht="13" customHeight="1">
      <c r="A26" s="17" t="s">
        <v>237</v>
      </c>
      <c r="B26" s="18" t="s">
        <v>238</v>
      </c>
      <c r="C26" s="14" t="s">
        <v>239</v>
      </c>
      <c r="D26" s="14" t="s">
        <v>189</v>
      </c>
      <c r="E26" s="19">
        <v>145000</v>
      </c>
      <c r="F26" s="20">
        <v>1268.46</v>
      </c>
      <c r="G26" s="21">
        <v>8.0999999999999996E-3</v>
      </c>
      <c r="H26" s="22"/>
      <c r="I26" s="23"/>
      <c r="J26" s="4"/>
    </row>
    <row r="27" spans="1:10" ht="13" customHeight="1">
      <c r="A27" s="17" t="s">
        <v>240</v>
      </c>
      <c r="B27" s="18" t="s">
        <v>241</v>
      </c>
      <c r="C27" s="14" t="s">
        <v>242</v>
      </c>
      <c r="D27" s="14" t="s">
        <v>243</v>
      </c>
      <c r="E27" s="19">
        <v>90733</v>
      </c>
      <c r="F27" s="20">
        <v>1177.6690000000001</v>
      </c>
      <c r="G27" s="21">
        <v>7.4999999999999997E-3</v>
      </c>
      <c r="H27" s="22"/>
      <c r="I27" s="23"/>
      <c r="J27" s="4"/>
    </row>
    <row r="28" spans="1:10" ht="13" customHeight="1">
      <c r="A28" s="17" t="s">
        <v>244</v>
      </c>
      <c r="B28" s="18" t="s">
        <v>245</v>
      </c>
      <c r="C28" s="14" t="s">
        <v>246</v>
      </c>
      <c r="D28" s="14" t="s">
        <v>193</v>
      </c>
      <c r="E28" s="19">
        <v>137513</v>
      </c>
      <c r="F28" s="20">
        <v>1161.8472999999999</v>
      </c>
      <c r="G28" s="21">
        <v>7.4000000000000003E-3</v>
      </c>
      <c r="H28" s="22"/>
      <c r="I28" s="23"/>
      <c r="J28" s="4"/>
    </row>
    <row r="29" spans="1:10" ht="13" customHeight="1">
      <c r="A29" s="17" t="s">
        <v>247</v>
      </c>
      <c r="B29" s="18" t="s">
        <v>248</v>
      </c>
      <c r="C29" s="14" t="s">
        <v>249</v>
      </c>
      <c r="D29" s="14" t="s">
        <v>250</v>
      </c>
      <c r="E29" s="19">
        <v>134964</v>
      </c>
      <c r="F29" s="20">
        <v>1157.5862</v>
      </c>
      <c r="G29" s="21">
        <v>7.4000000000000003E-3</v>
      </c>
      <c r="H29" s="22"/>
      <c r="I29" s="23"/>
      <c r="J29" s="4"/>
    </row>
    <row r="30" spans="1:10" ht="13" customHeight="1">
      <c r="A30" s="17" t="s">
        <v>251</v>
      </c>
      <c r="B30" s="18" t="s">
        <v>252</v>
      </c>
      <c r="C30" s="14" t="s">
        <v>253</v>
      </c>
      <c r="D30" s="14" t="s">
        <v>200</v>
      </c>
      <c r="E30" s="19">
        <v>13117</v>
      </c>
      <c r="F30" s="20">
        <v>1117.7127</v>
      </c>
      <c r="G30" s="21">
        <v>7.1000000000000004E-3</v>
      </c>
      <c r="H30" s="22"/>
      <c r="I30" s="23"/>
      <c r="J30" s="4"/>
    </row>
    <row r="31" spans="1:10" ht="13" customHeight="1">
      <c r="A31" s="17" t="s">
        <v>254</v>
      </c>
      <c r="B31" s="18" t="s">
        <v>255</v>
      </c>
      <c r="C31" s="14" t="s">
        <v>256</v>
      </c>
      <c r="D31" s="14" t="s">
        <v>214</v>
      </c>
      <c r="E31" s="19">
        <v>182350</v>
      </c>
      <c r="F31" s="20">
        <v>1095.8323</v>
      </c>
      <c r="G31" s="21">
        <v>7.0000000000000001E-3</v>
      </c>
      <c r="H31" s="22"/>
      <c r="I31" s="23"/>
      <c r="J31" s="4"/>
    </row>
    <row r="32" spans="1:10" ht="13" customHeight="1">
      <c r="A32" s="17" t="s">
        <v>257</v>
      </c>
      <c r="B32" s="18" t="s">
        <v>258</v>
      </c>
      <c r="C32" s="14" t="s">
        <v>259</v>
      </c>
      <c r="D32" s="14" t="s">
        <v>260</v>
      </c>
      <c r="E32" s="19">
        <v>174805</v>
      </c>
      <c r="F32" s="20">
        <v>1047.8686</v>
      </c>
      <c r="G32" s="21">
        <v>6.7000000000000002E-3</v>
      </c>
      <c r="H32" s="22"/>
      <c r="I32" s="23"/>
      <c r="J32" s="4"/>
    </row>
    <row r="33" spans="1:10" ht="13" customHeight="1">
      <c r="A33" s="17" t="s">
        <v>261</v>
      </c>
      <c r="B33" s="18" t="s">
        <v>262</v>
      </c>
      <c r="C33" s="14" t="s">
        <v>263</v>
      </c>
      <c r="D33" s="14" t="s">
        <v>264</v>
      </c>
      <c r="E33" s="19">
        <v>50411</v>
      </c>
      <c r="F33" s="20">
        <v>1047.8683000000001</v>
      </c>
      <c r="G33" s="21">
        <v>6.7000000000000002E-3</v>
      </c>
      <c r="H33" s="22"/>
      <c r="I33" s="23"/>
      <c r="J33" s="4"/>
    </row>
    <row r="34" spans="1:10" ht="13" customHeight="1">
      <c r="A34" s="17" t="s">
        <v>265</v>
      </c>
      <c r="B34" s="18" t="s">
        <v>266</v>
      </c>
      <c r="C34" s="14" t="s">
        <v>267</v>
      </c>
      <c r="D34" s="14" t="s">
        <v>77</v>
      </c>
      <c r="E34" s="19">
        <v>27732</v>
      </c>
      <c r="F34" s="20">
        <v>1018.4577</v>
      </c>
      <c r="G34" s="21">
        <v>6.4999999999999997E-3</v>
      </c>
      <c r="H34" s="22"/>
      <c r="I34" s="23"/>
      <c r="J34" s="4"/>
    </row>
    <row r="35" spans="1:10" ht="13" customHeight="1">
      <c r="A35" s="17" t="s">
        <v>268</v>
      </c>
      <c r="B35" s="18" t="s">
        <v>269</v>
      </c>
      <c r="C35" s="14" t="s">
        <v>270</v>
      </c>
      <c r="D35" s="14" t="s">
        <v>77</v>
      </c>
      <c r="E35" s="19">
        <v>24538</v>
      </c>
      <c r="F35" s="20">
        <v>1005.6286</v>
      </c>
      <c r="G35" s="21">
        <v>6.4000000000000003E-3</v>
      </c>
      <c r="H35" s="22"/>
      <c r="I35" s="23"/>
      <c r="J35" s="4"/>
    </row>
    <row r="36" spans="1:10" ht="13" customHeight="1">
      <c r="A36" s="17" t="s">
        <v>271</v>
      </c>
      <c r="B36" s="18" t="s">
        <v>272</v>
      </c>
      <c r="C36" s="14" t="s">
        <v>273</v>
      </c>
      <c r="D36" s="14" t="s">
        <v>200</v>
      </c>
      <c r="E36" s="19">
        <v>25660</v>
      </c>
      <c r="F36" s="20">
        <v>1004.8199</v>
      </c>
      <c r="G36" s="21">
        <v>6.4000000000000003E-3</v>
      </c>
      <c r="H36" s="22"/>
      <c r="I36" s="23"/>
      <c r="J36" s="4"/>
    </row>
    <row r="37" spans="1:10" ht="13" customHeight="1">
      <c r="A37" s="17" t="s">
        <v>274</v>
      </c>
      <c r="B37" s="18" t="s">
        <v>275</v>
      </c>
      <c r="C37" s="14" t="s">
        <v>276</v>
      </c>
      <c r="D37" s="14" t="s">
        <v>77</v>
      </c>
      <c r="E37" s="19">
        <v>371479</v>
      </c>
      <c r="F37" s="20">
        <v>949.31460000000004</v>
      </c>
      <c r="G37" s="21">
        <v>6.1000000000000004E-3</v>
      </c>
      <c r="H37" s="22"/>
      <c r="I37" s="23"/>
      <c r="J37" s="4"/>
    </row>
    <row r="38" spans="1:10" ht="13" customHeight="1">
      <c r="A38" s="17" t="s">
        <v>277</v>
      </c>
      <c r="B38" s="18" t="s">
        <v>278</v>
      </c>
      <c r="C38" s="14" t="s">
        <v>279</v>
      </c>
      <c r="D38" s="14" t="s">
        <v>236</v>
      </c>
      <c r="E38" s="19">
        <v>126475</v>
      </c>
      <c r="F38" s="20">
        <v>905.62419999999997</v>
      </c>
      <c r="G38" s="21">
        <v>5.7999999999999996E-3</v>
      </c>
      <c r="H38" s="22"/>
      <c r="I38" s="23"/>
      <c r="J38" s="4"/>
    </row>
    <row r="39" spans="1:10" ht="13" customHeight="1">
      <c r="A39" s="17" t="s">
        <v>280</v>
      </c>
      <c r="B39" s="18" t="s">
        <v>281</v>
      </c>
      <c r="C39" s="14" t="s">
        <v>282</v>
      </c>
      <c r="D39" s="14" t="s">
        <v>283</v>
      </c>
      <c r="E39" s="19">
        <v>51385</v>
      </c>
      <c r="F39" s="20">
        <v>903.50250000000005</v>
      </c>
      <c r="G39" s="21">
        <v>5.7999999999999996E-3</v>
      </c>
      <c r="H39" s="22"/>
      <c r="I39" s="23"/>
      <c r="J39" s="4"/>
    </row>
    <row r="40" spans="1:10" ht="13" customHeight="1">
      <c r="A40" s="17" t="s">
        <v>284</v>
      </c>
      <c r="B40" s="18" t="s">
        <v>285</v>
      </c>
      <c r="C40" s="14" t="s">
        <v>286</v>
      </c>
      <c r="D40" s="14" t="s">
        <v>287</v>
      </c>
      <c r="E40" s="19">
        <v>616251</v>
      </c>
      <c r="F40" s="20">
        <v>852.27509999999995</v>
      </c>
      <c r="G40" s="21">
        <v>5.4000000000000003E-3</v>
      </c>
      <c r="H40" s="22"/>
      <c r="I40" s="23"/>
      <c r="J40" s="4"/>
    </row>
    <row r="41" spans="1:10" ht="13" customHeight="1">
      <c r="A41" s="17" t="s">
        <v>288</v>
      </c>
      <c r="B41" s="18" t="s">
        <v>289</v>
      </c>
      <c r="C41" s="14" t="s">
        <v>290</v>
      </c>
      <c r="D41" s="14" t="s">
        <v>236</v>
      </c>
      <c r="E41" s="19">
        <v>105831</v>
      </c>
      <c r="F41" s="20">
        <v>851.04</v>
      </c>
      <c r="G41" s="21">
        <v>5.4000000000000003E-3</v>
      </c>
      <c r="H41" s="22"/>
      <c r="I41" s="23"/>
      <c r="J41" s="4"/>
    </row>
    <row r="42" spans="1:10" ht="13" customHeight="1">
      <c r="A42" s="17" t="s">
        <v>291</v>
      </c>
      <c r="B42" s="18" t="s">
        <v>292</v>
      </c>
      <c r="C42" s="14" t="s">
        <v>293</v>
      </c>
      <c r="D42" s="14" t="s">
        <v>243</v>
      </c>
      <c r="E42" s="19">
        <v>41000</v>
      </c>
      <c r="F42" s="20">
        <v>840.37699999999995</v>
      </c>
      <c r="G42" s="21">
        <v>5.4000000000000003E-3</v>
      </c>
      <c r="H42" s="22"/>
      <c r="I42" s="23"/>
      <c r="J42" s="4"/>
    </row>
    <row r="43" spans="1:10" ht="13" customHeight="1">
      <c r="A43" s="17" t="s">
        <v>294</v>
      </c>
      <c r="B43" s="18" t="s">
        <v>295</v>
      </c>
      <c r="C43" s="14" t="s">
        <v>296</v>
      </c>
      <c r="D43" s="14" t="s">
        <v>229</v>
      </c>
      <c r="E43" s="19">
        <v>385236</v>
      </c>
      <c r="F43" s="20">
        <v>825.75340000000006</v>
      </c>
      <c r="G43" s="21">
        <v>5.3E-3</v>
      </c>
      <c r="H43" s="22"/>
      <c r="I43" s="23"/>
      <c r="J43" s="4"/>
    </row>
    <row r="44" spans="1:10" ht="13" customHeight="1">
      <c r="A44" s="17" t="s">
        <v>297</v>
      </c>
      <c r="B44" s="18" t="s">
        <v>298</v>
      </c>
      <c r="C44" s="14" t="s">
        <v>299</v>
      </c>
      <c r="D44" s="14" t="s">
        <v>221</v>
      </c>
      <c r="E44" s="19">
        <v>526345</v>
      </c>
      <c r="F44" s="20">
        <v>806.3605</v>
      </c>
      <c r="G44" s="21">
        <v>5.1999999999999998E-3</v>
      </c>
      <c r="H44" s="22"/>
      <c r="I44" s="23"/>
      <c r="J44" s="4"/>
    </row>
    <row r="45" spans="1:10" ht="13" customHeight="1">
      <c r="A45" s="17" t="s">
        <v>300</v>
      </c>
      <c r="B45" s="18" t="s">
        <v>301</v>
      </c>
      <c r="C45" s="14" t="s">
        <v>302</v>
      </c>
      <c r="D45" s="14" t="s">
        <v>243</v>
      </c>
      <c r="E45" s="19">
        <v>30858</v>
      </c>
      <c r="F45" s="20">
        <v>774.70550000000003</v>
      </c>
      <c r="G45" s="21">
        <v>4.8999999999999998E-3</v>
      </c>
      <c r="H45" s="22"/>
      <c r="I45" s="23"/>
      <c r="J45" s="4"/>
    </row>
    <row r="46" spans="1:10" ht="13" customHeight="1">
      <c r="A46" s="17" t="s">
        <v>303</v>
      </c>
      <c r="B46" s="18" t="s">
        <v>304</v>
      </c>
      <c r="C46" s="14" t="s">
        <v>305</v>
      </c>
      <c r="D46" s="14" t="s">
        <v>221</v>
      </c>
      <c r="E46" s="19">
        <v>36919</v>
      </c>
      <c r="F46" s="20">
        <v>767.97059999999999</v>
      </c>
      <c r="G46" s="21">
        <v>4.8999999999999998E-3</v>
      </c>
      <c r="H46" s="22"/>
      <c r="I46" s="23"/>
      <c r="J46" s="4"/>
    </row>
    <row r="47" spans="1:10" ht="13" customHeight="1">
      <c r="A47" s="17" t="s">
        <v>306</v>
      </c>
      <c r="B47" s="18" t="s">
        <v>307</v>
      </c>
      <c r="C47" s="14" t="s">
        <v>308</v>
      </c>
      <c r="D47" s="14" t="s">
        <v>221</v>
      </c>
      <c r="E47" s="19">
        <v>60373</v>
      </c>
      <c r="F47" s="20">
        <v>765.9221</v>
      </c>
      <c r="G47" s="21">
        <v>4.8999999999999998E-3</v>
      </c>
      <c r="H47" s="22"/>
      <c r="I47" s="23"/>
      <c r="J47" s="4"/>
    </row>
    <row r="48" spans="1:10" ht="13" customHeight="1">
      <c r="A48" s="17" t="s">
        <v>309</v>
      </c>
      <c r="B48" s="18" t="s">
        <v>310</v>
      </c>
      <c r="C48" s="14" t="s">
        <v>311</v>
      </c>
      <c r="D48" s="14" t="s">
        <v>200</v>
      </c>
      <c r="E48" s="19">
        <v>14445</v>
      </c>
      <c r="F48" s="20">
        <v>764.03219999999999</v>
      </c>
      <c r="G48" s="21">
        <v>4.8999999999999998E-3</v>
      </c>
      <c r="H48" s="22"/>
      <c r="I48" s="23"/>
      <c r="J48" s="4"/>
    </row>
    <row r="49" spans="1:10" ht="13" customHeight="1">
      <c r="A49" s="17" t="s">
        <v>312</v>
      </c>
      <c r="B49" s="18" t="s">
        <v>313</v>
      </c>
      <c r="C49" s="14" t="s">
        <v>314</v>
      </c>
      <c r="D49" s="14" t="s">
        <v>229</v>
      </c>
      <c r="E49" s="19">
        <v>620407</v>
      </c>
      <c r="F49" s="20">
        <v>743.55780000000004</v>
      </c>
      <c r="G49" s="21">
        <v>4.7000000000000002E-3</v>
      </c>
      <c r="H49" s="22"/>
      <c r="I49" s="23"/>
      <c r="J49" s="4"/>
    </row>
    <row r="50" spans="1:10" ht="13" customHeight="1">
      <c r="A50" s="17" t="s">
        <v>315</v>
      </c>
      <c r="B50" s="18" t="s">
        <v>316</v>
      </c>
      <c r="C50" s="14" t="s">
        <v>317</v>
      </c>
      <c r="D50" s="14" t="s">
        <v>107</v>
      </c>
      <c r="E50" s="19">
        <v>85404</v>
      </c>
      <c r="F50" s="20">
        <v>713.89200000000005</v>
      </c>
      <c r="G50" s="21">
        <v>4.5999999999999999E-3</v>
      </c>
      <c r="H50" s="22"/>
      <c r="I50" s="23"/>
      <c r="J50" s="4"/>
    </row>
    <row r="51" spans="1:10" ht="13" customHeight="1">
      <c r="A51" s="17" t="s">
        <v>42</v>
      </c>
      <c r="B51" s="18" t="s">
        <v>43</v>
      </c>
      <c r="C51" s="14" t="s">
        <v>44</v>
      </c>
      <c r="D51" s="14" t="s">
        <v>45</v>
      </c>
      <c r="E51" s="19">
        <v>20000</v>
      </c>
      <c r="F51" s="20">
        <v>689.39</v>
      </c>
      <c r="G51" s="21">
        <v>4.4000000000000003E-3</v>
      </c>
      <c r="H51" s="22"/>
      <c r="I51" s="23"/>
      <c r="J51" s="4"/>
    </row>
    <row r="52" spans="1:10" ht="13" customHeight="1">
      <c r="A52" s="17" t="s">
        <v>318</v>
      </c>
      <c r="B52" s="18" t="s">
        <v>319</v>
      </c>
      <c r="C52" s="14" t="s">
        <v>320</v>
      </c>
      <c r="D52" s="14" t="s">
        <v>204</v>
      </c>
      <c r="E52" s="19">
        <v>108121</v>
      </c>
      <c r="F52" s="20">
        <v>661.32209999999998</v>
      </c>
      <c r="G52" s="21">
        <v>4.1999999999999997E-3</v>
      </c>
      <c r="H52" s="22"/>
      <c r="I52" s="23"/>
      <c r="J52" s="4"/>
    </row>
    <row r="53" spans="1:10" ht="13" customHeight="1">
      <c r="A53" s="17" t="s">
        <v>321</v>
      </c>
      <c r="B53" s="18" t="s">
        <v>322</v>
      </c>
      <c r="C53" s="14" t="s">
        <v>323</v>
      </c>
      <c r="D53" s="14" t="s">
        <v>221</v>
      </c>
      <c r="E53" s="19">
        <v>22704</v>
      </c>
      <c r="F53" s="20">
        <v>653.03520000000003</v>
      </c>
      <c r="G53" s="21">
        <v>4.1999999999999997E-3</v>
      </c>
      <c r="H53" s="22"/>
      <c r="I53" s="23"/>
      <c r="J53" s="4"/>
    </row>
    <row r="54" spans="1:10" ht="13" customHeight="1">
      <c r="A54" s="17" t="s">
        <v>324</v>
      </c>
      <c r="B54" s="18" t="s">
        <v>325</v>
      </c>
      <c r="C54" s="14" t="s">
        <v>326</v>
      </c>
      <c r="D54" s="14" t="s">
        <v>260</v>
      </c>
      <c r="E54" s="19">
        <v>100000</v>
      </c>
      <c r="F54" s="20">
        <v>583.4</v>
      </c>
      <c r="G54" s="21">
        <v>3.7000000000000002E-3</v>
      </c>
      <c r="H54" s="22"/>
      <c r="I54" s="23"/>
      <c r="J54" s="4"/>
    </row>
    <row r="55" spans="1:10" ht="13" customHeight="1">
      <c r="A55" s="17" t="s">
        <v>327</v>
      </c>
      <c r="B55" s="18" t="s">
        <v>328</v>
      </c>
      <c r="C55" s="14" t="s">
        <v>329</v>
      </c>
      <c r="D55" s="14" t="s">
        <v>77</v>
      </c>
      <c r="E55" s="19">
        <v>1443162</v>
      </c>
      <c r="F55" s="20">
        <v>372.33580000000001</v>
      </c>
      <c r="G55" s="21">
        <v>2.3999999999999998E-3</v>
      </c>
      <c r="H55" s="22"/>
      <c r="I55" s="23"/>
      <c r="J55" s="4"/>
    </row>
    <row r="56" spans="1:10" ht="13" customHeight="1">
      <c r="A56" s="17" t="s">
        <v>330</v>
      </c>
      <c r="B56" s="18" t="s">
        <v>331</v>
      </c>
      <c r="C56" s="14" t="s">
        <v>332</v>
      </c>
      <c r="D56" s="14" t="s">
        <v>221</v>
      </c>
      <c r="E56" s="19">
        <v>8216</v>
      </c>
      <c r="F56" s="20">
        <v>342.221</v>
      </c>
      <c r="G56" s="21">
        <v>2.2000000000000001E-3</v>
      </c>
      <c r="H56" s="22"/>
      <c r="I56" s="23"/>
      <c r="J56" s="4"/>
    </row>
    <row r="57" spans="1:10" ht="13" customHeight="1">
      <c r="A57" s="4"/>
      <c r="B57" s="13" t="s">
        <v>108</v>
      </c>
      <c r="C57" s="14"/>
      <c r="D57" s="14"/>
      <c r="E57" s="14"/>
      <c r="F57" s="24">
        <v>85915.958199999994</v>
      </c>
      <c r="G57" s="25">
        <v>0.54869999999999997</v>
      </c>
      <c r="H57" s="26"/>
      <c r="I57" s="27"/>
      <c r="J57" s="4"/>
    </row>
    <row r="58" spans="1:10" ht="13" customHeight="1">
      <c r="A58" s="4"/>
      <c r="B58" s="28" t="s">
        <v>109</v>
      </c>
      <c r="C58" s="1"/>
      <c r="D58" s="1"/>
      <c r="E58" s="1"/>
      <c r="F58" s="26" t="s">
        <v>110</v>
      </c>
      <c r="G58" s="26" t="s">
        <v>110</v>
      </c>
      <c r="H58" s="26"/>
      <c r="I58" s="27"/>
      <c r="J58" s="4"/>
    </row>
    <row r="59" spans="1:10" ht="13" customHeight="1">
      <c r="A59" s="4"/>
      <c r="B59" s="28" t="s">
        <v>108</v>
      </c>
      <c r="C59" s="1"/>
      <c r="D59" s="1"/>
      <c r="E59" s="1"/>
      <c r="F59" s="26" t="s">
        <v>110</v>
      </c>
      <c r="G59" s="26" t="s">
        <v>110</v>
      </c>
      <c r="H59" s="26"/>
      <c r="I59" s="27"/>
      <c r="J59" s="4"/>
    </row>
    <row r="60" spans="1:10" ht="13" customHeight="1">
      <c r="A60" s="4"/>
      <c r="B60" s="28" t="s">
        <v>111</v>
      </c>
      <c r="C60" s="29"/>
      <c r="D60" s="1"/>
      <c r="E60" s="29"/>
      <c r="F60" s="24">
        <v>85915.958199999994</v>
      </c>
      <c r="G60" s="25">
        <v>0.54869999999999997</v>
      </c>
      <c r="H60" s="26"/>
      <c r="I60" s="27"/>
      <c r="J60" s="4"/>
    </row>
    <row r="61" spans="1:10" ht="13" customHeight="1">
      <c r="A61" s="4"/>
      <c r="B61" s="13" t="s">
        <v>333</v>
      </c>
      <c r="C61" s="14"/>
      <c r="D61" s="14"/>
      <c r="E61" s="14"/>
      <c r="F61" s="14"/>
      <c r="G61" s="14"/>
      <c r="H61" s="15"/>
      <c r="I61" s="16"/>
      <c r="J61" s="4"/>
    </row>
    <row r="62" spans="1:10" ht="13" customHeight="1">
      <c r="A62" s="4"/>
      <c r="B62" s="13" t="s">
        <v>334</v>
      </c>
      <c r="C62" s="14"/>
      <c r="D62" s="14"/>
      <c r="E62" s="14"/>
      <c r="F62" s="4"/>
      <c r="G62" s="15"/>
      <c r="H62" s="15"/>
      <c r="I62" s="16"/>
      <c r="J62" s="4"/>
    </row>
    <row r="63" spans="1:10" ht="13" customHeight="1">
      <c r="A63" s="17" t="s">
        <v>335</v>
      </c>
      <c r="B63" s="18" t="s">
        <v>336</v>
      </c>
      <c r="C63" s="14" t="s">
        <v>337</v>
      </c>
      <c r="D63" s="14" t="s">
        <v>167</v>
      </c>
      <c r="E63" s="19">
        <v>4500000</v>
      </c>
      <c r="F63" s="20">
        <v>4490.1899999999996</v>
      </c>
      <c r="G63" s="21">
        <v>2.87E-2</v>
      </c>
      <c r="H63" s="30">
        <v>7.2095000000000006E-2</v>
      </c>
      <c r="I63" s="23"/>
      <c r="J63" s="4"/>
    </row>
    <row r="64" spans="1:10" ht="13" customHeight="1">
      <c r="A64" s="4"/>
      <c r="B64" s="13" t="s">
        <v>108</v>
      </c>
      <c r="C64" s="14"/>
      <c r="D64" s="14"/>
      <c r="E64" s="14"/>
      <c r="F64" s="24">
        <v>4490.1899999999996</v>
      </c>
      <c r="G64" s="25">
        <v>2.87E-2</v>
      </c>
      <c r="H64" s="26"/>
      <c r="I64" s="27"/>
      <c r="J64" s="4"/>
    </row>
    <row r="65" spans="1:10" ht="13" customHeight="1">
      <c r="A65" s="4"/>
      <c r="B65" s="28" t="s">
        <v>338</v>
      </c>
      <c r="C65" s="1"/>
      <c r="D65" s="1"/>
      <c r="E65" s="1"/>
      <c r="F65" s="26" t="s">
        <v>110</v>
      </c>
      <c r="G65" s="26" t="s">
        <v>110</v>
      </c>
      <c r="H65" s="26"/>
      <c r="I65" s="27"/>
      <c r="J65" s="4"/>
    </row>
    <row r="66" spans="1:10" ht="13" customHeight="1">
      <c r="A66" s="4"/>
      <c r="B66" s="28" t="s">
        <v>108</v>
      </c>
      <c r="C66" s="1"/>
      <c r="D66" s="1"/>
      <c r="E66" s="1"/>
      <c r="F66" s="26" t="s">
        <v>110</v>
      </c>
      <c r="G66" s="26" t="s">
        <v>110</v>
      </c>
      <c r="H66" s="26"/>
      <c r="I66" s="27"/>
      <c r="J66" s="4"/>
    </row>
    <row r="67" spans="1:10" ht="13" customHeight="1">
      <c r="A67" s="4"/>
      <c r="B67" s="28" t="s">
        <v>111</v>
      </c>
      <c r="C67" s="29"/>
      <c r="D67" s="1"/>
      <c r="E67" s="29"/>
      <c r="F67" s="24">
        <v>4490.1899999999996</v>
      </c>
      <c r="G67" s="25">
        <v>2.87E-2</v>
      </c>
      <c r="H67" s="26"/>
      <c r="I67" s="27"/>
      <c r="J67" s="4"/>
    </row>
    <row r="68" spans="1:10" ht="13" customHeight="1">
      <c r="A68" s="4"/>
      <c r="B68" s="13" t="s">
        <v>162</v>
      </c>
      <c r="C68" s="14"/>
      <c r="D68" s="14"/>
      <c r="E68" s="14"/>
      <c r="F68" s="14"/>
      <c r="G68" s="14"/>
      <c r="H68" s="15"/>
      <c r="I68" s="16"/>
      <c r="J68" s="4"/>
    </row>
    <row r="69" spans="1:10" ht="13" customHeight="1">
      <c r="A69" s="4"/>
      <c r="B69" s="13" t="s">
        <v>339</v>
      </c>
      <c r="C69" s="14"/>
      <c r="D69" s="14"/>
      <c r="E69" s="14"/>
      <c r="F69" s="4"/>
      <c r="G69" s="15"/>
      <c r="H69" s="15"/>
      <c r="I69" s="16"/>
      <c r="J69" s="4"/>
    </row>
    <row r="70" spans="1:10" ht="13" customHeight="1">
      <c r="A70" s="17" t="s">
        <v>340</v>
      </c>
      <c r="B70" s="18" t="s">
        <v>341</v>
      </c>
      <c r="C70" s="14" t="s">
        <v>342</v>
      </c>
      <c r="D70" s="14" t="s">
        <v>594</v>
      </c>
      <c r="E70" s="19">
        <v>1000</v>
      </c>
      <c r="F70" s="20">
        <v>4936.93</v>
      </c>
      <c r="G70" s="21">
        <v>3.15E-2</v>
      </c>
      <c r="H70" s="30">
        <v>7.0650000000000004E-2</v>
      </c>
      <c r="I70" s="23"/>
      <c r="J70" s="4"/>
    </row>
    <row r="71" spans="1:10" ht="13" customHeight="1">
      <c r="A71" s="17" t="s">
        <v>343</v>
      </c>
      <c r="B71" s="18" t="s">
        <v>344</v>
      </c>
      <c r="C71" s="14" t="s">
        <v>345</v>
      </c>
      <c r="D71" s="14" t="s">
        <v>594</v>
      </c>
      <c r="E71" s="19">
        <v>500</v>
      </c>
      <c r="F71" s="20">
        <v>2468.6174999999998</v>
      </c>
      <c r="G71" s="21">
        <v>1.5800000000000002E-2</v>
      </c>
      <c r="H71" s="30">
        <v>7.0302000000000003E-2</v>
      </c>
      <c r="I71" s="23"/>
      <c r="J71" s="4"/>
    </row>
    <row r="72" spans="1:10" ht="13" customHeight="1">
      <c r="A72" s="17" t="s">
        <v>346</v>
      </c>
      <c r="B72" s="18" t="s">
        <v>347</v>
      </c>
      <c r="C72" s="14" t="s">
        <v>348</v>
      </c>
      <c r="D72" s="14" t="s">
        <v>595</v>
      </c>
      <c r="E72" s="19">
        <v>500</v>
      </c>
      <c r="F72" s="20">
        <v>2462.3575000000001</v>
      </c>
      <c r="G72" s="21">
        <v>1.5699999999999999E-2</v>
      </c>
      <c r="H72" s="30">
        <v>6.9750000000000006E-2</v>
      </c>
      <c r="I72" s="23"/>
      <c r="J72" s="4"/>
    </row>
    <row r="73" spans="1:10" ht="13" customHeight="1">
      <c r="A73" s="17" t="s">
        <v>349</v>
      </c>
      <c r="B73" s="18" t="s">
        <v>350</v>
      </c>
      <c r="C73" s="14" t="s">
        <v>351</v>
      </c>
      <c r="D73" s="14" t="s">
        <v>596</v>
      </c>
      <c r="E73" s="19">
        <v>500</v>
      </c>
      <c r="F73" s="20">
        <v>2458.4875000000002</v>
      </c>
      <c r="G73" s="21">
        <v>1.5699999999999999E-2</v>
      </c>
      <c r="H73" s="30">
        <v>6.9249000000000005E-2</v>
      </c>
      <c r="I73" s="23"/>
      <c r="J73" s="4"/>
    </row>
    <row r="74" spans="1:10" ht="13" customHeight="1">
      <c r="A74" s="17" t="s">
        <v>352</v>
      </c>
      <c r="B74" s="18" t="s">
        <v>353</v>
      </c>
      <c r="C74" s="14" t="s">
        <v>354</v>
      </c>
      <c r="D74" s="14" t="s">
        <v>595</v>
      </c>
      <c r="E74" s="19">
        <v>500</v>
      </c>
      <c r="F74" s="20">
        <v>2438.39</v>
      </c>
      <c r="G74" s="21">
        <v>1.5599999999999999E-2</v>
      </c>
      <c r="H74" s="30">
        <v>7.2049000000000002E-2</v>
      </c>
      <c r="I74" s="23"/>
      <c r="J74" s="4"/>
    </row>
    <row r="75" spans="1:10" ht="13" customHeight="1">
      <c r="A75" s="17" t="s">
        <v>355</v>
      </c>
      <c r="B75" s="18" t="s">
        <v>356</v>
      </c>
      <c r="C75" s="14" t="s">
        <v>357</v>
      </c>
      <c r="D75" s="14" t="s">
        <v>595</v>
      </c>
      <c r="E75" s="19">
        <v>500</v>
      </c>
      <c r="F75" s="20">
        <v>2421.605</v>
      </c>
      <c r="G75" s="21">
        <v>1.55E-2</v>
      </c>
      <c r="H75" s="30">
        <v>7.2050000000000003E-2</v>
      </c>
      <c r="I75" s="23"/>
      <c r="J75" s="4"/>
    </row>
    <row r="76" spans="1:10" ht="13" customHeight="1">
      <c r="A76" s="17" t="s">
        <v>358</v>
      </c>
      <c r="B76" s="18" t="s">
        <v>359</v>
      </c>
      <c r="C76" s="14" t="s">
        <v>360</v>
      </c>
      <c r="D76" s="14" t="s">
        <v>597</v>
      </c>
      <c r="E76" s="19">
        <v>500</v>
      </c>
      <c r="F76" s="20">
        <v>2420.8775000000001</v>
      </c>
      <c r="G76" s="21">
        <v>1.55E-2</v>
      </c>
      <c r="H76" s="30">
        <v>7.2300000000000003E-2</v>
      </c>
      <c r="I76" s="23"/>
      <c r="J76" s="4"/>
    </row>
    <row r="77" spans="1:10" ht="13" customHeight="1">
      <c r="A77" s="4"/>
      <c r="B77" s="13" t="s">
        <v>108</v>
      </c>
      <c r="C77" s="14"/>
      <c r="D77" s="14"/>
      <c r="E77" s="14"/>
      <c r="F77" s="24">
        <v>19607.264999999999</v>
      </c>
      <c r="G77" s="25">
        <v>0.12529999999999999</v>
      </c>
      <c r="H77" s="26"/>
      <c r="I77" s="27"/>
      <c r="J77" s="4"/>
    </row>
    <row r="78" spans="1:10" ht="13" customHeight="1">
      <c r="A78" s="4"/>
      <c r="B78" s="13" t="s">
        <v>361</v>
      </c>
      <c r="C78" s="14"/>
      <c r="D78" s="14"/>
      <c r="E78" s="14"/>
      <c r="F78" s="4"/>
      <c r="G78" s="15"/>
      <c r="H78" s="15"/>
      <c r="I78" s="16"/>
      <c r="J78" s="4"/>
    </row>
    <row r="79" spans="1:10" ht="13" customHeight="1">
      <c r="A79" s="17" t="s">
        <v>362</v>
      </c>
      <c r="B79" s="18" t="s">
        <v>363</v>
      </c>
      <c r="C79" s="14" t="s">
        <v>364</v>
      </c>
      <c r="D79" s="14" t="s">
        <v>594</v>
      </c>
      <c r="E79" s="19">
        <v>500</v>
      </c>
      <c r="F79" s="20">
        <v>2472.1975000000002</v>
      </c>
      <c r="G79" s="21">
        <v>1.5800000000000002E-2</v>
      </c>
      <c r="H79" s="30">
        <v>7.7449000000000004E-2</v>
      </c>
      <c r="I79" s="23"/>
      <c r="J79" s="4"/>
    </row>
    <row r="80" spans="1:10" ht="13" customHeight="1">
      <c r="A80" s="17" t="s">
        <v>365</v>
      </c>
      <c r="B80" s="18" t="s">
        <v>598</v>
      </c>
      <c r="C80" s="14" t="s">
        <v>366</v>
      </c>
      <c r="D80" s="14" t="s">
        <v>596</v>
      </c>
      <c r="E80" s="19">
        <v>500</v>
      </c>
      <c r="F80" s="20">
        <v>2467.59</v>
      </c>
      <c r="G80" s="21">
        <v>1.5800000000000002E-2</v>
      </c>
      <c r="H80" s="30">
        <v>7.0499000000000006E-2</v>
      </c>
      <c r="I80" s="23"/>
      <c r="J80" s="4"/>
    </row>
    <row r="81" spans="1:10" ht="13" customHeight="1">
      <c r="A81" s="17" t="s">
        <v>367</v>
      </c>
      <c r="B81" s="18" t="s">
        <v>368</v>
      </c>
      <c r="C81" s="14" t="s">
        <v>369</v>
      </c>
      <c r="D81" s="14" t="s">
        <v>594</v>
      </c>
      <c r="E81" s="19">
        <v>500</v>
      </c>
      <c r="F81" s="20">
        <v>2459.6075000000001</v>
      </c>
      <c r="G81" s="21">
        <v>1.5699999999999999E-2</v>
      </c>
      <c r="H81" s="30">
        <v>6.9698999999999997E-2</v>
      </c>
      <c r="I81" s="23"/>
      <c r="J81" s="4"/>
    </row>
    <row r="82" spans="1:10" ht="13" customHeight="1">
      <c r="A82" s="17" t="s">
        <v>370</v>
      </c>
      <c r="B82" s="18" t="s">
        <v>371</v>
      </c>
      <c r="C82" s="14" t="s">
        <v>372</v>
      </c>
      <c r="D82" s="14" t="s">
        <v>594</v>
      </c>
      <c r="E82" s="19">
        <v>500</v>
      </c>
      <c r="F82" s="20">
        <v>2457.13</v>
      </c>
      <c r="G82" s="21">
        <v>1.5699999999999999E-2</v>
      </c>
      <c r="H82" s="30">
        <v>7.4049000000000004E-2</v>
      </c>
      <c r="I82" s="23"/>
      <c r="J82" s="4"/>
    </row>
    <row r="83" spans="1:10" ht="13" customHeight="1">
      <c r="A83" s="17" t="s">
        <v>373</v>
      </c>
      <c r="B83" s="18" t="s">
        <v>374</v>
      </c>
      <c r="C83" s="14" t="s">
        <v>375</v>
      </c>
      <c r="D83" s="14" t="s">
        <v>594</v>
      </c>
      <c r="E83" s="19">
        <v>500</v>
      </c>
      <c r="F83" s="20">
        <v>2441.7725</v>
      </c>
      <c r="G83" s="21">
        <v>1.5599999999999999E-2</v>
      </c>
      <c r="H83" s="30">
        <v>7.6350000000000001E-2</v>
      </c>
      <c r="I83" s="23"/>
      <c r="J83" s="4"/>
    </row>
    <row r="84" spans="1:10" ht="13" customHeight="1">
      <c r="A84" s="17" t="s">
        <v>376</v>
      </c>
      <c r="B84" s="18" t="s">
        <v>599</v>
      </c>
      <c r="C84" s="14" t="s">
        <v>377</v>
      </c>
      <c r="D84" s="14" t="s">
        <v>594</v>
      </c>
      <c r="E84" s="19">
        <v>500</v>
      </c>
      <c r="F84" s="20">
        <v>2430.7800000000002</v>
      </c>
      <c r="G84" s="21">
        <v>1.55E-2</v>
      </c>
      <c r="H84" s="30">
        <v>7.6425999999999994E-2</v>
      </c>
      <c r="I84" s="23"/>
      <c r="J84" s="4"/>
    </row>
    <row r="85" spans="1:10" ht="13" customHeight="1">
      <c r="A85" s="17" t="s">
        <v>378</v>
      </c>
      <c r="B85" s="18" t="s">
        <v>379</v>
      </c>
      <c r="C85" s="14" t="s">
        <v>380</v>
      </c>
      <c r="D85" s="14" t="s">
        <v>594</v>
      </c>
      <c r="E85" s="19">
        <v>500</v>
      </c>
      <c r="F85" s="20">
        <v>2412.4699999999998</v>
      </c>
      <c r="G85" s="21">
        <v>1.54E-2</v>
      </c>
      <c r="H85" s="30">
        <v>7.6550999999999994E-2</v>
      </c>
      <c r="I85" s="23"/>
      <c r="J85" s="4"/>
    </row>
    <row r="86" spans="1:10" ht="13" customHeight="1">
      <c r="A86" s="17" t="s">
        <v>381</v>
      </c>
      <c r="B86" s="18" t="s">
        <v>382</v>
      </c>
      <c r="C86" s="14" t="s">
        <v>383</v>
      </c>
      <c r="D86" s="14" t="s">
        <v>594</v>
      </c>
      <c r="E86" s="19">
        <v>500</v>
      </c>
      <c r="F86" s="20">
        <v>2377.64</v>
      </c>
      <c r="G86" s="21">
        <v>1.52E-2</v>
      </c>
      <c r="H86" s="30">
        <v>8.2749000000000003E-2</v>
      </c>
      <c r="I86" s="23"/>
      <c r="J86" s="4"/>
    </row>
    <row r="87" spans="1:10" ht="13" customHeight="1">
      <c r="A87" s="17" t="s">
        <v>384</v>
      </c>
      <c r="B87" s="18" t="s">
        <v>385</v>
      </c>
      <c r="C87" s="14" t="s">
        <v>386</v>
      </c>
      <c r="D87" s="14" t="s">
        <v>594</v>
      </c>
      <c r="E87" s="19">
        <v>250</v>
      </c>
      <c r="F87" s="20">
        <v>1184.6463000000001</v>
      </c>
      <c r="G87" s="21">
        <v>7.6E-3</v>
      </c>
      <c r="H87" s="30">
        <v>7.8350000000000003E-2</v>
      </c>
      <c r="I87" s="23"/>
      <c r="J87" s="4"/>
    </row>
    <row r="88" spans="1:10" ht="13" customHeight="1">
      <c r="A88" s="4"/>
      <c r="B88" s="13" t="s">
        <v>108</v>
      </c>
      <c r="C88" s="14"/>
      <c r="D88" s="14"/>
      <c r="E88" s="14"/>
      <c r="F88" s="24">
        <v>20703.8338</v>
      </c>
      <c r="G88" s="25">
        <v>0.1323</v>
      </c>
      <c r="H88" s="26"/>
      <c r="I88" s="27"/>
      <c r="J88" s="4"/>
    </row>
    <row r="89" spans="1:10" ht="13" customHeight="1">
      <c r="A89" s="4"/>
      <c r="B89" s="28" t="s">
        <v>111</v>
      </c>
      <c r="C89" s="29"/>
      <c r="D89" s="1"/>
      <c r="E89" s="29"/>
      <c r="F89" s="24">
        <v>40311.0988</v>
      </c>
      <c r="G89" s="25">
        <v>0.2576</v>
      </c>
      <c r="H89" s="26"/>
      <c r="I89" s="27"/>
      <c r="J89" s="4"/>
    </row>
    <row r="90" spans="1:10" ht="13" customHeight="1">
      <c r="A90" s="4"/>
      <c r="B90" s="13" t="s">
        <v>387</v>
      </c>
      <c r="C90" s="14"/>
      <c r="D90" s="14"/>
      <c r="E90" s="14"/>
      <c r="F90" s="14"/>
      <c r="G90" s="14"/>
      <c r="H90" s="15"/>
      <c r="I90" s="16"/>
      <c r="J90" s="4"/>
    </row>
    <row r="91" spans="1:10" ht="13" customHeight="1">
      <c r="A91" s="17" t="s">
        <v>388</v>
      </c>
      <c r="B91" s="18" t="s">
        <v>389</v>
      </c>
      <c r="C91" s="14"/>
      <c r="D91" s="14"/>
      <c r="E91" s="19"/>
      <c r="F91" s="20">
        <v>19474.8616</v>
      </c>
      <c r="G91" s="21">
        <v>0.1244</v>
      </c>
      <c r="H91" s="30">
        <v>6.7574968854353101E-2</v>
      </c>
      <c r="I91" s="23"/>
      <c r="J91" s="4"/>
    </row>
    <row r="92" spans="1:10" ht="13" customHeight="1">
      <c r="A92" s="4"/>
      <c r="B92" s="13" t="s">
        <v>108</v>
      </c>
      <c r="C92" s="40"/>
      <c r="D92" s="14"/>
      <c r="E92" s="40"/>
      <c r="F92" s="24">
        <v>19474.8616</v>
      </c>
      <c r="G92" s="25">
        <v>0.1244</v>
      </c>
      <c r="H92" s="26"/>
      <c r="I92" s="27"/>
      <c r="J92" s="4"/>
    </row>
    <row r="93" spans="1:10" ht="13" customHeight="1">
      <c r="A93" s="4"/>
      <c r="B93" s="28" t="s">
        <v>168</v>
      </c>
      <c r="C93" s="14"/>
      <c r="D93" s="1"/>
      <c r="E93" s="14"/>
      <c r="F93" s="31">
        <v>6369.0514000000003</v>
      </c>
      <c r="G93" s="25">
        <v>4.0599999999999997E-2</v>
      </c>
      <c r="H93" s="26"/>
      <c r="I93" s="27"/>
      <c r="J93" s="4"/>
    </row>
    <row r="94" spans="1:10" ht="13" customHeight="1">
      <c r="A94" s="4"/>
      <c r="B94" s="32" t="s">
        <v>169</v>
      </c>
      <c r="C94" s="33"/>
      <c r="D94" s="33"/>
      <c r="E94" s="33"/>
      <c r="F94" s="34">
        <v>156561.16</v>
      </c>
      <c r="G94" s="35">
        <v>1</v>
      </c>
      <c r="H94" s="36"/>
      <c r="I94" s="37"/>
      <c r="J94" s="4"/>
    </row>
    <row r="95" spans="1:10" ht="13" customHeight="1">
      <c r="A95" s="4"/>
      <c r="B95" s="6"/>
      <c r="C95" s="4"/>
      <c r="D95" s="4"/>
      <c r="E95" s="4"/>
      <c r="F95" s="59"/>
      <c r="G95" s="4"/>
      <c r="H95" s="4"/>
      <c r="I95" s="4"/>
      <c r="J95" s="4"/>
    </row>
    <row r="96" spans="1:10" ht="13" customHeight="1">
      <c r="A96" s="4"/>
      <c r="B96" s="3" t="s">
        <v>170</v>
      </c>
      <c r="C96" s="4"/>
      <c r="D96" s="4"/>
      <c r="E96" s="4"/>
      <c r="F96" s="4"/>
      <c r="G96" s="4"/>
      <c r="H96" s="4"/>
      <c r="I96" s="4"/>
      <c r="J96" s="4"/>
    </row>
    <row r="97" spans="1:10" ht="13" customHeight="1">
      <c r="A97" s="4"/>
      <c r="B97" s="3" t="s">
        <v>390</v>
      </c>
      <c r="C97" s="4"/>
      <c r="D97" s="4"/>
      <c r="E97" s="4"/>
      <c r="F97" s="4"/>
      <c r="G97" s="4"/>
      <c r="H97" s="4"/>
      <c r="I97" s="4"/>
      <c r="J97" s="4"/>
    </row>
    <row r="98" spans="1:10" ht="13" customHeight="1">
      <c r="A98" s="4"/>
      <c r="B98" s="3" t="s">
        <v>171</v>
      </c>
      <c r="C98" s="4"/>
      <c r="D98" s="4"/>
      <c r="E98" s="4"/>
      <c r="F98" s="4"/>
      <c r="G98" s="4"/>
      <c r="H98" s="4"/>
      <c r="I98" s="4"/>
      <c r="J98" s="4"/>
    </row>
    <row r="99" spans="1:10" ht="26.15" customHeight="1">
      <c r="A99" s="4"/>
      <c r="B99" s="61" t="s">
        <v>172</v>
      </c>
      <c r="C99" s="61"/>
      <c r="D99" s="61"/>
      <c r="E99" s="61"/>
      <c r="F99" s="61"/>
      <c r="G99" s="61"/>
      <c r="H99" s="61"/>
      <c r="I99" s="61"/>
      <c r="J99" s="4"/>
    </row>
    <row r="100" spans="1:10" ht="13" customHeight="1">
      <c r="A100" s="4"/>
      <c r="B100" s="61"/>
      <c r="C100" s="61"/>
      <c r="D100" s="61"/>
      <c r="E100" s="61"/>
      <c r="F100" s="61"/>
      <c r="G100" s="61"/>
      <c r="H100" s="61"/>
      <c r="I100" s="61"/>
      <c r="J100" s="4"/>
    </row>
    <row r="101" spans="1:10" s="41" customFormat="1" ht="15" customHeight="1">
      <c r="B101" s="42" t="s">
        <v>603</v>
      </c>
      <c r="C101" s="43"/>
      <c r="D101" s="43"/>
      <c r="E101" s="43"/>
      <c r="F101" s="43"/>
      <c r="G101" s="43"/>
      <c r="H101" s="43"/>
      <c r="I101" s="44"/>
    </row>
    <row r="102" spans="1:10" s="41" customFormat="1" ht="15" customHeight="1">
      <c r="B102" s="45" t="s">
        <v>604</v>
      </c>
      <c r="I102" s="46"/>
    </row>
    <row r="103" spans="1:10" s="41" customFormat="1" ht="15" customHeight="1">
      <c r="B103" s="45" t="s">
        <v>605</v>
      </c>
      <c r="I103" s="46"/>
    </row>
    <row r="104" spans="1:10" s="41" customFormat="1" ht="15" customHeight="1">
      <c r="B104" s="47" t="s">
        <v>606</v>
      </c>
      <c r="C104" s="48" t="s">
        <v>629</v>
      </c>
      <c r="D104" s="48" t="s">
        <v>613</v>
      </c>
      <c r="I104" s="46"/>
    </row>
    <row r="105" spans="1:10" s="41" customFormat="1" ht="15" customHeight="1">
      <c r="B105" s="49" t="s">
        <v>607</v>
      </c>
      <c r="C105" s="50">
        <v>10.087</v>
      </c>
      <c r="D105" s="50">
        <v>10.037000000000001</v>
      </c>
      <c r="F105" s="51"/>
      <c r="I105" s="46"/>
    </row>
    <row r="106" spans="1:10" s="41" customFormat="1" ht="15" customHeight="1">
      <c r="B106" s="49" t="s">
        <v>608</v>
      </c>
      <c r="C106" s="50">
        <v>10.087</v>
      </c>
      <c r="D106" s="50">
        <v>10.037000000000001</v>
      </c>
      <c r="F106" s="51"/>
      <c r="I106" s="46"/>
    </row>
    <row r="107" spans="1:10" s="41" customFormat="1" ht="15" customHeight="1">
      <c r="B107" s="49" t="s">
        <v>609</v>
      </c>
      <c r="C107" s="50">
        <v>10.103999999999999</v>
      </c>
      <c r="D107" s="50">
        <v>10.044</v>
      </c>
      <c r="F107" s="51"/>
      <c r="I107" s="46"/>
    </row>
    <row r="108" spans="1:10" s="41" customFormat="1" ht="15" customHeight="1">
      <c r="B108" s="49" t="s">
        <v>610</v>
      </c>
      <c r="C108" s="50">
        <v>10.103999999999999</v>
      </c>
      <c r="D108" s="50">
        <v>10.044</v>
      </c>
      <c r="F108" s="51"/>
      <c r="I108" s="46"/>
    </row>
    <row r="109" spans="1:10" s="41" customFormat="1" ht="15" customHeight="1">
      <c r="B109" s="45" t="s">
        <v>611</v>
      </c>
      <c r="I109" s="46"/>
    </row>
    <row r="110" spans="1:10">
      <c r="A110" s="41"/>
      <c r="B110" s="45" t="s">
        <v>630</v>
      </c>
      <c r="C110" s="41"/>
      <c r="D110" s="41"/>
      <c r="E110" s="41"/>
      <c r="F110" s="41"/>
      <c r="G110" s="41"/>
      <c r="H110" s="41"/>
      <c r="I110" s="46"/>
    </row>
    <row r="111" spans="1:10" s="41" customFormat="1" ht="15" customHeight="1">
      <c r="B111" s="45" t="s">
        <v>626</v>
      </c>
      <c r="I111" s="46"/>
    </row>
    <row r="112" spans="1:10" s="41" customFormat="1" ht="15" customHeight="1">
      <c r="B112" s="53" t="s">
        <v>679</v>
      </c>
      <c r="I112" s="46"/>
    </row>
    <row r="113" spans="1:10" s="41" customFormat="1" ht="15" customHeight="1">
      <c r="B113" s="45" t="s">
        <v>631</v>
      </c>
      <c r="I113" s="46"/>
    </row>
    <row r="114" spans="1:10" s="41" customFormat="1" ht="15" customHeight="1">
      <c r="B114" s="45" t="s">
        <v>632</v>
      </c>
      <c r="I114" s="46"/>
    </row>
    <row r="115" spans="1:10" s="41" customFormat="1" ht="15" customHeight="1">
      <c r="B115" s="45" t="s">
        <v>612</v>
      </c>
      <c r="I115" s="46"/>
    </row>
    <row r="116" spans="1:10" s="41" customFormat="1" ht="15" customHeight="1">
      <c r="B116" s="45" t="s">
        <v>674</v>
      </c>
      <c r="I116" s="46"/>
    </row>
    <row r="117" spans="1:10" s="41" customFormat="1" ht="15" customHeight="1">
      <c r="B117" s="53"/>
      <c r="C117" s="54"/>
      <c r="D117" s="54"/>
      <c r="E117" s="54"/>
      <c r="F117" s="54"/>
      <c r="G117" s="54"/>
      <c r="H117" s="54"/>
      <c r="I117" s="55"/>
    </row>
    <row r="118" spans="1:10" ht="13" customHeight="1">
      <c r="A118" s="4"/>
      <c r="B118" s="61"/>
      <c r="C118" s="61"/>
      <c r="D118" s="61"/>
      <c r="E118" s="61"/>
      <c r="F118" s="61"/>
      <c r="G118" s="61"/>
      <c r="H118" s="61"/>
      <c r="I118" s="61"/>
      <c r="J118" s="4"/>
    </row>
    <row r="119" spans="1:10" ht="13" customHeight="1">
      <c r="A119" s="4"/>
      <c r="B119" s="4"/>
      <c r="C119" s="62" t="s">
        <v>391</v>
      </c>
      <c r="D119" s="62"/>
      <c r="E119" s="62"/>
      <c r="F119" s="62"/>
      <c r="G119" s="4"/>
      <c r="H119" s="4"/>
      <c r="I119" s="4"/>
      <c r="J119" s="4"/>
    </row>
    <row r="120" spans="1:10" ht="13" customHeight="1">
      <c r="A120" s="4"/>
      <c r="B120" s="38" t="s">
        <v>174</v>
      </c>
      <c r="C120" s="62" t="s">
        <v>175</v>
      </c>
      <c r="D120" s="62"/>
      <c r="E120" s="62"/>
      <c r="F120" s="62"/>
      <c r="G120" s="4"/>
      <c r="H120" s="4"/>
      <c r="I120" s="4"/>
      <c r="J120" s="4"/>
    </row>
    <row r="121" spans="1:10" ht="121" customHeight="1">
      <c r="A121" s="4"/>
      <c r="B121" s="39"/>
      <c r="C121" s="60"/>
      <c r="D121" s="60"/>
      <c r="E121" s="4"/>
      <c r="F121" s="4"/>
      <c r="G121" s="4"/>
      <c r="H121" s="4"/>
      <c r="I121" s="4"/>
      <c r="J121" s="4"/>
    </row>
  </sheetData>
  <mergeCells count="6">
    <mergeCell ref="C121:D121"/>
    <mergeCell ref="B99:I99"/>
    <mergeCell ref="B100:I100"/>
    <mergeCell ref="B118:I118"/>
    <mergeCell ref="C119:F119"/>
    <mergeCell ref="C120:F120"/>
  </mergeCells>
  <hyperlinks>
    <hyperlink ref="A1" location="BajajFinservFlexiCapFund" display="BFFLX" xr:uid="{00000000-0004-0000-0200-000000000000}"/>
    <hyperlink ref="B1" location="BajajFinservFlexiCapFund" display="Bajaj Finserv Flexi Cap Fund" xr:uid="{00000000-0004-0000-0200-000001000000}"/>
  </hyperlink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89"/>
  <sheetViews>
    <sheetView topLeftCell="B1" workbookViewId="0">
      <selection activeCell="C14" sqref="C14"/>
    </sheetView>
  </sheetViews>
  <sheetFormatPr defaultRowHeight="14.5"/>
  <cols>
    <col min="1" max="1" width="3.26953125" customWidth="1"/>
    <col min="2" max="2" width="69.1796875" customWidth="1"/>
    <col min="3" max="3" width="21.7265625" bestFit="1" customWidth="1"/>
    <col min="4" max="4" width="18.453125" bestFit="1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4</v>
      </c>
      <c r="B1" s="3" t="s">
        <v>5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10</v>
      </c>
      <c r="B3" s="7" t="s">
        <v>11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12</v>
      </c>
      <c r="C4" s="9" t="s">
        <v>13</v>
      </c>
      <c r="D4" s="10" t="s">
        <v>392</v>
      </c>
      <c r="E4" s="10" t="s">
        <v>15</v>
      </c>
      <c r="F4" s="10" t="s">
        <v>16</v>
      </c>
      <c r="G4" s="10" t="s">
        <v>17</v>
      </c>
      <c r="H4" s="10" t="s">
        <v>18</v>
      </c>
      <c r="I4" s="11" t="s">
        <v>19</v>
      </c>
      <c r="J4" s="12" t="s">
        <v>20</v>
      </c>
    </row>
    <row r="5" spans="1:10" ht="13" customHeight="1">
      <c r="A5" s="4"/>
      <c r="B5" s="13" t="s">
        <v>162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339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393</v>
      </c>
      <c r="B7" s="18" t="s">
        <v>394</v>
      </c>
      <c r="C7" s="14" t="s">
        <v>395</v>
      </c>
      <c r="D7" s="14" t="s">
        <v>595</v>
      </c>
      <c r="E7" s="19">
        <v>1500</v>
      </c>
      <c r="F7" s="20">
        <v>7484.2124999999996</v>
      </c>
      <c r="G7" s="21">
        <v>4.1700000000000001E-2</v>
      </c>
      <c r="H7" s="30">
        <v>7.0000999999999994E-2</v>
      </c>
      <c r="I7" s="23"/>
      <c r="J7" s="4"/>
    </row>
    <row r="8" spans="1:10" ht="13" customHeight="1">
      <c r="A8" s="17" t="s">
        <v>396</v>
      </c>
      <c r="B8" s="18" t="s">
        <v>397</v>
      </c>
      <c r="C8" s="14" t="s">
        <v>398</v>
      </c>
      <c r="D8" s="14" t="s">
        <v>596</v>
      </c>
      <c r="E8" s="19">
        <v>1500</v>
      </c>
      <c r="F8" s="20">
        <v>7414.32</v>
      </c>
      <c r="G8" s="21">
        <v>4.1300000000000003E-2</v>
      </c>
      <c r="H8" s="30">
        <v>7.0296999999999998E-2</v>
      </c>
      <c r="I8" s="23"/>
      <c r="J8" s="4"/>
    </row>
    <row r="9" spans="1:10" ht="13" customHeight="1">
      <c r="A9" s="17" t="s">
        <v>399</v>
      </c>
      <c r="B9" s="18" t="s">
        <v>400</v>
      </c>
      <c r="C9" s="14" t="s">
        <v>401</v>
      </c>
      <c r="D9" s="14" t="s">
        <v>594</v>
      </c>
      <c r="E9" s="19">
        <v>1000</v>
      </c>
      <c r="F9" s="20">
        <v>4952.24</v>
      </c>
      <c r="G9" s="21">
        <v>2.76E-2</v>
      </c>
      <c r="H9" s="30">
        <v>7.0400000000000004E-2</v>
      </c>
      <c r="I9" s="23"/>
      <c r="J9" s="4"/>
    </row>
    <row r="10" spans="1:10" ht="13" customHeight="1">
      <c r="A10" s="17" t="s">
        <v>402</v>
      </c>
      <c r="B10" s="18" t="s">
        <v>403</v>
      </c>
      <c r="C10" s="14" t="s">
        <v>404</v>
      </c>
      <c r="D10" s="14" t="s">
        <v>594</v>
      </c>
      <c r="E10" s="19">
        <v>1000</v>
      </c>
      <c r="F10" s="20">
        <v>4951.6049999999996</v>
      </c>
      <c r="G10" s="21">
        <v>2.76E-2</v>
      </c>
      <c r="H10" s="30">
        <v>6.9952E-2</v>
      </c>
      <c r="I10" s="23"/>
      <c r="J10" s="4"/>
    </row>
    <row r="11" spans="1:10" ht="13" customHeight="1">
      <c r="A11" s="17" t="s">
        <v>343</v>
      </c>
      <c r="B11" s="18" t="s">
        <v>344</v>
      </c>
      <c r="C11" s="14" t="s">
        <v>345</v>
      </c>
      <c r="D11" s="14" t="s">
        <v>594</v>
      </c>
      <c r="E11" s="19">
        <v>1000</v>
      </c>
      <c r="F11" s="20">
        <v>4937.2349999999997</v>
      </c>
      <c r="G11" s="21">
        <v>2.75E-2</v>
      </c>
      <c r="H11" s="30">
        <v>7.0302000000000003E-2</v>
      </c>
      <c r="I11" s="23"/>
      <c r="J11" s="4"/>
    </row>
    <row r="12" spans="1:10" ht="13" customHeight="1">
      <c r="A12" s="17" t="s">
        <v>405</v>
      </c>
      <c r="B12" s="18" t="s">
        <v>406</v>
      </c>
      <c r="C12" s="14" t="s">
        <v>407</v>
      </c>
      <c r="D12" s="14" t="s">
        <v>594</v>
      </c>
      <c r="E12" s="19">
        <v>1000</v>
      </c>
      <c r="F12" s="20">
        <v>4931.1149999999998</v>
      </c>
      <c r="G12" s="21">
        <v>2.75E-2</v>
      </c>
      <c r="H12" s="30">
        <v>6.9849999999999995E-2</v>
      </c>
      <c r="I12" s="23"/>
      <c r="J12" s="4"/>
    </row>
    <row r="13" spans="1:10" ht="13" customHeight="1">
      <c r="A13" s="17" t="s">
        <v>408</v>
      </c>
      <c r="B13" s="18" t="s">
        <v>409</v>
      </c>
      <c r="C13" s="14" t="s">
        <v>410</v>
      </c>
      <c r="D13" s="14" t="s">
        <v>595</v>
      </c>
      <c r="E13" s="19">
        <v>900</v>
      </c>
      <c r="F13" s="20">
        <v>4454.8154999999997</v>
      </c>
      <c r="G13" s="21">
        <v>2.4799999999999999E-2</v>
      </c>
      <c r="H13" s="30">
        <v>6.9851999999999997E-2</v>
      </c>
      <c r="I13" s="23"/>
      <c r="J13" s="4"/>
    </row>
    <row r="14" spans="1:10" ht="13" customHeight="1">
      <c r="A14" s="17" t="s">
        <v>411</v>
      </c>
      <c r="B14" s="18" t="s">
        <v>412</v>
      </c>
      <c r="C14" s="14" t="s">
        <v>413</v>
      </c>
      <c r="D14" s="14" t="s">
        <v>595</v>
      </c>
      <c r="E14" s="19">
        <v>500</v>
      </c>
      <c r="F14" s="20">
        <v>2490.9250000000002</v>
      </c>
      <c r="G14" s="21">
        <v>1.3899999999999999E-2</v>
      </c>
      <c r="H14" s="30">
        <v>6.9996000000000003E-2</v>
      </c>
      <c r="I14" s="23"/>
      <c r="J14" s="4"/>
    </row>
    <row r="15" spans="1:10" ht="13" customHeight="1">
      <c r="A15" s="17" t="s">
        <v>414</v>
      </c>
      <c r="B15" s="18" t="s">
        <v>415</v>
      </c>
      <c r="C15" s="14" t="s">
        <v>416</v>
      </c>
      <c r="D15" s="14" t="s">
        <v>596</v>
      </c>
      <c r="E15" s="19">
        <v>500</v>
      </c>
      <c r="F15" s="20">
        <v>2477.8249999999998</v>
      </c>
      <c r="G15" s="21">
        <v>1.38E-2</v>
      </c>
      <c r="H15" s="30">
        <v>6.9500999999999993E-2</v>
      </c>
      <c r="I15" s="23"/>
      <c r="J15" s="4"/>
    </row>
    <row r="16" spans="1:10" ht="13" customHeight="1">
      <c r="A16" s="17" t="s">
        <v>417</v>
      </c>
      <c r="B16" s="18" t="s">
        <v>418</v>
      </c>
      <c r="C16" s="14" t="s">
        <v>419</v>
      </c>
      <c r="D16" s="14" t="s">
        <v>594</v>
      </c>
      <c r="E16" s="19">
        <v>500</v>
      </c>
      <c r="F16" s="20">
        <v>2468.9124999999999</v>
      </c>
      <c r="G16" s="21">
        <v>1.38E-2</v>
      </c>
      <c r="H16" s="30">
        <v>6.9638000000000005E-2</v>
      </c>
      <c r="I16" s="23"/>
      <c r="J16" s="4"/>
    </row>
    <row r="17" spans="1:10" ht="13" customHeight="1">
      <c r="A17" s="17" t="s">
        <v>340</v>
      </c>
      <c r="B17" s="18" t="s">
        <v>341</v>
      </c>
      <c r="C17" s="14" t="s">
        <v>342</v>
      </c>
      <c r="D17" s="14" t="s">
        <v>594</v>
      </c>
      <c r="E17" s="19">
        <v>500</v>
      </c>
      <c r="F17" s="20">
        <v>2468.4650000000001</v>
      </c>
      <c r="G17" s="21">
        <v>1.38E-2</v>
      </c>
      <c r="H17" s="30">
        <v>7.0650000000000004E-2</v>
      </c>
      <c r="I17" s="23"/>
      <c r="J17" s="4"/>
    </row>
    <row r="18" spans="1:10" ht="13" customHeight="1">
      <c r="A18" s="17" t="s">
        <v>420</v>
      </c>
      <c r="B18" s="18" t="s">
        <v>421</v>
      </c>
      <c r="C18" s="14" t="s">
        <v>422</v>
      </c>
      <c r="D18" s="14" t="s">
        <v>594</v>
      </c>
      <c r="E18" s="19">
        <v>500</v>
      </c>
      <c r="F18" s="20">
        <v>2459.5225</v>
      </c>
      <c r="G18" s="21">
        <v>1.37E-2</v>
      </c>
      <c r="H18" s="30">
        <v>6.9849999999999995E-2</v>
      </c>
      <c r="I18" s="23"/>
      <c r="J18" s="4"/>
    </row>
    <row r="19" spans="1:10" ht="13" customHeight="1">
      <c r="A19" s="17" t="s">
        <v>423</v>
      </c>
      <c r="B19" s="18" t="s">
        <v>424</v>
      </c>
      <c r="C19" s="14" t="s">
        <v>425</v>
      </c>
      <c r="D19" s="14" t="s">
        <v>594</v>
      </c>
      <c r="E19" s="19">
        <v>500</v>
      </c>
      <c r="F19" s="20">
        <v>2458.9274999999998</v>
      </c>
      <c r="G19" s="21">
        <v>1.37E-2</v>
      </c>
      <c r="H19" s="30">
        <v>7.0077E-2</v>
      </c>
      <c r="I19" s="23"/>
      <c r="J19" s="4"/>
    </row>
    <row r="20" spans="1:10" ht="13" customHeight="1">
      <c r="A20" s="4"/>
      <c r="B20" s="13" t="s">
        <v>108</v>
      </c>
      <c r="C20" s="14"/>
      <c r="D20" s="14"/>
      <c r="E20" s="14"/>
      <c r="F20" s="24">
        <v>53950.120499999997</v>
      </c>
      <c r="G20" s="25">
        <v>0.30070000000000002</v>
      </c>
      <c r="H20" s="26"/>
      <c r="I20" s="27"/>
      <c r="J20" s="4"/>
    </row>
    <row r="21" spans="1:10" ht="13" customHeight="1">
      <c r="A21" s="4"/>
      <c r="B21" s="13" t="s">
        <v>361</v>
      </c>
      <c r="C21" s="14"/>
      <c r="D21" s="14"/>
      <c r="E21" s="14"/>
      <c r="F21" s="4"/>
      <c r="G21" s="15"/>
      <c r="H21" s="15"/>
      <c r="I21" s="16"/>
      <c r="J21" s="4"/>
    </row>
    <row r="22" spans="1:10" ht="13" customHeight="1">
      <c r="A22" s="17" t="s">
        <v>426</v>
      </c>
      <c r="B22" s="18" t="s">
        <v>427</v>
      </c>
      <c r="C22" s="14" t="s">
        <v>428</v>
      </c>
      <c r="D22" s="14" t="s">
        <v>594</v>
      </c>
      <c r="E22" s="19">
        <v>2000</v>
      </c>
      <c r="F22" s="20">
        <v>9885.44</v>
      </c>
      <c r="G22" s="21">
        <v>5.5100000000000003E-2</v>
      </c>
      <c r="H22" s="30">
        <v>7.0499999999999993E-2</v>
      </c>
      <c r="I22" s="23"/>
      <c r="J22" s="4"/>
    </row>
    <row r="23" spans="1:10" ht="13" customHeight="1">
      <c r="A23" s="17" t="s">
        <v>429</v>
      </c>
      <c r="B23" s="18" t="s">
        <v>430</v>
      </c>
      <c r="C23" s="14" t="s">
        <v>431</v>
      </c>
      <c r="D23" s="14" t="s">
        <v>594</v>
      </c>
      <c r="E23" s="19">
        <v>1000</v>
      </c>
      <c r="F23" s="20">
        <v>4975.8050000000003</v>
      </c>
      <c r="G23" s="21">
        <v>2.7699999999999999E-2</v>
      </c>
      <c r="H23" s="30">
        <v>7.3950000000000002E-2</v>
      </c>
      <c r="I23" s="23"/>
      <c r="J23" s="4"/>
    </row>
    <row r="24" spans="1:10" ht="13" customHeight="1">
      <c r="A24" s="17" t="s">
        <v>432</v>
      </c>
      <c r="B24" s="18" t="s">
        <v>433</v>
      </c>
      <c r="C24" s="14" t="s">
        <v>434</v>
      </c>
      <c r="D24" s="14" t="s">
        <v>594</v>
      </c>
      <c r="E24" s="19">
        <v>1000</v>
      </c>
      <c r="F24" s="20">
        <v>4975.0349999999999</v>
      </c>
      <c r="G24" s="21">
        <v>2.7699999999999999E-2</v>
      </c>
      <c r="H24" s="30">
        <v>7.0453000000000002E-2</v>
      </c>
      <c r="I24" s="23"/>
      <c r="J24" s="4"/>
    </row>
    <row r="25" spans="1:10" ht="13" customHeight="1">
      <c r="A25" s="17" t="s">
        <v>435</v>
      </c>
      <c r="B25" s="18" t="s">
        <v>436</v>
      </c>
      <c r="C25" s="14" t="s">
        <v>437</v>
      </c>
      <c r="D25" s="14" t="s">
        <v>596</v>
      </c>
      <c r="E25" s="19">
        <v>1000</v>
      </c>
      <c r="F25" s="20">
        <v>4973.91</v>
      </c>
      <c r="G25" s="21">
        <v>2.7699999999999999E-2</v>
      </c>
      <c r="H25" s="30">
        <v>7.3644000000000001E-2</v>
      </c>
      <c r="I25" s="23"/>
      <c r="J25" s="4"/>
    </row>
    <row r="26" spans="1:10" ht="13" customHeight="1">
      <c r="A26" s="17" t="s">
        <v>438</v>
      </c>
      <c r="B26" s="18" t="s">
        <v>600</v>
      </c>
      <c r="C26" s="14" t="s">
        <v>439</v>
      </c>
      <c r="D26" s="14" t="s">
        <v>594</v>
      </c>
      <c r="E26" s="19">
        <v>1000</v>
      </c>
      <c r="F26" s="20">
        <v>4961.5050000000001</v>
      </c>
      <c r="G26" s="21">
        <v>2.76E-2</v>
      </c>
      <c r="H26" s="30">
        <v>7.0800000000000002E-2</v>
      </c>
      <c r="I26" s="23"/>
      <c r="J26" s="4"/>
    </row>
    <row r="27" spans="1:10" ht="13" customHeight="1">
      <c r="A27" s="17" t="s">
        <v>440</v>
      </c>
      <c r="B27" s="18" t="s">
        <v>441</v>
      </c>
      <c r="C27" s="14" t="s">
        <v>442</v>
      </c>
      <c r="D27" s="14" t="s">
        <v>594</v>
      </c>
      <c r="E27" s="19">
        <v>1000</v>
      </c>
      <c r="F27" s="20">
        <v>4955.1899999999996</v>
      </c>
      <c r="G27" s="21">
        <v>2.76E-2</v>
      </c>
      <c r="H27" s="30">
        <v>7.3348999999999998E-2</v>
      </c>
      <c r="I27" s="23"/>
      <c r="J27" s="4"/>
    </row>
    <row r="28" spans="1:10" ht="13" customHeight="1">
      <c r="A28" s="17" t="s">
        <v>443</v>
      </c>
      <c r="B28" s="18" t="s">
        <v>444</v>
      </c>
      <c r="C28" s="14" t="s">
        <v>445</v>
      </c>
      <c r="D28" s="14" t="s">
        <v>594</v>
      </c>
      <c r="E28" s="19">
        <v>1000</v>
      </c>
      <c r="F28" s="20">
        <v>4953.7700000000004</v>
      </c>
      <c r="G28" s="21">
        <v>2.76E-2</v>
      </c>
      <c r="H28" s="30">
        <v>7.4050000000000005E-2</v>
      </c>
      <c r="I28" s="23"/>
      <c r="J28" s="4"/>
    </row>
    <row r="29" spans="1:10" ht="13" customHeight="1">
      <c r="A29" s="17" t="s">
        <v>446</v>
      </c>
      <c r="B29" s="18" t="s">
        <v>447</v>
      </c>
      <c r="C29" s="14" t="s">
        <v>448</v>
      </c>
      <c r="D29" s="14" t="s">
        <v>594</v>
      </c>
      <c r="E29" s="19">
        <v>1000</v>
      </c>
      <c r="F29" s="20">
        <v>4950.28</v>
      </c>
      <c r="G29" s="21">
        <v>2.76E-2</v>
      </c>
      <c r="H29" s="30">
        <v>7.0499999999999993E-2</v>
      </c>
      <c r="I29" s="23"/>
      <c r="J29" s="4"/>
    </row>
    <row r="30" spans="1:10" ht="13" customHeight="1">
      <c r="A30" s="17" t="s">
        <v>449</v>
      </c>
      <c r="B30" s="18" t="s">
        <v>450</v>
      </c>
      <c r="C30" s="14" t="s">
        <v>451</v>
      </c>
      <c r="D30" s="14" t="s">
        <v>594</v>
      </c>
      <c r="E30" s="19">
        <v>1000</v>
      </c>
      <c r="F30" s="20">
        <v>4944.8050000000003</v>
      </c>
      <c r="G30" s="21">
        <v>2.76E-2</v>
      </c>
      <c r="H30" s="30">
        <v>7.0248000000000005E-2</v>
      </c>
      <c r="I30" s="23"/>
      <c r="J30" s="4"/>
    </row>
    <row r="31" spans="1:10" ht="13" customHeight="1">
      <c r="A31" s="17" t="s">
        <v>452</v>
      </c>
      <c r="B31" s="18" t="s">
        <v>453</v>
      </c>
      <c r="C31" s="14" t="s">
        <v>454</v>
      </c>
      <c r="D31" s="14" t="s">
        <v>594</v>
      </c>
      <c r="E31" s="19">
        <v>1000</v>
      </c>
      <c r="F31" s="20">
        <v>4944.6049999999996</v>
      </c>
      <c r="G31" s="21">
        <v>2.76E-2</v>
      </c>
      <c r="H31" s="30">
        <v>7.0499999999999993E-2</v>
      </c>
      <c r="I31" s="23"/>
      <c r="J31" s="4"/>
    </row>
    <row r="32" spans="1:10" ht="13" customHeight="1">
      <c r="A32" s="17" t="s">
        <v>455</v>
      </c>
      <c r="B32" s="18" t="s">
        <v>456</v>
      </c>
      <c r="C32" s="14" t="s">
        <v>457</v>
      </c>
      <c r="D32" s="14" t="s">
        <v>594</v>
      </c>
      <c r="E32" s="19">
        <v>1000</v>
      </c>
      <c r="F32" s="20">
        <v>4941.8149999999996</v>
      </c>
      <c r="G32" s="21">
        <v>2.75E-2</v>
      </c>
      <c r="H32" s="30">
        <v>7.0451E-2</v>
      </c>
      <c r="I32" s="23"/>
      <c r="J32" s="4"/>
    </row>
    <row r="33" spans="1:10" ht="13" customHeight="1">
      <c r="A33" s="17" t="s">
        <v>458</v>
      </c>
      <c r="B33" s="18" t="s">
        <v>459</v>
      </c>
      <c r="C33" s="14" t="s">
        <v>460</v>
      </c>
      <c r="D33" s="14" t="s">
        <v>594</v>
      </c>
      <c r="E33" s="19">
        <v>1000</v>
      </c>
      <c r="F33" s="20">
        <v>4939.83</v>
      </c>
      <c r="G33" s="21">
        <v>2.75E-2</v>
      </c>
      <c r="H33" s="30">
        <v>7.4098999999999998E-2</v>
      </c>
      <c r="I33" s="23"/>
      <c r="J33" s="4"/>
    </row>
    <row r="34" spans="1:10" ht="13" customHeight="1">
      <c r="A34" s="17" t="s">
        <v>461</v>
      </c>
      <c r="B34" s="18" t="s">
        <v>462</v>
      </c>
      <c r="C34" s="14" t="s">
        <v>463</v>
      </c>
      <c r="D34" s="14" t="s">
        <v>594</v>
      </c>
      <c r="E34" s="19">
        <v>900</v>
      </c>
      <c r="F34" s="20">
        <v>4432.4639999999999</v>
      </c>
      <c r="G34" s="21">
        <v>2.47E-2</v>
      </c>
      <c r="H34" s="30">
        <v>7.4151999999999996E-2</v>
      </c>
      <c r="I34" s="23"/>
      <c r="J34" s="4"/>
    </row>
    <row r="35" spans="1:10" ht="13" customHeight="1">
      <c r="A35" s="17" t="s">
        <v>464</v>
      </c>
      <c r="B35" s="18" t="s">
        <v>465</v>
      </c>
      <c r="C35" s="14" t="s">
        <v>466</v>
      </c>
      <c r="D35" s="14" t="s">
        <v>594</v>
      </c>
      <c r="E35" s="19">
        <v>500</v>
      </c>
      <c r="F35" s="20">
        <v>2491.5050000000001</v>
      </c>
      <c r="G35" s="21">
        <v>1.3899999999999999E-2</v>
      </c>
      <c r="H35" s="30">
        <v>7.3205999999999993E-2</v>
      </c>
      <c r="I35" s="23"/>
      <c r="J35" s="4"/>
    </row>
    <row r="36" spans="1:10" ht="13" customHeight="1">
      <c r="A36" s="17" t="s">
        <v>467</v>
      </c>
      <c r="B36" s="18" t="s">
        <v>468</v>
      </c>
      <c r="C36" s="14" t="s">
        <v>469</v>
      </c>
      <c r="D36" s="14" t="s">
        <v>594</v>
      </c>
      <c r="E36" s="19">
        <v>500</v>
      </c>
      <c r="F36" s="20">
        <v>2476.0875000000001</v>
      </c>
      <c r="G36" s="21">
        <v>1.38E-2</v>
      </c>
      <c r="H36" s="30">
        <v>7.0499999999999993E-2</v>
      </c>
      <c r="I36" s="23"/>
      <c r="J36" s="4"/>
    </row>
    <row r="37" spans="1:10" ht="13" customHeight="1">
      <c r="A37" s="17" t="s">
        <v>470</v>
      </c>
      <c r="B37" s="18" t="s">
        <v>471</v>
      </c>
      <c r="C37" s="14" t="s">
        <v>472</v>
      </c>
      <c r="D37" s="14" t="s">
        <v>594</v>
      </c>
      <c r="E37" s="19">
        <v>500</v>
      </c>
      <c r="F37" s="20">
        <v>2471.1574999999998</v>
      </c>
      <c r="G37" s="21">
        <v>1.38E-2</v>
      </c>
      <c r="H37" s="30">
        <v>7.3451000000000002E-2</v>
      </c>
      <c r="I37" s="23"/>
      <c r="J37" s="4"/>
    </row>
    <row r="38" spans="1:10" ht="13" customHeight="1">
      <c r="A38" s="17" t="s">
        <v>473</v>
      </c>
      <c r="B38" s="18" t="s">
        <v>601</v>
      </c>
      <c r="C38" s="14" t="s">
        <v>474</v>
      </c>
      <c r="D38" s="14" t="s">
        <v>594</v>
      </c>
      <c r="E38" s="19">
        <v>500</v>
      </c>
      <c r="F38" s="20">
        <v>2464.1525000000001</v>
      </c>
      <c r="G38" s="21">
        <v>1.37E-2</v>
      </c>
      <c r="H38" s="30">
        <v>7.0800000000000002E-2</v>
      </c>
      <c r="I38" s="23"/>
      <c r="J38" s="4"/>
    </row>
    <row r="39" spans="1:10" ht="13" customHeight="1">
      <c r="A39" s="17" t="s">
        <v>367</v>
      </c>
      <c r="B39" s="18" t="s">
        <v>368</v>
      </c>
      <c r="C39" s="14" t="s">
        <v>369</v>
      </c>
      <c r="D39" s="14" t="s">
        <v>594</v>
      </c>
      <c r="E39" s="19">
        <v>500</v>
      </c>
      <c r="F39" s="20">
        <v>2459.6075000000001</v>
      </c>
      <c r="G39" s="21">
        <v>1.37E-2</v>
      </c>
      <c r="H39" s="30">
        <v>6.9698999999999997E-2</v>
      </c>
      <c r="I39" s="23"/>
      <c r="J39" s="4"/>
    </row>
    <row r="40" spans="1:10" ht="13" customHeight="1">
      <c r="A40" s="17" t="s">
        <v>475</v>
      </c>
      <c r="B40" s="18" t="s">
        <v>476</v>
      </c>
      <c r="C40" s="14" t="s">
        <v>477</v>
      </c>
      <c r="D40" s="14" t="s">
        <v>594</v>
      </c>
      <c r="E40" s="19">
        <v>400</v>
      </c>
      <c r="F40" s="20">
        <v>1984.3219999999999</v>
      </c>
      <c r="G40" s="21">
        <v>1.11E-2</v>
      </c>
      <c r="H40" s="30">
        <v>7.3950000000000002E-2</v>
      </c>
      <c r="I40" s="23"/>
      <c r="J40" s="4"/>
    </row>
    <row r="41" spans="1:10" ht="13" customHeight="1">
      <c r="A41" s="17" t="s">
        <v>478</v>
      </c>
      <c r="B41" s="18" t="s">
        <v>479</v>
      </c>
      <c r="C41" s="14" t="s">
        <v>480</v>
      </c>
      <c r="D41" s="14" t="s">
        <v>594</v>
      </c>
      <c r="E41" s="19">
        <v>400</v>
      </c>
      <c r="F41" s="20">
        <v>1981.932</v>
      </c>
      <c r="G41" s="21">
        <v>1.0999999999999999E-2</v>
      </c>
      <c r="H41" s="30">
        <v>7.5623999999999997E-2</v>
      </c>
      <c r="I41" s="23"/>
      <c r="J41" s="4"/>
    </row>
    <row r="42" spans="1:10" ht="13" customHeight="1">
      <c r="A42" s="4"/>
      <c r="B42" s="13" t="s">
        <v>108</v>
      </c>
      <c r="C42" s="14"/>
      <c r="D42" s="14"/>
      <c r="E42" s="14"/>
      <c r="F42" s="24">
        <v>85163.217999999993</v>
      </c>
      <c r="G42" s="25">
        <v>0.47449999999999998</v>
      </c>
      <c r="H42" s="26"/>
      <c r="I42" s="27"/>
      <c r="J42" s="4"/>
    </row>
    <row r="43" spans="1:10" ht="13" customHeight="1">
      <c r="A43" s="4"/>
      <c r="B43" s="13" t="s">
        <v>163</v>
      </c>
      <c r="C43" s="14"/>
      <c r="D43" s="14"/>
      <c r="E43" s="14"/>
      <c r="F43" s="4"/>
      <c r="G43" s="15"/>
      <c r="H43" s="15"/>
      <c r="I43" s="16"/>
      <c r="J43" s="4"/>
    </row>
    <row r="44" spans="1:10" ht="13" customHeight="1">
      <c r="A44" s="17" t="s">
        <v>481</v>
      </c>
      <c r="B44" s="18" t="s">
        <v>482</v>
      </c>
      <c r="C44" s="14" t="s">
        <v>483</v>
      </c>
      <c r="D44" s="14" t="s">
        <v>167</v>
      </c>
      <c r="E44" s="19">
        <v>11762100</v>
      </c>
      <c r="F44" s="20">
        <v>11571.271699999999</v>
      </c>
      <c r="G44" s="21">
        <v>6.4500000000000002E-2</v>
      </c>
      <c r="H44" s="30">
        <v>6.7632999999999999E-2</v>
      </c>
      <c r="I44" s="23"/>
      <c r="J44" s="4"/>
    </row>
    <row r="45" spans="1:10" ht="13" customHeight="1">
      <c r="A45" s="17" t="s">
        <v>164</v>
      </c>
      <c r="B45" s="18" t="s">
        <v>165</v>
      </c>
      <c r="C45" s="14" t="s">
        <v>166</v>
      </c>
      <c r="D45" s="14" t="s">
        <v>167</v>
      </c>
      <c r="E45" s="19">
        <v>7500000</v>
      </c>
      <c r="F45" s="20">
        <v>7377.6750000000002</v>
      </c>
      <c r="G45" s="21">
        <v>4.1099999999999998E-2</v>
      </c>
      <c r="H45" s="30">
        <v>6.8000000000000005E-2</v>
      </c>
      <c r="I45" s="23"/>
      <c r="J45" s="4"/>
    </row>
    <row r="46" spans="1:10" ht="13" customHeight="1">
      <c r="A46" s="17" t="s">
        <v>484</v>
      </c>
      <c r="B46" s="18" t="s">
        <v>485</v>
      </c>
      <c r="C46" s="14" t="s">
        <v>486</v>
      </c>
      <c r="D46" s="14" t="s">
        <v>167</v>
      </c>
      <c r="E46" s="19">
        <v>2000000</v>
      </c>
      <c r="F46" s="20">
        <v>1967.8679999999999</v>
      </c>
      <c r="G46" s="21">
        <v>1.0999999999999999E-2</v>
      </c>
      <c r="H46" s="30">
        <v>6.7727999999999997E-2</v>
      </c>
      <c r="I46" s="23"/>
      <c r="J46" s="4"/>
    </row>
    <row r="47" spans="1:10" ht="13" customHeight="1">
      <c r="A47" s="17" t="s">
        <v>487</v>
      </c>
      <c r="B47" s="18" t="s">
        <v>488</v>
      </c>
      <c r="C47" s="14" t="s">
        <v>489</v>
      </c>
      <c r="D47" s="14" t="s">
        <v>167</v>
      </c>
      <c r="E47" s="19">
        <v>622300</v>
      </c>
      <c r="F47" s="20">
        <v>618.66579999999999</v>
      </c>
      <c r="G47" s="21">
        <v>3.3999999999999998E-3</v>
      </c>
      <c r="H47" s="30">
        <v>6.7000000000000004E-2</v>
      </c>
      <c r="I47" s="23"/>
      <c r="J47" s="4"/>
    </row>
    <row r="48" spans="1:10" ht="13" customHeight="1">
      <c r="A48" s="17" t="s">
        <v>490</v>
      </c>
      <c r="B48" s="18" t="s">
        <v>491</v>
      </c>
      <c r="C48" s="14" t="s">
        <v>492</v>
      </c>
      <c r="D48" s="14" t="s">
        <v>167</v>
      </c>
      <c r="E48" s="19">
        <v>500000</v>
      </c>
      <c r="F48" s="20">
        <v>497.71600000000001</v>
      </c>
      <c r="G48" s="21">
        <v>2.8E-3</v>
      </c>
      <c r="H48" s="30">
        <v>6.7000000000000004E-2</v>
      </c>
      <c r="I48" s="23"/>
      <c r="J48" s="4"/>
    </row>
    <row r="49" spans="1:10" ht="13" customHeight="1">
      <c r="A49" s="17" t="s">
        <v>493</v>
      </c>
      <c r="B49" s="18" t="s">
        <v>494</v>
      </c>
      <c r="C49" s="14" t="s">
        <v>495</v>
      </c>
      <c r="D49" s="14" t="s">
        <v>167</v>
      </c>
      <c r="E49" s="19">
        <v>250000</v>
      </c>
      <c r="F49" s="20">
        <v>249.81950000000001</v>
      </c>
      <c r="G49" s="21">
        <v>1.4E-3</v>
      </c>
      <c r="H49" s="30">
        <v>6.5930000000000002E-2</v>
      </c>
      <c r="I49" s="23"/>
      <c r="J49" s="4"/>
    </row>
    <row r="50" spans="1:10" ht="13" customHeight="1">
      <c r="A50" s="4"/>
      <c r="B50" s="13" t="s">
        <v>108</v>
      </c>
      <c r="C50" s="14"/>
      <c r="D50" s="14"/>
      <c r="E50" s="14"/>
      <c r="F50" s="24">
        <v>22283.016</v>
      </c>
      <c r="G50" s="25">
        <v>0.1242</v>
      </c>
      <c r="H50" s="26"/>
      <c r="I50" s="27"/>
      <c r="J50" s="4"/>
    </row>
    <row r="51" spans="1:10" ht="13" customHeight="1">
      <c r="A51" s="4"/>
      <c r="B51" s="28" t="s">
        <v>111</v>
      </c>
      <c r="C51" s="29"/>
      <c r="D51" s="1"/>
      <c r="E51" s="29"/>
      <c r="F51" s="24">
        <v>161396.35449999999</v>
      </c>
      <c r="G51" s="25">
        <v>0.89939999999999998</v>
      </c>
      <c r="H51" s="26"/>
      <c r="I51" s="27"/>
      <c r="J51" s="4"/>
    </row>
    <row r="52" spans="1:10" ht="13" customHeight="1">
      <c r="A52" s="4"/>
      <c r="B52" s="13" t="s">
        <v>387</v>
      </c>
      <c r="C52" s="14"/>
      <c r="D52" s="14"/>
      <c r="E52" s="14"/>
      <c r="F52" s="14"/>
      <c r="G52" s="14"/>
      <c r="H52" s="15"/>
      <c r="I52" s="16"/>
      <c r="J52" s="4"/>
    </row>
    <row r="53" spans="1:10" ht="13" customHeight="1">
      <c r="A53" s="17" t="s">
        <v>388</v>
      </c>
      <c r="B53" s="18" t="s">
        <v>389</v>
      </c>
      <c r="C53" s="14"/>
      <c r="D53" s="14"/>
      <c r="E53" s="19"/>
      <c r="F53" s="20">
        <v>28532.513299999999</v>
      </c>
      <c r="G53" s="21">
        <v>0.159</v>
      </c>
      <c r="H53" s="30">
        <v>6.7574968854353101E-2</v>
      </c>
      <c r="I53" s="23"/>
      <c r="J53" s="4"/>
    </row>
    <row r="54" spans="1:10" ht="13" customHeight="1">
      <c r="A54" s="4"/>
      <c r="B54" s="13" t="s">
        <v>108</v>
      </c>
      <c r="C54" s="14"/>
      <c r="D54" s="14"/>
      <c r="E54" s="14"/>
      <c r="F54" s="24">
        <v>28532.513299999999</v>
      </c>
      <c r="G54" s="25">
        <v>0.159</v>
      </c>
      <c r="H54" s="26"/>
      <c r="I54" s="27"/>
      <c r="J54" s="4"/>
    </row>
    <row r="55" spans="1:10" ht="13" customHeight="1">
      <c r="A55" s="4"/>
      <c r="B55" s="28" t="s">
        <v>111</v>
      </c>
      <c r="C55" s="29"/>
      <c r="D55" s="1"/>
      <c r="E55" s="29"/>
      <c r="F55" s="24">
        <v>28532.513299999999</v>
      </c>
      <c r="G55" s="25">
        <v>0.159</v>
      </c>
      <c r="H55" s="26"/>
      <c r="I55" s="27"/>
      <c r="J55" s="4"/>
    </row>
    <row r="56" spans="1:10" ht="13" customHeight="1">
      <c r="A56" s="4"/>
      <c r="B56" s="28" t="s">
        <v>168</v>
      </c>
      <c r="C56" s="14"/>
      <c r="D56" s="1"/>
      <c r="E56" s="14"/>
      <c r="F56" s="31">
        <v>-10468.5178</v>
      </c>
      <c r="G56" s="25">
        <v>-5.8400000000000001E-2</v>
      </c>
      <c r="H56" s="26"/>
      <c r="I56" s="27"/>
      <c r="J56" s="4"/>
    </row>
    <row r="57" spans="1:10" ht="13" customHeight="1">
      <c r="A57" s="4"/>
      <c r="B57" s="32" t="s">
        <v>169</v>
      </c>
      <c r="C57" s="33"/>
      <c r="D57" s="33"/>
      <c r="E57" s="33"/>
      <c r="F57" s="34">
        <v>179460.35</v>
      </c>
      <c r="G57" s="35">
        <v>1</v>
      </c>
      <c r="H57" s="36"/>
      <c r="I57" s="37"/>
      <c r="J57" s="4"/>
    </row>
    <row r="58" spans="1:10" ht="13" customHeight="1">
      <c r="A58" s="4"/>
      <c r="B58" s="6"/>
      <c r="C58" s="4"/>
      <c r="D58" s="4"/>
      <c r="E58" s="4"/>
      <c r="F58" s="59"/>
      <c r="G58" s="4"/>
      <c r="H58" s="4"/>
      <c r="I58" s="4"/>
      <c r="J58" s="4"/>
    </row>
    <row r="59" spans="1:10" ht="13" customHeight="1">
      <c r="A59" s="4"/>
      <c r="B59" s="3" t="s">
        <v>170</v>
      </c>
      <c r="C59" s="4"/>
      <c r="D59" s="4"/>
      <c r="E59" s="4"/>
      <c r="F59" s="4"/>
      <c r="G59" s="4"/>
      <c r="H59" s="4"/>
      <c r="I59" s="4"/>
      <c r="J59" s="4"/>
    </row>
    <row r="60" spans="1:10" ht="13" customHeight="1">
      <c r="A60" s="4"/>
      <c r="B60" s="3" t="s">
        <v>390</v>
      </c>
      <c r="C60" s="4"/>
      <c r="D60" s="4"/>
      <c r="E60" s="4"/>
      <c r="F60" s="4"/>
      <c r="G60" s="4"/>
      <c r="H60" s="4"/>
      <c r="I60" s="4"/>
      <c r="J60" s="4"/>
    </row>
    <row r="61" spans="1:10" ht="13" customHeight="1">
      <c r="A61" s="4"/>
      <c r="B61" s="3" t="s">
        <v>171</v>
      </c>
      <c r="C61" s="4"/>
      <c r="D61" s="4"/>
      <c r="E61" s="4"/>
      <c r="F61" s="4"/>
      <c r="G61" s="4"/>
      <c r="H61" s="4"/>
      <c r="I61" s="4"/>
      <c r="J61" s="4"/>
    </row>
    <row r="62" spans="1:10" ht="26.15" customHeight="1">
      <c r="A62" s="4"/>
      <c r="B62" s="61" t="s">
        <v>172</v>
      </c>
      <c r="C62" s="61"/>
      <c r="D62" s="61"/>
      <c r="E62" s="61"/>
      <c r="F62" s="61"/>
      <c r="G62" s="61"/>
      <c r="H62" s="61"/>
      <c r="I62" s="61"/>
      <c r="J62" s="4"/>
    </row>
    <row r="63" spans="1:10" ht="13" customHeight="1">
      <c r="A63" s="4"/>
      <c r="B63" s="61"/>
      <c r="C63" s="61"/>
      <c r="D63" s="61"/>
      <c r="E63" s="61"/>
      <c r="F63" s="61"/>
      <c r="G63" s="61"/>
      <c r="H63" s="61"/>
      <c r="I63" s="61"/>
      <c r="J63" s="4"/>
    </row>
    <row r="64" spans="1:10" s="41" customFormat="1" ht="15" customHeight="1">
      <c r="B64" s="42" t="s">
        <v>603</v>
      </c>
      <c r="C64" s="43"/>
      <c r="D64" s="43"/>
      <c r="E64" s="43"/>
      <c r="F64" s="43"/>
      <c r="G64" s="43"/>
      <c r="H64" s="43"/>
      <c r="I64" s="44"/>
    </row>
    <row r="65" spans="1:9" s="41" customFormat="1" ht="15" customHeight="1">
      <c r="B65" s="45" t="s">
        <v>604</v>
      </c>
      <c r="I65" s="46"/>
    </row>
    <row r="66" spans="1:9" s="41" customFormat="1" ht="15" customHeight="1">
      <c r="B66" s="45" t="s">
        <v>605</v>
      </c>
      <c r="I66" s="46"/>
    </row>
    <row r="67" spans="1:9" s="41" customFormat="1" ht="15" customHeight="1">
      <c r="B67" s="47" t="s">
        <v>606</v>
      </c>
      <c r="C67" s="48" t="s">
        <v>634</v>
      </c>
      <c r="D67" s="48" t="s">
        <v>613</v>
      </c>
      <c r="I67" s="46"/>
    </row>
    <row r="68" spans="1:9" s="41" customFormat="1" ht="15" customHeight="1">
      <c r="B68" s="49" t="s">
        <v>614</v>
      </c>
      <c r="C68" s="56">
        <v>1015.8068</v>
      </c>
      <c r="D68" s="56">
        <v>1010.2532</v>
      </c>
      <c r="F68" s="51"/>
      <c r="I68" s="46"/>
    </row>
    <row r="69" spans="1:9" s="41" customFormat="1" ht="15" customHeight="1">
      <c r="B69" s="49" t="s">
        <v>615</v>
      </c>
      <c r="C69" s="56">
        <v>1015.8068</v>
      </c>
      <c r="D69" s="56">
        <v>1010.2532</v>
      </c>
      <c r="F69" s="51"/>
      <c r="I69" s="46"/>
    </row>
    <row r="70" spans="1:9" s="41" customFormat="1" ht="15" customHeight="1">
      <c r="B70" s="49" t="s">
        <v>608</v>
      </c>
      <c r="C70" s="56">
        <v>1015.8068</v>
      </c>
      <c r="D70" s="56">
        <v>1010.2532</v>
      </c>
      <c r="F70" s="51"/>
      <c r="I70" s="46"/>
    </row>
    <row r="71" spans="1:9" s="41" customFormat="1" ht="15" customHeight="1">
      <c r="B71" s="49" t="s">
        <v>616</v>
      </c>
      <c r="C71" s="56">
        <v>1015.8068</v>
      </c>
      <c r="D71" s="56">
        <v>1010.2532</v>
      </c>
      <c r="F71" s="51"/>
      <c r="I71" s="46"/>
    </row>
    <row r="72" spans="1:9" s="41" customFormat="1" ht="15" customHeight="1">
      <c r="B72" s="49" t="s">
        <v>617</v>
      </c>
      <c r="C72" s="56">
        <v>1015.8068</v>
      </c>
      <c r="D72" s="56">
        <v>1010.2532</v>
      </c>
      <c r="F72" s="51"/>
      <c r="I72" s="46"/>
    </row>
    <row r="73" spans="1:9" s="41" customFormat="1" ht="15" customHeight="1">
      <c r="B73" s="49" t="s">
        <v>618</v>
      </c>
      <c r="C73" s="56">
        <v>1016.2225</v>
      </c>
      <c r="D73" s="56">
        <v>1010.5258</v>
      </c>
      <c r="F73" s="51"/>
      <c r="I73" s="46"/>
    </row>
    <row r="74" spans="1:9" s="41" customFormat="1" ht="15" customHeight="1">
      <c r="B74" s="49" t="s">
        <v>619</v>
      </c>
      <c r="C74" s="56">
        <v>1016.2225</v>
      </c>
      <c r="D74" s="56">
        <v>1010.5258</v>
      </c>
      <c r="F74" s="51"/>
      <c r="I74" s="46"/>
    </row>
    <row r="75" spans="1:9" s="41" customFormat="1" ht="15" customHeight="1">
      <c r="B75" s="49" t="s">
        <v>610</v>
      </c>
      <c r="C75" s="56">
        <v>1016.2225</v>
      </c>
      <c r="D75" s="56">
        <v>1010.5258</v>
      </c>
      <c r="F75" s="51"/>
      <c r="I75" s="46"/>
    </row>
    <row r="76" spans="1:9" s="41" customFormat="1" ht="15" customHeight="1">
      <c r="B76" s="49" t="s">
        <v>620</v>
      </c>
      <c r="C76" s="56">
        <v>1016.2225</v>
      </c>
      <c r="D76" s="56">
        <v>1010.5258</v>
      </c>
      <c r="F76" s="51"/>
      <c r="I76" s="46"/>
    </row>
    <row r="77" spans="1:9" s="41" customFormat="1" ht="15" customHeight="1">
      <c r="B77" s="49" t="s">
        <v>621</v>
      </c>
      <c r="C77" s="56">
        <v>1016.2225</v>
      </c>
      <c r="D77" s="56">
        <v>1010.5258</v>
      </c>
      <c r="F77" s="51"/>
      <c r="I77" s="46"/>
    </row>
    <row r="78" spans="1:9" s="41" customFormat="1" ht="15" customHeight="1">
      <c r="B78" s="45" t="s">
        <v>611</v>
      </c>
      <c r="I78" s="46"/>
    </row>
    <row r="79" spans="1:9">
      <c r="A79" s="41"/>
      <c r="B79" s="45" t="s">
        <v>630</v>
      </c>
      <c r="C79" s="41"/>
      <c r="D79" s="41"/>
      <c r="E79" s="41"/>
      <c r="F79" s="41"/>
      <c r="G79" s="41"/>
      <c r="H79" s="41"/>
      <c r="I79" s="46"/>
    </row>
    <row r="80" spans="1:9" s="41" customFormat="1" ht="15" customHeight="1">
      <c r="B80" s="45" t="s">
        <v>626</v>
      </c>
      <c r="I80" s="46"/>
    </row>
    <row r="81" spans="1:10" s="41" customFormat="1" ht="15" customHeight="1">
      <c r="B81" s="45" t="s">
        <v>675</v>
      </c>
      <c r="I81" s="46"/>
    </row>
    <row r="82" spans="1:10" s="41" customFormat="1" ht="15" customHeight="1">
      <c r="B82" s="45" t="s">
        <v>633</v>
      </c>
      <c r="I82" s="46"/>
    </row>
    <row r="83" spans="1:10" s="41" customFormat="1" ht="15" customHeight="1">
      <c r="B83" s="45" t="s">
        <v>632</v>
      </c>
      <c r="I83" s="46"/>
    </row>
    <row r="84" spans="1:10" s="41" customFormat="1" ht="15" customHeight="1">
      <c r="B84" s="45" t="s">
        <v>612</v>
      </c>
      <c r="I84" s="46"/>
    </row>
    <row r="85" spans="1:10" s="41" customFormat="1" ht="15" customHeight="1">
      <c r="B85" s="53" t="s">
        <v>676</v>
      </c>
      <c r="C85" s="54"/>
      <c r="D85" s="54"/>
      <c r="E85" s="54"/>
      <c r="F85" s="54"/>
      <c r="G85" s="54"/>
      <c r="H85" s="54"/>
      <c r="I85" s="55"/>
    </row>
    <row r="86" spans="1:10" ht="13" customHeight="1">
      <c r="A86" s="4"/>
      <c r="B86" s="61"/>
      <c r="C86" s="61"/>
      <c r="D86" s="61"/>
      <c r="E86" s="61"/>
      <c r="F86" s="61"/>
      <c r="G86" s="61"/>
      <c r="H86" s="61"/>
      <c r="I86" s="61"/>
      <c r="J86" s="4"/>
    </row>
    <row r="87" spans="1:10" ht="13" customHeight="1">
      <c r="A87" s="4"/>
      <c r="B87" s="4"/>
      <c r="C87" s="62" t="s">
        <v>496</v>
      </c>
      <c r="D87" s="62"/>
      <c r="E87" s="62"/>
      <c r="F87" s="62"/>
      <c r="G87" s="4"/>
      <c r="H87" s="4"/>
      <c r="I87" s="4"/>
      <c r="J87" s="4"/>
    </row>
    <row r="88" spans="1:10" ht="13" customHeight="1">
      <c r="A88" s="4"/>
      <c r="B88" s="38" t="s">
        <v>174</v>
      </c>
      <c r="C88" s="62" t="s">
        <v>175</v>
      </c>
      <c r="D88" s="62"/>
      <c r="E88" s="62"/>
      <c r="F88" s="62"/>
      <c r="G88" s="4"/>
      <c r="H88" s="4"/>
      <c r="I88" s="4"/>
      <c r="J88" s="4"/>
    </row>
    <row r="89" spans="1:10" ht="121" customHeight="1">
      <c r="A89" s="4"/>
      <c r="B89" s="39"/>
      <c r="C89" s="60"/>
      <c r="D89" s="60"/>
      <c r="E89" s="4"/>
      <c r="F89" s="4"/>
      <c r="G89" s="4"/>
      <c r="H89" s="4"/>
      <c r="I89" s="4"/>
      <c r="J89" s="4"/>
    </row>
  </sheetData>
  <mergeCells count="6">
    <mergeCell ref="C89:D89"/>
    <mergeCell ref="B62:I62"/>
    <mergeCell ref="B63:I63"/>
    <mergeCell ref="B86:I86"/>
    <mergeCell ref="C87:F87"/>
    <mergeCell ref="C88:F88"/>
  </mergeCells>
  <hyperlinks>
    <hyperlink ref="A1" location="BajajFinservLiquidFund" display="BFLIQ" xr:uid="{00000000-0004-0000-0300-000000000000}"/>
    <hyperlink ref="B1" location="BajajFinservLiquidFund" display="Bajaj Finserv Liquid Fund" xr:uid="{00000000-0004-0000-0300-000001000000}"/>
  </hyperlink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82"/>
  <sheetViews>
    <sheetView topLeftCell="B1"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21.7265625" bestFit="1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6</v>
      </c>
      <c r="B1" s="3" t="s">
        <v>7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10</v>
      </c>
      <c r="B3" s="7" t="s">
        <v>11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12</v>
      </c>
      <c r="C4" s="9" t="s">
        <v>13</v>
      </c>
      <c r="D4" s="10" t="s">
        <v>392</v>
      </c>
      <c r="E4" s="10" t="s">
        <v>15</v>
      </c>
      <c r="F4" s="10" t="s">
        <v>16</v>
      </c>
      <c r="G4" s="10" t="s">
        <v>17</v>
      </c>
      <c r="H4" s="10" t="s">
        <v>18</v>
      </c>
      <c r="I4" s="11" t="s">
        <v>19</v>
      </c>
      <c r="J4" s="12" t="s">
        <v>20</v>
      </c>
    </row>
    <row r="5" spans="1:10" ht="13" customHeight="1">
      <c r="A5" s="4"/>
      <c r="B5" s="13" t="s">
        <v>162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339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497</v>
      </c>
      <c r="B7" s="18" t="s">
        <v>498</v>
      </c>
      <c r="C7" s="14" t="s">
        <v>499</v>
      </c>
      <c r="D7" s="14" t="s">
        <v>594</v>
      </c>
      <c r="E7" s="19">
        <v>2000</v>
      </c>
      <c r="F7" s="20">
        <v>9762.16</v>
      </c>
      <c r="G7" s="21">
        <v>7.6399999999999996E-2</v>
      </c>
      <c r="H7" s="30">
        <v>7.2300000000000003E-2</v>
      </c>
      <c r="I7" s="23"/>
      <c r="J7" s="4"/>
    </row>
    <row r="8" spans="1:10" ht="13" customHeight="1">
      <c r="A8" s="17" t="s">
        <v>500</v>
      </c>
      <c r="B8" s="18" t="s">
        <v>501</v>
      </c>
      <c r="C8" s="14" t="s">
        <v>502</v>
      </c>
      <c r="D8" s="14" t="s">
        <v>595</v>
      </c>
      <c r="E8" s="19">
        <v>1500</v>
      </c>
      <c r="F8" s="20">
        <v>7263.7950000000001</v>
      </c>
      <c r="G8" s="21">
        <v>5.6899999999999999E-2</v>
      </c>
      <c r="H8" s="30">
        <v>7.1499999999999994E-2</v>
      </c>
      <c r="I8" s="23"/>
      <c r="J8" s="4"/>
    </row>
    <row r="9" spans="1:10" ht="13" customHeight="1">
      <c r="A9" s="17" t="s">
        <v>503</v>
      </c>
      <c r="B9" s="18" t="s">
        <v>504</v>
      </c>
      <c r="C9" s="14" t="s">
        <v>505</v>
      </c>
      <c r="D9" s="14" t="s">
        <v>594</v>
      </c>
      <c r="E9" s="19">
        <v>1000</v>
      </c>
      <c r="F9" s="20">
        <v>4848.2550000000001</v>
      </c>
      <c r="G9" s="21">
        <v>3.7999999999999999E-2</v>
      </c>
      <c r="H9" s="30">
        <v>7.1849999999999997E-2</v>
      </c>
      <c r="I9" s="23"/>
      <c r="J9" s="4"/>
    </row>
    <row r="10" spans="1:10" ht="13" customHeight="1">
      <c r="A10" s="17" t="s">
        <v>358</v>
      </c>
      <c r="B10" s="18" t="s">
        <v>359</v>
      </c>
      <c r="C10" s="14" t="s">
        <v>360</v>
      </c>
      <c r="D10" s="14" t="s">
        <v>597</v>
      </c>
      <c r="E10" s="19">
        <v>1000</v>
      </c>
      <c r="F10" s="20">
        <v>4841.7550000000001</v>
      </c>
      <c r="G10" s="21">
        <v>3.7900000000000003E-2</v>
      </c>
      <c r="H10" s="30">
        <v>7.2300000000000003E-2</v>
      </c>
      <c r="I10" s="23"/>
      <c r="J10" s="4"/>
    </row>
    <row r="11" spans="1:10" ht="13" customHeight="1">
      <c r="A11" s="17" t="s">
        <v>506</v>
      </c>
      <c r="B11" s="18" t="s">
        <v>507</v>
      </c>
      <c r="C11" s="14" t="s">
        <v>508</v>
      </c>
      <c r="D11" s="14" t="s">
        <v>594</v>
      </c>
      <c r="E11" s="19">
        <v>600</v>
      </c>
      <c r="F11" s="20">
        <v>2921.355</v>
      </c>
      <c r="G11" s="21">
        <v>2.29E-2</v>
      </c>
      <c r="H11" s="30">
        <v>7.2249999999999995E-2</v>
      </c>
      <c r="I11" s="23"/>
      <c r="J11" s="4"/>
    </row>
    <row r="12" spans="1:10" ht="13" customHeight="1">
      <c r="A12" s="17" t="s">
        <v>509</v>
      </c>
      <c r="B12" s="18" t="s">
        <v>510</v>
      </c>
      <c r="C12" s="14" t="s">
        <v>511</v>
      </c>
      <c r="D12" s="14" t="s">
        <v>595</v>
      </c>
      <c r="E12" s="19">
        <v>500</v>
      </c>
      <c r="F12" s="20">
        <v>2478.6550000000002</v>
      </c>
      <c r="G12" s="21">
        <v>1.9400000000000001E-2</v>
      </c>
      <c r="H12" s="30">
        <v>6.9852999999999998E-2</v>
      </c>
      <c r="I12" s="23"/>
      <c r="J12" s="4"/>
    </row>
    <row r="13" spans="1:10" ht="13" customHeight="1">
      <c r="A13" s="17" t="s">
        <v>512</v>
      </c>
      <c r="B13" s="18" t="s">
        <v>513</v>
      </c>
      <c r="C13" s="14" t="s">
        <v>514</v>
      </c>
      <c r="D13" s="14" t="s">
        <v>594</v>
      </c>
      <c r="E13" s="19">
        <v>500</v>
      </c>
      <c r="F13" s="20">
        <v>2446.9050000000002</v>
      </c>
      <c r="G13" s="21">
        <v>1.9199999999999998E-2</v>
      </c>
      <c r="H13" s="30">
        <v>7.2000999999999996E-2</v>
      </c>
      <c r="I13" s="23"/>
      <c r="J13" s="4"/>
    </row>
    <row r="14" spans="1:10" ht="13" customHeight="1">
      <c r="A14" s="17" t="s">
        <v>515</v>
      </c>
      <c r="B14" s="18" t="s">
        <v>516</v>
      </c>
      <c r="C14" s="14" t="s">
        <v>517</v>
      </c>
      <c r="D14" s="14" t="s">
        <v>595</v>
      </c>
      <c r="E14" s="19">
        <v>500</v>
      </c>
      <c r="F14" s="20">
        <v>2446.3274999999999</v>
      </c>
      <c r="G14" s="21">
        <v>1.9199999999999998E-2</v>
      </c>
      <c r="H14" s="30">
        <v>7.2801000000000005E-2</v>
      </c>
      <c r="I14" s="23"/>
      <c r="J14" s="4"/>
    </row>
    <row r="15" spans="1:10" ht="13" customHeight="1">
      <c r="A15" s="17" t="s">
        <v>518</v>
      </c>
      <c r="B15" s="18" t="s">
        <v>519</v>
      </c>
      <c r="C15" s="14" t="s">
        <v>520</v>
      </c>
      <c r="D15" s="14" t="s">
        <v>595</v>
      </c>
      <c r="E15" s="19">
        <v>500</v>
      </c>
      <c r="F15" s="20">
        <v>2438.4875000000002</v>
      </c>
      <c r="G15" s="21">
        <v>1.9099999999999999E-2</v>
      </c>
      <c r="H15" s="30">
        <v>7.2498999999999994E-2</v>
      </c>
      <c r="I15" s="23"/>
      <c r="J15" s="4"/>
    </row>
    <row r="16" spans="1:10" ht="13" customHeight="1">
      <c r="A16" s="17" t="s">
        <v>521</v>
      </c>
      <c r="B16" s="18" t="s">
        <v>522</v>
      </c>
      <c r="C16" s="14" t="s">
        <v>523</v>
      </c>
      <c r="D16" s="14" t="s">
        <v>594</v>
      </c>
      <c r="E16" s="19">
        <v>500</v>
      </c>
      <c r="F16" s="20">
        <v>2438.1550000000002</v>
      </c>
      <c r="G16" s="21">
        <v>1.9099999999999999E-2</v>
      </c>
      <c r="H16" s="30">
        <v>7.2900000000000006E-2</v>
      </c>
      <c r="I16" s="23"/>
      <c r="J16" s="4"/>
    </row>
    <row r="17" spans="1:10" ht="13" customHeight="1">
      <c r="A17" s="17" t="s">
        <v>524</v>
      </c>
      <c r="B17" s="18" t="s">
        <v>525</v>
      </c>
      <c r="C17" s="14" t="s">
        <v>526</v>
      </c>
      <c r="D17" s="14" t="s">
        <v>597</v>
      </c>
      <c r="E17" s="19">
        <v>500</v>
      </c>
      <c r="F17" s="20">
        <v>2433.5700000000002</v>
      </c>
      <c r="G17" s="21">
        <v>1.9099999999999999E-2</v>
      </c>
      <c r="H17" s="30">
        <v>7.2198999999999999E-2</v>
      </c>
      <c r="I17" s="23"/>
      <c r="J17" s="4"/>
    </row>
    <row r="18" spans="1:10" ht="13" customHeight="1">
      <c r="A18" s="17" t="s">
        <v>527</v>
      </c>
      <c r="B18" s="18" t="s">
        <v>528</v>
      </c>
      <c r="C18" s="14" t="s">
        <v>529</v>
      </c>
      <c r="D18" s="14" t="s">
        <v>594</v>
      </c>
      <c r="E18" s="19">
        <v>500</v>
      </c>
      <c r="F18" s="20">
        <v>2428.33</v>
      </c>
      <c r="G18" s="21">
        <v>1.9E-2</v>
      </c>
      <c r="H18" s="30">
        <v>7.2300000000000003E-2</v>
      </c>
      <c r="I18" s="23"/>
      <c r="J18" s="4"/>
    </row>
    <row r="19" spans="1:10" ht="13" customHeight="1">
      <c r="A19" s="17" t="s">
        <v>530</v>
      </c>
      <c r="B19" s="18" t="s">
        <v>531</v>
      </c>
      <c r="C19" s="14" t="s">
        <v>532</v>
      </c>
      <c r="D19" s="14" t="s">
        <v>594</v>
      </c>
      <c r="E19" s="19">
        <v>500</v>
      </c>
      <c r="F19" s="20">
        <v>2422.0625</v>
      </c>
      <c r="G19" s="21">
        <v>1.9E-2</v>
      </c>
      <c r="H19" s="30">
        <v>7.2500999999999996E-2</v>
      </c>
      <c r="I19" s="23"/>
      <c r="J19" s="4"/>
    </row>
    <row r="20" spans="1:10" ht="13" customHeight="1">
      <c r="A20" s="17" t="s">
        <v>533</v>
      </c>
      <c r="B20" s="18" t="s">
        <v>534</v>
      </c>
      <c r="C20" s="14" t="s">
        <v>535</v>
      </c>
      <c r="D20" s="14" t="s">
        <v>594</v>
      </c>
      <c r="E20" s="19">
        <v>500</v>
      </c>
      <c r="F20" s="20">
        <v>2422.0625</v>
      </c>
      <c r="G20" s="21">
        <v>1.9E-2</v>
      </c>
      <c r="H20" s="30">
        <v>7.2499999999999995E-2</v>
      </c>
      <c r="I20" s="23"/>
      <c r="J20" s="4"/>
    </row>
    <row r="21" spans="1:10" ht="13" customHeight="1">
      <c r="A21" s="17" t="s">
        <v>355</v>
      </c>
      <c r="B21" s="18" t="s">
        <v>356</v>
      </c>
      <c r="C21" s="14" t="s">
        <v>357</v>
      </c>
      <c r="D21" s="14" t="s">
        <v>595</v>
      </c>
      <c r="E21" s="19">
        <v>500</v>
      </c>
      <c r="F21" s="20">
        <v>2421.605</v>
      </c>
      <c r="G21" s="21">
        <v>1.9E-2</v>
      </c>
      <c r="H21" s="30">
        <v>7.2050000000000003E-2</v>
      </c>
      <c r="I21" s="23"/>
      <c r="J21" s="4"/>
    </row>
    <row r="22" spans="1:10" ht="13" customHeight="1">
      <c r="A22" s="17" t="s">
        <v>536</v>
      </c>
      <c r="B22" s="18" t="s">
        <v>537</v>
      </c>
      <c r="C22" s="14" t="s">
        <v>538</v>
      </c>
      <c r="D22" s="14" t="s">
        <v>594</v>
      </c>
      <c r="E22" s="19">
        <v>500</v>
      </c>
      <c r="F22" s="20">
        <v>2414.6799999999998</v>
      </c>
      <c r="G22" s="21">
        <v>1.89E-2</v>
      </c>
      <c r="H22" s="30">
        <v>7.2051000000000004E-2</v>
      </c>
      <c r="I22" s="23"/>
      <c r="J22" s="4"/>
    </row>
    <row r="23" spans="1:10" ht="13" customHeight="1">
      <c r="A23" s="17" t="s">
        <v>539</v>
      </c>
      <c r="B23" s="18" t="s">
        <v>540</v>
      </c>
      <c r="C23" s="14" t="s">
        <v>541</v>
      </c>
      <c r="D23" s="14" t="s">
        <v>594</v>
      </c>
      <c r="E23" s="19">
        <v>500</v>
      </c>
      <c r="F23" s="20">
        <v>2414.165</v>
      </c>
      <c r="G23" s="21">
        <v>1.89E-2</v>
      </c>
      <c r="H23" s="30">
        <v>7.2500999999999996E-2</v>
      </c>
      <c r="I23" s="23"/>
      <c r="J23" s="4"/>
    </row>
    <row r="24" spans="1:10" ht="13" customHeight="1">
      <c r="A24" s="17" t="s">
        <v>542</v>
      </c>
      <c r="B24" s="18" t="s">
        <v>543</v>
      </c>
      <c r="C24" s="14" t="s">
        <v>544</v>
      </c>
      <c r="D24" s="14" t="s">
        <v>597</v>
      </c>
      <c r="E24" s="19">
        <v>500</v>
      </c>
      <c r="F24" s="20">
        <v>2398.9299999999998</v>
      </c>
      <c r="G24" s="21">
        <v>1.8800000000000001E-2</v>
      </c>
      <c r="H24" s="30">
        <v>7.4649999999999994E-2</v>
      </c>
      <c r="I24" s="23"/>
      <c r="J24" s="4"/>
    </row>
    <row r="25" spans="1:10" ht="13" customHeight="1">
      <c r="A25" s="17" t="s">
        <v>545</v>
      </c>
      <c r="B25" s="18" t="s">
        <v>546</v>
      </c>
      <c r="C25" s="14" t="s">
        <v>547</v>
      </c>
      <c r="D25" s="14" t="s">
        <v>594</v>
      </c>
      <c r="E25" s="19">
        <v>500</v>
      </c>
      <c r="F25" s="20">
        <v>2338.8425000000002</v>
      </c>
      <c r="G25" s="21">
        <v>1.83E-2</v>
      </c>
      <c r="H25" s="30">
        <v>7.5301000000000007E-2</v>
      </c>
      <c r="I25" s="23"/>
      <c r="J25" s="4"/>
    </row>
    <row r="26" spans="1:10" ht="13" customHeight="1">
      <c r="A26" s="4"/>
      <c r="B26" s="13" t="s">
        <v>108</v>
      </c>
      <c r="C26" s="14"/>
      <c r="D26" s="14"/>
      <c r="E26" s="14"/>
      <c r="F26" s="24">
        <f>SUM(F7:F25)</f>
        <v>63580.097500000011</v>
      </c>
      <c r="G26" s="25">
        <v>0.49810000000000004</v>
      </c>
      <c r="H26" s="26"/>
      <c r="I26" s="27"/>
      <c r="J26" s="4"/>
    </row>
    <row r="27" spans="1:10" ht="13" customHeight="1">
      <c r="A27" s="4"/>
      <c r="B27" s="13" t="s">
        <v>361</v>
      </c>
      <c r="C27" s="14"/>
      <c r="D27" s="14"/>
      <c r="E27" s="14"/>
      <c r="F27" s="4"/>
      <c r="G27" s="15"/>
      <c r="H27" s="15"/>
      <c r="I27" s="16"/>
      <c r="J27" s="4"/>
    </row>
    <row r="28" spans="1:10" ht="13" customHeight="1">
      <c r="A28" s="17" t="s">
        <v>381</v>
      </c>
      <c r="B28" s="18" t="s">
        <v>382</v>
      </c>
      <c r="C28" s="14" t="s">
        <v>383</v>
      </c>
      <c r="D28" s="14" t="s">
        <v>594</v>
      </c>
      <c r="E28" s="19">
        <v>800</v>
      </c>
      <c r="F28" s="20">
        <v>3804.2240000000002</v>
      </c>
      <c r="G28" s="21">
        <v>2.98E-2</v>
      </c>
      <c r="H28" s="30">
        <v>8.2749000000000003E-2</v>
      </c>
      <c r="I28" s="23"/>
      <c r="J28" s="4"/>
    </row>
    <row r="29" spans="1:10" ht="13" customHeight="1">
      <c r="A29" s="17" t="s">
        <v>548</v>
      </c>
      <c r="B29" s="18" t="s">
        <v>549</v>
      </c>
      <c r="C29" s="14" t="s">
        <v>550</v>
      </c>
      <c r="D29" s="14" t="s">
        <v>594</v>
      </c>
      <c r="E29" s="19">
        <v>500</v>
      </c>
      <c r="F29" s="20">
        <v>2472.0050000000001</v>
      </c>
      <c r="G29" s="21">
        <v>1.9400000000000001E-2</v>
      </c>
      <c r="H29" s="30">
        <v>7.6550999999999994E-2</v>
      </c>
      <c r="I29" s="23"/>
      <c r="J29" s="4"/>
    </row>
    <row r="30" spans="1:10" ht="13" customHeight="1">
      <c r="A30" s="17" t="s">
        <v>551</v>
      </c>
      <c r="B30" s="18" t="s">
        <v>552</v>
      </c>
      <c r="C30" s="14" t="s">
        <v>553</v>
      </c>
      <c r="D30" s="14" t="s">
        <v>594</v>
      </c>
      <c r="E30" s="19">
        <v>500</v>
      </c>
      <c r="F30" s="20">
        <v>2468.5725000000002</v>
      </c>
      <c r="G30" s="21">
        <v>1.9300000000000001E-2</v>
      </c>
      <c r="H30" s="30">
        <v>7.7450000000000005E-2</v>
      </c>
      <c r="I30" s="23"/>
      <c r="J30" s="4"/>
    </row>
    <row r="31" spans="1:10" ht="13" customHeight="1">
      <c r="A31" s="17" t="s">
        <v>473</v>
      </c>
      <c r="B31" s="18" t="s">
        <v>601</v>
      </c>
      <c r="C31" s="14" t="s">
        <v>474</v>
      </c>
      <c r="D31" s="14" t="s">
        <v>594</v>
      </c>
      <c r="E31" s="19">
        <v>500</v>
      </c>
      <c r="F31" s="20">
        <v>2464.1525000000001</v>
      </c>
      <c r="G31" s="21">
        <v>1.9300000000000001E-2</v>
      </c>
      <c r="H31" s="30">
        <v>7.0800000000000002E-2</v>
      </c>
      <c r="I31" s="23"/>
      <c r="J31" s="4"/>
    </row>
    <row r="32" spans="1:10" ht="13" customHeight="1">
      <c r="A32" s="17" t="s">
        <v>554</v>
      </c>
      <c r="B32" s="18" t="s">
        <v>555</v>
      </c>
      <c r="C32" s="14" t="s">
        <v>556</v>
      </c>
      <c r="D32" s="14" t="s">
        <v>596</v>
      </c>
      <c r="E32" s="19">
        <v>500</v>
      </c>
      <c r="F32" s="20">
        <v>2461.0825</v>
      </c>
      <c r="G32" s="21">
        <v>1.9300000000000001E-2</v>
      </c>
      <c r="H32" s="30">
        <v>7.8E-2</v>
      </c>
      <c r="I32" s="23"/>
      <c r="J32" s="4"/>
    </row>
    <row r="33" spans="1:10" ht="13" customHeight="1">
      <c r="A33" s="17" t="s">
        <v>557</v>
      </c>
      <c r="B33" s="18" t="s">
        <v>558</v>
      </c>
      <c r="C33" s="14" t="s">
        <v>559</v>
      </c>
      <c r="D33" s="14" t="s">
        <v>594</v>
      </c>
      <c r="E33" s="19">
        <v>500</v>
      </c>
      <c r="F33" s="20">
        <v>2452.2950000000001</v>
      </c>
      <c r="G33" s="21">
        <v>1.9199999999999998E-2</v>
      </c>
      <c r="H33" s="30">
        <v>7.6351000000000002E-2</v>
      </c>
      <c r="I33" s="23"/>
      <c r="J33" s="4"/>
    </row>
    <row r="34" spans="1:10" ht="13" customHeight="1">
      <c r="A34" s="17" t="s">
        <v>560</v>
      </c>
      <c r="B34" s="18" t="s">
        <v>561</v>
      </c>
      <c r="C34" s="14" t="s">
        <v>562</v>
      </c>
      <c r="D34" s="14" t="s">
        <v>594</v>
      </c>
      <c r="E34" s="19">
        <v>500</v>
      </c>
      <c r="F34" s="20">
        <v>2440.7175000000002</v>
      </c>
      <c r="G34" s="21">
        <v>1.9099999999999999E-2</v>
      </c>
      <c r="H34" s="30">
        <v>7.6425999999999994E-2</v>
      </c>
      <c r="I34" s="23"/>
      <c r="J34" s="4"/>
    </row>
    <row r="35" spans="1:10" ht="13" customHeight="1">
      <c r="A35" s="17" t="s">
        <v>563</v>
      </c>
      <c r="B35" s="18" t="s">
        <v>602</v>
      </c>
      <c r="C35" s="14" t="s">
        <v>564</v>
      </c>
      <c r="D35" s="14" t="s">
        <v>596</v>
      </c>
      <c r="E35" s="19">
        <v>500</v>
      </c>
      <c r="F35" s="20">
        <v>2434.7449999999999</v>
      </c>
      <c r="G35" s="21">
        <v>1.9099999999999999E-2</v>
      </c>
      <c r="H35" s="30">
        <v>7.6425999999999994E-2</v>
      </c>
      <c r="I35" s="23"/>
      <c r="J35" s="4"/>
    </row>
    <row r="36" spans="1:10" ht="13" customHeight="1">
      <c r="A36" s="17" t="s">
        <v>565</v>
      </c>
      <c r="B36" s="18" t="s">
        <v>566</v>
      </c>
      <c r="C36" s="14" t="s">
        <v>567</v>
      </c>
      <c r="D36" s="14" t="s">
        <v>597</v>
      </c>
      <c r="E36" s="19">
        <v>500</v>
      </c>
      <c r="F36" s="20">
        <v>2419.9349999999999</v>
      </c>
      <c r="G36" s="21">
        <v>1.89E-2</v>
      </c>
      <c r="H36" s="30">
        <v>7.2749999999999995E-2</v>
      </c>
      <c r="I36" s="23"/>
      <c r="J36" s="4"/>
    </row>
    <row r="37" spans="1:10" ht="13" customHeight="1">
      <c r="A37" s="17" t="s">
        <v>378</v>
      </c>
      <c r="B37" s="18" t="s">
        <v>379</v>
      </c>
      <c r="C37" s="14" t="s">
        <v>380</v>
      </c>
      <c r="D37" s="14" t="s">
        <v>594</v>
      </c>
      <c r="E37" s="19">
        <v>500</v>
      </c>
      <c r="F37" s="20">
        <v>2412.4699999999998</v>
      </c>
      <c r="G37" s="21">
        <v>1.89E-2</v>
      </c>
      <c r="H37" s="30">
        <v>7.6550999999999994E-2</v>
      </c>
      <c r="I37" s="23"/>
      <c r="J37" s="4"/>
    </row>
    <row r="38" spans="1:10" ht="13" customHeight="1">
      <c r="A38" s="17" t="s">
        <v>384</v>
      </c>
      <c r="B38" s="18" t="s">
        <v>385</v>
      </c>
      <c r="C38" s="14" t="s">
        <v>386</v>
      </c>
      <c r="D38" s="14" t="s">
        <v>594</v>
      </c>
      <c r="E38" s="19">
        <v>250</v>
      </c>
      <c r="F38" s="20">
        <v>1184.6463000000001</v>
      </c>
      <c r="G38" s="21">
        <v>9.2999999999999992E-3</v>
      </c>
      <c r="H38" s="30">
        <v>7.8350000000000003E-2</v>
      </c>
      <c r="I38" s="23"/>
      <c r="J38" s="4"/>
    </row>
    <row r="39" spans="1:10" ht="13" customHeight="1">
      <c r="A39" s="17" t="s">
        <v>475</v>
      </c>
      <c r="B39" s="18" t="s">
        <v>476</v>
      </c>
      <c r="C39" s="14" t="s">
        <v>477</v>
      </c>
      <c r="D39" s="14" t="s">
        <v>594</v>
      </c>
      <c r="E39" s="19">
        <v>100</v>
      </c>
      <c r="F39" s="20">
        <v>496.08049999999997</v>
      </c>
      <c r="G39" s="21">
        <v>3.8999999999999998E-3</v>
      </c>
      <c r="H39" s="30">
        <v>7.3950000000000002E-2</v>
      </c>
      <c r="I39" s="23"/>
      <c r="J39" s="4"/>
    </row>
    <row r="40" spans="1:10" ht="13" customHeight="1">
      <c r="A40" s="4"/>
      <c r="B40" s="13" t="s">
        <v>108</v>
      </c>
      <c r="C40" s="14"/>
      <c r="D40" s="14"/>
      <c r="E40" s="14"/>
      <c r="F40" s="24">
        <v>27510.925800000001</v>
      </c>
      <c r="G40" s="25">
        <v>0.2155</v>
      </c>
      <c r="H40" s="26"/>
      <c r="I40" s="27"/>
      <c r="J40" s="4"/>
    </row>
    <row r="41" spans="1:10" ht="13" customHeight="1">
      <c r="A41" s="4"/>
      <c r="B41" s="13" t="s">
        <v>163</v>
      </c>
      <c r="C41" s="14"/>
      <c r="D41" s="14"/>
      <c r="E41" s="14"/>
      <c r="F41" s="4"/>
      <c r="G41" s="15"/>
      <c r="H41" s="15"/>
      <c r="I41" s="16"/>
      <c r="J41" s="4"/>
    </row>
    <row r="42" spans="1:10" ht="13" customHeight="1">
      <c r="A42" s="17" t="s">
        <v>568</v>
      </c>
      <c r="B42" s="18" t="s">
        <v>569</v>
      </c>
      <c r="C42" s="14" t="s">
        <v>570</v>
      </c>
      <c r="D42" s="14" t="s">
        <v>167</v>
      </c>
      <c r="E42" s="19">
        <v>9000000</v>
      </c>
      <c r="F42" s="20">
        <v>8735.1029999999992</v>
      </c>
      <c r="G42" s="21">
        <v>6.8400000000000002E-2</v>
      </c>
      <c r="H42" s="30">
        <v>7.0055999999999993E-2</v>
      </c>
      <c r="I42" s="23"/>
      <c r="J42" s="4"/>
    </row>
    <row r="43" spans="1:10" ht="13" customHeight="1">
      <c r="A43" s="17" t="s">
        <v>571</v>
      </c>
      <c r="B43" s="18" t="s">
        <v>572</v>
      </c>
      <c r="C43" s="14" t="s">
        <v>573</v>
      </c>
      <c r="D43" s="14" t="s">
        <v>167</v>
      </c>
      <c r="E43" s="19">
        <v>7500000</v>
      </c>
      <c r="F43" s="20">
        <v>7367.6850000000004</v>
      </c>
      <c r="G43" s="21">
        <v>5.7700000000000001E-2</v>
      </c>
      <c r="H43" s="30">
        <v>6.9000000000000006E-2</v>
      </c>
      <c r="I43" s="23"/>
      <c r="J43" s="4"/>
    </row>
    <row r="44" spans="1:10" ht="13" customHeight="1">
      <c r="A44" s="17" t="s">
        <v>574</v>
      </c>
      <c r="B44" s="18" t="s">
        <v>575</v>
      </c>
      <c r="C44" s="14" t="s">
        <v>576</v>
      </c>
      <c r="D44" s="14" t="s">
        <v>167</v>
      </c>
      <c r="E44" s="19">
        <v>5000000</v>
      </c>
      <c r="F44" s="20">
        <v>4839.7700000000004</v>
      </c>
      <c r="G44" s="21">
        <v>3.7900000000000003E-2</v>
      </c>
      <c r="H44" s="30">
        <v>7.0255999999999999E-2</v>
      </c>
      <c r="I44" s="23"/>
      <c r="J44" s="4"/>
    </row>
    <row r="45" spans="1:10" ht="13" customHeight="1">
      <c r="A45" s="17" t="s">
        <v>577</v>
      </c>
      <c r="B45" s="18" t="s">
        <v>578</v>
      </c>
      <c r="C45" s="14" t="s">
        <v>579</v>
      </c>
      <c r="D45" s="14" t="s">
        <v>167</v>
      </c>
      <c r="E45" s="19">
        <v>5000000</v>
      </c>
      <c r="F45" s="20">
        <v>4832.6400000000003</v>
      </c>
      <c r="G45" s="21">
        <v>3.78E-2</v>
      </c>
      <c r="H45" s="30">
        <v>7.0224999999999996E-2</v>
      </c>
      <c r="I45" s="23"/>
      <c r="J45" s="4"/>
    </row>
    <row r="46" spans="1:10" ht="13" customHeight="1">
      <c r="A46" s="17" t="s">
        <v>580</v>
      </c>
      <c r="B46" s="18" t="s">
        <v>581</v>
      </c>
      <c r="C46" s="14" t="s">
        <v>582</v>
      </c>
      <c r="D46" s="14" t="s">
        <v>167</v>
      </c>
      <c r="E46" s="19">
        <v>1500000</v>
      </c>
      <c r="F46" s="20">
        <v>1461.432</v>
      </c>
      <c r="G46" s="21">
        <v>1.14E-2</v>
      </c>
      <c r="H46" s="30">
        <v>6.9800000000000001E-2</v>
      </c>
      <c r="I46" s="23"/>
      <c r="J46" s="4"/>
    </row>
    <row r="47" spans="1:10" ht="13" customHeight="1">
      <c r="A47" s="4"/>
      <c r="B47" s="13" t="s">
        <v>108</v>
      </c>
      <c r="C47" s="14"/>
      <c r="D47" s="14"/>
      <c r="E47" s="14"/>
      <c r="F47" s="24">
        <v>27236.63</v>
      </c>
      <c r="G47" s="25">
        <v>0.2132</v>
      </c>
      <c r="H47" s="26"/>
      <c r="I47" s="27"/>
      <c r="J47" s="4"/>
    </row>
    <row r="48" spans="1:10" ht="13" customHeight="1">
      <c r="A48" s="4"/>
      <c r="B48" s="28" t="s">
        <v>111</v>
      </c>
      <c r="C48" s="29"/>
      <c r="D48" s="1"/>
      <c r="E48" s="29"/>
      <c r="F48" s="24">
        <v>118327.65330000001</v>
      </c>
      <c r="G48" s="25">
        <v>0.92680000000000007</v>
      </c>
      <c r="H48" s="26"/>
      <c r="I48" s="27"/>
      <c r="J48" s="4"/>
    </row>
    <row r="49" spans="1:10" ht="13" customHeight="1">
      <c r="A49" s="4"/>
      <c r="B49" s="13" t="s">
        <v>387</v>
      </c>
      <c r="C49" s="14"/>
      <c r="D49" s="14"/>
      <c r="E49" s="14"/>
      <c r="F49" s="14"/>
      <c r="G49" s="14"/>
      <c r="H49" s="15"/>
      <c r="I49" s="16"/>
      <c r="J49" s="4"/>
    </row>
    <row r="50" spans="1:10" ht="13" customHeight="1">
      <c r="A50" s="17" t="s">
        <v>388</v>
      </c>
      <c r="B50" s="18" t="s">
        <v>389</v>
      </c>
      <c r="C50" s="14"/>
      <c r="D50" s="14"/>
      <c r="E50" s="19"/>
      <c r="F50" s="20">
        <v>11622.744000000001</v>
      </c>
      <c r="G50" s="21">
        <v>9.0999999999999998E-2</v>
      </c>
      <c r="H50" s="30">
        <v>6.7574968854353101E-2</v>
      </c>
      <c r="I50" s="23"/>
      <c r="J50" s="4"/>
    </row>
    <row r="51" spans="1:10" ht="13" customHeight="1">
      <c r="A51" s="4"/>
      <c r="B51" s="13" t="s">
        <v>108</v>
      </c>
      <c r="C51" s="14"/>
      <c r="D51" s="14"/>
      <c r="E51" s="14"/>
      <c r="F51" s="24">
        <v>11622.744000000001</v>
      </c>
      <c r="G51" s="25">
        <v>9.0999999999999998E-2</v>
      </c>
      <c r="H51" s="26"/>
      <c r="I51" s="27"/>
      <c r="J51" s="4"/>
    </row>
    <row r="52" spans="1:10" ht="13" customHeight="1">
      <c r="A52" s="4"/>
      <c r="B52" s="28" t="s">
        <v>111</v>
      </c>
      <c r="C52" s="29"/>
      <c r="D52" s="1"/>
      <c r="E52" s="29"/>
      <c r="F52" s="24">
        <v>11622.744000000001</v>
      </c>
      <c r="G52" s="25">
        <v>9.0999999999999998E-2</v>
      </c>
      <c r="H52" s="26"/>
      <c r="I52" s="27"/>
      <c r="J52" s="4"/>
    </row>
    <row r="53" spans="1:10" ht="13" customHeight="1">
      <c r="A53" s="4"/>
      <c r="B53" s="28" t="s">
        <v>168</v>
      </c>
      <c r="C53" s="14"/>
      <c r="D53" s="1"/>
      <c r="E53" s="14"/>
      <c r="F53" s="31">
        <v>-2234.6799999999998</v>
      </c>
      <c r="G53" s="25">
        <v>-1.78E-2</v>
      </c>
      <c r="H53" s="26"/>
      <c r="I53" s="27"/>
      <c r="J53" s="4"/>
    </row>
    <row r="54" spans="1:10" ht="13" customHeight="1">
      <c r="A54" s="4"/>
      <c r="B54" s="32" t="s">
        <v>169</v>
      </c>
      <c r="C54" s="33"/>
      <c r="D54" s="33"/>
      <c r="E54" s="33"/>
      <c r="F54" s="34">
        <v>127715.72</v>
      </c>
      <c r="G54" s="35">
        <v>1</v>
      </c>
      <c r="H54" s="36"/>
      <c r="I54" s="37"/>
      <c r="J54" s="4"/>
    </row>
    <row r="55" spans="1:10" ht="13" customHeight="1">
      <c r="A55" s="4"/>
      <c r="B55" s="6"/>
      <c r="C55" s="4"/>
      <c r="D55" s="4"/>
      <c r="E55" s="4"/>
      <c r="F55" s="59"/>
      <c r="G55" s="4"/>
      <c r="H55" s="4"/>
      <c r="I55" s="4"/>
      <c r="J55" s="4"/>
    </row>
    <row r="56" spans="1:10" ht="13" customHeight="1">
      <c r="A56" s="4"/>
      <c r="B56" s="3" t="s">
        <v>170</v>
      </c>
      <c r="C56" s="4"/>
      <c r="D56" s="4"/>
      <c r="E56" s="4"/>
      <c r="F56" s="4"/>
      <c r="G56" s="4"/>
      <c r="H56" s="4"/>
      <c r="I56" s="4"/>
      <c r="J56" s="4"/>
    </row>
    <row r="57" spans="1:10" ht="13" customHeight="1">
      <c r="A57" s="4"/>
      <c r="B57" s="3" t="s">
        <v>390</v>
      </c>
      <c r="C57" s="4"/>
      <c r="D57" s="4"/>
      <c r="E57" s="4"/>
      <c r="F57" s="4"/>
      <c r="G57" s="4"/>
      <c r="H57" s="4"/>
      <c r="I57" s="4"/>
      <c r="J57" s="4"/>
    </row>
    <row r="58" spans="1:10" ht="13" customHeight="1">
      <c r="A58" s="4"/>
      <c r="B58" s="3" t="s">
        <v>171</v>
      </c>
      <c r="C58" s="4"/>
      <c r="D58" s="4"/>
      <c r="E58" s="4"/>
      <c r="F58" s="4"/>
      <c r="G58" s="4"/>
      <c r="H58" s="4"/>
      <c r="I58" s="4"/>
      <c r="J58" s="4"/>
    </row>
    <row r="59" spans="1:10" ht="26.15" customHeight="1">
      <c r="A59" s="4"/>
      <c r="B59" s="61" t="s">
        <v>172</v>
      </c>
      <c r="C59" s="61"/>
      <c r="D59" s="61"/>
      <c r="E59" s="61"/>
      <c r="F59" s="61"/>
      <c r="G59" s="61"/>
      <c r="H59" s="61"/>
      <c r="I59" s="61"/>
      <c r="J59" s="4"/>
    </row>
    <row r="60" spans="1:10" ht="13" customHeight="1">
      <c r="A60" s="4"/>
      <c r="B60" s="61"/>
      <c r="C60" s="61"/>
      <c r="D60" s="61"/>
      <c r="E60" s="61"/>
      <c r="F60" s="61"/>
      <c r="G60" s="61"/>
      <c r="H60" s="61"/>
      <c r="I60" s="61"/>
      <c r="J60" s="4"/>
    </row>
    <row r="61" spans="1:10" s="41" customFormat="1" ht="15" customHeight="1">
      <c r="B61" s="42" t="s">
        <v>603</v>
      </c>
      <c r="C61" s="43"/>
      <c r="D61" s="43"/>
      <c r="E61" s="43"/>
      <c r="F61" s="43"/>
      <c r="G61" s="43"/>
      <c r="H61" s="43"/>
      <c r="I61" s="44"/>
    </row>
    <row r="62" spans="1:10" s="41" customFormat="1" ht="15" customHeight="1">
      <c r="B62" s="45" t="s">
        <v>604</v>
      </c>
      <c r="I62" s="46"/>
    </row>
    <row r="63" spans="1:10" s="41" customFormat="1" ht="15" customHeight="1">
      <c r="B63" s="45" t="s">
        <v>605</v>
      </c>
      <c r="I63" s="46"/>
    </row>
    <row r="64" spans="1:10" s="41" customFormat="1" ht="15" customHeight="1">
      <c r="B64" s="47" t="s">
        <v>606</v>
      </c>
      <c r="C64" s="48" t="s">
        <v>629</v>
      </c>
      <c r="D64" s="48" t="s">
        <v>613</v>
      </c>
      <c r="I64" s="46"/>
    </row>
    <row r="65" spans="1:10" s="41" customFormat="1" ht="15" customHeight="1">
      <c r="B65" s="49" t="s">
        <v>615</v>
      </c>
      <c r="C65" s="56">
        <v>1015.5284</v>
      </c>
      <c r="D65" s="56">
        <v>1010.4873</v>
      </c>
      <c r="F65" s="51"/>
      <c r="I65" s="46"/>
    </row>
    <row r="66" spans="1:10" s="41" customFormat="1" ht="15" customHeight="1">
      <c r="B66" s="49" t="s">
        <v>607</v>
      </c>
      <c r="C66" s="56">
        <v>1015.5284</v>
      </c>
      <c r="D66" s="56">
        <v>1010.4873</v>
      </c>
      <c r="F66" s="51"/>
      <c r="I66" s="46"/>
    </row>
    <row r="67" spans="1:10" s="41" customFormat="1" ht="15" customHeight="1">
      <c r="B67" s="49" t="s">
        <v>608</v>
      </c>
      <c r="C67" s="56">
        <v>1015.5284</v>
      </c>
      <c r="D67" s="56">
        <v>1010.4873</v>
      </c>
      <c r="F67" s="51"/>
      <c r="I67" s="46"/>
    </row>
    <row r="68" spans="1:10" s="41" customFormat="1" ht="15" customHeight="1">
      <c r="B68" s="49" t="s">
        <v>619</v>
      </c>
      <c r="C68" s="56">
        <v>1016.5653</v>
      </c>
      <c r="D68" s="56">
        <v>1011.0783</v>
      </c>
      <c r="F68" s="51"/>
      <c r="I68" s="46"/>
    </row>
    <row r="69" spans="1:10" s="41" customFormat="1" ht="15" customHeight="1">
      <c r="B69" s="49" t="s">
        <v>609</v>
      </c>
      <c r="C69" s="56">
        <v>1016.5653</v>
      </c>
      <c r="D69" s="56">
        <v>1011.0783</v>
      </c>
      <c r="F69" s="51"/>
      <c r="I69" s="46"/>
    </row>
    <row r="70" spans="1:10" s="41" customFormat="1" ht="15" customHeight="1">
      <c r="B70" s="49" t="s">
        <v>610</v>
      </c>
      <c r="C70" s="56">
        <v>1016.5653</v>
      </c>
      <c r="D70" s="56">
        <v>1011.0783</v>
      </c>
      <c r="F70" s="51"/>
      <c r="I70" s="46"/>
    </row>
    <row r="71" spans="1:10" s="41" customFormat="1" ht="15" customHeight="1">
      <c r="B71" s="45" t="s">
        <v>611</v>
      </c>
      <c r="I71" s="46"/>
    </row>
    <row r="72" spans="1:10">
      <c r="A72" s="41"/>
      <c r="B72" s="45" t="s">
        <v>630</v>
      </c>
      <c r="C72" s="41"/>
      <c r="D72" s="41"/>
      <c r="E72" s="41"/>
      <c r="F72" s="41"/>
      <c r="G72" s="41"/>
      <c r="H72" s="41"/>
      <c r="I72" s="46"/>
    </row>
    <row r="73" spans="1:10" s="41" customFormat="1" ht="15" customHeight="1">
      <c r="B73" s="45" t="s">
        <v>626</v>
      </c>
      <c r="I73" s="46"/>
    </row>
    <row r="74" spans="1:10" s="41" customFormat="1" ht="15" customHeight="1">
      <c r="B74" s="45" t="s">
        <v>680</v>
      </c>
      <c r="I74" s="46"/>
    </row>
    <row r="75" spans="1:10" s="41" customFormat="1" ht="15" customHeight="1">
      <c r="B75" s="45" t="s">
        <v>631</v>
      </c>
      <c r="I75" s="46"/>
    </row>
    <row r="76" spans="1:10" s="41" customFormat="1" ht="15" customHeight="1">
      <c r="B76" s="45" t="s">
        <v>632</v>
      </c>
      <c r="I76" s="46"/>
    </row>
    <row r="77" spans="1:10" s="41" customFormat="1" ht="15" customHeight="1">
      <c r="B77" s="45" t="s">
        <v>612</v>
      </c>
      <c r="I77" s="46"/>
    </row>
    <row r="78" spans="1:10" s="41" customFormat="1" ht="15" customHeight="1">
      <c r="B78" s="53" t="s">
        <v>676</v>
      </c>
      <c r="I78" s="46"/>
    </row>
    <row r="79" spans="1:10" ht="13" customHeight="1">
      <c r="A79" s="4"/>
      <c r="B79" s="61"/>
      <c r="C79" s="61"/>
      <c r="D79" s="61"/>
      <c r="E79" s="61"/>
      <c r="F79" s="61"/>
      <c r="G79" s="61"/>
      <c r="H79" s="61"/>
      <c r="I79" s="61"/>
      <c r="J79" s="4"/>
    </row>
    <row r="80" spans="1:10" ht="13" customHeight="1">
      <c r="A80" s="4"/>
      <c r="B80" s="4"/>
      <c r="C80" s="62" t="s">
        <v>583</v>
      </c>
      <c r="D80" s="62"/>
      <c r="E80" s="62"/>
      <c r="F80" s="62"/>
      <c r="G80" s="4"/>
      <c r="H80" s="4"/>
      <c r="I80" s="4"/>
      <c r="J80" s="4"/>
    </row>
    <row r="81" spans="1:10" ht="13" customHeight="1">
      <c r="A81" s="4"/>
      <c r="B81" s="38" t="s">
        <v>174</v>
      </c>
      <c r="C81" s="62" t="s">
        <v>175</v>
      </c>
      <c r="D81" s="62"/>
      <c r="E81" s="62"/>
      <c r="F81" s="62"/>
      <c r="G81" s="4"/>
      <c r="H81" s="4"/>
      <c r="I81" s="4"/>
      <c r="J81" s="4"/>
    </row>
    <row r="82" spans="1:10" ht="121" customHeight="1">
      <c r="A82" s="4"/>
      <c r="B82" s="39"/>
      <c r="C82" s="60"/>
      <c r="D82" s="60"/>
      <c r="E82" s="4"/>
      <c r="F82" s="4"/>
      <c r="G82" s="4"/>
      <c r="H82" s="4"/>
      <c r="I82" s="4"/>
      <c r="J82" s="4"/>
    </row>
  </sheetData>
  <mergeCells count="6">
    <mergeCell ref="C82:D82"/>
    <mergeCell ref="B59:I59"/>
    <mergeCell ref="B60:I60"/>
    <mergeCell ref="B79:I79"/>
    <mergeCell ref="C80:F80"/>
    <mergeCell ref="C81:F81"/>
  </mergeCells>
  <hyperlinks>
    <hyperlink ref="A1" location="BajajFinservMoneyMarketFund" display="BFMM" xr:uid="{00000000-0004-0000-0400-000000000000}"/>
    <hyperlink ref="B1" location="BajajFinservMoneyMarketFund" display="Bajaj Finserv Money Market Fund" xr:uid="{00000000-0004-0000-0400-000001000000}"/>
  </hyperlinks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J53"/>
  <sheetViews>
    <sheetView workbookViewId="0"/>
  </sheetViews>
  <sheetFormatPr defaultRowHeight="14.5"/>
  <cols>
    <col min="1" max="1" width="3.26953125" customWidth="1"/>
    <col min="2" max="2" width="69.1796875" customWidth="1"/>
    <col min="3" max="3" width="21.7265625" bestFit="1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8</v>
      </c>
      <c r="B1" s="3" t="s">
        <v>9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10</v>
      </c>
      <c r="B3" s="7" t="s">
        <v>11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12</v>
      </c>
      <c r="C4" s="9" t="s">
        <v>13</v>
      </c>
      <c r="D4" s="10" t="s">
        <v>392</v>
      </c>
      <c r="E4" s="10" t="s">
        <v>15</v>
      </c>
      <c r="F4" s="10" t="s">
        <v>16</v>
      </c>
      <c r="G4" s="10" t="s">
        <v>17</v>
      </c>
      <c r="H4" s="10" t="s">
        <v>18</v>
      </c>
      <c r="I4" s="11" t="s">
        <v>19</v>
      </c>
      <c r="J4" s="12" t="s">
        <v>20</v>
      </c>
    </row>
    <row r="5" spans="1:10" ht="13" customHeight="1">
      <c r="A5" s="4"/>
      <c r="B5" s="13" t="s">
        <v>162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339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584</v>
      </c>
      <c r="B7" s="18" t="s">
        <v>585</v>
      </c>
      <c r="C7" s="14" t="s">
        <v>586</v>
      </c>
      <c r="D7" s="14" t="s">
        <v>594</v>
      </c>
      <c r="E7" s="19">
        <v>800</v>
      </c>
      <c r="F7" s="20">
        <v>3998.4679999999998</v>
      </c>
      <c r="G7" s="21">
        <v>8.5500000000000007E-2</v>
      </c>
      <c r="H7" s="30">
        <v>6.9912000000000002E-2</v>
      </c>
      <c r="I7" s="23"/>
      <c r="J7" s="4"/>
    </row>
    <row r="8" spans="1:10" ht="13" customHeight="1">
      <c r="A8" s="17" t="s">
        <v>587</v>
      </c>
      <c r="B8" s="18" t="s">
        <v>588</v>
      </c>
      <c r="C8" s="14" t="s">
        <v>589</v>
      </c>
      <c r="D8" s="14" t="s">
        <v>594</v>
      </c>
      <c r="E8" s="19">
        <v>500</v>
      </c>
      <c r="F8" s="20">
        <v>2499.04</v>
      </c>
      <c r="G8" s="21">
        <v>5.3400000000000003E-2</v>
      </c>
      <c r="H8" s="30">
        <v>7.0041999999999993E-2</v>
      </c>
      <c r="I8" s="23"/>
      <c r="J8" s="4"/>
    </row>
    <row r="9" spans="1:10" ht="13" customHeight="1">
      <c r="A9" s="17" t="s">
        <v>590</v>
      </c>
      <c r="B9" s="18" t="s">
        <v>591</v>
      </c>
      <c r="C9" s="14" t="s">
        <v>592</v>
      </c>
      <c r="D9" s="14" t="s">
        <v>594</v>
      </c>
      <c r="E9" s="19">
        <v>500</v>
      </c>
      <c r="F9" s="20">
        <v>2499.04</v>
      </c>
      <c r="G9" s="21">
        <v>5.3400000000000003E-2</v>
      </c>
      <c r="H9" s="30">
        <v>7.0041999999999993E-2</v>
      </c>
      <c r="I9" s="23"/>
      <c r="J9" s="4"/>
    </row>
    <row r="10" spans="1:10" ht="13" customHeight="1">
      <c r="A10" s="4"/>
      <c r="B10" s="13" t="s">
        <v>108</v>
      </c>
      <c r="C10" s="14"/>
      <c r="D10" s="14"/>
      <c r="E10" s="14"/>
      <c r="F10" s="24">
        <v>8996.5479999999989</v>
      </c>
      <c r="G10" s="25">
        <v>0.19230000000000003</v>
      </c>
      <c r="H10" s="26"/>
      <c r="I10" s="27"/>
      <c r="J10" s="4"/>
    </row>
    <row r="11" spans="1:10" ht="13" customHeight="1">
      <c r="A11" s="4"/>
      <c r="B11" s="13" t="s">
        <v>163</v>
      </c>
      <c r="C11" s="14"/>
      <c r="D11" s="14"/>
      <c r="E11" s="14"/>
      <c r="F11" s="4"/>
      <c r="G11" s="15"/>
      <c r="H11" s="15"/>
      <c r="I11" s="16"/>
      <c r="J11" s="4"/>
    </row>
    <row r="12" spans="1:10" ht="13" customHeight="1">
      <c r="A12" s="17" t="s">
        <v>490</v>
      </c>
      <c r="B12" s="18" t="s">
        <v>491</v>
      </c>
      <c r="C12" s="14" t="s">
        <v>492</v>
      </c>
      <c r="D12" s="14" t="s">
        <v>167</v>
      </c>
      <c r="E12" s="19">
        <v>1500000</v>
      </c>
      <c r="F12" s="20">
        <v>1493.1479999999999</v>
      </c>
      <c r="G12" s="21">
        <v>3.1899999999999998E-2</v>
      </c>
      <c r="H12" s="30">
        <v>6.7000000000000004E-2</v>
      </c>
      <c r="I12" s="23"/>
      <c r="J12" s="4"/>
    </row>
    <row r="13" spans="1:10" ht="13" customHeight="1">
      <c r="A13" s="17" t="s">
        <v>493</v>
      </c>
      <c r="B13" s="18" t="s">
        <v>494</v>
      </c>
      <c r="C13" s="14" t="s">
        <v>495</v>
      </c>
      <c r="D13" s="14" t="s">
        <v>167</v>
      </c>
      <c r="E13" s="19">
        <v>250000</v>
      </c>
      <c r="F13" s="20">
        <v>249.82</v>
      </c>
      <c r="G13" s="21">
        <v>5.3E-3</v>
      </c>
      <c r="H13" s="30">
        <v>6.5930000000000002E-2</v>
      </c>
      <c r="I13" s="23"/>
      <c r="J13" s="4"/>
    </row>
    <row r="14" spans="1:10" ht="13" customHeight="1">
      <c r="A14" s="4"/>
      <c r="B14" s="13" t="s">
        <v>108</v>
      </c>
      <c r="C14" s="14"/>
      <c r="D14" s="14"/>
      <c r="E14" s="14"/>
      <c r="F14" s="24">
        <v>1742.9679999999998</v>
      </c>
      <c r="G14" s="25">
        <v>3.73E-2</v>
      </c>
      <c r="H14" s="26"/>
      <c r="I14" s="27"/>
      <c r="J14" s="4"/>
    </row>
    <row r="15" spans="1:10" ht="13" customHeight="1">
      <c r="A15" s="4"/>
      <c r="B15" s="28" t="s">
        <v>111</v>
      </c>
      <c r="C15" s="29"/>
      <c r="D15" s="1"/>
      <c r="E15" s="29"/>
      <c r="F15" s="24">
        <v>10739.516</v>
      </c>
      <c r="G15" s="25">
        <v>0.22960000000000003</v>
      </c>
      <c r="H15" s="26"/>
      <c r="I15" s="27"/>
      <c r="J15" s="4"/>
    </row>
    <row r="16" spans="1:10" ht="13" customHeight="1">
      <c r="A16" s="4"/>
      <c r="B16" s="13" t="s">
        <v>387</v>
      </c>
      <c r="C16" s="14"/>
      <c r="D16" s="14"/>
      <c r="E16" s="14"/>
      <c r="F16" s="14"/>
      <c r="G16" s="14"/>
      <c r="H16" s="15"/>
      <c r="I16" s="16"/>
      <c r="J16" s="4"/>
    </row>
    <row r="17" spans="1:10" ht="13" customHeight="1">
      <c r="A17" s="17" t="s">
        <v>388</v>
      </c>
      <c r="B17" s="18" t="s">
        <v>389</v>
      </c>
      <c r="C17" s="14"/>
      <c r="D17" s="14"/>
      <c r="E17" s="19"/>
      <c r="F17" s="20">
        <v>35994.419199999997</v>
      </c>
      <c r="G17" s="21">
        <v>0.76980000000000004</v>
      </c>
      <c r="H17" s="30">
        <v>6.785247977182815E-2</v>
      </c>
      <c r="I17" s="23"/>
      <c r="J17" s="4"/>
    </row>
    <row r="18" spans="1:10" ht="13" customHeight="1">
      <c r="A18" s="4"/>
      <c r="B18" s="13" t="s">
        <v>108</v>
      </c>
      <c r="C18" s="14"/>
      <c r="D18" s="14"/>
      <c r="E18" s="14"/>
      <c r="F18" s="24">
        <v>35994.419199999997</v>
      </c>
      <c r="G18" s="25">
        <v>0.76980000000000004</v>
      </c>
      <c r="H18" s="26"/>
      <c r="I18" s="27"/>
      <c r="J18" s="4"/>
    </row>
    <row r="19" spans="1:10" ht="13" customHeight="1">
      <c r="A19" s="4"/>
      <c r="B19" s="28" t="s">
        <v>111</v>
      </c>
      <c r="C19" s="29"/>
      <c r="D19" s="1"/>
      <c r="E19" s="29"/>
      <c r="F19" s="24">
        <v>35994.419199999997</v>
      </c>
      <c r="G19" s="25">
        <v>0.76980000000000004</v>
      </c>
      <c r="H19" s="26"/>
      <c r="I19" s="27"/>
      <c r="J19" s="4"/>
    </row>
    <row r="20" spans="1:10" ht="13" customHeight="1">
      <c r="A20" s="4"/>
      <c r="B20" s="28" t="s">
        <v>168</v>
      </c>
      <c r="C20" s="14"/>
      <c r="D20" s="1"/>
      <c r="E20" s="14"/>
      <c r="F20" s="31">
        <v>23.35</v>
      </c>
      <c r="G20" s="25">
        <v>5.9999999999999995E-4</v>
      </c>
      <c r="H20" s="26"/>
      <c r="I20" s="27"/>
      <c r="J20" s="4"/>
    </row>
    <row r="21" spans="1:10" ht="13" customHeight="1">
      <c r="A21" s="4"/>
      <c r="B21" s="32" t="s">
        <v>169</v>
      </c>
      <c r="C21" s="33"/>
      <c r="D21" s="33"/>
      <c r="E21" s="33"/>
      <c r="F21" s="34">
        <v>46757.29</v>
      </c>
      <c r="G21" s="35">
        <v>1</v>
      </c>
      <c r="H21" s="36"/>
      <c r="I21" s="37"/>
      <c r="J21" s="4"/>
    </row>
    <row r="22" spans="1:10" ht="13" customHeight="1">
      <c r="A22" s="4"/>
      <c r="B22" s="6"/>
      <c r="C22" s="4"/>
      <c r="D22" s="4"/>
      <c r="E22" s="4"/>
      <c r="F22" s="59"/>
      <c r="G22" s="4"/>
      <c r="H22" s="4"/>
      <c r="I22" s="4"/>
      <c r="J22" s="4"/>
    </row>
    <row r="23" spans="1:10" ht="13" customHeight="1">
      <c r="A23" s="4"/>
      <c r="B23" s="3" t="s">
        <v>170</v>
      </c>
      <c r="C23" s="4"/>
      <c r="D23" s="4"/>
      <c r="E23" s="4"/>
      <c r="F23" s="4"/>
      <c r="G23" s="4"/>
      <c r="H23" s="4"/>
      <c r="I23" s="4"/>
      <c r="J23" s="4"/>
    </row>
    <row r="24" spans="1:10" ht="13" customHeight="1">
      <c r="A24" s="4"/>
      <c r="B24" s="3" t="s">
        <v>390</v>
      </c>
      <c r="C24" s="4"/>
      <c r="D24" s="4"/>
      <c r="E24" s="4"/>
      <c r="F24" s="4"/>
      <c r="G24" s="4"/>
      <c r="H24" s="4"/>
      <c r="I24" s="4"/>
      <c r="J24" s="4"/>
    </row>
    <row r="25" spans="1:10" ht="13" customHeight="1">
      <c r="A25" s="4"/>
      <c r="B25" s="3" t="s">
        <v>171</v>
      </c>
      <c r="C25" s="4"/>
      <c r="D25" s="4"/>
      <c r="E25" s="4"/>
      <c r="F25" s="4"/>
      <c r="G25" s="4"/>
      <c r="H25" s="4"/>
      <c r="I25" s="4"/>
      <c r="J25" s="4"/>
    </row>
    <row r="26" spans="1:10" ht="26.15" customHeight="1">
      <c r="A26" s="4"/>
      <c r="B26" s="61" t="s">
        <v>172</v>
      </c>
      <c r="C26" s="61"/>
      <c r="D26" s="61"/>
      <c r="E26" s="61"/>
      <c r="F26" s="61"/>
      <c r="G26" s="61"/>
      <c r="H26" s="61"/>
      <c r="I26" s="61"/>
      <c r="J26" s="4"/>
    </row>
    <row r="27" spans="1:10" ht="13" customHeight="1">
      <c r="A27" s="4"/>
      <c r="B27" s="61"/>
      <c r="C27" s="61"/>
      <c r="D27" s="61"/>
      <c r="E27" s="61"/>
      <c r="F27" s="61"/>
      <c r="G27" s="61"/>
      <c r="H27" s="61"/>
      <c r="I27" s="61"/>
      <c r="J27" s="4"/>
    </row>
    <row r="28" spans="1:10" s="41" customFormat="1" ht="15" customHeight="1">
      <c r="B28" s="42" t="s">
        <v>603</v>
      </c>
      <c r="C28" s="43"/>
      <c r="D28" s="43"/>
      <c r="E28" s="43"/>
      <c r="F28" s="43"/>
      <c r="G28" s="43"/>
      <c r="H28" s="43"/>
      <c r="I28" s="44"/>
    </row>
    <row r="29" spans="1:10" s="41" customFormat="1" ht="15" customHeight="1">
      <c r="B29" s="45" t="s">
        <v>604</v>
      </c>
      <c r="I29" s="46"/>
    </row>
    <row r="30" spans="1:10" s="41" customFormat="1" ht="15" customHeight="1">
      <c r="B30" s="45" t="s">
        <v>605</v>
      </c>
      <c r="I30" s="46"/>
    </row>
    <row r="31" spans="1:10" s="41" customFormat="1" ht="15" customHeight="1">
      <c r="B31" s="47" t="s">
        <v>606</v>
      </c>
      <c r="C31" s="48" t="s">
        <v>634</v>
      </c>
      <c r="D31" s="48" t="s">
        <v>613</v>
      </c>
      <c r="I31" s="46"/>
    </row>
    <row r="32" spans="1:10" s="41" customFormat="1" ht="15" customHeight="1">
      <c r="B32" s="49" t="s">
        <v>614</v>
      </c>
      <c r="C32" s="56">
        <v>1015.5442</v>
      </c>
      <c r="D32" s="56">
        <v>1010.0979</v>
      </c>
      <c r="F32" s="51"/>
      <c r="I32" s="46"/>
    </row>
    <row r="33" spans="1:9" s="41" customFormat="1" ht="15" customHeight="1">
      <c r="B33" s="49" t="s">
        <v>615</v>
      </c>
      <c r="C33" s="56">
        <v>1015.5442</v>
      </c>
      <c r="D33" s="56">
        <v>1010.0979</v>
      </c>
      <c r="F33" s="51"/>
      <c r="I33" s="46"/>
    </row>
    <row r="34" spans="1:9" s="41" customFormat="1" ht="15" customHeight="1">
      <c r="B34" s="49" t="s">
        <v>608</v>
      </c>
      <c r="C34" s="56">
        <v>1015.5442</v>
      </c>
      <c r="D34" s="56">
        <v>1010.0979</v>
      </c>
      <c r="F34" s="51"/>
      <c r="I34" s="46"/>
    </row>
    <row r="35" spans="1:9" s="41" customFormat="1" ht="15" customHeight="1">
      <c r="B35" s="49" t="s">
        <v>616</v>
      </c>
      <c r="C35" s="56">
        <v>1015.5442</v>
      </c>
      <c r="D35" s="56">
        <v>1010.0979</v>
      </c>
      <c r="F35" s="51"/>
      <c r="I35" s="46"/>
    </row>
    <row r="36" spans="1:9" s="41" customFormat="1" ht="15" customHeight="1">
      <c r="B36" s="49" t="s">
        <v>617</v>
      </c>
      <c r="C36" s="56">
        <v>1015.5442</v>
      </c>
      <c r="D36" s="56">
        <v>1010.0979</v>
      </c>
      <c r="F36" s="51"/>
      <c r="I36" s="46"/>
    </row>
    <row r="37" spans="1:9" s="41" customFormat="1" ht="15" customHeight="1">
      <c r="B37" s="49" t="s">
        <v>618</v>
      </c>
      <c r="C37" s="56">
        <v>1015.6665</v>
      </c>
      <c r="D37" s="56">
        <v>1010.178</v>
      </c>
      <c r="F37" s="51"/>
      <c r="I37" s="46"/>
    </row>
    <row r="38" spans="1:9" s="41" customFormat="1" ht="15" customHeight="1">
      <c r="B38" s="49" t="s">
        <v>619</v>
      </c>
      <c r="C38" s="56">
        <v>1015.6665</v>
      </c>
      <c r="D38" s="56">
        <v>1010.178</v>
      </c>
      <c r="F38" s="51"/>
      <c r="I38" s="46"/>
    </row>
    <row r="39" spans="1:9" s="41" customFormat="1" ht="15" customHeight="1">
      <c r="B39" s="49" t="s">
        <v>610</v>
      </c>
      <c r="C39" s="56">
        <v>1015.6665</v>
      </c>
      <c r="D39" s="56">
        <v>1010.178</v>
      </c>
      <c r="F39" s="51"/>
      <c r="I39" s="46"/>
    </row>
    <row r="40" spans="1:9" s="41" customFormat="1" ht="15" customHeight="1">
      <c r="B40" s="49" t="s">
        <v>620</v>
      </c>
      <c r="C40" s="56">
        <v>1015.6665</v>
      </c>
      <c r="D40" s="56">
        <v>1010.178</v>
      </c>
      <c r="F40" s="51"/>
      <c r="I40" s="46"/>
    </row>
    <row r="41" spans="1:9" s="41" customFormat="1" ht="15" customHeight="1">
      <c r="B41" s="49" t="s">
        <v>621</v>
      </c>
      <c r="C41" s="56">
        <v>1015.6665</v>
      </c>
      <c r="D41" s="56">
        <v>1010.178</v>
      </c>
      <c r="F41" s="51"/>
      <c r="I41" s="46"/>
    </row>
    <row r="42" spans="1:9" s="41" customFormat="1" ht="15" customHeight="1">
      <c r="B42" s="45" t="s">
        <v>611</v>
      </c>
      <c r="I42" s="46"/>
    </row>
    <row r="43" spans="1:9">
      <c r="A43" s="41"/>
      <c r="B43" s="45" t="s">
        <v>630</v>
      </c>
      <c r="C43" s="41"/>
      <c r="D43" s="41"/>
      <c r="E43" s="41"/>
      <c r="F43" s="41"/>
      <c r="G43" s="41"/>
      <c r="H43" s="41"/>
      <c r="I43" s="46"/>
    </row>
    <row r="44" spans="1:9" s="41" customFormat="1" ht="15" customHeight="1">
      <c r="B44" s="45" t="s">
        <v>626</v>
      </c>
      <c r="I44" s="46"/>
    </row>
    <row r="45" spans="1:9" s="41" customFormat="1" ht="15" customHeight="1">
      <c r="B45" s="45" t="s">
        <v>677</v>
      </c>
      <c r="I45" s="46"/>
    </row>
    <row r="46" spans="1:9" s="41" customFormat="1" ht="15" customHeight="1">
      <c r="B46" s="45" t="s">
        <v>633</v>
      </c>
      <c r="I46" s="46"/>
    </row>
    <row r="47" spans="1:9" s="41" customFormat="1" ht="15" customHeight="1">
      <c r="B47" s="45" t="s">
        <v>635</v>
      </c>
      <c r="I47" s="46"/>
    </row>
    <row r="48" spans="1:9" s="41" customFormat="1" ht="15" customHeight="1">
      <c r="B48" s="45" t="s">
        <v>612</v>
      </c>
      <c r="C48" s="57"/>
      <c r="D48" s="57"/>
      <c r="E48" s="57"/>
      <c r="F48" s="57"/>
      <c r="G48" s="57"/>
      <c r="H48" s="57"/>
      <c r="I48" s="46"/>
    </row>
    <row r="49" spans="1:10" s="41" customFormat="1" ht="15" customHeight="1">
      <c r="B49" s="53" t="s">
        <v>676</v>
      </c>
      <c r="C49" s="54"/>
      <c r="D49" s="54"/>
      <c r="E49" s="54"/>
      <c r="F49" s="54"/>
      <c r="G49" s="54"/>
      <c r="H49" s="54"/>
      <c r="I49" s="55"/>
    </row>
    <row r="50" spans="1:10" ht="13" customHeight="1">
      <c r="A50" s="4"/>
      <c r="B50" s="61"/>
      <c r="C50" s="61"/>
      <c r="D50" s="61"/>
      <c r="E50" s="61"/>
      <c r="F50" s="61"/>
      <c r="G50" s="61"/>
      <c r="H50" s="61"/>
      <c r="I50" s="61"/>
      <c r="J50" s="4"/>
    </row>
    <row r="51" spans="1:10" ht="13" customHeight="1">
      <c r="A51" s="4"/>
      <c r="B51" s="4"/>
      <c r="C51" s="62" t="s">
        <v>593</v>
      </c>
      <c r="D51" s="62"/>
      <c r="E51" s="62"/>
      <c r="F51" s="62"/>
      <c r="G51" s="4"/>
      <c r="H51" s="4"/>
      <c r="I51" s="4"/>
      <c r="J51" s="4"/>
    </row>
    <row r="52" spans="1:10" ht="13" customHeight="1">
      <c r="A52" s="4"/>
      <c r="B52" s="38" t="s">
        <v>174</v>
      </c>
      <c r="C52" s="62" t="s">
        <v>175</v>
      </c>
      <c r="D52" s="62"/>
      <c r="E52" s="62"/>
      <c r="F52" s="62"/>
      <c r="G52" s="4"/>
      <c r="H52" s="4"/>
      <c r="I52" s="4"/>
      <c r="J52" s="4"/>
    </row>
    <row r="53" spans="1:10" ht="121" customHeight="1">
      <c r="A53" s="4"/>
      <c r="B53" s="39"/>
      <c r="C53" s="60"/>
      <c r="D53" s="60"/>
      <c r="E53" s="4"/>
      <c r="F53" s="4"/>
      <c r="G53" s="4"/>
      <c r="H53" s="4"/>
      <c r="I53" s="4"/>
      <c r="J53" s="4"/>
    </row>
  </sheetData>
  <mergeCells count="6">
    <mergeCell ref="C53:D53"/>
    <mergeCell ref="B26:I26"/>
    <mergeCell ref="B27:I27"/>
    <mergeCell ref="B50:I50"/>
    <mergeCell ref="C51:F51"/>
    <mergeCell ref="C52:F52"/>
  </mergeCells>
  <hyperlinks>
    <hyperlink ref="A1" location="BajajFinservOvernightFund" display="BFON" xr:uid="{00000000-0004-0000-0500-000000000000}"/>
    <hyperlink ref="B1" location="BajajFinservOvernightFund" display="Bajaj Finserv Overnight Fund" xr:uid="{00000000-0004-0000-05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BFARB</vt:lpstr>
      <vt:lpstr>BFFLX</vt:lpstr>
      <vt:lpstr>BFLIQ</vt:lpstr>
      <vt:lpstr>BFMM</vt:lpstr>
      <vt:lpstr>BFON</vt:lpstr>
      <vt:lpstr>Index</vt:lpstr>
      <vt:lpstr>JR_PAGE_ANCHOR_0_2</vt:lpstr>
      <vt:lpstr>JR_PAGE_ANCHOR_0_3</vt:lpstr>
      <vt:lpstr>JR_PAGE_ANCHOR_0_4</vt:lpstr>
      <vt:lpstr>JR_PAGE_ANCHOR_0_5</vt:lpstr>
      <vt:lpstr>JR_PAGE_ANCHOR_0_6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2023-10-06T18:26:54Z</dcterms:created>
  <dcterms:modified xsi:type="dcterms:W3CDTF">2023-10-07T07:26:40Z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2023-10-06T15:01:03Z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875754c5-90e2-4485-a3ee-c4ec44a8d9d2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  <property fmtid="{D5CDD505-2E9C-101B-9397-08002B2CF9AE}" pid="10" name="MSIP_Label_4f7825ae-b849-4a3e-98b8-10f48185e5be_Enabled">
    <vt:lpwstr>true</vt:lpwstr>
  </property>
  <property fmtid="{D5CDD505-2E9C-101B-9397-08002B2CF9AE}" pid="11" name="MSIP_Label_4f7825ae-b849-4a3e-98b8-10f48185e5be_SetDate">
    <vt:lpwstr>2023-10-06T18:26:26Z</vt:lpwstr>
  </property>
  <property fmtid="{D5CDD505-2E9C-101B-9397-08002B2CF9AE}" pid="12" name="MSIP_Label_4f7825ae-b849-4a3e-98b8-10f48185e5be_Method">
    <vt:lpwstr>Standard</vt:lpwstr>
  </property>
  <property fmtid="{D5CDD505-2E9C-101B-9397-08002B2CF9AE}" pid="13" name="MSIP_Label_4f7825ae-b849-4a3e-98b8-10f48185e5be_Name">
    <vt:lpwstr>Internal</vt:lpwstr>
  </property>
  <property fmtid="{D5CDD505-2E9C-101B-9397-08002B2CF9AE}" pid="14" name="MSIP_Label_4f7825ae-b849-4a3e-98b8-10f48185e5be_SiteId">
    <vt:lpwstr>a2b34ba7-ee6b-4996-a5d2-720638ab739c</vt:lpwstr>
  </property>
  <property fmtid="{D5CDD505-2E9C-101B-9397-08002B2CF9AE}" pid="15" name="MSIP_Label_4f7825ae-b849-4a3e-98b8-10f48185e5be_ActionId">
    <vt:lpwstr>064c5d4d-0046-4cd9-a633-78152d0fd5f0</vt:lpwstr>
  </property>
  <property fmtid="{D5CDD505-2E9C-101B-9397-08002B2CF9AE}" pid="16" name="MSIP_Label_4f7825ae-b849-4a3e-98b8-10f48185e5be_ContentBits">
    <vt:lpwstr>0</vt:lpwstr>
  </property>
</Properties>
</file>