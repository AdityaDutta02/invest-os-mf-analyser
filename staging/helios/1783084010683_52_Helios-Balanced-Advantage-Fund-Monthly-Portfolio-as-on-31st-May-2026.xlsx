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28. Helios MF\Reporting\Monthly\Monthly Portfolio\2026-27\May 2026\Monthly 31-May-2026\"/>
    </mc:Choice>
  </mc:AlternateContent>
  <xr:revisionPtr revIDLastSave="0" documentId="8_{888458B4-6FC7-4726-BC38-1D0D33E4ACE9}" xr6:coauthVersionLast="47" xr6:coauthVersionMax="47" xr10:uidLastSave="{00000000-0000-0000-0000-000000000000}"/>
  <bookViews>
    <workbookView xWindow="-120" yWindow="-120" windowWidth="29040" windowHeight="15720" xr2:uid="{1CDC48E3-636B-4126-80A7-9A95363F628B}"/>
  </bookViews>
  <sheets>
    <sheet name="HBAF" sheetId="1" r:id="rId1"/>
  </sheets>
  <externalReferences>
    <externalReference r:id="rId2"/>
  </externalReferences>
  <definedNames>
    <definedName name="XDO_?CLASS_3?2?">HBAF!$C$8:$C$61</definedName>
    <definedName name="XDO_?FINAL_ISIN?4?">HBAF!$D$10:$D$61</definedName>
    <definedName name="XDO_?FINAL_ISIN?5?">HBAF!$D$10:$D$65</definedName>
    <definedName name="XDO_?FINAL_ISIN?6?">HBAF!$D$10:$D$71</definedName>
    <definedName name="XDO_?FINAL_ISIN?7?">HBAF!$D$10:$D$78</definedName>
    <definedName name="XDO_?FINAL_ISIN?8?">HBAF!$D$10:$D$83</definedName>
    <definedName name="XDO_?FINAL_ISIN?9?">HBAF!$D$10:$D$88</definedName>
    <definedName name="XDO_?FINAL_MV?4?">HBAF!$G$10:$G$61</definedName>
    <definedName name="XDO_?FINAL_MV?5?">HBAF!$G$10:$G$65</definedName>
    <definedName name="XDO_?FINAL_MV?6?">HBAF!$G$10:$G$71</definedName>
    <definedName name="XDO_?FINAL_MV?7?">HBAF!$G$10:$G$78</definedName>
    <definedName name="XDO_?FINAL_MV?8?">HBAF!$G$10:$G$83</definedName>
    <definedName name="XDO_?FINAL_MV?9?">HBAF!$G$10:$G$88</definedName>
    <definedName name="XDO_?FINAL_NAME?4?">HBAF!$C$10:$C$61</definedName>
    <definedName name="XDO_?FINAL_NAME?5?">HBAF!$C$10:$C$65</definedName>
    <definedName name="XDO_?FINAL_NAME?6?">HBAF!$C$10:$C$71</definedName>
    <definedName name="XDO_?FINAL_NAME?7?">HBAF!$C$10:$C$78</definedName>
    <definedName name="XDO_?FINAL_NAME?8?">HBAF!$C$10:$C$83</definedName>
    <definedName name="XDO_?FINAL_NAME?9?">HBAF!$C$10:$C$88</definedName>
    <definedName name="XDO_?FINAL_PER_NET?4?">HBAF!$H$10:$H$61</definedName>
    <definedName name="XDO_?FINAL_PER_NET?5?">HBAF!$H$10:$H$65</definedName>
    <definedName name="XDO_?FINAL_PER_NET?6?">HBAF!$H$10:$H$71</definedName>
    <definedName name="XDO_?FINAL_PER_NET?7?">HBAF!$H$10:$H$78</definedName>
    <definedName name="XDO_?FINAL_PER_NET?8?">HBAF!$H$10:$H$83</definedName>
    <definedName name="XDO_?FINAL_PER_NET?9?">HBAF!$H$10:$H$88</definedName>
    <definedName name="XDO_?FINAL_QUANTITE?4?">HBAF!$F$10:$F$61</definedName>
    <definedName name="XDO_?FINAL_QUANTITE?5?">HBAF!$F$10:$F$65</definedName>
    <definedName name="XDO_?FINAL_QUANTITE?6?">HBAF!$F$10:$F$71</definedName>
    <definedName name="XDO_?FINAL_QUANTITE?7?">HBAF!$F$10:$F$78</definedName>
    <definedName name="XDO_?FINAL_QUANTITE?8?">HBAF!$F$10:$F$83</definedName>
    <definedName name="XDO_?FINAL_QUANTITE?9?">HBAF!$F$10:$F$88</definedName>
    <definedName name="XDO_?NAMC?">[1]HOF!#REF!</definedName>
    <definedName name="XDO_?NAMC?1?">[1]HFCF!#REF!</definedName>
    <definedName name="XDO_?NAMC?2?">HBAF!#REF!</definedName>
    <definedName name="XDO_?NAMC?3?">[1]HFSF!#REF!</definedName>
    <definedName name="XDO_?NAMC?4?">[1]HLM!#REF!</definedName>
    <definedName name="XDO_?NAMC?5?">[1]HMCF!#REF!</definedName>
    <definedName name="XDO_?NAMC?6?">[1]HSCF!#REF!</definedName>
    <definedName name="XDO_?NAMC?7?">[1]HARF!#REF!</definedName>
    <definedName name="XDO_?NAMCNAME?2?">HBAF!$C$2:$C$61</definedName>
    <definedName name="XDO_?NDATE?">[1]HOF!#REF!</definedName>
    <definedName name="XDO_?NDATE?1?">[1]HFCF!#REF!</definedName>
    <definedName name="XDO_?NDATE?2?">HBAF!#REF!</definedName>
    <definedName name="XDO_?NDATE?3?">[1]HFSF!#REF!</definedName>
    <definedName name="XDO_?NDATE?4?">[1]HLM!#REF!</definedName>
    <definedName name="XDO_?NDATE?5?">[1]HMCF!#REF!</definedName>
    <definedName name="XDO_?NDATE?6?">[1]HSCF!#REF!</definedName>
    <definedName name="XDO_?NDATE?7?">[1]HARF!#REF!</definedName>
    <definedName name="XDO_?NNPTF?">[1]HOF!#REF!</definedName>
    <definedName name="XDO_?NNPTF?1?">[1]HFCF!#REF!</definedName>
    <definedName name="XDO_?NNPTF?2?">HBAF!#REF!</definedName>
    <definedName name="XDO_?NNPTF?3?">[1]HFSF!#REF!</definedName>
    <definedName name="XDO_?NNPTF?4?">[1]HLM!#REF!</definedName>
    <definedName name="XDO_?NNPTF?5?">[1]HMCF!#REF!</definedName>
    <definedName name="XDO_?NNPTF?6?">[1]HSCF!#REF!</definedName>
    <definedName name="XDO_?NNPTF?7?">[1]HARF!#REF!</definedName>
    <definedName name="XDO_?NOVAL?4?">HBAF!$B$10:$B$61</definedName>
    <definedName name="XDO_?NOVAL?5?">HBAF!$B$10:$B$65</definedName>
    <definedName name="XDO_?NOVAL?6?">HBAF!$B$10:$B$71</definedName>
    <definedName name="XDO_?NOVAL?7?">HBAF!$B$10:$B$78</definedName>
    <definedName name="XDO_?NOVAL?8?">HBAF!$B$10:$B$83</definedName>
    <definedName name="XDO_?NOVAL?9?">HBAF!$B$10:$B$88</definedName>
    <definedName name="XDO_?NPTF?2?">HBAF!$D$2:$D$61</definedName>
    <definedName name="XDO_?RATING?4?">HBAF!$E$10:$E$61</definedName>
    <definedName name="XDO_?RATING?5?">HBAF!$E$10:$E$65</definedName>
    <definedName name="XDO_?RATING?6?">HBAF!$E$10:$E$71</definedName>
    <definedName name="XDO_?RATING?7?">HBAF!$E$10:$E$78</definedName>
    <definedName name="XDO_?RATING?8?">HBAF!$E$10:$E$83</definedName>
    <definedName name="XDO_?RATING?9?">HBAF!$E$10:$E$88</definedName>
    <definedName name="XDO_?REMARKS?4?">HBAF!$K$10:$K$61</definedName>
    <definedName name="XDO_?REMARKS?5?">HBAF!$K$10:$K$65</definedName>
    <definedName name="XDO_?REMARKS?6?">HBAF!$K$10:$K$71</definedName>
    <definedName name="XDO_?REMARKS?7?">HBAF!$K$10:$K$78</definedName>
    <definedName name="XDO_?REMARKS?8?">HBAF!$K$10:$K$83</definedName>
    <definedName name="XDO_?REMARKS?9?">HBAF!$K$10:$K$88</definedName>
    <definedName name="XDO_?TITL?2?">HBAF!$A$8:$A$61</definedName>
    <definedName name="XDO_?YTM?4?">HBAF!$I$10:$I$61</definedName>
    <definedName name="XDO_?YTM?5?">HBAF!$I$10:$I$65</definedName>
    <definedName name="XDO_?YTM?6?">HBAF!$I$10:$I$71</definedName>
    <definedName name="XDO_?YTM?7?">HBAF!$I$10:$I$78</definedName>
    <definedName name="XDO_?YTM?8?">HBAF!$I$10:$I$83</definedName>
    <definedName name="XDO_?YTM?9?">HBAF!$I$10:$I$88</definedName>
    <definedName name="XDO_GROUP_?G_2?2?">HBAF!$2:$91</definedName>
    <definedName name="XDO_GROUP_?G_3?2?">HBAF!$8:$90</definedName>
    <definedName name="XDO_GROUP_?G_4?4?">HBAF!$B$10:$IV$61</definedName>
    <definedName name="XDO_GROUP_?G_4?5?">HBAF!$B$65:$IV$65</definedName>
    <definedName name="XDO_GROUP_?G_4?6?">HBAF!$B$70:$IV$71</definedName>
    <definedName name="XDO_GROUP_?G_4?7?">HBAF!$B$76:$IV$78</definedName>
    <definedName name="XDO_GROUP_?G_4?8?">HBAF!$B$83:$IV$83</definedName>
    <definedName name="XDO_GROUP_?G_4?9?">HBAF!$B$88:$IV$88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4" i="1" l="1"/>
  <c r="G114" i="1"/>
  <c r="H91" i="1"/>
</calcChain>
</file>

<file path=xl/sharedStrings.xml><?xml version="1.0" encoding="utf-8"?>
<sst xmlns="http://schemas.openxmlformats.org/spreadsheetml/2006/main" count="486" uniqueCount="328">
  <si>
    <t>Helios Mutual Fund</t>
  </si>
  <si>
    <t>SCHEME NAME :</t>
  </si>
  <si>
    <t>Helios Balanced Advantage Fund (An open-ended dynamic asset allocation fund)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</si>
  <si>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</si>
  <si>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</si>
  <si>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</si>
  <si>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</si>
  <si>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</si>
  <si>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</si>
  <si>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</si>
  <si>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</si>
  <si>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</si>
  <si>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</si>
  <si>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</si>
  <si>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</si>
  <si>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100104</t>
  </si>
  <si>
    <t>Kotak Mahindra Bank Ltd.</t>
  </si>
  <si>
    <t>INE237A01036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</si>
  <si>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</si>
  <si>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</si>
  <si>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</si>
  <si>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</si>
  <si>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</si>
  <si>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</si>
  <si>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</si>
  <si>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</si>
  <si>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100095</t>
  </si>
  <si>
    <t>Bharti Airtel Ltd.</t>
  </si>
  <si>
    <t>INE397D01024</t>
  </si>
  <si>
    <t>Telecom - Services</t>
  </si>
  <si>
    <t>100108</t>
  </si>
  <si>
    <t>Adani Ports and Special Economic Zone Ltd.</t>
  </si>
  <si>
    <t>INE742F01042</t>
  </si>
  <si>
    <t>Transport Infrastructure</t>
  </si>
  <si>
    <t>100006</t>
  </si>
  <si>
    <t>HDFC Bank Ltd.</t>
  </si>
  <si>
    <t>INE040A01034</t>
  </si>
  <si>
    <t>100114</t>
  </si>
  <si>
    <t>Shriram Finance Ltd.</t>
  </si>
  <si>
    <t>INE721A01047</t>
  </si>
  <si>
    <t>Finance</t>
  </si>
  <si>
    <t>101396</t>
  </si>
  <si>
    <t>One 97 Communications Ltd.</t>
  </si>
  <si>
    <t>INE982J01020</t>
  </si>
  <si>
    <t>Financial Technology (Fintech)</t>
  </si>
  <si>
    <t>101313</t>
  </si>
  <si>
    <t>Eternal Ltd.</t>
  </si>
  <si>
    <t>INE758T01015</t>
  </si>
  <si>
    <t>Retailing</t>
  </si>
  <si>
    <t>100125</t>
  </si>
  <si>
    <t>Bajaj Finance Ltd.</t>
  </si>
  <si>
    <t>INE296A01032</t>
  </si>
  <si>
    <t>100010</t>
  </si>
  <si>
    <t>State Bank of India</t>
  </si>
  <si>
    <t>INE062A01020</t>
  </si>
  <si>
    <t>100089</t>
  </si>
  <si>
    <t>Bharat Electronics Ltd.</t>
  </si>
  <si>
    <t>INE263A01024</t>
  </si>
  <si>
    <t>Aerospace &amp; Defense</t>
  </si>
  <si>
    <t>100243</t>
  </si>
  <si>
    <t>Multi Commodity Exchange of India Ltd.</t>
  </si>
  <si>
    <t>INE745G01043</t>
  </si>
  <si>
    <t>Capital Markets</t>
  </si>
  <si>
    <t>100112</t>
  </si>
  <si>
    <t>Punjab National Bank</t>
  </si>
  <si>
    <t>INE160A01022</t>
  </si>
  <si>
    <t>100155</t>
  </si>
  <si>
    <t>Divi's Laboratories Ltd.</t>
  </si>
  <si>
    <t>INE361B01024</t>
  </si>
  <si>
    <t>Pharmaceuticals &amp; Biotechnology</t>
  </si>
  <si>
    <t>100024</t>
  </si>
  <si>
    <t>Axis Bank Ltd.</t>
  </si>
  <si>
    <t>INE238A01034</t>
  </si>
  <si>
    <t>100830</t>
  </si>
  <si>
    <t>Varun Beverages Ltd.</t>
  </si>
  <si>
    <t>INE200M01039</t>
  </si>
  <si>
    <t>Beverages</t>
  </si>
  <si>
    <t>100092</t>
  </si>
  <si>
    <t>Bank of Baroda</t>
  </si>
  <si>
    <t>INE028A01039</t>
  </si>
  <si>
    <t>100174</t>
  </si>
  <si>
    <t>Vodafone Idea Ltd.</t>
  </si>
  <si>
    <t>INE669E01016</t>
  </si>
  <si>
    <t>102731</t>
  </si>
  <si>
    <t>ICICI Prudential Asset Management Company Ltd.</t>
  </si>
  <si>
    <t>INE346A01027</t>
  </si>
  <si>
    <t>102585</t>
  </si>
  <si>
    <t>Siemens Energy India Ltd.</t>
  </si>
  <si>
    <t>INE1NPP01017</t>
  </si>
  <si>
    <t>Electrical Equipment</t>
  </si>
  <si>
    <t>100039</t>
  </si>
  <si>
    <t>Bajaj Auto Ltd.</t>
  </si>
  <si>
    <t>INE917I01010</t>
  </si>
  <si>
    <t>Automobiles</t>
  </si>
  <si>
    <t>101390</t>
  </si>
  <si>
    <t>PB Fintech Ltd.</t>
  </si>
  <si>
    <t>INE417T01026</t>
  </si>
  <si>
    <t>100181</t>
  </si>
  <si>
    <t>NTPC Ltd.</t>
  </si>
  <si>
    <t>INE733E01010</t>
  </si>
  <si>
    <t>Power</t>
  </si>
  <si>
    <t>100120</t>
  </si>
  <si>
    <t>Torrent Pharmaceuticals Ltd.</t>
  </si>
  <si>
    <t>INE685A01028</t>
  </si>
  <si>
    <t>100477</t>
  </si>
  <si>
    <t>PNB Housing Finance Ltd.</t>
  </si>
  <si>
    <t>INE572E01012</t>
  </si>
  <si>
    <t>100081</t>
  </si>
  <si>
    <t>Titan Company Ltd.</t>
  </si>
  <si>
    <t>INE280A01028</t>
  </si>
  <si>
    <t>Consumer Durables</t>
  </si>
  <si>
    <t>100814</t>
  </si>
  <si>
    <t>HDFC Asset Management Co. Ltd.</t>
  </si>
  <si>
    <t>INE127D01025</t>
  </si>
  <si>
    <t>100382</t>
  </si>
  <si>
    <t>Fortis Healthcare Ltd.</t>
  </si>
  <si>
    <t>INE061F01013</t>
  </si>
  <si>
    <t>Healthcare Services</t>
  </si>
  <si>
    <t>100231</t>
  </si>
  <si>
    <t>Muthoot Finance Ltd.</t>
  </si>
  <si>
    <t>INE414G01012</t>
  </si>
  <si>
    <t>100084</t>
  </si>
  <si>
    <t>ABB India Ltd.</t>
  </si>
  <si>
    <t>INE117A01022</t>
  </si>
  <si>
    <t>100302</t>
  </si>
  <si>
    <t>DLF Ltd.</t>
  </si>
  <si>
    <t>INE271C01023</t>
  </si>
  <si>
    <t>Realty</t>
  </si>
  <si>
    <t>100150</t>
  </si>
  <si>
    <t>Apollo Hospitals Enterprise Ltd.</t>
  </si>
  <si>
    <t>INE437A01024</t>
  </si>
  <si>
    <t>100119</t>
  </si>
  <si>
    <t>Tata Motors Passenger Vehicles Ltd.</t>
  </si>
  <si>
    <t>INE155A01022</t>
  </si>
  <si>
    <t>101121</t>
  </si>
  <si>
    <t>Adani Energy Solutions Ltd.</t>
  </si>
  <si>
    <t>INE931S01010</t>
  </si>
  <si>
    <t>102122</t>
  </si>
  <si>
    <t>Indegene Ltd.</t>
  </si>
  <si>
    <t>INE065X01017</t>
  </si>
  <si>
    <t>100182</t>
  </si>
  <si>
    <t>Power Grid Corporation of India Ltd.</t>
  </si>
  <si>
    <t>INE752E01010</t>
  </si>
  <si>
    <t>100179</t>
  </si>
  <si>
    <t>Hero MotoCorp Ltd.</t>
  </si>
  <si>
    <t>INE158A01026</t>
  </si>
  <si>
    <t>100906</t>
  </si>
  <si>
    <t>360 ONE WAM Ltd.</t>
  </si>
  <si>
    <t>INE466L01038</t>
  </si>
  <si>
    <t>100324</t>
  </si>
  <si>
    <t>NBCC (India) Ltd.</t>
  </si>
  <si>
    <t>INE095N01031</t>
  </si>
  <si>
    <t>Construction</t>
  </si>
  <si>
    <t>100148</t>
  </si>
  <si>
    <t>Motilal Oswal Financial Services Ltd.</t>
  </si>
  <si>
    <t>INE338I01027</t>
  </si>
  <si>
    <t>100042</t>
  </si>
  <si>
    <t>LIC Housing Finance Ltd.</t>
  </si>
  <si>
    <t>INE115A01026</t>
  </si>
  <si>
    <t>100775</t>
  </si>
  <si>
    <t>Lemon Tree Hotels Ltd.</t>
  </si>
  <si>
    <t>INE970X01018</t>
  </si>
  <si>
    <t>Leisure Services</t>
  </si>
  <si>
    <t>100019</t>
  </si>
  <si>
    <t>ITC Ltd.</t>
  </si>
  <si>
    <t>INE154A01025</t>
  </si>
  <si>
    <t>Diversified FMCG</t>
  </si>
  <si>
    <t>101889</t>
  </si>
  <si>
    <t>Jio Financial Services Ltd.</t>
  </si>
  <si>
    <t>INE758E01017</t>
  </si>
  <si>
    <t>100014</t>
  </si>
  <si>
    <t>Mahindra &amp; Mahindra Ltd.</t>
  </si>
  <si>
    <t>INE101A01026</t>
  </si>
  <si>
    <t>100399</t>
  </si>
  <si>
    <t>Cholamandalam Investment &amp; Finance Co. Ltd.</t>
  </si>
  <si>
    <t>INE121A01024</t>
  </si>
  <si>
    <t>102512</t>
  </si>
  <si>
    <t>Vishal Mega Mart Ltd.</t>
  </si>
  <si>
    <t>INE01EA01019</t>
  </si>
  <si>
    <t>100184</t>
  </si>
  <si>
    <t>Tata Steel Ltd.</t>
  </si>
  <si>
    <t>INE081A01020</t>
  </si>
  <si>
    <t>Ferrous Metals</t>
  </si>
  <si>
    <t>102658</t>
  </si>
  <si>
    <t>Jain Resource Recycling Ltd.</t>
  </si>
  <si>
    <t>INE0YD401026</t>
  </si>
  <si>
    <t>Diversified Metals</t>
  </si>
  <si>
    <t>100178</t>
  </si>
  <si>
    <t>Ambuja Cements Ltd.</t>
  </si>
  <si>
    <t>INE079A01024</t>
  </si>
  <si>
    <t>Cement &amp; Cement Products</t>
  </si>
  <si>
    <t>101670</t>
  </si>
  <si>
    <t>Patanjali Foods Ltd.</t>
  </si>
  <si>
    <t>INE619A01035</t>
  </si>
  <si>
    <t>Agricultural Food &amp; other Products</t>
  </si>
  <si>
    <t>Total</t>
  </si>
  <si>
    <t>Real Estate Investment Trust</t>
  </si>
  <si>
    <t>3200002</t>
  </si>
  <si>
    <t>Embassy Office Parks Reit</t>
  </si>
  <si>
    <t>INE041025011</t>
  </si>
  <si>
    <t>DEBT INSTRUMENTS</t>
  </si>
  <si>
    <t>Central Government Securities</t>
  </si>
  <si>
    <t>900290</t>
  </si>
  <si>
    <t>7.06% CGL 2028</t>
  </si>
  <si>
    <t>IN0020230010</t>
  </si>
  <si>
    <t>Sovereign</t>
  </si>
  <si>
    <t>1905304</t>
  </si>
  <si>
    <t>7.10% CGL 2034</t>
  </si>
  <si>
    <t>IN0020240019</t>
  </si>
  <si>
    <t>MONEY MARKET INSTRUMENTS</t>
  </si>
  <si>
    <t>Treasury Bills</t>
  </si>
  <si>
    <t>1801432</t>
  </si>
  <si>
    <t>364 DAY T-BILL 06.08.26</t>
  </si>
  <si>
    <t>IN002025Z195</t>
  </si>
  <si>
    <t>1801406</t>
  </si>
  <si>
    <t>364 DAY T-BILL 19.11.26</t>
  </si>
  <si>
    <t>IN002025Z344</t>
  </si>
  <si>
    <t>1801445</t>
  </si>
  <si>
    <t>364 DAY T-BILL 13.08.26</t>
  </si>
  <si>
    <t>IN002025Z203</t>
  </si>
  <si>
    <t>OTHERS</t>
  </si>
  <si>
    <t>TREPS / Reverse Repo Investments</t>
  </si>
  <si>
    <t>106260100</t>
  </si>
  <si>
    <t>TREPS</t>
  </si>
  <si>
    <t>Other Current Assets / (Liabilities)</t>
  </si>
  <si>
    <t>Margin amount for Derivative positions</t>
  </si>
  <si>
    <t>Net Receivable / Payable</t>
  </si>
  <si>
    <t>#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</si>
  <si>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</si>
  <si>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</si>
  <si>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</si>
  <si>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</si>
  <si>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</si>
  <si>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</si>
  <si>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</si>
  <si>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Kotak Mahindra Bank Ltd. 30-JUN-26</t>
  </si>
  <si>
    <t>Short</t>
  </si>
  <si>
    <t>Reliance Industries Ltd. 30-JUN-26</t>
  </si>
  <si>
    <t>Punjab National Bank 30-JUN-26</t>
  </si>
  <si>
    <t>Divi's Laboratories Ltd. 30-JUN-26</t>
  </si>
  <si>
    <t>Bank of Baroda 30-JUN-26</t>
  </si>
  <si>
    <t>Vodafone Idea Ltd. 30-JUN-26</t>
  </si>
  <si>
    <t>Bharti Airtel Ltd. 30-JUN-26</t>
  </si>
  <si>
    <t>Titan Company Ltd. 30-JUN-26</t>
  </si>
  <si>
    <t>Tata Motors Passenger Vehicles Ltd. 30-JUN-26</t>
  </si>
  <si>
    <t>Axis Bank Ltd. 30-JUN-26</t>
  </si>
  <si>
    <t>LIC Housing Finance Ltd. 30-JUN-26</t>
  </si>
  <si>
    <t>ITC Ltd. 30-JUN-26</t>
  </si>
  <si>
    <t>Jio Financial Services Ltd. 30-JUN-26</t>
  </si>
  <si>
    <t>Mahindra &amp; Mahindra Ltd. 30-JUN-26</t>
  </si>
  <si>
    <t>Tata Steel Ltd. 30-JUN-26</t>
  </si>
  <si>
    <t>Ambuja Cements Ltd. 30-JUN-26</t>
  </si>
  <si>
    <t>Patanjali Foods Ltd. 30-JUN-26</t>
  </si>
  <si>
    <t>DLF Ltd. 30-JUN-26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</si>
  <si>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</si>
  <si>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</si>
  <si>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</si>
  <si>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</si>
  <si>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</si>
  <si>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 xml:space="preserve">3. ## YTC represents Yield to Call. It is disclosed for Perpetual Bond issued by Banks (i.e. AT-1 Bond / Tier 1 Bond / Tier 2 Bond), as per AMFI Best Practices Guidelines Circular no. 91/2020-21 dated March 24, 2021 on Valuation of AT-1 Bonds and Tier 2 Bonds.
</t>
  </si>
  <si>
    <t>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</si>
  <si>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</si>
  <si>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NAV History:</t>
  </si>
  <si>
    <t>Option / Plan</t>
  </si>
  <si>
    <t>NAV Rs. per unit as on April 30, 2026</t>
  </si>
  <si>
    <t>NAV Rs. per unit as on May 29, 2026</t>
  </si>
  <si>
    <t>Helios Balanced Advantage Fund - Regular Plan - Growth Option</t>
  </si>
  <si>
    <t>Helios Balanced Advantage Fund - Regular Plan - IDCW Option</t>
  </si>
  <si>
    <t>Helios Balanced Advantage Fund - Direct Plan - Growth Option</t>
  </si>
  <si>
    <t>Helios Balanced Advantage Fund - Direct Plan - IDCW Option</t>
  </si>
  <si>
    <t>Dividend History:Total dividends declared during the month ended May 31, 2026 under the Income Distribution cum Capital Withdrawal (IDCW) Options of the Scheme are as follows:</t>
  </si>
  <si>
    <t>Rate of dividend per Unit</t>
  </si>
  <si>
    <t>Individuals &amp; HUF</t>
  </si>
  <si>
    <t>Others</t>
  </si>
  <si>
    <t>Nil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</si>
  <si>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</si>
  <si>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</si>
  <si>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May 31, 2026.</t>
  </si>
  <si>
    <t>Investment in Repo in Corporate Debt Securities during the Month ended May 31, 2026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</si>
  <si>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</si>
  <si>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</si>
  <si>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</si>
  <si>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May 31, 2026 is 6696.93 Lakhs.</t>
  </si>
  <si>
    <t xml:space="preserve">Hedging Positions through Futures as on  31-May-2026 : </t>
  </si>
  <si>
    <t>Underlying</t>
  </si>
  <si>
    <t>Series</t>
  </si>
  <si>
    <t>Futures Price when purchased 
( Rs. Per unit)</t>
  </si>
  <si>
    <t>Current price of the contract
( Rs. Per unit)</t>
  </si>
  <si>
    <t>Margin maintained in Rs. Lakhs</t>
  </si>
  <si>
    <t>Total %age of existing assets hedged through futures: 22.17%</t>
  </si>
  <si>
    <t xml:space="preserve">For the period 01-May-2026 to 31-May-2026, the following details specified for hedging transactions through futures which have been squared off/expired : </t>
  </si>
  <si>
    <t>Total Number of contracts where futures were bought (opening balance)</t>
  </si>
  <si>
    <t>Total Number of contracts where futures were bought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</si>
  <si>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</si>
  <si>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</si>
  <si>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</si>
  <si>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</si>
  <si>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</si>
  <si>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</si>
  <si>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</si>
  <si>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Exposure created due to over hedging through futures (quantity of hedging position exceeding the quantity of existing position being hedged) is reported in the next table.</t>
  </si>
  <si>
    <t>Other than Hedging Positions through Futures as on 31-May-2026 :</t>
  </si>
  <si>
    <t>Total exposure due to futures (non hedging positions) as a %age of net assets : Nil</t>
  </si>
  <si>
    <t xml:space="preserve">For the period 01-May-2026 to 31-May-2026, the following details specified for non-hedging transactions through futures which have been squared off/expired : </t>
  </si>
  <si>
    <t>Hedging Position through Put Option as on 31-May-2026 :</t>
  </si>
  <si>
    <t>Number of Contracts</t>
  </si>
  <si>
    <t>Option Price when purchased (Rs. Per unit)</t>
  </si>
  <si>
    <t>Current Option Price 
( Rs. Per unit)</t>
  </si>
  <si>
    <t>Total %age of existing assets hedged through put options: Nil</t>
  </si>
  <si>
    <t>For the period 01-May-2026 to 31-May-2026, the following details specified for hedging transactions through options which have already been exercised/expired :</t>
  </si>
  <si>
    <t>Total Number of contracts entered into</t>
  </si>
  <si>
    <t>Gross Notional Value of contracts entered into Rs.</t>
  </si>
  <si>
    <t>Net Profit/Loss value on all contracts (treat premium paid as loss) Rs.</t>
  </si>
  <si>
    <t>Exposure created due to over hedging through options (quantity of hedging position exceeding the quantity of existing position being hedged) is reported in the next table.</t>
  </si>
  <si>
    <t>Other than Hedging Positions through Options as on 31-May-2026 :</t>
  </si>
  <si>
    <t>Call/Put</t>
  </si>
  <si>
    <t>Current Option Price ( Rs. Per unit)</t>
  </si>
  <si>
    <t xml:space="preserve"> </t>
  </si>
  <si>
    <t>Total exposure through options as a % of net assets : Nil</t>
  </si>
  <si>
    <t>For the period 01-May-2026 to 31-May-2026, the following details specified for non-hedging transactions through options which have already been exercised/expired :</t>
  </si>
  <si>
    <t xml:space="preserve">Hedging Positions through Swaps as on 31-May-2026 : </t>
  </si>
  <si>
    <t>Total value and percentage of illiquid equity shares: Nil</t>
  </si>
  <si>
    <t>Funds parked in short term deposit(s) during the period / as on May 31, 2026: Nil</t>
  </si>
  <si>
    <t>Value of term deposits placed as margin for trading in cash or derivatives market: Nil</t>
  </si>
  <si>
    <t>Total below investment grade or default provided for and its percentage to NAV: Nil</t>
  </si>
  <si>
    <t>Product Labelling:</t>
  </si>
  <si>
    <t>*Investors should consult their financial advisers if in doubt about whether the product is suitable for them.</t>
  </si>
  <si>
    <t xml:space="preserve"># Above risk-o-meters are as on May 31, 2026. For latest risk-o-meter(s), investors are requested to refer periodical portfolio disclosure(s) available on the website of the Fund viz. www.heliosmf.in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</si>
</sst>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[$-409]mmmm/yy;@"/>
    <numFmt numFmtId="169" formatCode="_(* #,##0_);_(* \(#,##0\);_(* &quot;-&quot;_);_(* @_)"/>
    <numFmt numFmtId="170" formatCode="_(* #,##0.00_);_(* \(#,##0.00\);_(* &quot;-&quot;_);_(* 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0"/>
      <color indexed="8"/>
      <name val="Franklin Gothic Book"/>
      <family val="2"/>
    </font>
    <font>
      <b/>
      <sz val="10"/>
      <color rgb="FFFF000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3960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960D"/>
        <bgColor rgb="FFFFFFFF"/>
      </patternFill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71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4" fillId="0" borderId="0" xfId="0" applyNumberFormat="1" applyFont="1"/>
    <xf numFmtId="0" fontId="6" fillId="0" borderId="4" xfId="0" applyFont="1" applyBorder="1"/>
    <xf numFmtId="0" fontId="6" fillId="0" borderId="5" xfId="0" applyFont="1" applyBorder="1" applyAlignment="1">
      <alignment wrapText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166" fontId="6" fillId="0" borderId="9" xfId="0" applyNumberFormat="1" applyFont="1" applyBorder="1" applyAlignment="1">
      <alignment horizontal="left"/>
    </xf>
    <xf numFmtId="166" fontId="6" fillId="0" borderId="10" xfId="0" applyNumberFormat="1" applyFont="1" applyBorder="1" applyAlignment="1">
      <alignment horizontal="left"/>
    </xf>
    <xf numFmtId="166" fontId="6" fillId="0" borderId="11" xfId="0" applyNumberFormat="1" applyFont="1" applyBorder="1" applyAlignment="1">
      <alignment horizontal="left"/>
    </xf>
    <xf numFmtId="0" fontId="7" fillId="0" borderId="0" xfId="0" applyFont="1"/>
    <xf numFmtId="164" fontId="4" fillId="0" borderId="0" xfId="1" applyNumberFormat="1" applyFont="1"/>
    <xf numFmtId="43" fontId="4" fillId="0" borderId="0" xfId="1" applyFont="1"/>
    <xf numFmtId="0" fontId="9" fillId="2" borderId="12" xfId="3" applyFont="1" applyFill="1" applyBorder="1" applyAlignment="1">
      <alignment vertical="center"/>
    </xf>
    <xf numFmtId="0" fontId="9" fillId="2" borderId="13" xfId="3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164" fontId="9" fillId="2" borderId="14" xfId="1" applyNumberFormat="1" applyFont="1" applyFill="1" applyBorder="1" applyAlignment="1">
      <alignment vertical="center"/>
    </xf>
    <xf numFmtId="43" fontId="9" fillId="2" borderId="14" xfId="1" applyFont="1" applyFill="1" applyBorder="1" applyAlignment="1">
      <alignment vertical="center" wrapText="1"/>
    </xf>
    <xf numFmtId="43" fontId="9" fillId="2" borderId="15" xfId="1" applyFont="1" applyFill="1" applyBorder="1" applyAlignment="1">
      <alignment vertical="center"/>
    </xf>
    <xf numFmtId="43" fontId="9" fillId="2" borderId="16" xfId="1" applyFont="1" applyFill="1" applyBorder="1" applyAlignment="1">
      <alignment vertical="center"/>
    </xf>
    <xf numFmtId="43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4" fontId="4" fillId="0" borderId="19" xfId="1" applyNumberFormat="1" applyFont="1" applyBorder="1"/>
    <xf numFmtId="43" fontId="4" fillId="0" borderId="19" xfId="1" applyFont="1" applyBorder="1" applyAlignment="1">
      <alignment horizontal="right"/>
    </xf>
    <xf numFmtId="43" fontId="4" fillId="0" borderId="20" xfId="1" applyFont="1" applyBorder="1"/>
    <xf numFmtId="43" fontId="4" fillId="0" borderId="21" xfId="1" applyFont="1" applyBorder="1"/>
    <xf numFmtId="165" fontId="4" fillId="0" borderId="22" xfId="0" applyNumberFormat="1" applyFont="1" applyBorder="1"/>
    <xf numFmtId="0" fontId="3" fillId="3" borderId="23" xfId="4" applyFont="1" applyFill="1" applyBorder="1"/>
    <xf numFmtId="0" fontId="3" fillId="3" borderId="0" xfId="4" applyFont="1" applyFill="1"/>
    <xf numFmtId="0" fontId="7" fillId="0" borderId="17" xfId="0" applyFont="1" applyBorder="1"/>
    <xf numFmtId="0" fontId="4" fillId="0" borderId="24" xfId="0" applyFont="1" applyBorder="1"/>
    <xf numFmtId="0" fontId="4" fillId="0" borderId="25" xfId="0" applyFont="1" applyBorder="1"/>
    <xf numFmtId="164" fontId="4" fillId="0" borderId="25" xfId="1" applyNumberFormat="1" applyFont="1" applyBorder="1"/>
    <xf numFmtId="43" fontId="4" fillId="0" borderId="25" xfId="1" applyFont="1" applyBorder="1" applyAlignment="1">
      <alignment horizontal="right"/>
    </xf>
    <xf numFmtId="43" fontId="4" fillId="0" borderId="26" xfId="1" applyFont="1" applyBorder="1"/>
    <xf numFmtId="43" fontId="4" fillId="0" borderId="27" xfId="1" applyFont="1" applyBorder="1"/>
    <xf numFmtId="165" fontId="4" fillId="0" borderId="28" xfId="0" applyNumberFormat="1" applyFont="1" applyBorder="1"/>
    <xf numFmtId="0" fontId="10" fillId="3" borderId="17" xfId="4" applyFont="1" applyFill="1" applyBorder="1"/>
    <xf numFmtId="4" fontId="4" fillId="0" borderId="0" xfId="0" applyNumberFormat="1" applyFont="1"/>
    <xf numFmtId="43" fontId="10" fillId="3" borderId="29" xfId="1" applyFont="1" applyFill="1" applyBorder="1" applyAlignment="1">
      <alignment horizontal="right"/>
    </xf>
    <xf numFmtId="0" fontId="10" fillId="3" borderId="30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164" fontId="4" fillId="0" borderId="32" xfId="1" applyNumberFormat="1" applyFont="1" applyBorder="1"/>
    <xf numFmtId="43" fontId="7" fillId="0" borderId="33" xfId="1" applyFont="1" applyBorder="1" applyAlignment="1">
      <alignment horizontal="right"/>
    </xf>
    <xf numFmtId="43" fontId="4" fillId="0" borderId="34" xfId="1" applyFont="1" applyBorder="1"/>
    <xf numFmtId="43" fontId="4" fillId="0" borderId="35" xfId="1" applyFont="1" applyBorder="1"/>
    <xf numFmtId="165" fontId="4" fillId="0" borderId="36" xfId="0" applyNumberFormat="1" applyFont="1" applyBorder="1"/>
    <xf numFmtId="0" fontId="11" fillId="0" borderId="0" xfId="0" applyFont="1"/>
    <xf numFmtId="43" fontId="11" fillId="0" borderId="0" xfId="1" applyFont="1"/>
    <xf numFmtId="0" fontId="7" fillId="0" borderId="0" xfId="0" applyFont="1" applyAlignment="1">
      <alignment vertical="center"/>
    </xf>
    <xf numFmtId="0" fontId="7" fillId="0" borderId="29" xfId="0" applyFont="1" applyBorder="1" applyAlignment="1">
      <alignment vertical="center"/>
    </xf>
    <xf numFmtId="43" fontId="7" fillId="0" borderId="29" xfId="1" applyFont="1" applyBorder="1" applyAlignment="1">
      <alignment vertical="center"/>
    </xf>
    <xf numFmtId="43" fontId="7" fillId="0" borderId="29" xfId="1" applyFont="1" applyBorder="1" applyAlignment="1">
      <alignment vertical="center" wrapText="1"/>
    </xf>
    <xf numFmtId="0" fontId="4" fillId="0" borderId="29" xfId="0" applyFont="1" applyBorder="1"/>
    <xf numFmtId="43" fontId="4" fillId="0" borderId="29" xfId="1" applyFont="1" applyBorder="1"/>
    <xf numFmtId="0" fontId="7" fillId="0" borderId="29" xfId="0" applyFont="1" applyBorder="1"/>
    <xf numFmtId="43" fontId="7" fillId="0" borderId="29" xfId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6" fillId="4" borderId="37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15" fillId="0" borderId="4" xfId="0" applyFont="1" applyBorder="1"/>
    <xf numFmtId="167" fontId="15" fillId="0" borderId="29" xfId="0" applyNumberFormat="1" applyFont="1" applyBorder="1" applyAlignment="1">
      <alignment horizontal="center" vertical="center"/>
    </xf>
    <xf numFmtId="0" fontId="15" fillId="0" borderId="8" xfId="0" applyFont="1" applyBorder="1"/>
    <xf numFmtId="0" fontId="16" fillId="5" borderId="0" xfId="0" applyFont="1" applyFill="1"/>
    <xf numFmtId="0" fontId="14" fillId="0" borderId="0" xfId="0" applyFont="1"/>
    <xf numFmtId="0" fontId="6" fillId="0" borderId="38" xfId="0" applyFont="1" applyBorder="1" applyAlignment="1">
      <alignment horizontal="left" wrapText="1"/>
    </xf>
    <xf numFmtId="0" fontId="6" fillId="4" borderId="37" xfId="0" applyFont="1" applyFill="1" applyBorder="1" applyAlignment="1">
      <alignment horizontal="center" vertical="center" wrapText="1"/>
    </xf>
    <xf numFmtId="49" fontId="17" fillId="6" borderId="14" xfId="4" applyNumberFormat="1" applyFont="1" applyFill="1" applyBorder="1" applyAlignment="1">
      <alignment horizontal="center" vertical="center"/>
    </xf>
    <xf numFmtId="49" fontId="17" fillId="6" borderId="16" xfId="4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49" fontId="17" fillId="6" borderId="29" xfId="4" applyNumberFormat="1" applyFont="1" applyFill="1" applyBorder="1" applyAlignment="1">
      <alignment horizontal="center" vertical="center"/>
    </xf>
    <xf numFmtId="49" fontId="17" fillId="6" borderId="39" xfId="4" applyNumberFormat="1" applyFont="1" applyFill="1" applyBorder="1" applyAlignment="1">
      <alignment horizontal="center" vertical="center"/>
    </xf>
    <xf numFmtId="0" fontId="14" fillId="0" borderId="4" xfId="0" applyFont="1" applyBorder="1"/>
    <xf numFmtId="0" fontId="14" fillId="0" borderId="29" xfId="0" applyFont="1" applyBorder="1" applyAlignment="1">
      <alignment horizontal="center" vertical="center"/>
    </xf>
    <xf numFmtId="0" fontId="14" fillId="0" borderId="40" xfId="0" applyFont="1" applyBorder="1" applyAlignment="1">
      <alignment wrapText="1"/>
    </xf>
    <xf numFmtId="2" fontId="14" fillId="0" borderId="41" xfId="0" applyNumberFormat="1" applyFont="1" applyBorder="1" applyAlignment="1">
      <alignment horizontal="right"/>
    </xf>
    <xf numFmtId="164" fontId="14" fillId="0" borderId="0" xfId="1" applyNumberFormat="1" applyFont="1"/>
    <xf numFmtId="0" fontId="2" fillId="0" borderId="0" xfId="2"/>
    <xf numFmtId="49" fontId="2" fillId="7" borderId="0" xfId="2" applyNumberFormat="1" applyFill="1" applyAlignment="1">
      <alignment horizontal="left"/>
    </xf>
    <xf numFmtId="0" fontId="18" fillId="0" borderId="42" xfId="0" applyFont="1" applyBorder="1"/>
    <xf numFmtId="0" fontId="18" fillId="0" borderId="43" xfId="0" applyFont="1" applyBorder="1"/>
    <xf numFmtId="0" fontId="12" fillId="0" borderId="43" xfId="0" applyFont="1" applyBorder="1"/>
    <xf numFmtId="0" fontId="12" fillId="0" borderId="44" xfId="0" applyFont="1" applyBorder="1"/>
    <xf numFmtId="0" fontId="10" fillId="0" borderId="4" xfId="0" applyFont="1" applyBorder="1" applyAlignment="1">
      <alignment vertical="top" wrapText="1"/>
    </xf>
    <xf numFmtId="0" fontId="10" fillId="0" borderId="29" xfId="0" applyFont="1" applyBorder="1" applyAlignment="1">
      <alignment vertical="top" wrapText="1"/>
    </xf>
    <xf numFmtId="0" fontId="10" fillId="0" borderId="39" xfId="0" applyFont="1" applyBorder="1" applyAlignment="1">
      <alignment vertical="top" wrapText="1"/>
    </xf>
    <xf numFmtId="0" fontId="12" fillId="0" borderId="4" xfId="0" applyFont="1" applyBorder="1"/>
    <xf numFmtId="168" fontId="12" fillId="0" borderId="29" xfId="0" applyNumberFormat="1" applyFont="1" applyBorder="1"/>
    <xf numFmtId="0" fontId="12" fillId="0" borderId="29" xfId="0" applyFont="1" applyBorder="1" applyAlignment="1">
      <alignment horizontal="center"/>
    </xf>
    <xf numFmtId="43" fontId="12" fillId="0" borderId="29" xfId="1" applyFont="1" applyFill="1" applyBorder="1"/>
    <xf numFmtId="43" fontId="12" fillId="0" borderId="39" xfId="1" applyFont="1" applyFill="1" applyBorder="1"/>
    <xf numFmtId="0" fontId="10" fillId="0" borderId="45" xfId="0" applyFont="1" applyBorder="1"/>
    <xf numFmtId="0" fontId="10" fillId="0" borderId="0" xfId="0" applyFont="1"/>
    <xf numFmtId="0" fontId="12" fillId="0" borderId="0" xfId="0" applyFont="1"/>
    <xf numFmtId="0" fontId="12" fillId="0" borderId="23" xfId="0" applyFont="1" applyBorder="1"/>
    <xf numFmtId="0" fontId="12" fillId="0" borderId="45" xfId="0" applyFont="1" applyBorder="1"/>
    <xf numFmtId="164" fontId="12" fillId="0" borderId="0" xfId="5" applyNumberFormat="1" applyFont="1" applyFill="1" applyBorder="1"/>
    <xf numFmtId="164" fontId="12" fillId="0" borderId="23" xfId="5" applyNumberFormat="1" applyFont="1" applyFill="1" applyBorder="1"/>
    <xf numFmtId="43" fontId="14" fillId="0" borderId="0" xfId="1" applyFont="1"/>
    <xf numFmtId="0" fontId="12" fillId="0" borderId="45" xfId="5" applyNumberFormat="1" applyFont="1" applyFill="1" applyBorder="1" applyAlignment="1">
      <alignment horizontal="left"/>
    </xf>
    <xf numFmtId="0" fontId="12" fillId="0" borderId="0" xfId="5" applyNumberFormat="1" applyFont="1" applyFill="1" applyBorder="1" applyAlignment="1">
      <alignment horizontal="left"/>
    </xf>
    <xf numFmtId="169" fontId="12" fillId="0" borderId="0" xfId="5" applyNumberFormat="1" applyFont="1" applyFill="1" applyBorder="1"/>
    <xf numFmtId="0" fontId="12" fillId="0" borderId="46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12" fillId="0" borderId="47" xfId="0" applyFont="1" applyBorder="1" applyAlignment="1">
      <alignment horizontal="center" vertical="top" wrapText="1"/>
    </xf>
    <xf numFmtId="0" fontId="12" fillId="0" borderId="46" xfId="0" applyFont="1" applyBorder="1"/>
    <xf numFmtId="0" fontId="12" fillId="0" borderId="6" xfId="0" applyFont="1" applyBorder="1"/>
    <xf numFmtId="0" fontId="12" fillId="0" borderId="47" xfId="0" applyFont="1" applyBorder="1"/>
    <xf numFmtId="164" fontId="12" fillId="0" borderId="0" xfId="1" applyNumberFormat="1" applyFont="1" applyFill="1" applyBorder="1"/>
    <xf numFmtId="0" fontId="12" fillId="0" borderId="48" xfId="0" applyFont="1" applyBorder="1" applyAlignment="1">
      <alignment vertical="top"/>
    </xf>
    <xf numFmtId="0" fontId="12" fillId="0" borderId="49" xfId="0" applyFont="1" applyBorder="1" applyAlignment="1">
      <alignment vertical="top"/>
    </xf>
    <xf numFmtId="164" fontId="12" fillId="0" borderId="49" xfId="1" applyNumberFormat="1" applyFont="1" applyFill="1" applyBorder="1"/>
    <xf numFmtId="164" fontId="12" fillId="0" borderId="49" xfId="5" applyNumberFormat="1" applyFont="1" applyFill="1" applyBorder="1" applyAlignment="1">
      <alignment vertical="top"/>
    </xf>
    <xf numFmtId="164" fontId="12" fillId="0" borderId="50" xfId="5" applyNumberFormat="1" applyFont="1" applyFill="1" applyBorder="1" applyAlignment="1">
      <alignment vertical="top"/>
    </xf>
    <xf numFmtId="4" fontId="12" fillId="0" borderId="0" xfId="0" applyNumberFormat="1" applyFont="1"/>
    <xf numFmtId="4" fontId="12" fillId="0" borderId="23" xfId="0" applyNumberFormat="1" applyFont="1" applyBorder="1"/>
    <xf numFmtId="0" fontId="18" fillId="0" borderId="0" xfId="0" applyFont="1"/>
    <xf numFmtId="170" fontId="12" fillId="0" borderId="0" xfId="0" applyNumberFormat="1" applyFont="1"/>
    <xf numFmtId="43" fontId="12" fillId="0" borderId="23" xfId="0" applyNumberFormat="1" applyFont="1" applyBorder="1"/>
    <xf numFmtId="0" fontId="12" fillId="0" borderId="51" xfId="0" applyFont="1" applyBorder="1" applyAlignment="1">
      <alignment vertical="top" wrapText="1"/>
    </xf>
    <xf numFmtId="0" fontId="12" fillId="0" borderId="51" xfId="0" applyFont="1" applyBorder="1"/>
    <xf numFmtId="0" fontId="19" fillId="0" borderId="45" xfId="0" applyFont="1" applyBorder="1"/>
    <xf numFmtId="0" fontId="19" fillId="0" borderId="0" xfId="0" applyFont="1"/>
    <xf numFmtId="0" fontId="18" fillId="0" borderId="45" xfId="0" applyFont="1" applyBorder="1"/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47" xfId="0" applyFont="1" applyBorder="1" applyAlignment="1">
      <alignment horizontal="center"/>
    </xf>
    <xf numFmtId="0" fontId="12" fillId="0" borderId="29" xfId="0" applyFont="1" applyBorder="1" applyAlignment="1">
      <alignment vertical="top" wrapText="1"/>
    </xf>
    <xf numFmtId="0" fontId="12" fillId="0" borderId="46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47" xfId="0" applyFont="1" applyBorder="1" applyAlignment="1">
      <alignment horizontal="left"/>
    </xf>
    <xf numFmtId="0" fontId="12" fillId="0" borderId="45" xfId="0" applyFont="1" applyBorder="1" applyAlignment="1">
      <alignment horizontal="left"/>
    </xf>
    <xf numFmtId="10" fontId="12" fillId="0" borderId="0" xfId="6" applyNumberFormat="1" applyFont="1" applyFill="1" applyBorder="1" applyAlignment="1">
      <alignment horizontal="left"/>
    </xf>
    <xf numFmtId="0" fontId="7" fillId="0" borderId="45" xfId="0" applyFont="1" applyBorder="1"/>
    <xf numFmtId="43" fontId="12" fillId="0" borderId="0" xfId="1" applyFont="1"/>
    <xf numFmtId="0" fontId="12" fillId="0" borderId="48" xfId="0" applyFont="1" applyBorder="1"/>
    <xf numFmtId="0" fontId="12" fillId="0" borderId="49" xfId="0" applyFont="1" applyBorder="1"/>
    <xf numFmtId="43" fontId="12" fillId="0" borderId="49" xfId="1" applyFont="1" applyBorder="1"/>
    <xf numFmtId="43" fontId="12" fillId="0" borderId="50" xfId="0" applyNumberFormat="1" applyFont="1" applyBorder="1"/>
    <xf numFmtId="0" fontId="14" fillId="0" borderId="42" xfId="0" applyFont="1" applyBorder="1"/>
    <xf numFmtId="0" fontId="14" fillId="0" borderId="43" xfId="0" applyFont="1" applyBorder="1"/>
    <xf numFmtId="0" fontId="14" fillId="0" borderId="44" xfId="0" applyFont="1" applyBorder="1"/>
    <xf numFmtId="0" fontId="6" fillId="0" borderId="0" xfId="0" applyFont="1"/>
    <xf numFmtId="0" fontId="14" fillId="0" borderId="23" xfId="0" applyFont="1" applyBorder="1"/>
    <xf numFmtId="0" fontId="14" fillId="0" borderId="45" xfId="0" applyFont="1" applyBorder="1"/>
    <xf numFmtId="43" fontId="14" fillId="0" borderId="0" xfId="0" applyNumberFormat="1" applyFont="1"/>
    <xf numFmtId="0" fontId="14" fillId="0" borderId="48" xfId="0" applyFont="1" applyBorder="1"/>
    <xf numFmtId="0" fontId="14" fillId="0" borderId="49" xfId="0" applyFont="1" applyBorder="1"/>
    <xf numFmtId="0" fontId="14" fillId="0" borderId="50" xfId="0" applyFont="1" applyBorder="1"/>
    <xf numFmtId="49" fontId="17" fillId="7" borderId="0" xfId="4" applyNumberFormat="1" applyFont="1" applyFill="1" applyAlignment="1">
      <alignment horizontal="left"/>
    </xf>
    <xf numFmtId="0" fontId="9" fillId="0" borderId="52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 wrapText="1"/>
    </xf>
    <xf numFmtId="0" fontId="9" fillId="0" borderId="54" xfId="0" applyFont="1" applyBorder="1" applyAlignment="1">
      <alignment horizontal="left" vertical="center" wrapText="1"/>
    </xf>
    <xf numFmtId="0" fontId="9" fillId="0" borderId="52" xfId="0" applyFont="1" applyBorder="1" applyAlignment="1">
      <alignment horizontal="left" vertical="top" wrapText="1"/>
    </xf>
    <xf numFmtId="0" fontId="9" fillId="0" borderId="53" xfId="0" applyFont="1" applyBorder="1" applyAlignment="1">
      <alignment horizontal="left" vertical="top" wrapText="1"/>
    </xf>
    <xf numFmtId="0" fontId="9" fillId="0" borderId="54" xfId="0" applyFont="1" applyBorder="1" applyAlignment="1">
      <alignment horizontal="left" vertical="top" wrapText="1"/>
    </xf>
  </cellXfs>
  <cellStyles count="7">
    <cellStyle name="Comma" xfId="1" builtinId="3"/>
    <cellStyle name="Comma 2" xfId="5" xr:uid="{9D7EA00E-D85D-445B-B041-C6DF8F7ABEC4}"/>
    <cellStyle name="Explanatory Text" xfId="2" builtinId="53"/>
    <cellStyle name="Normal" xfId="0" builtinId="0"/>
    <cellStyle name="Normal 2" xfId="4" xr:uid="{AE804DA5-2E34-43BD-BC52-C4FE9B32275E}"/>
    <cellStyle name="Percent 2" xfId="6" xr:uid="{EA380ADC-D9C0-403C-B809-0A319B211551}"/>
    <cellStyle name="Style 1" xfId="3" xr:uid="{DC0DAB15-C2C5-4B74-9218-460659C793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229</xdr:row>
      <xdr:rowOff>76200</xdr:rowOff>
    </xdr:from>
    <xdr:to>
      <xdr:col>7</xdr:col>
      <xdr:colOff>952500</xdr:colOff>
      <xdr:row>246</xdr:row>
      <xdr:rowOff>9526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DA8E634-B773-481D-BF62-69CD34F28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41671875"/>
          <a:ext cx="10296525" cy="2867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6-27\May%202026\Monthly%2031-May-2026\HeliosMF_Monthtly%20Portfolio_31st%20May%202026_.xls" TargetMode="External"/><Relationship Id="rId1" Type="http://schemas.openxmlformats.org/officeDocument/2006/relationships/externalLinkPath" Target="HeliosMF_Monthtly%20Portfolio_31st%20May%202026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  <sheetName val="HSCF"/>
      <sheetName val="HAR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B9A6-4C3E-44CE-819F-B2143BF1E5BF}">
  <sheetPr codeName="Sheet13"/>
  <dimension ref="A1:BB249"/>
  <sheetViews>
    <sheetView showGridLines="0" tabSelected="1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19" customWidth="1"/>
    <col min="7" max="10" width="19.5703125" style="20" customWidth="1"/>
    <col min="11" max="11" width="19.5703125" style="9" hidden="1" customWidth="1"/>
    <col min="12" max="12" width="11.85546875" style="9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9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9" bestFit="1" customWidth="1"/>
    <col min="49" max="49" width="15" style="2" bestFit="1" customWidth="1"/>
    <col min="50" max="50" width="11.7109375" style="9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9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1" width="23.7109375" style="2" customWidth="1"/>
    <col min="262" max="266" width="19.5703125" style="2" customWidth="1"/>
    <col min="267" max="267" width="0" style="2" hidden="1" customWidth="1"/>
    <col min="268" max="268" width="11.8554687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7" width="23.7109375" style="2" customWidth="1"/>
    <col min="518" max="522" width="19.5703125" style="2" customWidth="1"/>
    <col min="523" max="523" width="0" style="2" hidden="1" customWidth="1"/>
    <col min="524" max="524" width="11.8554687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3" width="23.7109375" style="2" customWidth="1"/>
    <col min="774" max="778" width="19.5703125" style="2" customWidth="1"/>
    <col min="779" max="779" width="0" style="2" hidden="1" customWidth="1"/>
    <col min="780" max="780" width="11.8554687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29" width="23.7109375" style="2" customWidth="1"/>
    <col min="1030" max="1034" width="19.5703125" style="2" customWidth="1"/>
    <col min="1035" max="1035" width="0" style="2" hidden="1" customWidth="1"/>
    <col min="1036" max="1036" width="11.8554687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5" width="23.7109375" style="2" customWidth="1"/>
    <col min="1286" max="1290" width="19.5703125" style="2" customWidth="1"/>
    <col min="1291" max="1291" width="0" style="2" hidden="1" customWidth="1"/>
    <col min="1292" max="1292" width="11.8554687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1" width="23.7109375" style="2" customWidth="1"/>
    <col min="1542" max="1546" width="19.5703125" style="2" customWidth="1"/>
    <col min="1547" max="1547" width="0" style="2" hidden="1" customWidth="1"/>
    <col min="1548" max="1548" width="11.8554687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7" width="23.7109375" style="2" customWidth="1"/>
    <col min="1798" max="1802" width="19.5703125" style="2" customWidth="1"/>
    <col min="1803" max="1803" width="0" style="2" hidden="1" customWidth="1"/>
    <col min="1804" max="1804" width="11.8554687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3" width="23.7109375" style="2" customWidth="1"/>
    <col min="2054" max="2058" width="19.5703125" style="2" customWidth="1"/>
    <col min="2059" max="2059" width="0" style="2" hidden="1" customWidth="1"/>
    <col min="2060" max="2060" width="11.8554687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09" width="23.7109375" style="2" customWidth="1"/>
    <col min="2310" max="2314" width="19.5703125" style="2" customWidth="1"/>
    <col min="2315" max="2315" width="0" style="2" hidden="1" customWidth="1"/>
    <col min="2316" max="2316" width="11.8554687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5" width="23.7109375" style="2" customWidth="1"/>
    <col min="2566" max="2570" width="19.5703125" style="2" customWidth="1"/>
    <col min="2571" max="2571" width="0" style="2" hidden="1" customWidth="1"/>
    <col min="2572" max="2572" width="11.8554687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1" width="23.7109375" style="2" customWidth="1"/>
    <col min="2822" max="2826" width="19.5703125" style="2" customWidth="1"/>
    <col min="2827" max="2827" width="0" style="2" hidden="1" customWidth="1"/>
    <col min="2828" max="2828" width="11.8554687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7" width="23.7109375" style="2" customWidth="1"/>
    <col min="3078" max="3082" width="19.5703125" style="2" customWidth="1"/>
    <col min="3083" max="3083" width="0" style="2" hidden="1" customWidth="1"/>
    <col min="3084" max="3084" width="11.8554687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3" width="23.7109375" style="2" customWidth="1"/>
    <col min="3334" max="3338" width="19.5703125" style="2" customWidth="1"/>
    <col min="3339" max="3339" width="0" style="2" hidden="1" customWidth="1"/>
    <col min="3340" max="3340" width="11.8554687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89" width="23.7109375" style="2" customWidth="1"/>
    <col min="3590" max="3594" width="19.5703125" style="2" customWidth="1"/>
    <col min="3595" max="3595" width="0" style="2" hidden="1" customWidth="1"/>
    <col min="3596" max="3596" width="11.8554687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5" width="23.7109375" style="2" customWidth="1"/>
    <col min="3846" max="3850" width="19.5703125" style="2" customWidth="1"/>
    <col min="3851" max="3851" width="0" style="2" hidden="1" customWidth="1"/>
    <col min="3852" max="3852" width="11.8554687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1" width="23.7109375" style="2" customWidth="1"/>
    <col min="4102" max="4106" width="19.5703125" style="2" customWidth="1"/>
    <col min="4107" max="4107" width="0" style="2" hidden="1" customWidth="1"/>
    <col min="4108" max="4108" width="11.8554687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7" width="23.7109375" style="2" customWidth="1"/>
    <col min="4358" max="4362" width="19.5703125" style="2" customWidth="1"/>
    <col min="4363" max="4363" width="0" style="2" hidden="1" customWidth="1"/>
    <col min="4364" max="4364" width="11.8554687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3" width="23.7109375" style="2" customWidth="1"/>
    <col min="4614" max="4618" width="19.5703125" style="2" customWidth="1"/>
    <col min="4619" max="4619" width="0" style="2" hidden="1" customWidth="1"/>
    <col min="4620" max="4620" width="11.8554687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69" width="23.7109375" style="2" customWidth="1"/>
    <col min="4870" max="4874" width="19.5703125" style="2" customWidth="1"/>
    <col min="4875" max="4875" width="0" style="2" hidden="1" customWidth="1"/>
    <col min="4876" max="4876" width="11.8554687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5" width="23.7109375" style="2" customWidth="1"/>
    <col min="5126" max="5130" width="19.5703125" style="2" customWidth="1"/>
    <col min="5131" max="5131" width="0" style="2" hidden="1" customWidth="1"/>
    <col min="5132" max="5132" width="11.8554687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1" width="23.7109375" style="2" customWidth="1"/>
    <col min="5382" max="5386" width="19.5703125" style="2" customWidth="1"/>
    <col min="5387" max="5387" width="0" style="2" hidden="1" customWidth="1"/>
    <col min="5388" max="5388" width="11.8554687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7" width="23.7109375" style="2" customWidth="1"/>
    <col min="5638" max="5642" width="19.5703125" style="2" customWidth="1"/>
    <col min="5643" max="5643" width="0" style="2" hidden="1" customWidth="1"/>
    <col min="5644" max="5644" width="11.8554687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3" width="23.7109375" style="2" customWidth="1"/>
    <col min="5894" max="5898" width="19.5703125" style="2" customWidth="1"/>
    <col min="5899" max="5899" width="0" style="2" hidden="1" customWidth="1"/>
    <col min="5900" max="5900" width="11.8554687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49" width="23.7109375" style="2" customWidth="1"/>
    <col min="6150" max="6154" width="19.5703125" style="2" customWidth="1"/>
    <col min="6155" max="6155" width="0" style="2" hidden="1" customWidth="1"/>
    <col min="6156" max="6156" width="11.8554687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5" width="23.7109375" style="2" customWidth="1"/>
    <col min="6406" max="6410" width="19.5703125" style="2" customWidth="1"/>
    <col min="6411" max="6411" width="0" style="2" hidden="1" customWidth="1"/>
    <col min="6412" max="6412" width="11.8554687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1" width="23.7109375" style="2" customWidth="1"/>
    <col min="6662" max="6666" width="19.5703125" style="2" customWidth="1"/>
    <col min="6667" max="6667" width="0" style="2" hidden="1" customWidth="1"/>
    <col min="6668" max="6668" width="11.8554687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7" width="23.7109375" style="2" customWidth="1"/>
    <col min="6918" max="6922" width="19.5703125" style="2" customWidth="1"/>
    <col min="6923" max="6923" width="0" style="2" hidden="1" customWidth="1"/>
    <col min="6924" max="6924" width="11.8554687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3" width="23.7109375" style="2" customWidth="1"/>
    <col min="7174" max="7178" width="19.5703125" style="2" customWidth="1"/>
    <col min="7179" max="7179" width="0" style="2" hidden="1" customWidth="1"/>
    <col min="7180" max="7180" width="11.8554687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29" width="23.7109375" style="2" customWidth="1"/>
    <col min="7430" max="7434" width="19.5703125" style="2" customWidth="1"/>
    <col min="7435" max="7435" width="0" style="2" hidden="1" customWidth="1"/>
    <col min="7436" max="7436" width="11.8554687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5" width="23.7109375" style="2" customWidth="1"/>
    <col min="7686" max="7690" width="19.5703125" style="2" customWidth="1"/>
    <col min="7691" max="7691" width="0" style="2" hidden="1" customWidth="1"/>
    <col min="7692" max="7692" width="11.8554687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1" width="23.7109375" style="2" customWidth="1"/>
    <col min="7942" max="7946" width="19.5703125" style="2" customWidth="1"/>
    <col min="7947" max="7947" width="0" style="2" hidden="1" customWidth="1"/>
    <col min="7948" max="7948" width="11.8554687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7" width="23.7109375" style="2" customWidth="1"/>
    <col min="8198" max="8202" width="19.5703125" style="2" customWidth="1"/>
    <col min="8203" max="8203" width="0" style="2" hidden="1" customWidth="1"/>
    <col min="8204" max="8204" width="11.8554687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3" width="23.7109375" style="2" customWidth="1"/>
    <col min="8454" max="8458" width="19.5703125" style="2" customWidth="1"/>
    <col min="8459" max="8459" width="0" style="2" hidden="1" customWidth="1"/>
    <col min="8460" max="8460" width="11.8554687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09" width="23.7109375" style="2" customWidth="1"/>
    <col min="8710" max="8714" width="19.5703125" style="2" customWidth="1"/>
    <col min="8715" max="8715" width="0" style="2" hidden="1" customWidth="1"/>
    <col min="8716" max="8716" width="11.8554687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5" width="23.7109375" style="2" customWidth="1"/>
    <col min="8966" max="8970" width="19.5703125" style="2" customWidth="1"/>
    <col min="8971" max="8971" width="0" style="2" hidden="1" customWidth="1"/>
    <col min="8972" max="8972" width="11.8554687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1" width="23.7109375" style="2" customWidth="1"/>
    <col min="9222" max="9226" width="19.5703125" style="2" customWidth="1"/>
    <col min="9227" max="9227" width="0" style="2" hidden="1" customWidth="1"/>
    <col min="9228" max="9228" width="11.8554687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7" width="23.7109375" style="2" customWidth="1"/>
    <col min="9478" max="9482" width="19.5703125" style="2" customWidth="1"/>
    <col min="9483" max="9483" width="0" style="2" hidden="1" customWidth="1"/>
    <col min="9484" max="9484" width="11.8554687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3" width="23.7109375" style="2" customWidth="1"/>
    <col min="9734" max="9738" width="19.5703125" style="2" customWidth="1"/>
    <col min="9739" max="9739" width="0" style="2" hidden="1" customWidth="1"/>
    <col min="9740" max="9740" width="11.8554687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89" width="23.7109375" style="2" customWidth="1"/>
    <col min="9990" max="9994" width="19.5703125" style="2" customWidth="1"/>
    <col min="9995" max="9995" width="0" style="2" hidden="1" customWidth="1"/>
    <col min="9996" max="9996" width="11.8554687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5" width="23.7109375" style="2" customWidth="1"/>
    <col min="10246" max="10250" width="19.5703125" style="2" customWidth="1"/>
    <col min="10251" max="10251" width="0" style="2" hidden="1" customWidth="1"/>
    <col min="10252" max="10252" width="11.8554687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1" width="23.7109375" style="2" customWidth="1"/>
    <col min="10502" max="10506" width="19.5703125" style="2" customWidth="1"/>
    <col min="10507" max="10507" width="0" style="2" hidden="1" customWidth="1"/>
    <col min="10508" max="10508" width="11.8554687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7" width="23.7109375" style="2" customWidth="1"/>
    <col min="10758" max="10762" width="19.5703125" style="2" customWidth="1"/>
    <col min="10763" max="10763" width="0" style="2" hidden="1" customWidth="1"/>
    <col min="10764" max="10764" width="11.8554687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3" width="23.7109375" style="2" customWidth="1"/>
    <col min="11014" max="11018" width="19.5703125" style="2" customWidth="1"/>
    <col min="11019" max="11019" width="0" style="2" hidden="1" customWidth="1"/>
    <col min="11020" max="11020" width="11.8554687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69" width="23.7109375" style="2" customWidth="1"/>
    <col min="11270" max="11274" width="19.5703125" style="2" customWidth="1"/>
    <col min="11275" max="11275" width="0" style="2" hidden="1" customWidth="1"/>
    <col min="11276" max="11276" width="11.8554687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5" width="23.7109375" style="2" customWidth="1"/>
    <col min="11526" max="11530" width="19.5703125" style="2" customWidth="1"/>
    <col min="11531" max="11531" width="0" style="2" hidden="1" customWidth="1"/>
    <col min="11532" max="11532" width="11.8554687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1" width="23.7109375" style="2" customWidth="1"/>
    <col min="11782" max="11786" width="19.5703125" style="2" customWidth="1"/>
    <col min="11787" max="11787" width="0" style="2" hidden="1" customWidth="1"/>
    <col min="11788" max="11788" width="11.8554687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7" width="23.7109375" style="2" customWidth="1"/>
    <col min="12038" max="12042" width="19.5703125" style="2" customWidth="1"/>
    <col min="12043" max="12043" width="0" style="2" hidden="1" customWidth="1"/>
    <col min="12044" max="12044" width="11.8554687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3" width="23.7109375" style="2" customWidth="1"/>
    <col min="12294" max="12298" width="19.5703125" style="2" customWidth="1"/>
    <col min="12299" max="12299" width="0" style="2" hidden="1" customWidth="1"/>
    <col min="12300" max="12300" width="11.8554687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49" width="23.7109375" style="2" customWidth="1"/>
    <col min="12550" max="12554" width="19.5703125" style="2" customWidth="1"/>
    <col min="12555" max="12555" width="0" style="2" hidden="1" customWidth="1"/>
    <col min="12556" max="12556" width="11.8554687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5" width="23.7109375" style="2" customWidth="1"/>
    <col min="12806" max="12810" width="19.5703125" style="2" customWidth="1"/>
    <col min="12811" max="12811" width="0" style="2" hidden="1" customWidth="1"/>
    <col min="12812" max="12812" width="11.8554687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1" width="23.7109375" style="2" customWidth="1"/>
    <col min="13062" max="13066" width="19.5703125" style="2" customWidth="1"/>
    <col min="13067" max="13067" width="0" style="2" hidden="1" customWidth="1"/>
    <col min="13068" max="13068" width="11.8554687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7" width="23.7109375" style="2" customWidth="1"/>
    <col min="13318" max="13322" width="19.5703125" style="2" customWidth="1"/>
    <col min="13323" max="13323" width="0" style="2" hidden="1" customWidth="1"/>
    <col min="13324" max="13324" width="11.8554687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3" width="23.7109375" style="2" customWidth="1"/>
    <col min="13574" max="13578" width="19.5703125" style="2" customWidth="1"/>
    <col min="13579" max="13579" width="0" style="2" hidden="1" customWidth="1"/>
    <col min="13580" max="13580" width="11.8554687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29" width="23.7109375" style="2" customWidth="1"/>
    <col min="13830" max="13834" width="19.5703125" style="2" customWidth="1"/>
    <col min="13835" max="13835" width="0" style="2" hidden="1" customWidth="1"/>
    <col min="13836" max="13836" width="11.8554687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5" width="23.7109375" style="2" customWidth="1"/>
    <col min="14086" max="14090" width="19.5703125" style="2" customWidth="1"/>
    <col min="14091" max="14091" width="0" style="2" hidden="1" customWidth="1"/>
    <col min="14092" max="14092" width="11.8554687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1" width="23.7109375" style="2" customWidth="1"/>
    <col min="14342" max="14346" width="19.5703125" style="2" customWidth="1"/>
    <col min="14347" max="14347" width="0" style="2" hidden="1" customWidth="1"/>
    <col min="14348" max="14348" width="11.8554687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7" width="23.7109375" style="2" customWidth="1"/>
    <col min="14598" max="14602" width="19.5703125" style="2" customWidth="1"/>
    <col min="14603" max="14603" width="0" style="2" hidden="1" customWidth="1"/>
    <col min="14604" max="14604" width="11.8554687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3" width="23.7109375" style="2" customWidth="1"/>
    <col min="14854" max="14858" width="19.5703125" style="2" customWidth="1"/>
    <col min="14859" max="14859" width="0" style="2" hidden="1" customWidth="1"/>
    <col min="14860" max="14860" width="11.8554687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09" width="23.7109375" style="2" customWidth="1"/>
    <col min="15110" max="15114" width="19.5703125" style="2" customWidth="1"/>
    <col min="15115" max="15115" width="0" style="2" hidden="1" customWidth="1"/>
    <col min="15116" max="15116" width="11.8554687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5" width="23.7109375" style="2" customWidth="1"/>
    <col min="15366" max="15370" width="19.5703125" style="2" customWidth="1"/>
    <col min="15371" max="15371" width="0" style="2" hidden="1" customWidth="1"/>
    <col min="15372" max="15372" width="11.8554687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1" width="23.7109375" style="2" customWidth="1"/>
    <col min="15622" max="15626" width="19.5703125" style="2" customWidth="1"/>
    <col min="15627" max="15627" width="0" style="2" hidden="1" customWidth="1"/>
    <col min="15628" max="15628" width="11.8554687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7" width="23.7109375" style="2" customWidth="1"/>
    <col min="15878" max="15882" width="19.5703125" style="2" customWidth="1"/>
    <col min="15883" max="15883" width="0" style="2" hidden="1" customWidth="1"/>
    <col min="15884" max="15884" width="11.8554687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3" width="23.7109375" style="2" customWidth="1"/>
    <col min="16134" max="16138" width="19.5703125" style="2" customWidth="1"/>
    <col min="16139" max="16139" width="0" style="2" hidden="1" customWidth="1"/>
    <col min="16140" max="16140" width="11.8554687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4.25" thickBot="1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25">
      <c r="C2" s="6" t="s">
        <v>0</v>
      </c>
      <c r="D2" s="7"/>
      <c r="E2" s="7"/>
      <c r="F2" s="7"/>
      <c r="G2" s="7"/>
      <c r="H2" s="7"/>
      <c r="I2" s="7"/>
      <c r="J2" s="8"/>
    </row>
    <row r="3" spans="1:54" x14ac:dyDescent="0.25">
      <c r="C3" s="10" t="s">
        <v>1</v>
      </c>
      <c r="D3" s="11" t="s">
        <v>2</v>
      </c>
      <c r="E3" s="12"/>
      <c r="F3" s="12"/>
      <c r="G3" s="12"/>
      <c r="H3" s="12"/>
      <c r="I3" s="12"/>
      <c r="J3" s="13"/>
    </row>
    <row r="4" spans="1:54" ht="14.25" thickBot="1" x14ac:dyDescent="0.3">
      <c r="C4" s="14" t="s">
        <v>3</v>
      </c>
      <c r="D4" s="15">
        <v>46173</v>
      </c>
      <c r="E4" s="16"/>
      <c r="F4" s="16"/>
      <c r="G4" s="16"/>
      <c r="H4" s="16"/>
      <c r="I4" s="16"/>
      <c r="J4" s="17"/>
    </row>
    <row r="5" spans="1:54" ht="14.25" thickBot="1" x14ac:dyDescent="0.3">
      <c r="C5" s="18"/>
    </row>
    <row r="6" spans="1:54" ht="25.5" x14ac:dyDescent="0.25">
      <c r="C6" s="21" t="s">
        <v>4</v>
      </c>
      <c r="D6" s="22" t="s">
        <v>5</v>
      </c>
      <c r="E6" s="23" t="s">
        <v>6</v>
      </c>
      <c r="F6" s="24" t="s">
        <v>7</v>
      </c>
      <c r="G6" s="25" t="s">
        <v>8</v>
      </c>
      <c r="H6" s="25" t="s">
        <v>9</v>
      </c>
      <c r="I6" s="26" t="s">
        <v>10</v>
      </c>
      <c r="J6" s="27" t="s">
        <v>11</v>
      </c>
      <c r="K6" s="28" t="s">
        <v>12</v>
      </c>
    </row>
    <row r="7" spans="1:54" x14ac:dyDescent="0.25">
      <c r="C7" s="29"/>
      <c r="D7" s="30"/>
      <c r="E7" s="31"/>
      <c r="F7" s="32"/>
      <c r="G7" s="33"/>
      <c r="H7" s="33"/>
      <c r="I7" s="34"/>
      <c r="J7" s="35"/>
      <c r="K7" s="36"/>
    </row>
    <row r="8" spans="1:54" x14ac:dyDescent="0.25">
      <c r="A8" s="37"/>
      <c r="B8" s="38"/>
      <c r="C8" s="39" t="s">
        <v>13</v>
      </c>
      <c r="D8" s="40"/>
      <c r="E8" s="41"/>
      <c r="F8" s="42"/>
      <c r="G8" s="43"/>
      <c r="H8" s="43"/>
      <c r="I8" s="44"/>
      <c r="J8" s="45"/>
      <c r="K8" s="46"/>
    </row>
    <row r="9" spans="1:54" x14ac:dyDescent="0.25">
      <c r="C9" s="47" t="s">
        <v>14</v>
      </c>
      <c r="D9" s="40"/>
      <c r="E9" s="41"/>
      <c r="F9" s="42"/>
      <c r="G9" s="43"/>
      <c r="H9" s="43"/>
      <c r="I9" s="44"/>
      <c r="J9" s="45"/>
      <c r="K9" s="46"/>
      <c r="L9" s="48"/>
    </row>
    <row r="10" spans="1:54" x14ac:dyDescent="0.25">
      <c r="B10" s="1" t="s">
        <v>15</v>
      </c>
      <c r="C10" s="29" t="s">
        <v>16</v>
      </c>
      <c r="D10" s="40" t="s">
        <v>17</v>
      </c>
      <c r="E10" s="41" t="s">
        <v>18</v>
      </c>
      <c r="F10" s="42">
        <v>523455</v>
      </c>
      <c r="G10" s="43">
        <v>2011.11</v>
      </c>
      <c r="H10" s="43">
        <v>6.66</v>
      </c>
      <c r="I10" s="44"/>
      <c r="J10" s="45"/>
      <c r="K10" s="46"/>
      <c r="L10" s="48"/>
      <c r="M10" s="20"/>
    </row>
    <row r="11" spans="1:54" x14ac:dyDescent="0.25">
      <c r="B11" s="1" t="s">
        <v>19</v>
      </c>
      <c r="C11" s="29" t="s">
        <v>20</v>
      </c>
      <c r="D11" s="40" t="s">
        <v>21</v>
      </c>
      <c r="E11" s="41" t="s">
        <v>22</v>
      </c>
      <c r="F11" s="42">
        <v>128408</v>
      </c>
      <c r="G11" s="43">
        <v>1696.53</v>
      </c>
      <c r="H11" s="43">
        <v>5.62</v>
      </c>
      <c r="I11" s="44"/>
      <c r="J11" s="45"/>
      <c r="K11" s="46"/>
      <c r="L11" s="48"/>
      <c r="M11" s="20"/>
    </row>
    <row r="12" spans="1:54" x14ac:dyDescent="0.25">
      <c r="B12" s="1" t="s">
        <v>23</v>
      </c>
      <c r="C12" s="29" t="s">
        <v>24</v>
      </c>
      <c r="D12" s="40" t="s">
        <v>25</v>
      </c>
      <c r="E12" s="41" t="s">
        <v>18</v>
      </c>
      <c r="F12" s="42">
        <v>107938</v>
      </c>
      <c r="G12" s="43">
        <v>1356.13</v>
      </c>
      <c r="H12" s="43">
        <v>4.49</v>
      </c>
      <c r="I12" s="44"/>
      <c r="J12" s="45"/>
      <c r="K12" s="46"/>
      <c r="L12" s="48"/>
      <c r="M12" s="20"/>
    </row>
    <row r="13" spans="1:54" x14ac:dyDescent="0.25">
      <c r="B13" s="1" t="s">
        <v>26</v>
      </c>
      <c r="C13" s="29" t="s">
        <v>27</v>
      </c>
      <c r="D13" s="40" t="s">
        <v>28</v>
      </c>
      <c r="E13" s="41" t="s">
        <v>29</v>
      </c>
      <c r="F13" s="42">
        <v>68226</v>
      </c>
      <c r="G13" s="43">
        <v>1247.8499999999999</v>
      </c>
      <c r="H13" s="43">
        <v>4.13</v>
      </c>
      <c r="I13" s="44"/>
      <c r="J13" s="45"/>
      <c r="K13" s="46"/>
      <c r="L13" s="48"/>
      <c r="M13" s="20"/>
    </row>
    <row r="14" spans="1:54" x14ac:dyDescent="0.25">
      <c r="B14" s="1" t="s">
        <v>30</v>
      </c>
      <c r="C14" s="29" t="s">
        <v>31</v>
      </c>
      <c r="D14" s="40" t="s">
        <v>32</v>
      </c>
      <c r="E14" s="41" t="s">
        <v>33</v>
      </c>
      <c r="F14" s="42">
        <v>67156</v>
      </c>
      <c r="G14" s="43">
        <v>1211.9000000000001</v>
      </c>
      <c r="H14" s="43">
        <v>4.01</v>
      </c>
      <c r="I14" s="44"/>
      <c r="J14" s="45"/>
      <c r="K14" s="46"/>
      <c r="L14" s="48"/>
      <c r="M14" s="20"/>
    </row>
    <row r="15" spans="1:54" x14ac:dyDescent="0.25">
      <c r="B15" s="1" t="s">
        <v>34</v>
      </c>
      <c r="C15" s="29" t="s">
        <v>35</v>
      </c>
      <c r="D15" s="40" t="s">
        <v>36</v>
      </c>
      <c r="E15" s="41" t="s">
        <v>18</v>
      </c>
      <c r="F15" s="42">
        <v>145351</v>
      </c>
      <c r="G15" s="43">
        <v>1082.21</v>
      </c>
      <c r="H15" s="43">
        <v>3.59</v>
      </c>
      <c r="I15" s="44"/>
      <c r="J15" s="45"/>
      <c r="K15" s="46"/>
      <c r="L15" s="48"/>
      <c r="M15" s="20"/>
    </row>
    <row r="16" spans="1:54" x14ac:dyDescent="0.25">
      <c r="B16" s="1" t="s">
        <v>37</v>
      </c>
      <c r="C16" s="29" t="s">
        <v>38</v>
      </c>
      <c r="D16" s="40" t="s">
        <v>39</v>
      </c>
      <c r="E16" s="41" t="s">
        <v>40</v>
      </c>
      <c r="F16" s="42">
        <v>100180</v>
      </c>
      <c r="G16" s="43">
        <v>948.85</v>
      </c>
      <c r="H16" s="43">
        <v>3.14</v>
      </c>
      <c r="I16" s="44"/>
      <c r="J16" s="45"/>
      <c r="K16" s="46"/>
      <c r="L16" s="48"/>
      <c r="M16" s="20"/>
    </row>
    <row r="17" spans="2:13" x14ac:dyDescent="0.25">
      <c r="B17" s="1" t="s">
        <v>41</v>
      </c>
      <c r="C17" s="29" t="s">
        <v>42</v>
      </c>
      <c r="D17" s="40" t="s">
        <v>43</v>
      </c>
      <c r="E17" s="41" t="s">
        <v>44</v>
      </c>
      <c r="F17" s="42">
        <v>76663</v>
      </c>
      <c r="G17" s="43">
        <v>857.71</v>
      </c>
      <c r="H17" s="43">
        <v>2.84</v>
      </c>
      <c r="I17" s="44"/>
      <c r="J17" s="45"/>
      <c r="K17" s="46"/>
      <c r="L17" s="48"/>
      <c r="M17" s="20"/>
    </row>
    <row r="18" spans="2:13" x14ac:dyDescent="0.25">
      <c r="B18" s="1" t="s">
        <v>45</v>
      </c>
      <c r="C18" s="29" t="s">
        <v>46</v>
      </c>
      <c r="D18" s="40" t="s">
        <v>47</v>
      </c>
      <c r="E18" s="41" t="s">
        <v>48</v>
      </c>
      <c r="F18" s="42">
        <v>307852</v>
      </c>
      <c r="G18" s="43">
        <v>771.42</v>
      </c>
      <c r="H18" s="43">
        <v>2.56</v>
      </c>
      <c r="I18" s="44"/>
      <c r="J18" s="45"/>
      <c r="K18" s="46"/>
      <c r="L18" s="48"/>
      <c r="M18" s="20"/>
    </row>
    <row r="19" spans="2:13" x14ac:dyDescent="0.25">
      <c r="B19" s="1" t="s">
        <v>49</v>
      </c>
      <c r="C19" s="29" t="s">
        <v>50</v>
      </c>
      <c r="D19" s="40" t="s">
        <v>51</v>
      </c>
      <c r="E19" s="41" t="s">
        <v>40</v>
      </c>
      <c r="F19" s="42">
        <v>81545</v>
      </c>
      <c r="G19" s="43">
        <v>740.63</v>
      </c>
      <c r="H19" s="43">
        <v>2.4500000000000002</v>
      </c>
      <c r="I19" s="44"/>
      <c r="J19" s="45"/>
      <c r="K19" s="46"/>
      <c r="L19" s="48"/>
      <c r="M19" s="20"/>
    </row>
    <row r="20" spans="2:13" x14ac:dyDescent="0.25">
      <c r="B20" s="1" t="s">
        <v>52</v>
      </c>
      <c r="C20" s="29" t="s">
        <v>53</v>
      </c>
      <c r="D20" s="40" t="s">
        <v>54</v>
      </c>
      <c r="E20" s="41" t="s">
        <v>18</v>
      </c>
      <c r="F20" s="42">
        <v>70648</v>
      </c>
      <c r="G20" s="43">
        <v>681.33</v>
      </c>
      <c r="H20" s="43">
        <v>2.2599999999999998</v>
      </c>
      <c r="I20" s="44"/>
      <c r="J20" s="45"/>
      <c r="K20" s="46"/>
      <c r="L20" s="48"/>
      <c r="M20" s="20"/>
    </row>
    <row r="21" spans="2:13" x14ac:dyDescent="0.25">
      <c r="B21" s="1" t="s">
        <v>55</v>
      </c>
      <c r="C21" s="29" t="s">
        <v>56</v>
      </c>
      <c r="D21" s="40" t="s">
        <v>57</v>
      </c>
      <c r="E21" s="41" t="s">
        <v>58</v>
      </c>
      <c r="F21" s="42">
        <v>162060</v>
      </c>
      <c r="G21" s="43">
        <v>665.66</v>
      </c>
      <c r="H21" s="43">
        <v>2.21</v>
      </c>
      <c r="I21" s="44"/>
      <c r="J21" s="45"/>
      <c r="K21" s="46"/>
      <c r="L21" s="48"/>
      <c r="M21" s="20"/>
    </row>
    <row r="22" spans="2:13" x14ac:dyDescent="0.25">
      <c r="B22" s="1" t="s">
        <v>59</v>
      </c>
      <c r="C22" s="29" t="s">
        <v>60</v>
      </c>
      <c r="D22" s="40" t="s">
        <v>61</v>
      </c>
      <c r="E22" s="41" t="s">
        <v>62</v>
      </c>
      <c r="F22" s="42">
        <v>21065</v>
      </c>
      <c r="G22" s="43">
        <v>622.37</v>
      </c>
      <c r="H22" s="43">
        <v>2.06</v>
      </c>
      <c r="I22" s="44"/>
      <c r="J22" s="45"/>
      <c r="K22" s="46"/>
      <c r="L22" s="48"/>
      <c r="M22" s="20"/>
    </row>
    <row r="23" spans="2:13" x14ac:dyDescent="0.25">
      <c r="B23" s="1" t="s">
        <v>63</v>
      </c>
      <c r="C23" s="29" t="s">
        <v>64</v>
      </c>
      <c r="D23" s="40" t="s">
        <v>65</v>
      </c>
      <c r="E23" s="41" t="s">
        <v>18</v>
      </c>
      <c r="F23" s="42">
        <v>576000</v>
      </c>
      <c r="G23" s="43">
        <v>610.85</v>
      </c>
      <c r="H23" s="43">
        <v>2.02</v>
      </c>
      <c r="I23" s="44"/>
      <c r="J23" s="45"/>
      <c r="K23" s="46"/>
      <c r="L23" s="48"/>
      <c r="M23" s="20"/>
    </row>
    <row r="24" spans="2:13" x14ac:dyDescent="0.25">
      <c r="B24" s="1" t="s">
        <v>66</v>
      </c>
      <c r="C24" s="29" t="s">
        <v>67</v>
      </c>
      <c r="D24" s="40" t="s">
        <v>68</v>
      </c>
      <c r="E24" s="41" t="s">
        <v>69</v>
      </c>
      <c r="F24" s="42">
        <v>8400</v>
      </c>
      <c r="G24" s="43">
        <v>560.03</v>
      </c>
      <c r="H24" s="43">
        <v>1.86</v>
      </c>
      <c r="I24" s="44"/>
      <c r="J24" s="45"/>
      <c r="K24" s="46"/>
      <c r="L24" s="48"/>
      <c r="M24" s="20"/>
    </row>
    <row r="25" spans="2:13" x14ac:dyDescent="0.25">
      <c r="B25" s="1" t="s">
        <v>70</v>
      </c>
      <c r="C25" s="29" t="s">
        <v>71</v>
      </c>
      <c r="D25" s="40" t="s">
        <v>72</v>
      </c>
      <c r="E25" s="41" t="s">
        <v>18</v>
      </c>
      <c r="F25" s="42">
        <v>41875</v>
      </c>
      <c r="G25" s="43">
        <v>538.76</v>
      </c>
      <c r="H25" s="43">
        <v>1.78</v>
      </c>
      <c r="I25" s="44"/>
      <c r="J25" s="45"/>
      <c r="K25" s="46"/>
      <c r="L25" s="48"/>
      <c r="M25" s="20"/>
    </row>
    <row r="26" spans="2:13" x14ac:dyDescent="0.25">
      <c r="B26" s="1" t="s">
        <v>73</v>
      </c>
      <c r="C26" s="29" t="s">
        <v>74</v>
      </c>
      <c r="D26" s="40" t="s">
        <v>75</v>
      </c>
      <c r="E26" s="41" t="s">
        <v>76</v>
      </c>
      <c r="F26" s="42">
        <v>98365</v>
      </c>
      <c r="G26" s="43">
        <v>519.37</v>
      </c>
      <c r="H26" s="43">
        <v>1.72</v>
      </c>
      <c r="I26" s="44"/>
      <c r="J26" s="45"/>
      <c r="K26" s="46"/>
      <c r="L26" s="48"/>
      <c r="M26" s="20"/>
    </row>
    <row r="27" spans="2:13" x14ac:dyDescent="0.25">
      <c r="B27" s="1" t="s">
        <v>77</v>
      </c>
      <c r="C27" s="29" t="s">
        <v>78</v>
      </c>
      <c r="D27" s="40" t="s">
        <v>79</v>
      </c>
      <c r="E27" s="41" t="s">
        <v>18</v>
      </c>
      <c r="F27" s="42">
        <v>184275</v>
      </c>
      <c r="G27" s="43">
        <v>494.78</v>
      </c>
      <c r="H27" s="43">
        <v>1.64</v>
      </c>
      <c r="I27" s="44"/>
      <c r="J27" s="45"/>
      <c r="K27" s="46"/>
      <c r="L27" s="48"/>
      <c r="M27" s="20"/>
    </row>
    <row r="28" spans="2:13" x14ac:dyDescent="0.25">
      <c r="B28" s="1" t="s">
        <v>80</v>
      </c>
      <c r="C28" s="29" t="s">
        <v>81</v>
      </c>
      <c r="D28" s="40" t="s">
        <v>82</v>
      </c>
      <c r="E28" s="41" t="s">
        <v>29</v>
      </c>
      <c r="F28" s="42">
        <v>3359325</v>
      </c>
      <c r="G28" s="43">
        <v>469.97</v>
      </c>
      <c r="H28" s="43">
        <v>1.56</v>
      </c>
      <c r="I28" s="44"/>
      <c r="J28" s="45"/>
      <c r="K28" s="46"/>
      <c r="L28" s="48"/>
      <c r="M28" s="20"/>
    </row>
    <row r="29" spans="2:13" x14ac:dyDescent="0.25">
      <c r="B29" s="1" t="s">
        <v>83</v>
      </c>
      <c r="C29" s="29" t="s">
        <v>84</v>
      </c>
      <c r="D29" s="40" t="s">
        <v>85</v>
      </c>
      <c r="E29" s="41" t="s">
        <v>62</v>
      </c>
      <c r="F29" s="42">
        <v>12480</v>
      </c>
      <c r="G29" s="43">
        <v>441.6</v>
      </c>
      <c r="H29" s="43">
        <v>1.46</v>
      </c>
      <c r="I29" s="44"/>
      <c r="J29" s="45"/>
      <c r="K29" s="46"/>
      <c r="L29" s="48"/>
      <c r="M29" s="20"/>
    </row>
    <row r="30" spans="2:13" x14ac:dyDescent="0.25">
      <c r="B30" s="1" t="s">
        <v>86</v>
      </c>
      <c r="C30" s="29" t="s">
        <v>87</v>
      </c>
      <c r="D30" s="40" t="s">
        <v>88</v>
      </c>
      <c r="E30" s="41" t="s">
        <v>89</v>
      </c>
      <c r="F30" s="42">
        <v>11100</v>
      </c>
      <c r="G30" s="43">
        <v>429.8</v>
      </c>
      <c r="H30" s="43">
        <v>1.42</v>
      </c>
      <c r="I30" s="44"/>
      <c r="J30" s="45"/>
      <c r="K30" s="46"/>
      <c r="L30" s="48"/>
      <c r="M30" s="20"/>
    </row>
    <row r="31" spans="2:13" x14ac:dyDescent="0.25">
      <c r="B31" s="1" t="s">
        <v>90</v>
      </c>
      <c r="C31" s="29" t="s">
        <v>91</v>
      </c>
      <c r="D31" s="40" t="s">
        <v>92</v>
      </c>
      <c r="E31" s="41" t="s">
        <v>93</v>
      </c>
      <c r="F31" s="42">
        <v>4056</v>
      </c>
      <c r="G31" s="43">
        <v>424.26</v>
      </c>
      <c r="H31" s="43">
        <v>1.41</v>
      </c>
      <c r="I31" s="44"/>
      <c r="J31" s="45"/>
      <c r="K31" s="46"/>
      <c r="L31" s="48"/>
      <c r="M31" s="20"/>
    </row>
    <row r="32" spans="2:13" x14ac:dyDescent="0.25">
      <c r="B32" s="1" t="s">
        <v>94</v>
      </c>
      <c r="C32" s="29" t="s">
        <v>95</v>
      </c>
      <c r="D32" s="40" t="s">
        <v>96</v>
      </c>
      <c r="E32" s="41" t="s">
        <v>44</v>
      </c>
      <c r="F32" s="42">
        <v>24744</v>
      </c>
      <c r="G32" s="43">
        <v>421.27</v>
      </c>
      <c r="H32" s="43">
        <v>1.4</v>
      </c>
      <c r="I32" s="44"/>
      <c r="J32" s="45"/>
      <c r="K32" s="46"/>
      <c r="L32" s="48"/>
      <c r="M32" s="20"/>
    </row>
    <row r="33" spans="2:13" x14ac:dyDescent="0.25">
      <c r="B33" s="1" t="s">
        <v>97</v>
      </c>
      <c r="C33" s="29" t="s">
        <v>98</v>
      </c>
      <c r="D33" s="40" t="s">
        <v>99</v>
      </c>
      <c r="E33" s="41" t="s">
        <v>100</v>
      </c>
      <c r="F33" s="42">
        <v>106246</v>
      </c>
      <c r="G33" s="43">
        <v>411.07</v>
      </c>
      <c r="H33" s="43">
        <v>1.36</v>
      </c>
      <c r="I33" s="44"/>
      <c r="J33" s="45"/>
      <c r="K33" s="46"/>
      <c r="L33" s="48"/>
      <c r="M33" s="20"/>
    </row>
    <row r="34" spans="2:13" x14ac:dyDescent="0.25">
      <c r="B34" s="1" t="s">
        <v>101</v>
      </c>
      <c r="C34" s="29" t="s">
        <v>102</v>
      </c>
      <c r="D34" s="40" t="s">
        <v>103</v>
      </c>
      <c r="E34" s="41" t="s">
        <v>69</v>
      </c>
      <c r="F34" s="42">
        <v>9162</v>
      </c>
      <c r="G34" s="43">
        <v>404.12</v>
      </c>
      <c r="H34" s="43">
        <v>1.34</v>
      </c>
      <c r="I34" s="44"/>
      <c r="J34" s="45"/>
      <c r="K34" s="46"/>
      <c r="L34" s="48"/>
      <c r="M34" s="20"/>
    </row>
    <row r="35" spans="2:13" x14ac:dyDescent="0.25">
      <c r="B35" s="1" t="s">
        <v>104</v>
      </c>
      <c r="C35" s="29" t="s">
        <v>105</v>
      </c>
      <c r="D35" s="40" t="s">
        <v>106</v>
      </c>
      <c r="E35" s="41" t="s">
        <v>40</v>
      </c>
      <c r="F35" s="42">
        <v>38754</v>
      </c>
      <c r="G35" s="43">
        <v>399.36</v>
      </c>
      <c r="H35" s="43">
        <v>1.32</v>
      </c>
      <c r="I35" s="44"/>
      <c r="J35" s="45"/>
      <c r="K35" s="46"/>
      <c r="L35" s="48"/>
      <c r="M35" s="20"/>
    </row>
    <row r="36" spans="2:13" x14ac:dyDescent="0.25">
      <c r="B36" s="1" t="s">
        <v>107</v>
      </c>
      <c r="C36" s="29" t="s">
        <v>108</v>
      </c>
      <c r="D36" s="40" t="s">
        <v>109</v>
      </c>
      <c r="E36" s="41" t="s">
        <v>110</v>
      </c>
      <c r="F36" s="42">
        <v>9625</v>
      </c>
      <c r="G36" s="43">
        <v>392.21</v>
      </c>
      <c r="H36" s="43">
        <v>1.3</v>
      </c>
      <c r="I36" s="44"/>
      <c r="J36" s="45"/>
      <c r="K36" s="46"/>
      <c r="L36" s="48"/>
      <c r="M36" s="20"/>
    </row>
    <row r="37" spans="2:13" x14ac:dyDescent="0.25">
      <c r="B37" s="1" t="s">
        <v>111</v>
      </c>
      <c r="C37" s="29" t="s">
        <v>112</v>
      </c>
      <c r="D37" s="40" t="s">
        <v>113</v>
      </c>
      <c r="E37" s="41" t="s">
        <v>62</v>
      </c>
      <c r="F37" s="42">
        <v>14612</v>
      </c>
      <c r="G37" s="43">
        <v>390.77</v>
      </c>
      <c r="H37" s="43">
        <v>1.29</v>
      </c>
      <c r="I37" s="44"/>
      <c r="J37" s="45"/>
      <c r="K37" s="46"/>
      <c r="L37" s="48"/>
      <c r="M37" s="20"/>
    </row>
    <row r="38" spans="2:13" x14ac:dyDescent="0.25">
      <c r="B38" s="1" t="s">
        <v>114</v>
      </c>
      <c r="C38" s="29" t="s">
        <v>115</v>
      </c>
      <c r="D38" s="40" t="s">
        <v>116</v>
      </c>
      <c r="E38" s="41" t="s">
        <v>117</v>
      </c>
      <c r="F38" s="42">
        <v>41688</v>
      </c>
      <c r="G38" s="43">
        <v>387.05</v>
      </c>
      <c r="H38" s="43">
        <v>1.28</v>
      </c>
      <c r="I38" s="44"/>
      <c r="J38" s="45"/>
      <c r="K38" s="46"/>
      <c r="L38" s="48"/>
      <c r="M38" s="20"/>
    </row>
    <row r="39" spans="2:13" x14ac:dyDescent="0.25">
      <c r="B39" s="1" t="s">
        <v>118</v>
      </c>
      <c r="C39" s="29" t="s">
        <v>119</v>
      </c>
      <c r="D39" s="40" t="s">
        <v>120</v>
      </c>
      <c r="E39" s="41" t="s">
        <v>40</v>
      </c>
      <c r="F39" s="42">
        <v>11273</v>
      </c>
      <c r="G39" s="43">
        <v>376.85</v>
      </c>
      <c r="H39" s="43">
        <v>1.25</v>
      </c>
      <c r="I39" s="44"/>
      <c r="J39" s="45"/>
      <c r="K39" s="46"/>
      <c r="L39" s="48"/>
      <c r="M39" s="20"/>
    </row>
    <row r="40" spans="2:13" x14ac:dyDescent="0.25">
      <c r="B40" s="1" t="s">
        <v>121</v>
      </c>
      <c r="C40" s="29" t="s">
        <v>122</v>
      </c>
      <c r="D40" s="40" t="s">
        <v>123</v>
      </c>
      <c r="E40" s="41" t="s">
        <v>89</v>
      </c>
      <c r="F40" s="42">
        <v>5193</v>
      </c>
      <c r="G40" s="43">
        <v>376.65</v>
      </c>
      <c r="H40" s="43">
        <v>1.25</v>
      </c>
      <c r="I40" s="44"/>
      <c r="J40" s="45"/>
      <c r="K40" s="46"/>
      <c r="L40" s="48"/>
      <c r="M40" s="20"/>
    </row>
    <row r="41" spans="2:13" x14ac:dyDescent="0.25">
      <c r="B41" s="1" t="s">
        <v>124</v>
      </c>
      <c r="C41" s="29" t="s">
        <v>125</v>
      </c>
      <c r="D41" s="40" t="s">
        <v>126</v>
      </c>
      <c r="E41" s="41" t="s">
        <v>127</v>
      </c>
      <c r="F41" s="42">
        <v>62425</v>
      </c>
      <c r="G41" s="43">
        <v>368.68</v>
      </c>
      <c r="H41" s="43">
        <v>1.22</v>
      </c>
      <c r="I41" s="44"/>
      <c r="J41" s="45"/>
      <c r="K41" s="46"/>
      <c r="L41" s="48"/>
      <c r="M41" s="20"/>
    </row>
    <row r="42" spans="2:13" x14ac:dyDescent="0.25">
      <c r="B42" s="1" t="s">
        <v>128</v>
      </c>
      <c r="C42" s="29" t="s">
        <v>129</v>
      </c>
      <c r="D42" s="40" t="s">
        <v>130</v>
      </c>
      <c r="E42" s="41" t="s">
        <v>117</v>
      </c>
      <c r="F42" s="42">
        <v>4437</v>
      </c>
      <c r="G42" s="43">
        <v>362.79</v>
      </c>
      <c r="H42" s="43">
        <v>1.2</v>
      </c>
      <c r="I42" s="44"/>
      <c r="J42" s="45"/>
      <c r="K42" s="46"/>
      <c r="L42" s="48"/>
      <c r="M42" s="20"/>
    </row>
    <row r="43" spans="2:13" x14ac:dyDescent="0.25">
      <c r="B43" s="1" t="s">
        <v>131</v>
      </c>
      <c r="C43" s="29" t="s">
        <v>132</v>
      </c>
      <c r="D43" s="40" t="s">
        <v>133</v>
      </c>
      <c r="E43" s="41" t="s">
        <v>93</v>
      </c>
      <c r="F43" s="42">
        <v>82400</v>
      </c>
      <c r="G43" s="43">
        <v>324.57</v>
      </c>
      <c r="H43" s="43">
        <v>1.08</v>
      </c>
      <c r="I43" s="44"/>
      <c r="J43" s="45"/>
      <c r="K43" s="46"/>
      <c r="L43" s="48"/>
      <c r="M43" s="20"/>
    </row>
    <row r="44" spans="2:13" x14ac:dyDescent="0.25">
      <c r="B44" s="1" t="s">
        <v>134</v>
      </c>
      <c r="C44" s="29" t="s">
        <v>135</v>
      </c>
      <c r="D44" s="40" t="s">
        <v>136</v>
      </c>
      <c r="E44" s="41" t="s">
        <v>100</v>
      </c>
      <c r="F44" s="42">
        <v>20875</v>
      </c>
      <c r="G44" s="43">
        <v>315.89999999999998</v>
      </c>
      <c r="H44" s="43">
        <v>1.05</v>
      </c>
      <c r="I44" s="44"/>
      <c r="J44" s="45"/>
      <c r="K44" s="46"/>
      <c r="L44" s="48"/>
      <c r="M44" s="20"/>
    </row>
    <row r="45" spans="2:13" x14ac:dyDescent="0.25">
      <c r="B45" s="1" t="s">
        <v>137</v>
      </c>
      <c r="C45" s="29" t="s">
        <v>138</v>
      </c>
      <c r="D45" s="40" t="s">
        <v>139</v>
      </c>
      <c r="E45" s="41" t="s">
        <v>117</v>
      </c>
      <c r="F45" s="42">
        <v>59561</v>
      </c>
      <c r="G45" s="43">
        <v>310.64</v>
      </c>
      <c r="H45" s="43">
        <v>1.03</v>
      </c>
      <c r="I45" s="44"/>
      <c r="J45" s="45"/>
      <c r="K45" s="46"/>
      <c r="L45" s="48"/>
      <c r="M45" s="20"/>
    </row>
    <row r="46" spans="2:13" x14ac:dyDescent="0.25">
      <c r="B46" s="1" t="s">
        <v>140</v>
      </c>
      <c r="C46" s="29" t="s">
        <v>141</v>
      </c>
      <c r="D46" s="40" t="s">
        <v>142</v>
      </c>
      <c r="E46" s="41" t="s">
        <v>100</v>
      </c>
      <c r="F46" s="42">
        <v>104403</v>
      </c>
      <c r="G46" s="43">
        <v>303.33999999999997</v>
      </c>
      <c r="H46" s="43">
        <v>1</v>
      </c>
      <c r="I46" s="44"/>
      <c r="J46" s="45"/>
      <c r="K46" s="46"/>
      <c r="L46" s="48"/>
      <c r="M46" s="20"/>
    </row>
    <row r="47" spans="2:13" x14ac:dyDescent="0.25">
      <c r="B47" s="1" t="s">
        <v>143</v>
      </c>
      <c r="C47" s="29" t="s">
        <v>144</v>
      </c>
      <c r="D47" s="40" t="s">
        <v>145</v>
      </c>
      <c r="E47" s="41" t="s">
        <v>93</v>
      </c>
      <c r="F47" s="42">
        <v>5899</v>
      </c>
      <c r="G47" s="43">
        <v>289.23</v>
      </c>
      <c r="H47" s="43">
        <v>0.96</v>
      </c>
      <c r="I47" s="44"/>
      <c r="J47" s="45"/>
      <c r="K47" s="46"/>
      <c r="L47" s="48"/>
      <c r="M47" s="20"/>
    </row>
    <row r="48" spans="2:13" x14ac:dyDescent="0.25">
      <c r="B48" s="1" t="s">
        <v>146</v>
      </c>
      <c r="C48" s="29" t="s">
        <v>147</v>
      </c>
      <c r="D48" s="40" t="s">
        <v>148</v>
      </c>
      <c r="E48" s="41" t="s">
        <v>62</v>
      </c>
      <c r="F48" s="42">
        <v>24250</v>
      </c>
      <c r="G48" s="43">
        <v>267.83999999999997</v>
      </c>
      <c r="H48" s="43">
        <v>0.89</v>
      </c>
      <c r="I48" s="44"/>
      <c r="J48" s="45"/>
      <c r="K48" s="46"/>
      <c r="L48" s="48"/>
      <c r="M48" s="20"/>
    </row>
    <row r="49" spans="2:13" x14ac:dyDescent="0.25">
      <c r="B49" s="1" t="s">
        <v>149</v>
      </c>
      <c r="C49" s="29" t="s">
        <v>150</v>
      </c>
      <c r="D49" s="40" t="s">
        <v>151</v>
      </c>
      <c r="E49" s="41" t="s">
        <v>152</v>
      </c>
      <c r="F49" s="42">
        <v>224759</v>
      </c>
      <c r="G49" s="43">
        <v>225.34</v>
      </c>
      <c r="H49" s="43">
        <v>0.75</v>
      </c>
      <c r="I49" s="44"/>
      <c r="J49" s="45"/>
      <c r="K49" s="46"/>
      <c r="L49" s="48"/>
      <c r="M49" s="20"/>
    </row>
    <row r="50" spans="2:13" x14ac:dyDescent="0.25">
      <c r="B50" s="1" t="s">
        <v>153</v>
      </c>
      <c r="C50" s="29" t="s">
        <v>154</v>
      </c>
      <c r="D50" s="40" t="s">
        <v>155</v>
      </c>
      <c r="E50" s="41" t="s">
        <v>62</v>
      </c>
      <c r="F50" s="42">
        <v>25215</v>
      </c>
      <c r="G50" s="43">
        <v>221.77</v>
      </c>
      <c r="H50" s="43">
        <v>0.73</v>
      </c>
      <c r="I50" s="44"/>
      <c r="J50" s="45"/>
      <c r="K50" s="46"/>
      <c r="L50" s="48"/>
      <c r="M50" s="20"/>
    </row>
    <row r="51" spans="2:13" x14ac:dyDescent="0.25">
      <c r="B51" s="1" t="s">
        <v>156</v>
      </c>
      <c r="C51" s="29" t="s">
        <v>157</v>
      </c>
      <c r="D51" s="40" t="s">
        <v>158</v>
      </c>
      <c r="E51" s="41" t="s">
        <v>40</v>
      </c>
      <c r="F51" s="42">
        <v>39000</v>
      </c>
      <c r="G51" s="43">
        <v>207.93</v>
      </c>
      <c r="H51" s="43">
        <v>0.69</v>
      </c>
      <c r="I51" s="44"/>
      <c r="J51" s="45"/>
      <c r="K51" s="46"/>
      <c r="L51" s="48"/>
      <c r="M51" s="20"/>
    </row>
    <row r="52" spans="2:13" x14ac:dyDescent="0.25">
      <c r="B52" s="1" t="s">
        <v>159</v>
      </c>
      <c r="C52" s="29" t="s">
        <v>160</v>
      </c>
      <c r="D52" s="40" t="s">
        <v>161</v>
      </c>
      <c r="E52" s="41" t="s">
        <v>162</v>
      </c>
      <c r="F52" s="42">
        <v>172402</v>
      </c>
      <c r="G52" s="43">
        <v>196.45</v>
      </c>
      <c r="H52" s="43">
        <v>0.65</v>
      </c>
      <c r="I52" s="44"/>
      <c r="J52" s="45"/>
      <c r="K52" s="46"/>
      <c r="L52" s="48"/>
      <c r="M52" s="20"/>
    </row>
    <row r="53" spans="2:13" x14ac:dyDescent="0.25">
      <c r="B53" s="1" t="s">
        <v>163</v>
      </c>
      <c r="C53" s="29" t="s">
        <v>164</v>
      </c>
      <c r="D53" s="40" t="s">
        <v>165</v>
      </c>
      <c r="E53" s="41" t="s">
        <v>166</v>
      </c>
      <c r="F53" s="42">
        <v>67200</v>
      </c>
      <c r="G53" s="43">
        <v>192.8</v>
      </c>
      <c r="H53" s="43">
        <v>0.64</v>
      </c>
      <c r="I53" s="44"/>
      <c r="J53" s="45"/>
      <c r="K53" s="46"/>
      <c r="L53" s="48"/>
      <c r="M53" s="20"/>
    </row>
    <row r="54" spans="2:13" x14ac:dyDescent="0.25">
      <c r="B54" s="1" t="s">
        <v>167</v>
      </c>
      <c r="C54" s="29" t="s">
        <v>168</v>
      </c>
      <c r="D54" s="40" t="s">
        <v>169</v>
      </c>
      <c r="E54" s="41" t="s">
        <v>40</v>
      </c>
      <c r="F54" s="42">
        <v>72850</v>
      </c>
      <c r="G54" s="43">
        <v>174.08</v>
      </c>
      <c r="H54" s="43">
        <v>0.57999999999999996</v>
      </c>
      <c r="I54" s="44"/>
      <c r="J54" s="45"/>
      <c r="K54" s="46"/>
      <c r="L54" s="48"/>
      <c r="M54" s="20"/>
    </row>
    <row r="55" spans="2:13" x14ac:dyDescent="0.25">
      <c r="B55" s="1" t="s">
        <v>170</v>
      </c>
      <c r="C55" s="29" t="s">
        <v>171</v>
      </c>
      <c r="D55" s="40" t="s">
        <v>172</v>
      </c>
      <c r="E55" s="41" t="s">
        <v>93</v>
      </c>
      <c r="F55" s="42">
        <v>5600</v>
      </c>
      <c r="G55" s="43">
        <v>170.55</v>
      </c>
      <c r="H55" s="43">
        <v>0.56999999999999995</v>
      </c>
      <c r="I55" s="44"/>
      <c r="J55" s="45"/>
      <c r="K55" s="46"/>
      <c r="L55" s="48"/>
      <c r="M55" s="20"/>
    </row>
    <row r="56" spans="2:13" x14ac:dyDescent="0.25">
      <c r="B56" s="1" t="s">
        <v>173</v>
      </c>
      <c r="C56" s="29" t="s">
        <v>174</v>
      </c>
      <c r="D56" s="40" t="s">
        <v>175</v>
      </c>
      <c r="E56" s="41" t="s">
        <v>40</v>
      </c>
      <c r="F56" s="42">
        <v>10350</v>
      </c>
      <c r="G56" s="43">
        <v>159.15</v>
      </c>
      <c r="H56" s="43">
        <v>0.53</v>
      </c>
      <c r="I56" s="44"/>
      <c r="J56" s="45"/>
      <c r="K56" s="46"/>
      <c r="L56" s="48"/>
      <c r="M56" s="20"/>
    </row>
    <row r="57" spans="2:13" x14ac:dyDescent="0.25">
      <c r="B57" s="1" t="s">
        <v>176</v>
      </c>
      <c r="C57" s="29" t="s">
        <v>177</v>
      </c>
      <c r="D57" s="40" t="s">
        <v>178</v>
      </c>
      <c r="E57" s="41" t="s">
        <v>48</v>
      </c>
      <c r="F57" s="42">
        <v>122661</v>
      </c>
      <c r="G57" s="43">
        <v>149.36000000000001</v>
      </c>
      <c r="H57" s="43">
        <v>0.49</v>
      </c>
      <c r="I57" s="44"/>
      <c r="J57" s="45"/>
      <c r="K57" s="46"/>
      <c r="L57" s="48"/>
      <c r="M57" s="20"/>
    </row>
    <row r="58" spans="2:13" x14ac:dyDescent="0.25">
      <c r="B58" s="1" t="s">
        <v>179</v>
      </c>
      <c r="C58" s="29" t="s">
        <v>180</v>
      </c>
      <c r="D58" s="40" t="s">
        <v>181</v>
      </c>
      <c r="E58" s="41" t="s">
        <v>182</v>
      </c>
      <c r="F58" s="42">
        <v>71500</v>
      </c>
      <c r="G58" s="43">
        <v>148.72999999999999</v>
      </c>
      <c r="H58" s="43">
        <v>0.49</v>
      </c>
      <c r="I58" s="44"/>
      <c r="J58" s="45"/>
      <c r="K58" s="46"/>
      <c r="L58" s="48"/>
      <c r="M58" s="20"/>
    </row>
    <row r="59" spans="2:13" x14ac:dyDescent="0.25">
      <c r="B59" s="1" t="s">
        <v>183</v>
      </c>
      <c r="C59" s="29" t="s">
        <v>184</v>
      </c>
      <c r="D59" s="40" t="s">
        <v>185</v>
      </c>
      <c r="E59" s="41" t="s">
        <v>186</v>
      </c>
      <c r="F59" s="42">
        <v>34112</v>
      </c>
      <c r="G59" s="43">
        <v>127.43</v>
      </c>
      <c r="H59" s="43">
        <v>0.42</v>
      </c>
      <c r="I59" s="44"/>
      <c r="J59" s="45"/>
      <c r="K59" s="46"/>
      <c r="L59" s="48"/>
      <c r="M59" s="20"/>
    </row>
    <row r="60" spans="2:13" x14ac:dyDescent="0.25">
      <c r="B60" s="1" t="s">
        <v>187</v>
      </c>
      <c r="C60" s="29" t="s">
        <v>188</v>
      </c>
      <c r="D60" s="40" t="s">
        <v>189</v>
      </c>
      <c r="E60" s="41" t="s">
        <v>190</v>
      </c>
      <c r="F60" s="42">
        <v>24150</v>
      </c>
      <c r="G60" s="43">
        <v>108.16</v>
      </c>
      <c r="H60" s="43">
        <v>0.36</v>
      </c>
      <c r="I60" s="44"/>
      <c r="J60" s="45"/>
      <c r="K60" s="46"/>
      <c r="L60" s="48"/>
      <c r="M60" s="20"/>
    </row>
    <row r="61" spans="2:13" x14ac:dyDescent="0.25">
      <c r="B61" s="1" t="s">
        <v>191</v>
      </c>
      <c r="C61" s="29" t="s">
        <v>192</v>
      </c>
      <c r="D61" s="40" t="s">
        <v>193</v>
      </c>
      <c r="E61" s="41" t="s">
        <v>194</v>
      </c>
      <c r="F61" s="42">
        <v>13500</v>
      </c>
      <c r="G61" s="43">
        <v>61.59</v>
      </c>
      <c r="H61" s="43">
        <v>0.2</v>
      </c>
      <c r="I61" s="44"/>
      <c r="J61" s="45"/>
      <c r="K61" s="46"/>
      <c r="L61" s="48"/>
      <c r="M61" s="20"/>
    </row>
    <row r="62" spans="2:13" x14ac:dyDescent="0.25">
      <c r="C62" s="39" t="s">
        <v>195</v>
      </c>
      <c r="D62" s="40"/>
      <c r="E62" s="41"/>
      <c r="F62" s="42"/>
      <c r="G62" s="49">
        <v>26628.799999999999</v>
      </c>
      <c r="H62" s="49">
        <v>88.21</v>
      </c>
      <c r="I62" s="44"/>
      <c r="J62" s="45"/>
      <c r="K62" s="46"/>
      <c r="L62" s="48"/>
      <c r="M62" s="20"/>
    </row>
    <row r="63" spans="2:13" x14ac:dyDescent="0.25">
      <c r="C63" s="29"/>
      <c r="D63" s="40"/>
      <c r="E63" s="41"/>
      <c r="F63" s="42"/>
      <c r="G63" s="43"/>
      <c r="H63" s="43"/>
      <c r="I63" s="44"/>
      <c r="J63" s="45"/>
      <c r="K63" s="46"/>
      <c r="L63" s="48"/>
      <c r="M63" s="20"/>
    </row>
    <row r="64" spans="2:13" x14ac:dyDescent="0.25">
      <c r="C64" s="47" t="s">
        <v>196</v>
      </c>
      <c r="D64" s="40"/>
      <c r="E64" s="41"/>
      <c r="F64" s="42"/>
      <c r="G64" s="43"/>
      <c r="H64" s="43"/>
      <c r="I64" s="44"/>
      <c r="J64" s="45"/>
      <c r="K64" s="46"/>
      <c r="L64" s="48"/>
      <c r="M64" s="20"/>
    </row>
    <row r="65" spans="1:13" x14ac:dyDescent="0.25">
      <c r="B65" s="1" t="s">
        <v>197</v>
      </c>
      <c r="C65" s="29" t="s">
        <v>198</v>
      </c>
      <c r="D65" s="40" t="s">
        <v>199</v>
      </c>
      <c r="E65" s="41" t="s">
        <v>127</v>
      </c>
      <c r="F65" s="42">
        <v>142824</v>
      </c>
      <c r="G65" s="43">
        <v>610.1</v>
      </c>
      <c r="H65" s="43">
        <v>2.02</v>
      </c>
      <c r="I65" s="44"/>
      <c r="J65" s="45"/>
      <c r="K65" s="46"/>
      <c r="L65" s="48"/>
      <c r="M65" s="20"/>
    </row>
    <row r="66" spans="1:13" x14ac:dyDescent="0.25">
      <c r="C66" s="39" t="s">
        <v>195</v>
      </c>
      <c r="D66" s="40"/>
      <c r="E66" s="41"/>
      <c r="F66" s="42"/>
      <c r="G66" s="49">
        <v>610.1</v>
      </c>
      <c r="H66" s="49">
        <v>2.02</v>
      </c>
      <c r="I66" s="44"/>
      <c r="J66" s="45"/>
      <c r="K66" s="46"/>
      <c r="L66" s="48"/>
      <c r="M66" s="20"/>
    </row>
    <row r="67" spans="1:13" x14ac:dyDescent="0.25">
      <c r="C67" s="29"/>
      <c r="D67" s="40"/>
      <c r="E67" s="41"/>
      <c r="F67" s="42"/>
      <c r="G67" s="43"/>
      <c r="H67" s="43"/>
      <c r="I67" s="44"/>
      <c r="J67" s="45"/>
      <c r="K67" s="46"/>
      <c r="L67" s="48"/>
      <c r="M67" s="20"/>
    </row>
    <row r="68" spans="1:13" x14ac:dyDescent="0.25">
      <c r="A68" s="37"/>
      <c r="B68" s="38"/>
      <c r="C68" s="39" t="s">
        <v>200</v>
      </c>
      <c r="D68" s="40"/>
      <c r="E68" s="41"/>
      <c r="F68" s="42"/>
      <c r="G68" s="43"/>
      <c r="H68" s="43"/>
      <c r="I68" s="44"/>
      <c r="J68" s="45"/>
      <c r="K68" s="46"/>
      <c r="L68" s="48"/>
      <c r="M68" s="20"/>
    </row>
    <row r="69" spans="1:13" x14ac:dyDescent="0.25">
      <c r="C69" s="47" t="s">
        <v>201</v>
      </c>
      <c r="D69" s="40"/>
      <c r="E69" s="41"/>
      <c r="F69" s="42"/>
      <c r="G69" s="43"/>
      <c r="H69" s="43"/>
      <c r="I69" s="44"/>
      <c r="J69" s="45"/>
      <c r="K69" s="46"/>
      <c r="L69" s="48"/>
      <c r="M69" s="20"/>
    </row>
    <row r="70" spans="1:13" x14ac:dyDescent="0.25">
      <c r="B70" s="1" t="s">
        <v>202</v>
      </c>
      <c r="C70" s="29" t="s">
        <v>203</v>
      </c>
      <c r="D70" s="40" t="s">
        <v>204</v>
      </c>
      <c r="E70" s="41" t="s">
        <v>205</v>
      </c>
      <c r="F70" s="42">
        <v>500000</v>
      </c>
      <c r="G70" s="43">
        <v>511.6</v>
      </c>
      <c r="H70" s="43">
        <v>1.69</v>
      </c>
      <c r="I70" s="44">
        <v>6.3888036000000001</v>
      </c>
      <c r="J70" s="45"/>
      <c r="K70" s="46"/>
      <c r="L70" s="48"/>
      <c r="M70" s="20"/>
    </row>
    <row r="71" spans="1:13" x14ac:dyDescent="0.25">
      <c r="B71" s="1" t="s">
        <v>206</v>
      </c>
      <c r="C71" s="29" t="s">
        <v>207</v>
      </c>
      <c r="D71" s="40" t="s">
        <v>208</v>
      </c>
      <c r="E71" s="41" t="s">
        <v>205</v>
      </c>
      <c r="F71" s="42">
        <v>500000</v>
      </c>
      <c r="G71" s="43">
        <v>507.88</v>
      </c>
      <c r="H71" s="43">
        <v>1.68</v>
      </c>
      <c r="I71" s="44">
        <v>7.1318076000000001</v>
      </c>
      <c r="J71" s="45"/>
      <c r="K71" s="46"/>
      <c r="L71" s="48"/>
      <c r="M71" s="20"/>
    </row>
    <row r="72" spans="1:13" x14ac:dyDescent="0.25">
      <c r="C72" s="39" t="s">
        <v>195</v>
      </c>
      <c r="D72" s="40"/>
      <c r="E72" s="41"/>
      <c r="F72" s="42"/>
      <c r="G72" s="49">
        <v>1019.48</v>
      </c>
      <c r="H72" s="49">
        <v>3.37</v>
      </c>
      <c r="I72" s="44"/>
      <c r="J72" s="45"/>
      <c r="K72" s="46"/>
      <c r="L72" s="48"/>
      <c r="M72" s="20"/>
    </row>
    <row r="73" spans="1:13" x14ac:dyDescent="0.25">
      <c r="C73" s="29"/>
      <c r="D73" s="40"/>
      <c r="E73" s="41"/>
      <c r="F73" s="42"/>
      <c r="G73" s="43"/>
      <c r="H73" s="43"/>
      <c r="I73" s="44"/>
      <c r="J73" s="45"/>
      <c r="K73" s="46"/>
      <c r="L73" s="48"/>
      <c r="M73" s="20"/>
    </row>
    <row r="74" spans="1:13" x14ac:dyDescent="0.25">
      <c r="A74" s="37"/>
      <c r="B74" s="38"/>
      <c r="C74" s="39" t="s">
        <v>209</v>
      </c>
      <c r="D74" s="40"/>
      <c r="E74" s="41"/>
      <c r="F74" s="42"/>
      <c r="G74" s="43"/>
      <c r="H74" s="43"/>
      <c r="I74" s="44"/>
      <c r="J74" s="45"/>
      <c r="K74" s="46"/>
      <c r="L74" s="48"/>
      <c r="M74" s="20"/>
    </row>
    <row r="75" spans="1:13" x14ac:dyDescent="0.25">
      <c r="C75" s="47" t="s">
        <v>210</v>
      </c>
      <c r="D75" s="40"/>
      <c r="E75" s="41"/>
      <c r="F75" s="42"/>
      <c r="G75" s="43"/>
      <c r="H75" s="43"/>
      <c r="I75" s="44"/>
      <c r="J75" s="45"/>
      <c r="K75" s="46"/>
      <c r="L75" s="48"/>
      <c r="M75" s="20"/>
    </row>
    <row r="76" spans="1:13" x14ac:dyDescent="0.25">
      <c r="B76" s="1" t="s">
        <v>211</v>
      </c>
      <c r="C76" s="29" t="s">
        <v>212</v>
      </c>
      <c r="D76" s="40" t="s">
        <v>213</v>
      </c>
      <c r="E76" s="41" t="s">
        <v>205</v>
      </c>
      <c r="F76" s="42">
        <v>500000</v>
      </c>
      <c r="G76" s="43">
        <v>495.08</v>
      </c>
      <c r="H76" s="43">
        <v>1.64</v>
      </c>
      <c r="I76" s="44">
        <v>5.4997999999999996</v>
      </c>
      <c r="J76" s="45"/>
      <c r="K76" s="46"/>
      <c r="L76" s="48"/>
      <c r="M76" s="20"/>
    </row>
    <row r="77" spans="1:13" x14ac:dyDescent="0.25">
      <c r="B77" s="1" t="s">
        <v>214</v>
      </c>
      <c r="C77" s="29" t="s">
        <v>215</v>
      </c>
      <c r="D77" s="40" t="s">
        <v>216</v>
      </c>
      <c r="E77" s="41" t="s">
        <v>205</v>
      </c>
      <c r="F77" s="42">
        <v>500000</v>
      </c>
      <c r="G77" s="43">
        <v>487.01</v>
      </c>
      <c r="H77" s="43">
        <v>1.61</v>
      </c>
      <c r="I77" s="44">
        <v>5.6957000000000004</v>
      </c>
      <c r="J77" s="45"/>
      <c r="K77" s="46"/>
      <c r="L77" s="48"/>
      <c r="M77" s="20"/>
    </row>
    <row r="78" spans="1:13" x14ac:dyDescent="0.25">
      <c r="B78" s="1" t="s">
        <v>217</v>
      </c>
      <c r="C78" s="29" t="s">
        <v>218</v>
      </c>
      <c r="D78" s="40" t="s">
        <v>219</v>
      </c>
      <c r="E78" s="41" t="s">
        <v>205</v>
      </c>
      <c r="F78" s="42">
        <v>300000</v>
      </c>
      <c r="G78" s="43">
        <v>296.74</v>
      </c>
      <c r="H78" s="43">
        <v>0.98</v>
      </c>
      <c r="I78" s="44">
        <v>5.4997999999999996</v>
      </c>
      <c r="J78" s="45"/>
      <c r="K78" s="46"/>
      <c r="L78" s="48"/>
      <c r="M78" s="20"/>
    </row>
    <row r="79" spans="1:13" x14ac:dyDescent="0.25">
      <c r="C79" s="39" t="s">
        <v>195</v>
      </c>
      <c r="D79" s="40"/>
      <c r="E79" s="41"/>
      <c r="F79" s="42"/>
      <c r="G79" s="49">
        <v>1278.83</v>
      </c>
      <c r="H79" s="49">
        <v>4.2300000000000004</v>
      </c>
      <c r="I79" s="44"/>
      <c r="J79" s="45"/>
      <c r="K79" s="46"/>
      <c r="L79" s="48"/>
      <c r="M79" s="20"/>
    </row>
    <row r="80" spans="1:13" x14ac:dyDescent="0.25">
      <c r="C80" s="29"/>
      <c r="D80" s="40"/>
      <c r="E80" s="41"/>
      <c r="F80" s="42"/>
      <c r="G80" s="43"/>
      <c r="H80" s="43"/>
      <c r="I80" s="44"/>
      <c r="J80" s="45"/>
      <c r="K80" s="46"/>
      <c r="L80" s="48"/>
      <c r="M80" s="20"/>
    </row>
    <row r="81" spans="1:54" x14ac:dyDescent="0.25">
      <c r="A81" s="37"/>
      <c r="B81" s="38"/>
      <c r="C81" s="39" t="s">
        <v>220</v>
      </c>
      <c r="D81" s="40"/>
      <c r="E81" s="41"/>
      <c r="F81" s="42"/>
      <c r="G81" s="43"/>
      <c r="H81" s="43"/>
      <c r="I81" s="44"/>
      <c r="J81" s="45"/>
      <c r="K81" s="46"/>
      <c r="L81" s="48"/>
      <c r="M81" s="20"/>
    </row>
    <row r="82" spans="1:54" x14ac:dyDescent="0.25">
      <c r="C82" s="47" t="s">
        <v>221</v>
      </c>
      <c r="D82" s="40"/>
      <c r="E82" s="41"/>
      <c r="F82" s="42"/>
      <c r="G82" s="43"/>
      <c r="H82" s="43"/>
      <c r="I82" s="44"/>
      <c r="J82" s="45"/>
      <c r="K82" s="46"/>
      <c r="L82" s="48"/>
      <c r="M82" s="20"/>
    </row>
    <row r="83" spans="1:54" x14ac:dyDescent="0.25">
      <c r="B83" s="1" t="s">
        <v>222</v>
      </c>
      <c r="C83" s="29" t="s">
        <v>223</v>
      </c>
      <c r="D83" s="40"/>
      <c r="E83" s="41"/>
      <c r="F83" s="42"/>
      <c r="G83" s="43">
        <v>655</v>
      </c>
      <c r="H83" s="43">
        <v>2.17</v>
      </c>
      <c r="I83" s="44">
        <v>5.350778</v>
      </c>
      <c r="J83" s="45"/>
      <c r="K83" s="46"/>
      <c r="L83" s="48"/>
      <c r="M83" s="20"/>
    </row>
    <row r="84" spans="1:54" x14ac:dyDescent="0.25">
      <c r="C84" s="39" t="s">
        <v>195</v>
      </c>
      <c r="D84" s="40"/>
      <c r="E84" s="41"/>
      <c r="F84" s="42"/>
      <c r="G84" s="49">
        <v>655</v>
      </c>
      <c r="H84" s="49">
        <v>2.17</v>
      </c>
      <c r="I84" s="44"/>
      <c r="J84" s="45"/>
      <c r="K84" s="46"/>
      <c r="L84" s="48"/>
      <c r="M84" s="20"/>
    </row>
    <row r="85" spans="1:54" x14ac:dyDescent="0.25">
      <c r="C85" s="29"/>
      <c r="D85" s="40"/>
      <c r="E85" s="41"/>
      <c r="F85" s="42"/>
      <c r="G85" s="43"/>
      <c r="H85" s="43"/>
      <c r="I85" s="44"/>
      <c r="J85" s="45"/>
      <c r="K85" s="46"/>
      <c r="L85" s="48"/>
      <c r="M85" s="20"/>
    </row>
    <row r="86" spans="1:54" x14ac:dyDescent="0.25">
      <c r="A86" s="37"/>
      <c r="B86" s="38"/>
      <c r="C86" s="39" t="s">
        <v>224</v>
      </c>
      <c r="D86" s="40"/>
      <c r="E86" s="41"/>
      <c r="F86" s="42"/>
      <c r="G86" s="43"/>
      <c r="H86" s="43"/>
      <c r="I86" s="44"/>
      <c r="J86" s="45"/>
      <c r="K86" s="46"/>
      <c r="L86" s="48"/>
      <c r="M86" s="20"/>
    </row>
    <row r="87" spans="1:54" x14ac:dyDescent="0.25">
      <c r="A87" s="38"/>
      <c r="B87" s="38"/>
      <c r="C87" s="29" t="s">
        <v>225</v>
      </c>
      <c r="D87" s="40"/>
      <c r="E87" s="41"/>
      <c r="F87" s="42"/>
      <c r="G87" s="43">
        <v>173.01</v>
      </c>
      <c r="H87" s="43">
        <v>0.56999999999999995</v>
      </c>
      <c r="I87" s="44"/>
      <c r="J87" s="45"/>
      <c r="K87" s="46"/>
      <c r="L87" s="48"/>
      <c r="M87" s="20"/>
    </row>
    <row r="88" spans="1:54" x14ac:dyDescent="0.25">
      <c r="B88" s="1"/>
      <c r="C88" s="29" t="s">
        <v>226</v>
      </c>
      <c r="D88" s="40"/>
      <c r="E88" s="41"/>
      <c r="F88" s="42"/>
      <c r="G88" s="43">
        <v>-180.36722219999999</v>
      </c>
      <c r="H88" s="43">
        <v>-0.56999999999999995</v>
      </c>
      <c r="I88" s="44"/>
      <c r="J88" s="45"/>
      <c r="K88" s="46"/>
      <c r="L88" s="48"/>
      <c r="M88" s="20"/>
    </row>
    <row r="89" spans="1:54" x14ac:dyDescent="0.25">
      <c r="C89" s="39" t="s">
        <v>195</v>
      </c>
      <c r="D89" s="40"/>
      <c r="E89" s="41"/>
      <c r="F89" s="42"/>
      <c r="G89" s="49">
        <v>-7.3570000000000002</v>
      </c>
      <c r="H89" s="49" t="s">
        <v>227</v>
      </c>
      <c r="I89" s="44"/>
      <c r="J89" s="45"/>
      <c r="K89" s="46"/>
      <c r="L89" s="48"/>
      <c r="M89" s="20"/>
    </row>
    <row r="90" spans="1:54" x14ac:dyDescent="0.25">
      <c r="C90" s="29"/>
      <c r="D90" s="40"/>
      <c r="E90" s="41"/>
      <c r="F90" s="42"/>
      <c r="G90" s="43"/>
      <c r="H90" s="43"/>
      <c r="I90" s="44"/>
      <c r="J90" s="45"/>
      <c r="K90" s="46"/>
    </row>
    <row r="91" spans="1:54" ht="14.25" thickBot="1" x14ac:dyDescent="0.3">
      <c r="C91" s="50" t="s">
        <v>228</v>
      </c>
      <c r="D91" s="51"/>
      <c r="E91" s="52"/>
      <c r="F91" s="53"/>
      <c r="G91" s="54">
        <v>30184.85</v>
      </c>
      <c r="H91" s="54">
        <f>SUMIFS(H:H,C:C,"Total")</f>
        <v>100</v>
      </c>
      <c r="I91" s="55"/>
      <c r="J91" s="56"/>
      <c r="K91" s="57"/>
    </row>
    <row r="93" spans="1:54" s="58" customFormat="1" ht="15.75" x14ac:dyDescent="0.3">
      <c r="C93" s="58" t="s">
        <v>229</v>
      </c>
      <c r="F93" s="59"/>
      <c r="G93" s="59"/>
      <c r="H93" s="59"/>
    </row>
    <row r="94" spans="1:54" s="60" customFormat="1" ht="27" x14ac:dyDescent="0.25">
      <c r="B94" s="61"/>
      <c r="C94" s="61" t="s">
        <v>230</v>
      </c>
      <c r="D94" s="61" t="s">
        <v>231</v>
      </c>
      <c r="E94" s="61" t="s">
        <v>232</v>
      </c>
      <c r="F94" s="62" t="s">
        <v>7</v>
      </c>
      <c r="G94" s="63" t="s">
        <v>233</v>
      </c>
      <c r="H94" s="62" t="s">
        <v>9</v>
      </c>
      <c r="I94" s="61" t="s">
        <v>12</v>
      </c>
    </row>
    <row r="95" spans="1:54" s="60" customFormat="1" x14ac:dyDescent="0.25">
      <c r="B95" s="61"/>
      <c r="C95" s="61" t="s">
        <v>234</v>
      </c>
      <c r="D95" s="61"/>
      <c r="E95" s="61"/>
      <c r="F95" s="62"/>
      <c r="G95" s="63"/>
      <c r="H95" s="62"/>
      <c r="I95" s="61"/>
    </row>
    <row r="96" spans="1:54" x14ac:dyDescent="0.25">
      <c r="B96" s="64">
        <v>2222873</v>
      </c>
      <c r="C96" s="64" t="s">
        <v>235</v>
      </c>
      <c r="D96" s="64" t="s">
        <v>236</v>
      </c>
      <c r="E96" s="64" t="s">
        <v>18</v>
      </c>
      <c r="F96" s="65">
        <v>-266000</v>
      </c>
      <c r="G96" s="65">
        <v>-1032.7449999999999</v>
      </c>
      <c r="H96" s="65">
        <v>-3.42</v>
      </c>
      <c r="I96" s="64"/>
      <c r="J96" s="2"/>
      <c r="K96" s="2"/>
      <c r="L96" s="2"/>
      <c r="AI96" s="2"/>
      <c r="AV96" s="2"/>
      <c r="AX96" s="2"/>
      <c r="BB96" s="2"/>
    </row>
    <row r="97" spans="2:9" s="2" customFormat="1" x14ac:dyDescent="0.25">
      <c r="B97" s="64">
        <v>2222898</v>
      </c>
      <c r="C97" s="64" t="s">
        <v>237</v>
      </c>
      <c r="D97" s="64" t="s">
        <v>236</v>
      </c>
      <c r="E97" s="64" t="s">
        <v>22</v>
      </c>
      <c r="F97" s="65">
        <v>-76000</v>
      </c>
      <c r="G97" s="65">
        <v>-1010.724</v>
      </c>
      <c r="H97" s="65">
        <v>-3.35</v>
      </c>
      <c r="I97" s="64"/>
    </row>
    <row r="98" spans="2:9" s="2" customFormat="1" x14ac:dyDescent="0.25">
      <c r="B98" s="64">
        <v>2222950</v>
      </c>
      <c r="C98" s="64" t="s">
        <v>238</v>
      </c>
      <c r="D98" s="64" t="s">
        <v>236</v>
      </c>
      <c r="E98" s="64" t="s">
        <v>18</v>
      </c>
      <c r="F98" s="65">
        <v>-576000</v>
      </c>
      <c r="G98" s="65">
        <v>-616.32000000000005</v>
      </c>
      <c r="H98" s="65">
        <v>-2.04</v>
      </c>
      <c r="I98" s="64"/>
    </row>
    <row r="99" spans="2:9" s="2" customFormat="1" x14ac:dyDescent="0.25">
      <c r="B99" s="64">
        <v>2222888</v>
      </c>
      <c r="C99" s="64" t="s">
        <v>239</v>
      </c>
      <c r="D99" s="64" t="s">
        <v>236</v>
      </c>
      <c r="E99" s="64" t="s">
        <v>69</v>
      </c>
      <c r="F99" s="65">
        <v>-8400</v>
      </c>
      <c r="G99" s="65">
        <v>-566.74800000000005</v>
      </c>
      <c r="H99" s="65">
        <v>-1.88</v>
      </c>
      <c r="I99" s="64"/>
    </row>
    <row r="100" spans="2:9" s="2" customFormat="1" x14ac:dyDescent="0.25">
      <c r="B100" s="64">
        <v>2223014</v>
      </c>
      <c r="C100" s="64" t="s">
        <v>240</v>
      </c>
      <c r="D100" s="64" t="s">
        <v>236</v>
      </c>
      <c r="E100" s="64" t="s">
        <v>18</v>
      </c>
      <c r="F100" s="65">
        <v>-184275</v>
      </c>
      <c r="G100" s="65">
        <v>-499.38524999999998</v>
      </c>
      <c r="H100" s="65">
        <v>-1.65</v>
      </c>
      <c r="I100" s="64"/>
    </row>
    <row r="101" spans="2:9" s="2" customFormat="1" x14ac:dyDescent="0.25">
      <c r="B101" s="64">
        <v>2222981</v>
      </c>
      <c r="C101" s="64" t="s">
        <v>241</v>
      </c>
      <c r="D101" s="64" t="s">
        <v>236</v>
      </c>
      <c r="E101" s="64" t="s">
        <v>29</v>
      </c>
      <c r="F101" s="65">
        <v>-3359325</v>
      </c>
      <c r="G101" s="65">
        <v>-475.008555</v>
      </c>
      <c r="H101" s="65">
        <v>-1.57</v>
      </c>
      <c r="I101" s="64"/>
    </row>
    <row r="102" spans="2:9" s="2" customFormat="1" x14ac:dyDescent="0.25">
      <c r="B102" s="64">
        <v>2222915</v>
      </c>
      <c r="C102" s="64" t="s">
        <v>242</v>
      </c>
      <c r="D102" s="64" t="s">
        <v>236</v>
      </c>
      <c r="E102" s="64" t="s">
        <v>29</v>
      </c>
      <c r="F102" s="65">
        <v>-22325</v>
      </c>
      <c r="G102" s="65">
        <v>-411.89625000000001</v>
      </c>
      <c r="H102" s="65">
        <v>-1.36</v>
      </c>
      <c r="I102" s="64"/>
    </row>
    <row r="103" spans="2:9" s="2" customFormat="1" x14ac:dyDescent="0.25">
      <c r="B103" s="64">
        <v>2222941</v>
      </c>
      <c r="C103" s="64" t="s">
        <v>243</v>
      </c>
      <c r="D103" s="64" t="s">
        <v>236</v>
      </c>
      <c r="E103" s="64" t="s">
        <v>110</v>
      </c>
      <c r="F103" s="65">
        <v>-9625</v>
      </c>
      <c r="G103" s="65">
        <v>-395.54899999999998</v>
      </c>
      <c r="H103" s="65">
        <v>-1.31</v>
      </c>
      <c r="I103" s="64"/>
    </row>
    <row r="104" spans="2:9" s="2" customFormat="1" x14ac:dyDescent="0.25">
      <c r="B104" s="64">
        <v>2223036</v>
      </c>
      <c r="C104" s="64" t="s">
        <v>244</v>
      </c>
      <c r="D104" s="64" t="s">
        <v>236</v>
      </c>
      <c r="E104" s="64" t="s">
        <v>93</v>
      </c>
      <c r="F104" s="65">
        <v>-82400</v>
      </c>
      <c r="G104" s="65">
        <v>-325.892</v>
      </c>
      <c r="H104" s="65">
        <v>-1.08</v>
      </c>
      <c r="I104" s="64"/>
    </row>
    <row r="105" spans="2:9" s="2" customFormat="1" x14ac:dyDescent="0.25">
      <c r="B105" s="64">
        <v>2223044</v>
      </c>
      <c r="C105" s="64" t="s">
        <v>245</v>
      </c>
      <c r="D105" s="64" t="s">
        <v>236</v>
      </c>
      <c r="E105" s="64" t="s">
        <v>18</v>
      </c>
      <c r="F105" s="65">
        <v>-19375</v>
      </c>
      <c r="G105" s="65">
        <v>-251.91374999999999</v>
      </c>
      <c r="H105" s="65">
        <v>-0.83</v>
      </c>
      <c r="I105" s="64"/>
    </row>
    <row r="106" spans="2:9" s="2" customFormat="1" x14ac:dyDescent="0.25">
      <c r="B106" s="64">
        <v>2222868</v>
      </c>
      <c r="C106" s="64" t="s">
        <v>246</v>
      </c>
      <c r="D106" s="64" t="s">
        <v>236</v>
      </c>
      <c r="E106" s="64" t="s">
        <v>40</v>
      </c>
      <c r="F106" s="65">
        <v>-39000</v>
      </c>
      <c r="G106" s="65">
        <v>-210.34649999999999</v>
      </c>
      <c r="H106" s="65">
        <v>-0.7</v>
      </c>
      <c r="I106" s="64"/>
    </row>
    <row r="107" spans="2:9" s="2" customFormat="1" x14ac:dyDescent="0.25">
      <c r="B107" s="64">
        <v>2222939</v>
      </c>
      <c r="C107" s="64" t="s">
        <v>247</v>
      </c>
      <c r="D107" s="64" t="s">
        <v>236</v>
      </c>
      <c r="E107" s="64" t="s">
        <v>166</v>
      </c>
      <c r="F107" s="65">
        <v>-67200</v>
      </c>
      <c r="G107" s="65">
        <v>-194.84639999999999</v>
      </c>
      <c r="H107" s="65">
        <v>-0.65</v>
      </c>
      <c r="I107" s="64"/>
    </row>
    <row r="108" spans="2:9" s="2" customFormat="1" x14ac:dyDescent="0.25">
      <c r="B108" s="64">
        <v>2223070</v>
      </c>
      <c r="C108" s="64" t="s">
        <v>248</v>
      </c>
      <c r="D108" s="64" t="s">
        <v>236</v>
      </c>
      <c r="E108" s="64" t="s">
        <v>40</v>
      </c>
      <c r="F108" s="65">
        <v>-72850</v>
      </c>
      <c r="G108" s="65">
        <v>-175.575785</v>
      </c>
      <c r="H108" s="65">
        <v>-0.57999999999999996</v>
      </c>
      <c r="I108" s="64"/>
    </row>
    <row r="109" spans="2:9" s="2" customFormat="1" x14ac:dyDescent="0.25">
      <c r="B109" s="64">
        <v>2222890</v>
      </c>
      <c r="C109" s="64" t="s">
        <v>249</v>
      </c>
      <c r="D109" s="64" t="s">
        <v>236</v>
      </c>
      <c r="E109" s="64" t="s">
        <v>93</v>
      </c>
      <c r="F109" s="65">
        <v>-5600</v>
      </c>
      <c r="G109" s="65">
        <v>-172.4408</v>
      </c>
      <c r="H109" s="65">
        <v>-0.56999999999999995</v>
      </c>
      <c r="I109" s="64"/>
    </row>
    <row r="110" spans="2:9" s="2" customFormat="1" x14ac:dyDescent="0.25">
      <c r="B110" s="64">
        <v>2222985</v>
      </c>
      <c r="C110" s="64" t="s">
        <v>250</v>
      </c>
      <c r="D110" s="64" t="s">
        <v>236</v>
      </c>
      <c r="E110" s="64" t="s">
        <v>182</v>
      </c>
      <c r="F110" s="65">
        <v>-71500</v>
      </c>
      <c r="G110" s="65">
        <v>-147.63319999999999</v>
      </c>
      <c r="H110" s="65">
        <v>-0.49</v>
      </c>
      <c r="I110" s="64"/>
    </row>
    <row r="111" spans="2:9" s="2" customFormat="1" x14ac:dyDescent="0.25">
      <c r="B111" s="64">
        <v>2222869</v>
      </c>
      <c r="C111" s="64" t="s">
        <v>251</v>
      </c>
      <c r="D111" s="64" t="s">
        <v>236</v>
      </c>
      <c r="E111" s="64" t="s">
        <v>190</v>
      </c>
      <c r="F111" s="65">
        <v>-24150</v>
      </c>
      <c r="G111" s="65">
        <v>-108.69915</v>
      </c>
      <c r="H111" s="65">
        <v>-0.36</v>
      </c>
      <c r="I111" s="64"/>
    </row>
    <row r="112" spans="2:9" s="2" customFormat="1" x14ac:dyDescent="0.25">
      <c r="B112" s="64">
        <v>2223099</v>
      </c>
      <c r="C112" s="64" t="s">
        <v>252</v>
      </c>
      <c r="D112" s="64" t="s">
        <v>236</v>
      </c>
      <c r="E112" s="64" t="s">
        <v>194</v>
      </c>
      <c r="F112" s="65">
        <v>-13500</v>
      </c>
      <c r="G112" s="65">
        <v>-61.823250000000002</v>
      </c>
      <c r="H112" s="65">
        <v>-0.2</v>
      </c>
      <c r="I112" s="64"/>
    </row>
    <row r="113" spans="2:11" s="2" customFormat="1" x14ac:dyDescent="0.25">
      <c r="B113" s="64">
        <v>2222971</v>
      </c>
      <c r="C113" s="64" t="s">
        <v>253</v>
      </c>
      <c r="D113" s="64" t="s">
        <v>236</v>
      </c>
      <c r="E113" s="64" t="s">
        <v>127</v>
      </c>
      <c r="F113" s="65">
        <v>-6600</v>
      </c>
      <c r="G113" s="65">
        <v>-39.378900000000002</v>
      </c>
      <c r="H113" s="65">
        <v>-0.13</v>
      </c>
      <c r="I113" s="64"/>
    </row>
    <row r="114" spans="2:11" s="18" customFormat="1" x14ac:dyDescent="0.25">
      <c r="B114" s="66"/>
      <c r="C114" s="66" t="s">
        <v>254</v>
      </c>
      <c r="D114" s="66"/>
      <c r="E114" s="66"/>
      <c r="F114" s="67"/>
      <c r="G114" s="67">
        <f>SUM(G95:G113)</f>
        <v>-6696.9257900000002</v>
      </c>
      <c r="H114" s="67">
        <f>SUM(H95:H113)</f>
        <v>-22.169999999999987</v>
      </c>
      <c r="I114" s="66"/>
    </row>
    <row r="116" spans="2:11" x14ac:dyDescent="0.25">
      <c r="C116" s="18" t="s">
        <v>255</v>
      </c>
    </row>
    <row r="117" spans="2:11" x14ac:dyDescent="0.25">
      <c r="C117" s="68" t="s">
        <v>256</v>
      </c>
      <c r="D117" s="68"/>
      <c r="E117" s="68"/>
      <c r="F117" s="68"/>
      <c r="G117" s="68"/>
      <c r="H117" s="68"/>
      <c r="I117" s="68"/>
      <c r="J117" s="68"/>
      <c r="K117" s="68"/>
    </row>
    <row r="118" spans="2:11" x14ac:dyDescent="0.25">
      <c r="C118" s="2" t="s">
        <v>257</v>
      </c>
    </row>
    <row r="119" spans="2:11" x14ac:dyDescent="0.25">
      <c r="C119" s="2" t="s">
        <v>258</v>
      </c>
    </row>
    <row r="120" spans="2:11" x14ac:dyDescent="0.25">
      <c r="C120" s="69" t="s">
        <v>259</v>
      </c>
      <c r="D120" s="70"/>
      <c r="E120" s="70"/>
      <c r="F120" s="70"/>
      <c r="G120" s="70"/>
      <c r="H120" s="70"/>
      <c r="I120" s="70"/>
      <c r="J120" s="70"/>
      <c r="K120" s="70"/>
    </row>
    <row r="121" spans="2:11" x14ac:dyDescent="0.25">
      <c r="C121" s="69" t="s">
        <v>260</v>
      </c>
      <c r="D121" s="70"/>
      <c r="E121" s="70"/>
      <c r="F121" s="70"/>
      <c r="G121" s="70"/>
      <c r="H121" s="70"/>
      <c r="I121" s="70"/>
      <c r="J121" s="70"/>
      <c r="K121" s="70"/>
    </row>
    <row r="122" spans="2:11" x14ac:dyDescent="0.25">
      <c r="C122" s="2" t="s">
        <v>261</v>
      </c>
    </row>
    <row r="124" spans="2:11" ht="16.5" thickBot="1" x14ac:dyDescent="0.3">
      <c r="C124" s="71" t="s">
        <v>262</v>
      </c>
      <c r="D124" s="72"/>
      <c r="E124" s="72"/>
    </row>
    <row r="125" spans="2:11" ht="25.5" x14ac:dyDescent="0.25">
      <c r="C125" s="73" t="s">
        <v>263</v>
      </c>
      <c r="D125" s="74" t="s">
        <v>264</v>
      </c>
      <c r="E125" s="74" t="s">
        <v>265</v>
      </c>
    </row>
    <row r="126" spans="2:11" x14ac:dyDescent="0.25">
      <c r="C126" s="75" t="s">
        <v>266</v>
      </c>
      <c r="D126" s="76">
        <v>11.26</v>
      </c>
      <c r="E126" s="76">
        <v>11.26</v>
      </c>
    </row>
    <row r="127" spans="2:11" x14ac:dyDescent="0.25">
      <c r="C127" s="75" t="s">
        <v>267</v>
      </c>
      <c r="D127" s="76">
        <v>11.26</v>
      </c>
      <c r="E127" s="76">
        <v>11.26</v>
      </c>
    </row>
    <row r="128" spans="2:11" x14ac:dyDescent="0.25">
      <c r="C128" s="75" t="s">
        <v>268</v>
      </c>
      <c r="D128" s="76">
        <v>11.64</v>
      </c>
      <c r="E128" s="76">
        <v>11.65</v>
      </c>
    </row>
    <row r="129" spans="3:5" ht="14.25" thickBot="1" x14ac:dyDescent="0.3">
      <c r="C129" s="77" t="s">
        <v>269</v>
      </c>
      <c r="D129" s="76">
        <v>11.64</v>
      </c>
      <c r="E129" s="76">
        <v>11.65</v>
      </c>
    </row>
    <row r="130" spans="3:5" x14ac:dyDescent="0.25">
      <c r="C130" s="78"/>
      <c r="D130" s="79"/>
      <c r="E130" s="79"/>
    </row>
    <row r="131" spans="3:5" ht="14.25" thickBot="1" x14ac:dyDescent="0.3">
      <c r="C131" s="80" t="s">
        <v>270</v>
      </c>
      <c r="D131" s="80"/>
      <c r="E131" s="80"/>
    </row>
    <row r="132" spans="3:5" x14ac:dyDescent="0.25">
      <c r="C132" s="81" t="s">
        <v>263</v>
      </c>
      <c r="D132" s="82" t="s">
        <v>271</v>
      </c>
      <c r="E132" s="83"/>
    </row>
    <row r="133" spans="3:5" x14ac:dyDescent="0.25">
      <c r="C133" s="84"/>
      <c r="D133" s="85" t="s">
        <v>272</v>
      </c>
      <c r="E133" s="86" t="s">
        <v>273</v>
      </c>
    </row>
    <row r="134" spans="3:5" x14ac:dyDescent="0.25">
      <c r="C134" s="87" t="s">
        <v>267</v>
      </c>
      <c r="D134" s="88" t="s">
        <v>274</v>
      </c>
      <c r="E134" s="88" t="s">
        <v>274</v>
      </c>
    </row>
    <row r="135" spans="3:5" ht="14.25" thickBot="1" x14ac:dyDescent="0.3">
      <c r="C135" s="77" t="s">
        <v>269</v>
      </c>
      <c r="D135" s="88" t="s">
        <v>274</v>
      </c>
      <c r="E135" s="88" t="s">
        <v>274</v>
      </c>
    </row>
    <row r="136" spans="3:5" ht="14.25" thickBot="1" x14ac:dyDescent="0.3">
      <c r="C136" s="79"/>
      <c r="D136" s="79"/>
      <c r="E136" s="79"/>
    </row>
    <row r="137" spans="3:5" ht="14.25" thickBot="1" x14ac:dyDescent="0.3">
      <c r="C137" s="89" t="s">
        <v>275</v>
      </c>
      <c r="D137" s="90">
        <v>2.79</v>
      </c>
      <c r="E137" s="91"/>
    </row>
    <row r="139" spans="3:5" ht="15" x14ac:dyDescent="0.25">
      <c r="C139" s="92" t="s">
        <v>276</v>
      </c>
      <c r="D139" s="92"/>
    </row>
    <row r="140" spans="3:5" ht="15" x14ac:dyDescent="0.25">
      <c r="C140" s="92" t="s">
        <v>277</v>
      </c>
      <c r="D140" s="92"/>
    </row>
    <row r="141" spans="3:5" ht="15" x14ac:dyDescent="0.25">
      <c r="C141" s="92" t="s">
        <v>278</v>
      </c>
      <c r="D141" s="92"/>
    </row>
    <row r="142" spans="3:5" ht="15" x14ac:dyDescent="0.25">
      <c r="C142" s="93" t="s">
        <v>279</v>
      </c>
      <c r="D142" s="92"/>
    </row>
    <row r="143" spans="3:5" ht="15" x14ac:dyDescent="0.25">
      <c r="C143" s="93" t="s">
        <v>280</v>
      </c>
      <c r="D143" s="92"/>
    </row>
    <row r="144" spans="3:5" ht="15" x14ac:dyDescent="0.25">
      <c r="C144" s="93" t="s">
        <v>281</v>
      </c>
      <c r="D144" s="92"/>
    </row>
    <row r="145" spans="3:8" ht="15" x14ac:dyDescent="0.25">
      <c r="C145" s="93" t="s">
        <v>282</v>
      </c>
    </row>
    <row r="146" spans="3:8" ht="14.25" thickBot="1" x14ac:dyDescent="0.3"/>
    <row r="147" spans="3:8" x14ac:dyDescent="0.25">
      <c r="C147" s="94" t="s">
        <v>283</v>
      </c>
      <c r="D147" s="95"/>
      <c r="E147" s="95"/>
      <c r="F147" s="96"/>
      <c r="G147" s="96"/>
      <c r="H147" s="97"/>
    </row>
    <row r="148" spans="3:8" ht="40.5" x14ac:dyDescent="0.25">
      <c r="C148" s="98" t="s">
        <v>284</v>
      </c>
      <c r="D148" s="99" t="s">
        <v>285</v>
      </c>
      <c r="E148" s="99" t="s">
        <v>231</v>
      </c>
      <c r="F148" s="99" t="s">
        <v>286</v>
      </c>
      <c r="G148" s="99" t="s">
        <v>287</v>
      </c>
      <c r="H148" s="100" t="s">
        <v>288</v>
      </c>
    </row>
    <row r="149" spans="3:8" x14ac:dyDescent="0.25">
      <c r="C149" s="101" t="s">
        <v>188</v>
      </c>
      <c r="D149" s="102">
        <v>46203</v>
      </c>
      <c r="E149" s="103" t="s">
        <v>236</v>
      </c>
      <c r="F149" s="104">
        <v>428.7</v>
      </c>
      <c r="G149" s="104">
        <v>450.1</v>
      </c>
      <c r="H149" s="105">
        <v>38.483447599999998</v>
      </c>
    </row>
    <row r="150" spans="3:8" x14ac:dyDescent="0.25">
      <c r="C150" s="101" t="s">
        <v>71</v>
      </c>
      <c r="D150" s="102">
        <v>46203</v>
      </c>
      <c r="E150" s="103" t="s">
        <v>236</v>
      </c>
      <c r="F150" s="104">
        <v>1284.2483999999999</v>
      </c>
      <c r="G150" s="104">
        <v>1300.2</v>
      </c>
      <c r="H150" s="105">
        <v>44.885384400000007</v>
      </c>
    </row>
    <row r="151" spans="3:8" x14ac:dyDescent="0.25">
      <c r="C151" s="101" t="s">
        <v>78</v>
      </c>
      <c r="D151" s="102">
        <v>46203</v>
      </c>
      <c r="E151" s="103" t="s">
        <v>236</v>
      </c>
      <c r="F151" s="104">
        <v>264.9468</v>
      </c>
      <c r="G151" s="104">
        <v>271</v>
      </c>
      <c r="H151" s="105">
        <v>97.881812400000001</v>
      </c>
    </row>
    <row r="152" spans="3:8" x14ac:dyDescent="0.25">
      <c r="C152" s="101" t="s">
        <v>27</v>
      </c>
      <c r="D152" s="102">
        <v>46203</v>
      </c>
      <c r="E152" s="103" t="s">
        <v>236</v>
      </c>
      <c r="F152" s="104">
        <v>1897.6042</v>
      </c>
      <c r="G152" s="104">
        <v>1845</v>
      </c>
      <c r="H152" s="105">
        <v>73.491555899999994</v>
      </c>
    </row>
    <row r="153" spans="3:8" x14ac:dyDescent="0.25">
      <c r="C153" s="101" t="s">
        <v>67</v>
      </c>
      <c r="D153" s="102">
        <v>46203</v>
      </c>
      <c r="E153" s="103" t="s">
        <v>236</v>
      </c>
      <c r="F153" s="104">
        <v>6827.6130999999996</v>
      </c>
      <c r="G153" s="104">
        <v>6747</v>
      </c>
      <c r="H153" s="105">
        <v>101.47662</v>
      </c>
    </row>
    <row r="154" spans="3:8" x14ac:dyDescent="0.25">
      <c r="C154" s="101" t="s">
        <v>125</v>
      </c>
      <c r="D154" s="102">
        <v>46203</v>
      </c>
      <c r="E154" s="103" t="s">
        <v>236</v>
      </c>
      <c r="F154" s="104">
        <v>592</v>
      </c>
      <c r="G154" s="104">
        <v>596.65</v>
      </c>
      <c r="H154" s="105">
        <v>13.851585</v>
      </c>
    </row>
    <row r="155" spans="3:8" x14ac:dyDescent="0.25">
      <c r="C155" s="101" t="s">
        <v>164</v>
      </c>
      <c r="D155" s="102">
        <v>46203</v>
      </c>
      <c r="E155" s="103" t="s">
        <v>236</v>
      </c>
      <c r="F155" s="104">
        <v>301.64049999999997</v>
      </c>
      <c r="G155" s="104">
        <v>289.95</v>
      </c>
      <c r="H155" s="105">
        <v>34.853952</v>
      </c>
    </row>
    <row r="156" spans="3:8" x14ac:dyDescent="0.25">
      <c r="C156" s="101" t="s">
        <v>168</v>
      </c>
      <c r="D156" s="102">
        <v>46203</v>
      </c>
      <c r="E156" s="103" t="s">
        <v>236</v>
      </c>
      <c r="F156" s="104">
        <v>239.31</v>
      </c>
      <c r="G156" s="104">
        <v>241.01</v>
      </c>
      <c r="H156" s="105">
        <v>35.7805325</v>
      </c>
    </row>
    <row r="157" spans="3:8" x14ac:dyDescent="0.25">
      <c r="C157" s="101" t="s">
        <v>16</v>
      </c>
      <c r="D157" s="102">
        <v>46203</v>
      </c>
      <c r="E157" s="103" t="s">
        <v>236</v>
      </c>
      <c r="F157" s="104">
        <v>393.95</v>
      </c>
      <c r="G157" s="104">
        <v>388.25</v>
      </c>
      <c r="H157" s="105">
        <v>183.65969999999999</v>
      </c>
    </row>
    <row r="158" spans="3:8" x14ac:dyDescent="0.25">
      <c r="C158" s="101" t="s">
        <v>157</v>
      </c>
      <c r="D158" s="102">
        <v>46203</v>
      </c>
      <c r="E158" s="103" t="s">
        <v>236</v>
      </c>
      <c r="F158" s="104">
        <v>547.99997399999995</v>
      </c>
      <c r="G158" s="104">
        <v>539.35</v>
      </c>
      <c r="H158" s="105">
        <v>73.525237500000003</v>
      </c>
    </row>
    <row r="159" spans="3:8" x14ac:dyDescent="0.25">
      <c r="C159" s="101" t="s">
        <v>171</v>
      </c>
      <c r="D159" s="102">
        <v>46203</v>
      </c>
      <c r="E159" s="103" t="s">
        <v>236</v>
      </c>
      <c r="F159" s="104">
        <v>3144.0356999999999</v>
      </c>
      <c r="G159" s="104">
        <v>3079.3</v>
      </c>
      <c r="H159" s="105">
        <v>33.789279999999998</v>
      </c>
    </row>
    <row r="160" spans="3:8" x14ac:dyDescent="0.25">
      <c r="C160" s="101" t="s">
        <v>192</v>
      </c>
      <c r="D160" s="102">
        <v>46203</v>
      </c>
      <c r="E160" s="103" t="s">
        <v>236</v>
      </c>
      <c r="F160" s="104">
        <v>468.35</v>
      </c>
      <c r="G160" s="104">
        <v>457.95</v>
      </c>
      <c r="H160" s="105">
        <v>20.193840000000002</v>
      </c>
    </row>
    <row r="161" spans="3:8" x14ac:dyDescent="0.25">
      <c r="C161" s="101" t="s">
        <v>64</v>
      </c>
      <c r="D161" s="102">
        <v>46203</v>
      </c>
      <c r="E161" s="103" t="s">
        <v>236</v>
      </c>
      <c r="F161" s="104">
        <v>105.4997</v>
      </c>
      <c r="G161" s="104">
        <v>107</v>
      </c>
      <c r="H161" s="105">
        <v>123.39763199999999</v>
      </c>
    </row>
    <row r="162" spans="3:8" x14ac:dyDescent="0.25">
      <c r="C162" s="101" t="s">
        <v>20</v>
      </c>
      <c r="D162" s="102">
        <v>46203</v>
      </c>
      <c r="E162" s="103" t="s">
        <v>236</v>
      </c>
      <c r="F162" s="104">
        <v>1370.1328000000001</v>
      </c>
      <c r="G162" s="104">
        <v>1329.9</v>
      </c>
      <c r="H162" s="105">
        <v>182.43078</v>
      </c>
    </row>
    <row r="163" spans="3:8" x14ac:dyDescent="0.25">
      <c r="C163" s="101" t="s">
        <v>132</v>
      </c>
      <c r="D163" s="102">
        <v>46203</v>
      </c>
      <c r="E163" s="103" t="s">
        <v>236</v>
      </c>
      <c r="F163" s="104">
        <v>361.48880000000003</v>
      </c>
      <c r="G163" s="104">
        <v>395.5</v>
      </c>
      <c r="H163" s="105">
        <v>69.165942000000001</v>
      </c>
    </row>
    <row r="164" spans="3:8" x14ac:dyDescent="0.25">
      <c r="C164" s="101" t="s">
        <v>180</v>
      </c>
      <c r="D164" s="102">
        <v>46203</v>
      </c>
      <c r="E164" s="103" t="s">
        <v>236</v>
      </c>
      <c r="F164" s="104">
        <v>206.04150000000001</v>
      </c>
      <c r="G164" s="104">
        <v>206.48</v>
      </c>
      <c r="H164" s="105">
        <v>29.349462999999997</v>
      </c>
    </row>
    <row r="165" spans="3:8" x14ac:dyDescent="0.25">
      <c r="C165" s="101" t="s">
        <v>108</v>
      </c>
      <c r="D165" s="102">
        <v>46203</v>
      </c>
      <c r="E165" s="103" t="s">
        <v>236</v>
      </c>
      <c r="F165" s="104">
        <v>4114.7418010000001</v>
      </c>
      <c r="G165" s="104">
        <v>4109.6000000000004</v>
      </c>
      <c r="H165" s="105">
        <v>70.779651299999998</v>
      </c>
    </row>
    <row r="166" spans="3:8" x14ac:dyDescent="0.25">
      <c r="C166" s="101" t="s">
        <v>81</v>
      </c>
      <c r="D166" s="102">
        <v>46203</v>
      </c>
      <c r="E166" s="103" t="s">
        <v>236</v>
      </c>
      <c r="F166" s="104">
        <v>13.66</v>
      </c>
      <c r="G166" s="104">
        <v>14.14</v>
      </c>
      <c r="H166" s="105">
        <v>223.6672178</v>
      </c>
    </row>
    <row r="167" spans="3:8" x14ac:dyDescent="0.25">
      <c r="C167" s="101"/>
      <c r="D167" s="102"/>
      <c r="E167" s="103"/>
      <c r="F167" s="104"/>
      <c r="G167" s="104"/>
      <c r="H167" s="105"/>
    </row>
    <row r="168" spans="3:8" x14ac:dyDescent="0.25">
      <c r="C168" s="101" t="s">
        <v>289</v>
      </c>
      <c r="D168" s="102"/>
      <c r="E168" s="103"/>
      <c r="F168" s="104"/>
      <c r="G168" s="104"/>
      <c r="H168" s="105"/>
    </row>
    <row r="169" spans="3:8" x14ac:dyDescent="0.25">
      <c r="C169" s="106"/>
      <c r="D169" s="107"/>
      <c r="E169" s="107"/>
      <c r="F169" s="108"/>
      <c r="G169" s="108"/>
      <c r="H169" s="109"/>
    </row>
    <row r="170" spans="3:8" x14ac:dyDescent="0.25">
      <c r="C170" s="106" t="s">
        <v>290</v>
      </c>
      <c r="D170" s="107"/>
      <c r="E170" s="18"/>
      <c r="F170" s="108"/>
      <c r="G170" s="108"/>
      <c r="H170" s="109"/>
    </row>
    <row r="171" spans="3:8" x14ac:dyDescent="0.25">
      <c r="C171" s="110" t="s">
        <v>291</v>
      </c>
      <c r="D171" s="108"/>
      <c r="E171" s="108"/>
      <c r="F171" s="79" t="s">
        <v>274</v>
      </c>
      <c r="G171" s="108"/>
      <c r="H171" s="109"/>
    </row>
    <row r="172" spans="3:8" x14ac:dyDescent="0.25">
      <c r="C172" s="110" t="s">
        <v>292</v>
      </c>
      <c r="D172" s="108"/>
      <c r="E172" s="108"/>
      <c r="F172" s="91">
        <v>968</v>
      </c>
      <c r="G172" s="108"/>
      <c r="H172" s="109"/>
    </row>
    <row r="173" spans="3:8" x14ac:dyDescent="0.25">
      <c r="C173" s="110" t="s">
        <v>293</v>
      </c>
      <c r="D173" s="108"/>
      <c r="E173" s="108"/>
      <c r="F173" s="91">
        <v>926</v>
      </c>
      <c r="G173" s="111"/>
      <c r="H173" s="112"/>
    </row>
    <row r="174" spans="3:8" x14ac:dyDescent="0.25">
      <c r="C174" s="110" t="s">
        <v>294</v>
      </c>
      <c r="D174" s="108"/>
      <c r="E174" s="108"/>
      <c r="F174" s="91">
        <v>42</v>
      </c>
      <c r="G174" s="111"/>
      <c r="H174" s="112"/>
    </row>
    <row r="175" spans="3:8" x14ac:dyDescent="0.25">
      <c r="C175" s="110" t="s">
        <v>295</v>
      </c>
      <c r="D175" s="108"/>
      <c r="E175" s="108"/>
      <c r="F175" s="113" t="s">
        <v>274</v>
      </c>
      <c r="G175" s="111"/>
      <c r="H175" s="112"/>
    </row>
    <row r="176" spans="3:8" x14ac:dyDescent="0.25">
      <c r="C176" s="110" t="s">
        <v>296</v>
      </c>
      <c r="D176" s="108"/>
      <c r="E176" s="108"/>
      <c r="F176" s="113">
        <v>633388166</v>
      </c>
      <c r="G176" s="111"/>
      <c r="H176" s="112"/>
    </row>
    <row r="177" spans="3:8" x14ac:dyDescent="0.25">
      <c r="C177" s="110" t="s">
        <v>297</v>
      </c>
      <c r="D177" s="108"/>
      <c r="E177" s="108"/>
      <c r="F177" s="113">
        <v>603755565.76999998</v>
      </c>
      <c r="G177" s="111"/>
      <c r="H177" s="112"/>
    </row>
    <row r="178" spans="3:8" x14ac:dyDescent="0.25">
      <c r="C178" s="110" t="s">
        <v>298</v>
      </c>
      <c r="D178" s="108"/>
      <c r="E178" s="108"/>
      <c r="F178" s="113">
        <v>20807841.600000001</v>
      </c>
      <c r="G178" s="111"/>
      <c r="H178" s="112"/>
    </row>
    <row r="179" spans="3:8" x14ac:dyDescent="0.25">
      <c r="C179" s="110" t="s">
        <v>299</v>
      </c>
      <c r="D179" s="108"/>
      <c r="E179" s="108"/>
      <c r="F179" s="113">
        <v>-8824758.6299999952</v>
      </c>
      <c r="G179" s="111"/>
      <c r="H179" s="112"/>
    </row>
    <row r="180" spans="3:8" x14ac:dyDescent="0.25">
      <c r="C180" s="114" t="s">
        <v>300</v>
      </c>
      <c r="D180" s="115"/>
      <c r="E180" s="115"/>
      <c r="F180" s="116"/>
      <c r="G180" s="111"/>
      <c r="H180" s="112"/>
    </row>
    <row r="181" spans="3:8" x14ac:dyDescent="0.25">
      <c r="C181" s="110"/>
      <c r="D181" s="108"/>
      <c r="E181" s="108"/>
      <c r="F181" s="116"/>
      <c r="G181" s="116"/>
      <c r="H181" s="112"/>
    </row>
    <row r="182" spans="3:8" x14ac:dyDescent="0.25">
      <c r="C182" s="106" t="s">
        <v>301</v>
      </c>
      <c r="D182" s="107"/>
      <c r="E182" s="18"/>
      <c r="F182" s="108"/>
      <c r="G182" s="108"/>
      <c r="H182" s="109"/>
    </row>
    <row r="183" spans="3:8" ht="40.5" x14ac:dyDescent="0.25">
      <c r="C183" s="98" t="s">
        <v>284</v>
      </c>
      <c r="D183" s="99" t="s">
        <v>231</v>
      </c>
      <c r="E183" s="99" t="s">
        <v>286</v>
      </c>
      <c r="F183" s="99" t="s">
        <v>287</v>
      </c>
      <c r="G183" s="99" t="s">
        <v>288</v>
      </c>
      <c r="H183" s="109"/>
    </row>
    <row r="184" spans="3:8" x14ac:dyDescent="0.25">
      <c r="C184" s="117" t="s">
        <v>274</v>
      </c>
      <c r="D184" s="118"/>
      <c r="E184" s="118"/>
      <c r="F184" s="118"/>
      <c r="G184" s="119"/>
      <c r="H184" s="109"/>
    </row>
    <row r="185" spans="3:8" x14ac:dyDescent="0.25">
      <c r="C185" s="120" t="s">
        <v>302</v>
      </c>
      <c r="D185" s="121"/>
      <c r="E185" s="121"/>
      <c r="F185" s="121"/>
      <c r="G185" s="122"/>
      <c r="H185" s="109"/>
    </row>
    <row r="186" spans="3:8" x14ac:dyDescent="0.25">
      <c r="C186" s="106"/>
      <c r="D186" s="107"/>
      <c r="E186" s="107"/>
      <c r="F186" s="108"/>
      <c r="G186" s="108"/>
      <c r="H186" s="109"/>
    </row>
    <row r="187" spans="3:8" x14ac:dyDescent="0.25">
      <c r="C187" s="106" t="s">
        <v>303</v>
      </c>
      <c r="D187" s="107"/>
      <c r="E187" s="18"/>
      <c r="F187" s="108"/>
      <c r="G187" s="108"/>
      <c r="H187" s="109"/>
    </row>
    <row r="188" spans="3:8" x14ac:dyDescent="0.25">
      <c r="C188" s="110" t="s">
        <v>291</v>
      </c>
      <c r="D188" s="108"/>
      <c r="E188" s="108"/>
      <c r="F188" s="123" t="s">
        <v>274</v>
      </c>
      <c r="G188" s="108"/>
      <c r="H188" s="109"/>
    </row>
    <row r="189" spans="3:8" x14ac:dyDescent="0.25">
      <c r="C189" s="110" t="s">
        <v>292</v>
      </c>
      <c r="D189" s="108"/>
      <c r="E189" s="108"/>
      <c r="F189" s="123" t="s">
        <v>274</v>
      </c>
      <c r="G189" s="108"/>
      <c r="H189" s="109"/>
    </row>
    <row r="190" spans="3:8" x14ac:dyDescent="0.25">
      <c r="C190" s="110" t="s">
        <v>293</v>
      </c>
      <c r="D190" s="108"/>
      <c r="E190" s="108"/>
      <c r="F190" s="123" t="s">
        <v>274</v>
      </c>
      <c r="G190" s="111"/>
      <c r="H190" s="112"/>
    </row>
    <row r="191" spans="3:8" x14ac:dyDescent="0.25">
      <c r="C191" s="110" t="s">
        <v>294</v>
      </c>
      <c r="D191" s="108"/>
      <c r="E191" s="108"/>
      <c r="F191" s="123" t="s">
        <v>274</v>
      </c>
      <c r="G191" s="111"/>
      <c r="H191" s="112"/>
    </row>
    <row r="192" spans="3:8" x14ac:dyDescent="0.25">
      <c r="C192" s="110" t="s">
        <v>295</v>
      </c>
      <c r="D192" s="108"/>
      <c r="E192" s="108"/>
      <c r="F192" s="123" t="s">
        <v>274</v>
      </c>
      <c r="G192" s="111"/>
      <c r="H192" s="112"/>
    </row>
    <row r="193" spans="3:8" x14ac:dyDescent="0.25">
      <c r="C193" s="110" t="s">
        <v>296</v>
      </c>
      <c r="D193" s="108"/>
      <c r="E193" s="108"/>
      <c r="F193" s="123" t="s">
        <v>274</v>
      </c>
      <c r="G193" s="111"/>
      <c r="H193" s="112"/>
    </row>
    <row r="194" spans="3:8" x14ac:dyDescent="0.25">
      <c r="C194" s="110" t="s">
        <v>297</v>
      </c>
      <c r="D194" s="108"/>
      <c r="E194" s="108"/>
      <c r="F194" s="123" t="s">
        <v>274</v>
      </c>
      <c r="G194" s="111"/>
      <c r="H194" s="112"/>
    </row>
    <row r="195" spans="3:8" x14ac:dyDescent="0.25">
      <c r="C195" s="110" t="s">
        <v>298</v>
      </c>
      <c r="D195" s="108"/>
      <c r="E195" s="108"/>
      <c r="F195" s="123" t="s">
        <v>274</v>
      </c>
      <c r="G195" s="111"/>
      <c r="H195" s="112"/>
    </row>
    <row r="196" spans="3:8" ht="14.25" thickBot="1" x14ac:dyDescent="0.3">
      <c r="C196" s="124" t="s">
        <v>299</v>
      </c>
      <c r="D196" s="125"/>
      <c r="E196" s="125"/>
      <c r="F196" s="126" t="s">
        <v>274</v>
      </c>
      <c r="G196" s="127"/>
      <c r="H196" s="128"/>
    </row>
    <row r="197" spans="3:8" x14ac:dyDescent="0.25">
      <c r="C197" s="110"/>
      <c r="D197" s="108"/>
      <c r="E197" s="108"/>
      <c r="F197" s="108"/>
      <c r="G197" s="129"/>
      <c r="H197" s="130"/>
    </row>
    <row r="198" spans="3:8" x14ac:dyDescent="0.25">
      <c r="C198" s="106" t="s">
        <v>304</v>
      </c>
      <c r="D198" s="107"/>
      <c r="E198" s="131"/>
      <c r="F198" s="108"/>
      <c r="G198" s="132"/>
      <c r="H198" s="109"/>
    </row>
    <row r="199" spans="3:8" ht="40.5" x14ac:dyDescent="0.25">
      <c r="C199" s="98" t="s">
        <v>284</v>
      </c>
      <c r="D199" s="99" t="s">
        <v>305</v>
      </c>
      <c r="E199" s="99" t="s">
        <v>306</v>
      </c>
      <c r="F199" s="99" t="s">
        <v>307</v>
      </c>
      <c r="G199" s="132"/>
      <c r="H199" s="133"/>
    </row>
    <row r="200" spans="3:8" x14ac:dyDescent="0.25">
      <c r="C200" s="117" t="s">
        <v>274</v>
      </c>
      <c r="D200" s="118"/>
      <c r="E200" s="118"/>
      <c r="F200" s="119"/>
      <c r="G200" s="134"/>
      <c r="H200" s="133"/>
    </row>
    <row r="201" spans="3:8" x14ac:dyDescent="0.25">
      <c r="C201" s="120" t="s">
        <v>308</v>
      </c>
      <c r="D201" s="121"/>
      <c r="E201" s="121"/>
      <c r="F201" s="122"/>
      <c r="G201" s="135"/>
      <c r="H201" s="133"/>
    </row>
    <row r="202" spans="3:8" x14ac:dyDescent="0.25">
      <c r="C202" s="136"/>
      <c r="D202" s="137"/>
      <c r="E202" s="137"/>
      <c r="F202" s="108"/>
      <c r="G202" s="132"/>
      <c r="H202" s="109"/>
    </row>
    <row r="203" spans="3:8" x14ac:dyDescent="0.25">
      <c r="C203" s="106" t="s">
        <v>309</v>
      </c>
      <c r="D203" s="107"/>
      <c r="E203" s="18"/>
      <c r="F203" s="108"/>
      <c r="G203" s="108"/>
      <c r="H203" s="109"/>
    </row>
    <row r="204" spans="3:8" x14ac:dyDescent="0.25">
      <c r="C204" s="110" t="s">
        <v>310</v>
      </c>
      <c r="D204" s="108"/>
      <c r="E204" s="108"/>
      <c r="F204" s="108" t="s">
        <v>274</v>
      </c>
      <c r="G204" s="108"/>
      <c r="H204" s="109"/>
    </row>
    <row r="205" spans="3:8" x14ac:dyDescent="0.25">
      <c r="C205" s="110" t="s">
        <v>311</v>
      </c>
      <c r="D205" s="108"/>
      <c r="E205" s="108"/>
      <c r="F205" s="108" t="s">
        <v>274</v>
      </c>
      <c r="G205" s="108"/>
      <c r="H205" s="109"/>
    </row>
    <row r="206" spans="3:8" x14ac:dyDescent="0.25">
      <c r="C206" s="110" t="s">
        <v>312</v>
      </c>
      <c r="D206" s="108"/>
      <c r="E206" s="108"/>
      <c r="F206" s="108" t="s">
        <v>274</v>
      </c>
      <c r="G206" s="108"/>
      <c r="H206" s="109"/>
    </row>
    <row r="207" spans="3:8" x14ac:dyDescent="0.25">
      <c r="C207" s="114" t="s">
        <v>313</v>
      </c>
      <c r="D207" s="115"/>
      <c r="E207" s="115"/>
      <c r="F207" s="108"/>
      <c r="G207" s="108"/>
      <c r="H207" s="109"/>
    </row>
    <row r="208" spans="3:8" x14ac:dyDescent="0.25">
      <c r="C208" s="114"/>
      <c r="D208" s="115"/>
      <c r="E208" s="115"/>
      <c r="F208" s="108"/>
      <c r="G208" s="108"/>
      <c r="H208" s="109"/>
    </row>
    <row r="209" spans="3:8" x14ac:dyDescent="0.25">
      <c r="C209" s="138" t="s">
        <v>314</v>
      </c>
      <c r="D209" s="131"/>
      <c r="E209" s="131"/>
      <c r="F209" s="108"/>
      <c r="G209" s="132"/>
      <c r="H209" s="109"/>
    </row>
    <row r="210" spans="3:8" ht="40.5" x14ac:dyDescent="0.25">
      <c r="C210" s="98" t="s">
        <v>284</v>
      </c>
      <c r="D210" s="99" t="s">
        <v>315</v>
      </c>
      <c r="E210" s="99" t="s">
        <v>305</v>
      </c>
      <c r="F210" s="99" t="s">
        <v>306</v>
      </c>
      <c r="G210" s="99" t="s">
        <v>316</v>
      </c>
      <c r="H210" s="109"/>
    </row>
    <row r="211" spans="3:8" x14ac:dyDescent="0.25">
      <c r="C211" s="139" t="s">
        <v>274</v>
      </c>
      <c r="D211" s="140"/>
      <c r="E211" s="140"/>
      <c r="F211" s="140"/>
      <c r="G211" s="141"/>
      <c r="H211" s="109"/>
    </row>
    <row r="212" spans="3:8" x14ac:dyDescent="0.25">
      <c r="C212" s="142" t="s">
        <v>317</v>
      </c>
      <c r="D212" s="142"/>
      <c r="E212" s="142"/>
      <c r="F212" s="142"/>
      <c r="G212" s="142"/>
      <c r="H212" s="109"/>
    </row>
    <row r="213" spans="3:8" x14ac:dyDescent="0.25">
      <c r="C213" s="143" t="s">
        <v>318</v>
      </c>
      <c r="D213" s="144"/>
      <c r="E213" s="144"/>
      <c r="F213" s="144"/>
      <c r="G213" s="145"/>
      <c r="H213" s="109"/>
    </row>
    <row r="214" spans="3:8" x14ac:dyDescent="0.25">
      <c r="C214" s="146"/>
      <c r="D214" s="147"/>
      <c r="E214" s="147"/>
      <c r="F214" s="147"/>
      <c r="G214" s="147"/>
      <c r="H214" s="109"/>
    </row>
    <row r="215" spans="3:8" x14ac:dyDescent="0.25">
      <c r="C215" s="148" t="s">
        <v>319</v>
      </c>
      <c r="D215" s="18"/>
      <c r="E215" s="18"/>
      <c r="F215" s="108"/>
      <c r="G215" s="108"/>
      <c r="H215" s="109"/>
    </row>
    <row r="216" spans="3:8" x14ac:dyDescent="0.25">
      <c r="C216" s="110" t="s">
        <v>310</v>
      </c>
      <c r="D216" s="108"/>
      <c r="E216" s="108"/>
      <c r="F216" s="108">
        <v>41</v>
      </c>
      <c r="G216" s="108"/>
      <c r="H216" s="109"/>
    </row>
    <row r="217" spans="3:8" x14ac:dyDescent="0.25">
      <c r="C217" s="110" t="s">
        <v>311</v>
      </c>
      <c r="D217" s="108"/>
      <c r="E217" s="108"/>
      <c r="F217" s="149">
        <v>35055000</v>
      </c>
      <c r="G217" s="108"/>
      <c r="H217" s="109"/>
    </row>
    <row r="218" spans="3:8" ht="14.25" thickBot="1" x14ac:dyDescent="0.3">
      <c r="C218" s="150" t="s">
        <v>312</v>
      </c>
      <c r="D218" s="151"/>
      <c r="E218" s="151"/>
      <c r="F218" s="152">
        <v>-611775.96</v>
      </c>
      <c r="G218" s="151"/>
      <c r="H218" s="153"/>
    </row>
    <row r="219" spans="3:8" x14ac:dyDescent="0.25">
      <c r="C219" s="154"/>
      <c r="D219" s="155"/>
      <c r="E219" s="155"/>
      <c r="F219" s="155"/>
      <c r="G219" s="155"/>
      <c r="H219" s="156"/>
    </row>
    <row r="220" spans="3:8" x14ac:dyDescent="0.25">
      <c r="C220" s="106" t="s">
        <v>320</v>
      </c>
      <c r="D220" s="157" t="s">
        <v>274</v>
      </c>
      <c r="E220" s="79"/>
      <c r="F220" s="79"/>
      <c r="G220" s="79"/>
      <c r="H220" s="158"/>
    </row>
    <row r="221" spans="3:8" x14ac:dyDescent="0.25">
      <c r="C221" s="159"/>
      <c r="D221" s="79"/>
      <c r="E221" s="79"/>
      <c r="F221" s="160"/>
      <c r="G221" s="79"/>
      <c r="H221" s="158"/>
    </row>
    <row r="222" spans="3:8" ht="14.25" thickBot="1" x14ac:dyDescent="0.3">
      <c r="C222" s="161"/>
      <c r="D222" s="162"/>
      <c r="E222" s="162"/>
      <c r="F222" s="162"/>
      <c r="G222" s="162"/>
      <c r="H222" s="163"/>
    </row>
    <row r="223" spans="3:8" x14ac:dyDescent="0.25">
      <c r="C223" s="79"/>
      <c r="D223" s="79"/>
      <c r="E223" s="79"/>
      <c r="F223" s="79"/>
      <c r="G223" s="79"/>
      <c r="H223" s="79"/>
    </row>
    <row r="224" spans="3:8" ht="15" x14ac:dyDescent="0.25">
      <c r="C224" s="93" t="s">
        <v>321</v>
      </c>
      <c r="D224" s="92"/>
      <c r="E224" s="92"/>
    </row>
    <row r="225" spans="3:8" ht="15" x14ac:dyDescent="0.25">
      <c r="C225" s="92" t="s">
        <v>322</v>
      </c>
      <c r="D225" s="92"/>
      <c r="E225" s="92"/>
    </row>
    <row r="226" spans="3:8" ht="15" x14ac:dyDescent="0.25">
      <c r="C226" s="93" t="s">
        <v>323</v>
      </c>
      <c r="D226" s="92"/>
      <c r="E226" s="92"/>
    </row>
    <row r="227" spans="3:8" ht="15" x14ac:dyDescent="0.25">
      <c r="C227" s="93" t="s">
        <v>324</v>
      </c>
      <c r="D227" s="92"/>
      <c r="E227" s="92"/>
    </row>
    <row r="228" spans="3:8" x14ac:dyDescent="0.25">
      <c r="C228" s="79"/>
      <c r="D228" s="79"/>
      <c r="E228" s="79"/>
      <c r="F228" s="79"/>
      <c r="G228" s="79"/>
      <c r="H228" s="79"/>
    </row>
    <row r="229" spans="3:8" x14ac:dyDescent="0.25">
      <c r="C229" s="164" t="s">
        <v>325</v>
      </c>
    </row>
    <row r="236" spans="3:8" ht="15" x14ac:dyDescent="0.25">
      <c r="C236"/>
    </row>
    <row r="247" spans="3:8" ht="14.25" thickBot="1" x14ac:dyDescent="0.3"/>
    <row r="248" spans="3:8" ht="21" customHeight="1" thickBot="1" x14ac:dyDescent="0.3">
      <c r="C248" s="165" t="s">
        <v>326</v>
      </c>
      <c r="D248" s="166"/>
      <c r="E248" s="166"/>
      <c r="F248" s="166"/>
      <c r="G248" s="167"/>
      <c r="H248" s="149"/>
    </row>
    <row r="249" spans="3:8" ht="34.5" customHeight="1" thickBot="1" x14ac:dyDescent="0.3">
      <c r="C249" s="168" t="s">
        <v>327</v>
      </c>
      <c r="D249" s="169"/>
      <c r="E249" s="169"/>
      <c r="F249" s="169"/>
      <c r="G249" s="170"/>
      <c r="H249" s="149"/>
    </row>
  </sheetData>
  <mergeCells count="12">
    <mergeCell ref="C184:G184"/>
    <mergeCell ref="C200:F200"/>
    <mergeCell ref="C211:G211"/>
    <mergeCell ref="C213:G213"/>
    <mergeCell ref="C248:G248"/>
    <mergeCell ref="C249:G249"/>
    <mergeCell ref="C2:J2"/>
    <mergeCell ref="D3:J3"/>
    <mergeCell ref="D4:J4"/>
    <mergeCell ref="C131:E131"/>
    <mergeCell ref="C132:C133"/>
    <mergeCell ref="D132:E132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HBAF</vt:lpstr>
      <vt:lpstr>XDO_?CLASS_3?2?</vt:lpstr>
      <vt:lpstr>XDO_?FINAL_ISIN?4?</vt:lpstr>
      <vt:lpstr>XDO_?FINAL_ISIN?5?</vt:lpstr>
      <vt:lpstr>XDO_?FINAL_ISIN?6?</vt:lpstr>
      <vt:lpstr>XDO_?FINAL_ISIN?7?</vt:lpstr>
      <vt:lpstr>XDO_?FINAL_ISIN?8?</vt:lpstr>
      <vt:lpstr>XDO_?FINAL_ISIN?9?</vt:lpstr>
      <vt:lpstr>XDO_?FINAL_MV?4?</vt:lpstr>
      <vt:lpstr>XDO_?FINAL_MV?5?</vt:lpstr>
      <vt:lpstr>XDO_?FINAL_MV?6?</vt:lpstr>
      <vt:lpstr>XDO_?FINAL_MV?7?</vt:lpstr>
      <vt:lpstr>XDO_?FINAL_MV?8?</vt:lpstr>
      <vt:lpstr>XDO_?FINAL_MV?9?</vt:lpstr>
      <vt:lpstr>XDO_?FINAL_NAME?4?</vt:lpstr>
      <vt:lpstr>XDO_?FINAL_NAME?5?</vt:lpstr>
      <vt:lpstr>XDO_?FINAL_NAME?6?</vt:lpstr>
      <vt:lpstr>XDO_?FINAL_NAME?7?</vt:lpstr>
      <vt:lpstr>XDO_?FINAL_NAME?8?</vt:lpstr>
      <vt:lpstr>XDO_?FINAL_NAME?9?</vt:lpstr>
      <vt:lpstr>XDO_?FINAL_PER_NET?4?</vt:lpstr>
      <vt:lpstr>XDO_?FINAL_PER_NET?5?</vt:lpstr>
      <vt:lpstr>XDO_?FINAL_PER_NET?6?</vt:lpstr>
      <vt:lpstr>XDO_?FINAL_PER_NET?7?</vt:lpstr>
      <vt:lpstr>XDO_?FINAL_PER_NET?8?</vt:lpstr>
      <vt:lpstr>XDO_?FINAL_PER_NET?9?</vt:lpstr>
      <vt:lpstr>XDO_?FINAL_QUANTITE?4?</vt:lpstr>
      <vt:lpstr>XDO_?FINAL_QUANTITE?5?</vt:lpstr>
      <vt:lpstr>XDO_?FINAL_QUANTITE?6?</vt:lpstr>
      <vt:lpstr>XDO_?FINAL_QUANTITE?7?</vt:lpstr>
      <vt:lpstr>XDO_?FINAL_QUANTITE?8?</vt:lpstr>
      <vt:lpstr>XDO_?FINAL_QUANTITE?9?</vt:lpstr>
      <vt:lpstr>XDO_?NAMCNAME?2?</vt:lpstr>
      <vt:lpstr>XDO_?NOVAL?4?</vt:lpstr>
      <vt:lpstr>XDO_?NOVAL?5?</vt:lpstr>
      <vt:lpstr>XDO_?NOVAL?6?</vt:lpstr>
      <vt:lpstr>XDO_?NOVAL?7?</vt:lpstr>
      <vt:lpstr>XDO_?NOVAL?8?</vt:lpstr>
      <vt:lpstr>XDO_?NOVAL?9?</vt:lpstr>
      <vt:lpstr>XDO_?NPTF?2?</vt:lpstr>
      <vt:lpstr>XDO_?RATING?4?</vt:lpstr>
      <vt:lpstr>XDO_?RATING?5?</vt:lpstr>
      <vt:lpstr>XDO_?RATING?6?</vt:lpstr>
      <vt:lpstr>XDO_?RATING?7?</vt:lpstr>
      <vt:lpstr>XDO_?RATING?8?</vt:lpstr>
      <vt:lpstr>XDO_?RATING?9?</vt:lpstr>
      <vt:lpstr>XDO_?REMARKS?4?</vt:lpstr>
      <vt:lpstr>XDO_?REMARKS?5?</vt:lpstr>
      <vt:lpstr>XDO_?REMARKS?6?</vt:lpstr>
      <vt:lpstr>XDO_?REMARKS?7?</vt:lpstr>
      <vt:lpstr>XDO_?REMARKS?8?</vt:lpstr>
      <vt:lpstr>XDO_?REMARKS?9?</vt:lpstr>
      <vt:lpstr>XDO_?TITL?2?</vt:lpstr>
      <vt:lpstr>XDO_?YTM?4?</vt:lpstr>
      <vt:lpstr>XDO_?YTM?5?</vt:lpstr>
      <vt:lpstr>XDO_?YTM?6?</vt:lpstr>
      <vt:lpstr>XDO_?YTM?7?</vt:lpstr>
      <vt:lpstr>XDO_?YTM?8?</vt:lpstr>
      <vt:lpstr>XDO_?YTM?9?</vt:lpstr>
      <vt:lpstr>XDO_GROUP_?G_2?2?</vt:lpstr>
      <vt:lpstr>XDO_GROUP_?G_3?2?</vt:lpstr>
      <vt:lpstr>XDO_GROUP_?G_4?4?</vt:lpstr>
      <vt:lpstr>XDO_GROUP_?G_4?5?</vt:lpstr>
      <vt:lpstr>XDO_GROUP_?G_4?6?</vt:lpstr>
      <vt:lpstr>XDO_GROUP_?G_4?7?</vt:lpstr>
      <vt:lpstr>XDO_GROUP_?G_4?8?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Pratima-Bane</cp:lastModifiedBy>
  <dcterms:created xsi:type="dcterms:W3CDTF">2026-06-05T11:58:02Z</dcterms:created>
  <dcterms:modified xsi:type="dcterms:W3CDTF">2026-06-05T11:58:03Z</dcterms:modified>
</cp:coreProperties>
</file>