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28. Helios MF\Reporting\Monthly\Monthly Portfolio\2026-27\May 2026\Monthly 31-May-2026\"/>
    </mc:Choice>
  </mc:AlternateContent>
  <xr:revisionPtr revIDLastSave="0" documentId="8_{4E517879-5871-4C16-9EDB-FAB5E90CE815}" xr6:coauthVersionLast="47" xr6:coauthVersionMax="47" xr10:uidLastSave="{00000000-0000-0000-0000-000000000000}"/>
  <bookViews>
    <workbookView xWindow="-120" yWindow="-120" windowWidth="29040" windowHeight="15720" xr2:uid="{EC9270F6-0B62-4EB4-A5AF-087D672768AA}"/>
  </bookViews>
  <sheets>
    <sheet name="HMCF" sheetId="1" r:id="rId1"/>
  </sheets>
  <externalReferences>
    <externalReference r:id="rId2"/>
  </externalReferences>
  <definedNames>
    <definedName name="XDO_?CLASS_3?5?">HMCF!$C$8:$C$77</definedName>
    <definedName name="XDO_?FINAL_ISIN?16?">HMCF!$D$10:$D$77</definedName>
    <definedName name="XDO_?FINAL_ISIN?17?">HMCF!$D$10:$D$82</definedName>
    <definedName name="XDO_?FINAL_ISIN?18?">HMCF!$D$10:$D$86</definedName>
    <definedName name="XDO_?FINAL_MV?16?">HMCF!$G$10:$G$77</definedName>
    <definedName name="XDO_?FINAL_MV?17?">HMCF!$G$10:$G$82</definedName>
    <definedName name="XDO_?FINAL_MV?18?">HMCF!$G$10:$G$86</definedName>
    <definedName name="XDO_?FINAL_NAME?16?">HMCF!$C$10:$C$77</definedName>
    <definedName name="XDO_?FINAL_NAME?17?">HMCF!$C$10:$C$82</definedName>
    <definedName name="XDO_?FINAL_NAME?18?">HMCF!$C$10:$C$86</definedName>
    <definedName name="XDO_?FINAL_PER_NET?16?">HMCF!$H$10:$H$77</definedName>
    <definedName name="XDO_?FINAL_PER_NET?17?">HMCF!$H$10:$H$82</definedName>
    <definedName name="XDO_?FINAL_PER_NET?18?">HMCF!$H$10:$H$86</definedName>
    <definedName name="XDO_?FINAL_QUANTITE?16?">HMCF!$F$10:$F$77</definedName>
    <definedName name="XDO_?FINAL_QUANTITE?17?">HMCF!$F$10:$F$82</definedName>
    <definedName name="XDO_?FINAL_QUANTITE?18?">HMCF!$F$10:$F$86</definedName>
    <definedName name="XDO_?NAMC?">[1]HOF!#REF!</definedName>
    <definedName name="XDO_?NAMC?1?">[1]HFCF!#REF!</definedName>
    <definedName name="XDO_?NAMC?2?">[1]HBAF!#REF!</definedName>
    <definedName name="XDO_?NAMC?3?">[1]HFSF!#REF!</definedName>
    <definedName name="XDO_?NAMC?4?">[1]HLM!#REF!</definedName>
    <definedName name="XDO_?NAMC?5?">HMCF!#REF!</definedName>
    <definedName name="XDO_?NAMC?6?">[1]HSCF!#REF!</definedName>
    <definedName name="XDO_?NAMC?7?">[1]HARF!#REF!</definedName>
    <definedName name="XDO_?NAMCNAME?5?">HMCF!$C$2:$C$77</definedName>
    <definedName name="XDO_?NDATE?">[1]HOF!#REF!</definedName>
    <definedName name="XDO_?NDATE?1?">[1]HFCF!#REF!</definedName>
    <definedName name="XDO_?NDATE?2?">[1]HBAF!#REF!</definedName>
    <definedName name="XDO_?NDATE?3?">[1]HFSF!#REF!</definedName>
    <definedName name="XDO_?NDATE?4?">[1]HLM!#REF!</definedName>
    <definedName name="XDO_?NDATE?5?">HMCF!#REF!</definedName>
    <definedName name="XDO_?NDATE?6?">[1]HSCF!#REF!</definedName>
    <definedName name="XDO_?NDATE?7?">[1]HARF!#REF!</definedName>
    <definedName name="XDO_?NNPTF?">[1]HOF!#REF!</definedName>
    <definedName name="XDO_?NNPTF?1?">[1]HFCF!#REF!</definedName>
    <definedName name="XDO_?NNPTF?2?">[1]HBAF!#REF!</definedName>
    <definedName name="XDO_?NNPTF?3?">[1]HFSF!#REF!</definedName>
    <definedName name="XDO_?NNPTF?4?">[1]HLM!#REF!</definedName>
    <definedName name="XDO_?NNPTF?5?">HMCF!#REF!</definedName>
    <definedName name="XDO_?NNPTF?6?">[1]HSCF!#REF!</definedName>
    <definedName name="XDO_?NNPTF?7?">[1]HARF!#REF!</definedName>
    <definedName name="XDO_?NOVAL?16?">HMCF!$B$10:$B$77</definedName>
    <definedName name="XDO_?NOVAL?17?">HMCF!$B$10:$B$82</definedName>
    <definedName name="XDO_?NOVAL?18?">HMCF!$B$10:$B$86</definedName>
    <definedName name="XDO_?NPTF?5?">HMCF!$D$2:$D$77</definedName>
    <definedName name="XDO_?RATING?16?">HMCF!$E$10:$E$77</definedName>
    <definedName name="XDO_?RATING?17?">HMCF!$E$10:$E$82</definedName>
    <definedName name="XDO_?RATING?18?">HMCF!$E$10:$E$86</definedName>
    <definedName name="XDO_?REMARKS?16?">HMCF!$K$10:$K$77</definedName>
    <definedName name="XDO_?REMARKS?17?">HMCF!$K$10:$K$82</definedName>
    <definedName name="XDO_?REMARKS?18?">HMCF!$K$10:$K$86</definedName>
    <definedName name="XDO_?TITL?5?">HMCF!$A$8:$A$77</definedName>
    <definedName name="XDO_?YTM?16?">HMCF!$I$10:$I$77</definedName>
    <definedName name="XDO_?YTM?17?">HMCF!$I$10:$I$82</definedName>
    <definedName name="XDO_?YTM?18?">HMCF!$I$10:$I$86</definedName>
    <definedName name="XDO_GROUP_?G_2?5?">HMCF!$2:$89</definedName>
    <definedName name="XDO_GROUP_?G_3?5?">HMCF!$8:$88</definedName>
    <definedName name="XDO_GROUP_?G_4?16?">HMCF!$B$10:$IV$77</definedName>
    <definedName name="XDO_GROUP_?G_4?17?">HMCF!$B$82:$IV$82</definedName>
    <definedName name="XDO_GROUP_?G_4?18?">HMCF!$B$86:$IV$86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9" i="1" l="1"/>
</calcChain>
</file>

<file path=xl/sharedStrings.xml><?xml version="1.0" encoding="utf-8"?>
<sst xmlns="http://schemas.openxmlformats.org/spreadsheetml/2006/main" count="342" uniqueCount="298">
  <si>
    <t>Helios Mutual Fund</t>
  </si>
  <si>
    <t>SCHEME NAME :</t>
  </si>
  <si>
    <t>Helios Mid Cap Fund (Mid Cap Fund - An open-ended equity scheme predominantly investing in mid cap stocks)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</si>
  <si>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</si>
  <si>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</si>
  <si>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</si>
  <si>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</si>
  <si>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</si>
  <si>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</si>
  <si>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</si>
  <si>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</si>
  <si>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</si>
  <si>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</si>
  <si>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</si>
  <si>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</si>
  <si>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100243</t>
  </si>
  <si>
    <t>Multi Commodity Exchange of India Ltd.</t>
  </si>
  <si>
    <t>INE745G01043</t>
  </si>
  <si>
    <t>Capital Markets</t>
  </si>
  <si>
    <t>100701</t>
  </si>
  <si>
    <t>Nippon Life India Asset Management Ltd.</t>
  </si>
  <si>
    <t>INE298J01013</t>
  </si>
  <si>
    <t>101396</t>
  </si>
  <si>
    <t>One 97 Communications Ltd.</t>
  </si>
  <si>
    <t>INE982J01020</t>
  </si>
  <si>
    <t>Financial Technology (Fintech)</t>
  </si>
  <si>
    <t>100022</t>
  </si>
  <si>
    <t>The Phoenix Mills Ltd.</t>
  </si>
  <si>
    <t>INE211B01039</t>
  </si>
  <si>
    <t>Realty</t>
  </si>
  <si>
    <t>100382</t>
  </si>
  <si>
    <t>Fortis Healthcare Ltd.</t>
  </si>
  <si>
    <t>INE061F01013</t>
  </si>
  <si>
    <t>Healthcare Services</t>
  </si>
  <si>
    <t>100105</t>
  </si>
  <si>
    <t>Marico Ltd.</t>
  </si>
  <si>
    <t>INE196A01026</t>
  </si>
  <si>
    <t>Agricultural Food &amp; other Products</t>
  </si>
  <si>
    <t>100416</t>
  </si>
  <si>
    <t>GMR Airports Ltd.</t>
  </si>
  <si>
    <t>INE776C01039</t>
  </si>
  <si>
    <t>Transport Infrastructure</t>
  </si>
  <si>
    <t>100575</t>
  </si>
  <si>
    <t>BSE Ltd.</t>
  </si>
  <si>
    <t>INE118H01025</t>
  </si>
  <si>
    <t>101063</t>
  </si>
  <si>
    <t>Hitachi Energy India Ltd.</t>
  </si>
  <si>
    <t>INE07Y701011</t>
  </si>
  <si>
    <t>Electrical Equipment</t>
  </si>
  <si>
    <t>100665</t>
  </si>
  <si>
    <t>Aditya Birla Capital Ltd.</t>
  </si>
  <si>
    <t>INE674K01013</t>
  </si>
  <si>
    <t>Finance</t>
  </si>
  <si>
    <t>100148</t>
  </si>
  <si>
    <t>Motilal Oswal Financial Services Ltd.</t>
  </si>
  <si>
    <t>INE338I01027</t>
  </si>
  <si>
    <t>100242</t>
  </si>
  <si>
    <t>Schaeffler India Ltd.</t>
  </si>
  <si>
    <t>INE513A01022</t>
  </si>
  <si>
    <t>Auto Components</t>
  </si>
  <si>
    <t>100632</t>
  </si>
  <si>
    <t>Apar Industries Ltd.</t>
  </si>
  <si>
    <t>INE372A01015</t>
  </si>
  <si>
    <t>100906</t>
  </si>
  <si>
    <t>360 ONE WAM Ltd.</t>
  </si>
  <si>
    <t>INE466L01038</t>
  </si>
  <si>
    <t>100739</t>
  </si>
  <si>
    <t>UNO Minda Ltd.</t>
  </si>
  <si>
    <t>INE405E01023</t>
  </si>
  <si>
    <t>100123</t>
  </si>
  <si>
    <t>GE Vernova T&amp;D India Ltd.</t>
  </si>
  <si>
    <t>INE200A01026</t>
  </si>
  <si>
    <t>100677</t>
  </si>
  <si>
    <t>Dixon Technologies (India) Ltd.</t>
  </si>
  <si>
    <t>INE935N01020</t>
  </si>
  <si>
    <t>Consumer Durables</t>
  </si>
  <si>
    <t>100211</t>
  </si>
  <si>
    <t>IDFC First Bank Ltd.</t>
  </si>
  <si>
    <t>INE092T01019</t>
  </si>
  <si>
    <t>Banks</t>
  </si>
  <si>
    <t>101402</t>
  </si>
  <si>
    <t>Black Box Ltd.</t>
  </si>
  <si>
    <t>INE676A01027</t>
  </si>
  <si>
    <t>IT - Services</t>
  </si>
  <si>
    <t>100471</t>
  </si>
  <si>
    <t>Endurance Technologies Ltd.</t>
  </si>
  <si>
    <t>INE913H01037</t>
  </si>
  <si>
    <t>101348</t>
  </si>
  <si>
    <t>Acutaas Chemicals Ltd.</t>
  </si>
  <si>
    <t>INE00FF01025</t>
  </si>
  <si>
    <t>Pharmaceuticals &amp; Biotechnology</t>
  </si>
  <si>
    <t>102512</t>
  </si>
  <si>
    <t>Vishal Mega Mart Ltd.</t>
  </si>
  <si>
    <t>INE01EA01019</t>
  </si>
  <si>
    <t>Retailing</t>
  </si>
  <si>
    <t>100168</t>
  </si>
  <si>
    <t>Escorts Kubota Ltd.</t>
  </si>
  <si>
    <t>INE042A01014</t>
  </si>
  <si>
    <t>Agricultural, Commercial &amp; Construction Vehicles</t>
  </si>
  <si>
    <t>100816</t>
  </si>
  <si>
    <t>APL Apollo Tubes Ltd.</t>
  </si>
  <si>
    <t>INE702C01027</t>
  </si>
  <si>
    <t>Industrial Products</t>
  </si>
  <si>
    <t>101390</t>
  </si>
  <si>
    <t>PB Fintech Ltd.</t>
  </si>
  <si>
    <t>INE417T01026</t>
  </si>
  <si>
    <t>102597</t>
  </si>
  <si>
    <t>Ather Energy Ltd.</t>
  </si>
  <si>
    <t>INE0LEZ01016</t>
  </si>
  <si>
    <t>Automobiles</t>
  </si>
  <si>
    <t>100533</t>
  </si>
  <si>
    <t>Radico Khaitan Ltd.</t>
  </si>
  <si>
    <t>INE944F01028</t>
  </si>
  <si>
    <t>Beverages</t>
  </si>
  <si>
    <t>100107</t>
  </si>
  <si>
    <t>Max Financial Services Ltd.</t>
  </si>
  <si>
    <t>INE180A01020</t>
  </si>
  <si>
    <t>Insurance</t>
  </si>
  <si>
    <t>100161</t>
  </si>
  <si>
    <t>Cummins India Ltd.</t>
  </si>
  <si>
    <t>INE298A01020</t>
  </si>
  <si>
    <t>100116</t>
  </si>
  <si>
    <t>Sundaram Finance Ltd.</t>
  </si>
  <si>
    <t>INE660A01013</t>
  </si>
  <si>
    <t>102655</t>
  </si>
  <si>
    <t>Piramal Finance Ltd.</t>
  </si>
  <si>
    <t>INE202B01038</t>
  </si>
  <si>
    <t>101080</t>
  </si>
  <si>
    <t>JB Chemicals &amp; Pharmaceuticals Ltd.</t>
  </si>
  <si>
    <t>INE572A01036</t>
  </si>
  <si>
    <t>102710</t>
  </si>
  <si>
    <t>Physicswallah Ltd.</t>
  </si>
  <si>
    <t>INE0LP301011</t>
  </si>
  <si>
    <t>Other Consumer Services</t>
  </si>
  <si>
    <t>101618</t>
  </si>
  <si>
    <t>Syrma SGS Technology Ltd.</t>
  </si>
  <si>
    <t>INE0DYJ01015</t>
  </si>
  <si>
    <t>Industrial Manufacturing</t>
  </si>
  <si>
    <t>102449</t>
  </si>
  <si>
    <t>Swiggy Ltd.</t>
  </si>
  <si>
    <t>INE00H001014</t>
  </si>
  <si>
    <t>100570</t>
  </si>
  <si>
    <t>K.P.R. Mill Ltd.</t>
  </si>
  <si>
    <t>INE930H01031</t>
  </si>
  <si>
    <t>Textiles &amp; Apparels</t>
  </si>
  <si>
    <t>100231</t>
  </si>
  <si>
    <t>Muthoot Finance Ltd.</t>
  </si>
  <si>
    <t>INE414G01012</t>
  </si>
  <si>
    <t>101370</t>
  </si>
  <si>
    <t>Gokaldas Exports Ltd.</t>
  </si>
  <si>
    <t>INE887G01027</t>
  </si>
  <si>
    <t>101553</t>
  </si>
  <si>
    <t>Delhivery Ltd.</t>
  </si>
  <si>
    <t>INE148O01028</t>
  </si>
  <si>
    <t>Transport Services</t>
  </si>
  <si>
    <t>100324</t>
  </si>
  <si>
    <t>NBCC (India) Ltd.</t>
  </si>
  <si>
    <t>INE095N01031</t>
  </si>
  <si>
    <t>Construction</t>
  </si>
  <si>
    <t>101623</t>
  </si>
  <si>
    <t>Piramal Pharma Ltd.</t>
  </si>
  <si>
    <t>INE0DK501011</t>
  </si>
  <si>
    <t>101345</t>
  </si>
  <si>
    <t>CarTrade Tech Ltd.</t>
  </si>
  <si>
    <t>INE290S01011</t>
  </si>
  <si>
    <t>100477</t>
  </si>
  <si>
    <t>PNB Housing Finance Ltd.</t>
  </si>
  <si>
    <t>INE572E01012</t>
  </si>
  <si>
    <t>100256</t>
  </si>
  <si>
    <t>City Union Bank Ltd.</t>
  </si>
  <si>
    <t>INE491A01021</t>
  </si>
  <si>
    <t>101178</t>
  </si>
  <si>
    <t>Computer Age Management Services Ltd.</t>
  </si>
  <si>
    <t>INE596I01020</t>
  </si>
  <si>
    <t>102658</t>
  </si>
  <si>
    <t>Jain Resource Recycling Ltd.</t>
  </si>
  <si>
    <t>INE0YD401026</t>
  </si>
  <si>
    <t>Diversified Metals</t>
  </si>
  <si>
    <t>101548</t>
  </si>
  <si>
    <t>Rainbow Children's Medicare Ltd.</t>
  </si>
  <si>
    <t>INE961O01016</t>
  </si>
  <si>
    <t>101489</t>
  </si>
  <si>
    <t>Data Patterns (India) Ltd.</t>
  </si>
  <si>
    <t>INE0IX101010</t>
  </si>
  <si>
    <t>Aerospace &amp; Defense</t>
  </si>
  <si>
    <t>100179</t>
  </si>
  <si>
    <t>Hero MotoCorp Ltd.</t>
  </si>
  <si>
    <t>INE158A01026</t>
  </si>
  <si>
    <t>102729</t>
  </si>
  <si>
    <t>Park Medi World Ltd.</t>
  </si>
  <si>
    <t>INE119201023</t>
  </si>
  <si>
    <t>102503</t>
  </si>
  <si>
    <t>ASK Automotive Ltd.</t>
  </si>
  <si>
    <t>INE491J01022</t>
  </si>
  <si>
    <t>102097</t>
  </si>
  <si>
    <t>Bharti Hexacom Ltd.</t>
  </si>
  <si>
    <t>INE343G01021</t>
  </si>
  <si>
    <t>Telecom - Services</t>
  </si>
  <si>
    <t>102554</t>
  </si>
  <si>
    <t>ITC Hotels Ltd.</t>
  </si>
  <si>
    <t>INE379A01028</t>
  </si>
  <si>
    <t>Leisure Services</t>
  </si>
  <si>
    <t>102122</t>
  </si>
  <si>
    <t>Indegene Ltd.</t>
  </si>
  <si>
    <t>INE065X01017</t>
  </si>
  <si>
    <t>100583</t>
  </si>
  <si>
    <t>Edelweiss Financial Services Ltd.</t>
  </si>
  <si>
    <t>INE532F01054</t>
  </si>
  <si>
    <t>100775</t>
  </si>
  <si>
    <t>Lemon Tree Hotels Ltd.</t>
  </si>
  <si>
    <t>INE970X01018</t>
  </si>
  <si>
    <t>100284</t>
  </si>
  <si>
    <t>Dr. Lal Path labs Ltd.</t>
  </si>
  <si>
    <t>INE600L01024</t>
  </si>
  <si>
    <t>100043</t>
  </si>
  <si>
    <t>ZF Commercial Vehicle Control Systems India Ltd.</t>
  </si>
  <si>
    <t>INE342J01019</t>
  </si>
  <si>
    <t>102050</t>
  </si>
  <si>
    <t>Tips Music Ltd.</t>
  </si>
  <si>
    <t>INE716B01029</t>
  </si>
  <si>
    <t>Entertainment</t>
  </si>
  <si>
    <t>102760</t>
  </si>
  <si>
    <t>Sedemac Mechatronics Ltd.</t>
  </si>
  <si>
    <t>INE00XB01019</t>
  </si>
  <si>
    <t>102199</t>
  </si>
  <si>
    <t>Aadhar Housing Finance Ltd.</t>
  </si>
  <si>
    <t>INE883F01010</t>
  </si>
  <si>
    <t>102606</t>
  </si>
  <si>
    <t>Leela Palaces Hotels &amp; Resorts Ltd.</t>
  </si>
  <si>
    <t>INE0AQ201015</t>
  </si>
  <si>
    <t>100682</t>
  </si>
  <si>
    <t>ICICI Lombard General Insurance Company Ltd.</t>
  </si>
  <si>
    <t>INE765G01017</t>
  </si>
  <si>
    <t>102013</t>
  </si>
  <si>
    <t>Honasa Consumer Ltd.</t>
  </si>
  <si>
    <t>INE0J5401028</t>
  </si>
  <si>
    <t>Personal Products</t>
  </si>
  <si>
    <t>101619</t>
  </si>
  <si>
    <t>Ethos Ltd.</t>
  </si>
  <si>
    <t>INE04TZ01018</t>
  </si>
  <si>
    <t>100657</t>
  </si>
  <si>
    <t>V2 Retail Ltd.</t>
  </si>
  <si>
    <t>INE945H01021</t>
  </si>
  <si>
    <t>102613</t>
  </si>
  <si>
    <t>Travel Food Services Ltd.</t>
  </si>
  <si>
    <t>INE103V01028</t>
  </si>
  <si>
    <t>100565</t>
  </si>
  <si>
    <t>Glaxosmithkline Pharmaceuticals Ltd.</t>
  </si>
  <si>
    <t>INE159A01016</t>
  </si>
  <si>
    <t>Total</t>
  </si>
  <si>
    <t>OTHERS</t>
  </si>
  <si>
    <t>TREPS / Reverse Repo Investments</t>
  </si>
  <si>
    <t>106260100</t>
  </si>
  <si>
    <t>TREPS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</si>
  <si>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</si>
  <si>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</si>
  <si>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</si>
  <si>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</si>
  <si>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</si>
  <si>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</si>
  <si>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</si>
  <si>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 xml:space="preserve">3. ## YTC represents Yield to Call. It is disclosed for Perpetual Bond issued by Banks (i.e. AT-1 Bond / Tier 1 Bond / Tier 2 Bond), as per AMFI Best Practices Guidelines Circular no. 91/2020-21 dated March 24, 2021 on Valuation of AT-1 Bonds and Tier 2 Bonds.
</t>
  </si>
  <si>
    <t>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</si>
  <si>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</si>
  <si>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NAV History:</t>
  </si>
  <si>
    <t>Option / Plan</t>
  </si>
  <si>
    <t>NAV Rs. per unit as on April 30, 2026</t>
  </si>
  <si>
    <t>NAV Rs. per unit as on May 29, 2026</t>
  </si>
  <si>
    <t xml:space="preserve">Helios Mid Cap Fund - Regular Plan - Growth Option </t>
  </si>
  <si>
    <t xml:space="preserve">Helios Mid Cap Fund - Regular Plan - IDCW Option </t>
  </si>
  <si>
    <t xml:space="preserve">Helios Mid Cap Fund - Direct Plan - Growth Option </t>
  </si>
  <si>
    <t xml:space="preserve">Helios Mid Cap Fund - Direct Plan - IDCW Option </t>
  </si>
  <si>
    <t>Dividend History:Total dividends declared during the month ended May 31, 2026 under the Income Distribution cum Capital Withdrawal (IDCW) Options of the Scheme are as follows:</t>
  </si>
  <si>
    <t>Rate of dividend per Unit</t>
  </si>
  <si>
    <t>Individuals &amp; HUF</t>
  </si>
  <si>
    <t>Others</t>
  </si>
  <si>
    <t>Helios Mid Cap Fund - Regular Plan - IDCW Option</t>
  </si>
  <si>
    <t>Nil</t>
  </si>
  <si>
    <t>Helios Mid Cap Fund - Direct Plan - IDCW Option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</si>
  <si>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</si>
  <si>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</si>
  <si>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May 31, 2026.</t>
  </si>
  <si>
    <t>Investment in Repo in Corporate Debt Securities during the Month ended May 31, 2026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</si>
  <si>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</si>
  <si>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</si>
  <si>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</si>
  <si>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May 31, 2026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</si>
  <si>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</si>
  <si>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May 31, 2026 is Nil.</t>
  </si>
  <si>
    <t>Market Value includes accrued interest (if any)</t>
  </si>
  <si>
    <t>Investments in Credit Default Swap (CDS) during the period/as on May 31, 2026: Nil</t>
  </si>
  <si>
    <t>Total value and percentage of illiquid equity shares: Nil</t>
  </si>
  <si>
    <t>Funds parked in short term deposit(s) during the period / as on May 31, 2026: Nil</t>
  </si>
  <si>
    <t>Value of term deposits placed as margin for trading in cash or derivatives market: Nil</t>
  </si>
  <si>
    <t>Total below investment grade or default provided for and its percentage to NAV: Nil</t>
  </si>
  <si>
    <t>Product Labelling: To provide investors an easy understanding of the kind of product/scheme they are investing in and its suitability to them, the product labelling is as under:</t>
  </si>
  <si>
    <t>*Investors should consult their financial advisers if in doubt about whether the product is suitable for them.</t>
  </si>
  <si>
    <t xml:space="preserve"># Above risk-o-meters are as on May 31, 2026.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</si>
</sst>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92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4" fillId="0" borderId="0" xfId="0" applyNumberFormat="1" applyFont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166" fontId="6" fillId="0" borderId="9" xfId="0" applyNumberFormat="1" applyFont="1" applyBorder="1" applyAlignment="1">
      <alignment horizontal="left"/>
    </xf>
    <xf numFmtId="166" fontId="6" fillId="0" borderId="10" xfId="0" applyNumberFormat="1" applyFont="1" applyBorder="1" applyAlignment="1">
      <alignment horizontal="left"/>
    </xf>
    <xf numFmtId="166" fontId="6" fillId="0" borderId="11" xfId="0" applyNumberFormat="1" applyFont="1" applyBorder="1" applyAlignment="1">
      <alignment horizontal="left"/>
    </xf>
    <xf numFmtId="0" fontId="7" fillId="0" borderId="0" xfId="0" applyFont="1"/>
    <xf numFmtId="164" fontId="4" fillId="0" borderId="0" xfId="1" applyNumberFormat="1" applyFont="1"/>
    <xf numFmtId="43" fontId="4" fillId="0" borderId="0" xfId="1" applyFont="1"/>
    <xf numFmtId="0" fontId="9" fillId="2" borderId="12" xfId="3" applyFont="1" applyFill="1" applyBorder="1" applyAlignment="1">
      <alignment vertical="center"/>
    </xf>
    <xf numFmtId="0" fontId="9" fillId="2" borderId="13" xfId="3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164" fontId="9" fillId="2" borderId="14" xfId="1" applyNumberFormat="1" applyFont="1" applyFill="1" applyBorder="1" applyAlignment="1">
      <alignment vertical="center"/>
    </xf>
    <xf numFmtId="43" fontId="9" fillId="2" borderId="14" xfId="1" applyFont="1" applyFill="1" applyBorder="1" applyAlignment="1">
      <alignment vertical="center" wrapText="1"/>
    </xf>
    <xf numFmtId="43" fontId="9" fillId="2" borderId="15" xfId="1" applyFont="1" applyFill="1" applyBorder="1" applyAlignment="1">
      <alignment vertical="center"/>
    </xf>
    <xf numFmtId="43" fontId="9" fillId="2" borderId="16" xfId="1" applyFont="1" applyFill="1" applyBorder="1" applyAlignment="1">
      <alignment vertical="center"/>
    </xf>
    <xf numFmtId="43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4" fontId="4" fillId="0" borderId="19" xfId="1" applyNumberFormat="1" applyFont="1" applyBorder="1"/>
    <xf numFmtId="43" fontId="4" fillId="0" borderId="19" xfId="1" applyFont="1" applyBorder="1" applyAlignment="1">
      <alignment horizontal="right"/>
    </xf>
    <xf numFmtId="43" fontId="4" fillId="0" borderId="20" xfId="1" applyFont="1" applyBorder="1"/>
    <xf numFmtId="43" fontId="4" fillId="0" borderId="21" xfId="1" applyFont="1" applyBorder="1"/>
    <xf numFmtId="165" fontId="4" fillId="0" borderId="22" xfId="0" applyNumberFormat="1" applyFont="1" applyBorder="1"/>
    <xf numFmtId="0" fontId="3" fillId="3" borderId="23" xfId="4" applyFont="1" applyFill="1" applyBorder="1"/>
    <xf numFmtId="0" fontId="3" fillId="3" borderId="0" xfId="4" applyFont="1" applyFill="1"/>
    <xf numFmtId="0" fontId="7" fillId="0" borderId="17" xfId="0" applyFont="1" applyBorder="1"/>
    <xf numFmtId="0" fontId="4" fillId="0" borderId="24" xfId="0" applyFont="1" applyBorder="1"/>
    <xf numFmtId="0" fontId="4" fillId="0" borderId="25" xfId="0" applyFont="1" applyBorder="1"/>
    <xf numFmtId="164" fontId="4" fillId="0" borderId="25" xfId="1" applyNumberFormat="1" applyFont="1" applyBorder="1"/>
    <xf numFmtId="43" fontId="4" fillId="0" borderId="25" xfId="1" applyFont="1" applyBorder="1" applyAlignment="1">
      <alignment horizontal="right"/>
    </xf>
    <xf numFmtId="43" fontId="4" fillId="0" borderId="26" xfId="1" applyFont="1" applyBorder="1"/>
    <xf numFmtId="43" fontId="4" fillId="0" borderId="27" xfId="1" applyFont="1" applyBorder="1"/>
    <xf numFmtId="165" fontId="4" fillId="0" borderId="28" xfId="0" applyNumberFormat="1" applyFont="1" applyBorder="1"/>
    <xf numFmtId="0" fontId="10" fillId="3" borderId="17" xfId="4" applyFont="1" applyFill="1" applyBorder="1"/>
    <xf numFmtId="43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4" fontId="4" fillId="0" borderId="32" xfId="1" applyNumberFormat="1" applyFont="1" applyBorder="1"/>
    <xf numFmtId="43" fontId="7" fillId="0" borderId="33" xfId="1" applyFont="1" applyBorder="1" applyAlignment="1">
      <alignment horizontal="right"/>
    </xf>
    <xf numFmtId="43" fontId="4" fillId="0" borderId="34" xfId="1" applyFont="1" applyBorder="1"/>
    <xf numFmtId="43" fontId="4" fillId="0" borderId="35" xfId="1" applyFont="1" applyBorder="1"/>
    <xf numFmtId="165" fontId="4" fillId="0" borderId="36" xfId="0" applyNumberFormat="1" applyFont="1" applyBorder="1"/>
    <xf numFmtId="0" fontId="1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14" fillId="0" borderId="4" xfId="0" applyFont="1" applyBorder="1"/>
    <xf numFmtId="167" fontId="13" fillId="0" borderId="38" xfId="0" applyNumberFormat="1" applyFont="1" applyBorder="1" applyAlignment="1">
      <alignment horizontal="center" vertical="center"/>
    </xf>
    <xf numFmtId="0" fontId="14" fillId="0" borderId="8" xfId="0" applyFont="1" applyBorder="1"/>
    <xf numFmtId="167" fontId="13" fillId="0" borderId="39" xfId="0" applyNumberFormat="1" applyFont="1" applyBorder="1" applyAlignment="1">
      <alignment horizontal="center" vertical="center"/>
    </xf>
    <xf numFmtId="0" fontId="14" fillId="0" borderId="0" xfId="0" applyFont="1"/>
    <xf numFmtId="16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40" xfId="0" applyFont="1" applyBorder="1" applyAlignment="1">
      <alignment horizontal="left" wrapText="1"/>
    </xf>
    <xf numFmtId="0" fontId="6" fillId="4" borderId="41" xfId="0" applyFont="1" applyFill="1" applyBorder="1" applyAlignment="1">
      <alignment horizontal="center" vertical="center" wrapText="1"/>
    </xf>
    <xf numFmtId="49" fontId="15" fillId="5" borderId="15" xfId="4" applyNumberFormat="1" applyFont="1" applyFill="1" applyBorder="1" applyAlignment="1">
      <alignment horizontal="center" vertical="center"/>
    </xf>
    <xf numFmtId="49" fontId="15" fillId="5" borderId="3" xfId="4" applyNumberFormat="1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 wrapText="1"/>
    </xf>
    <xf numFmtId="49" fontId="15" fillId="5" borderId="29" xfId="4" applyNumberFormat="1" applyFont="1" applyFill="1" applyBorder="1" applyAlignment="1">
      <alignment horizontal="center" vertical="center"/>
    </xf>
    <xf numFmtId="49" fontId="15" fillId="5" borderId="38" xfId="4" applyNumberFormat="1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0" xfId="0" applyFont="1"/>
    <xf numFmtId="0" fontId="13" fillId="0" borderId="43" xfId="0" applyFont="1" applyBorder="1" applyAlignment="1">
      <alignment wrapText="1"/>
    </xf>
    <xf numFmtId="2" fontId="13" fillId="0" borderId="44" xfId="0" applyNumberFormat="1" applyFont="1" applyBorder="1" applyAlignment="1">
      <alignment horizontal="right"/>
    </xf>
    <xf numFmtId="164" fontId="13" fillId="0" borderId="0" xfId="1" applyNumberFormat="1" applyFont="1"/>
    <xf numFmtId="0" fontId="2" fillId="0" borderId="0" xfId="2"/>
    <xf numFmtId="49" fontId="2" fillId="6" borderId="0" xfId="2" applyNumberFormat="1" applyFill="1" applyAlignment="1">
      <alignment horizontal="left"/>
    </xf>
    <xf numFmtId="49" fontId="15" fillId="6" borderId="0" xfId="4" applyNumberFormat="1" applyFont="1" applyFill="1" applyAlignment="1">
      <alignment horizontal="left"/>
    </xf>
    <xf numFmtId="0" fontId="9" fillId="0" borderId="45" xfId="0" applyFont="1" applyBorder="1" applyAlignment="1">
      <alignment horizontal="left" vertical="center" wrapText="1"/>
    </xf>
    <xf numFmtId="0" fontId="9" fillId="0" borderId="46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</cellXfs>
  <cellStyles count="5">
    <cellStyle name="Comma" xfId="1" builtinId="3"/>
    <cellStyle name="Explanatory Text" xfId="2" builtinId="53"/>
    <cellStyle name="Normal" xfId="0" builtinId="0"/>
    <cellStyle name="Normal 2" xfId="4" xr:uid="{BA755A87-A1B7-4D19-88A1-BDC1198FAE99}"/>
    <cellStyle name="Style 1" xfId="3" xr:uid="{C30EECC3-5F56-4251-9358-FE3BCACDC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76200</xdr:rowOff>
    </xdr:from>
    <xdr:to>
      <xdr:col>6</xdr:col>
      <xdr:colOff>1285875</xdr:colOff>
      <xdr:row>150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981B61F-8674-40E4-81C6-04D88FAFF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3526750"/>
          <a:ext cx="9353550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6-27\May%202026\Monthly%2031-May-2026\HeliosMF_Monthtly%20Portfolio_31st%20May%202026_.xls" TargetMode="External"/><Relationship Id="rId1" Type="http://schemas.openxmlformats.org/officeDocument/2006/relationships/externalLinkPath" Target="HeliosMF_Monthtly%20Portfolio_31st%20May%202026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  <sheetName val="HSCF"/>
      <sheetName val="HAR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E0F7-5E6E-44A4-94BE-36522CAA7745}">
  <sheetPr codeName="Sheet16"/>
  <dimension ref="A1:BB153"/>
  <sheetViews>
    <sheetView showGridLines="0" tabSelected="1" zoomScale="90" zoomScaleNormal="90" workbookViewId="0">
      <pane ySplit="6" topLeftCell="A110" activePane="bottomLeft" state="frozen"/>
      <selection pane="bottomLeft" activeCell="E102" sqref="E10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19" customWidth="1"/>
    <col min="7" max="10" width="19.5703125" style="20" customWidth="1"/>
    <col min="11" max="11" width="19.5703125" style="9" hidden="1" customWidth="1"/>
    <col min="12" max="12" width="9.140625" style="9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9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9" bestFit="1" customWidth="1"/>
    <col min="49" max="49" width="15" style="2" bestFit="1" customWidth="1"/>
    <col min="50" max="50" width="11.7109375" style="9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9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6" width="19.5703125" style="2" customWidth="1"/>
    <col min="267" max="267" width="0" style="2" hidden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2" width="19.5703125" style="2" customWidth="1"/>
    <col min="523" max="523" width="0" style="2" hidden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8" width="19.5703125" style="2" customWidth="1"/>
    <col min="779" max="779" width="0" style="2" hidden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4" width="19.5703125" style="2" customWidth="1"/>
    <col min="1035" max="1035" width="0" style="2" hidden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0" width="19.5703125" style="2" customWidth="1"/>
    <col min="1291" max="1291" width="0" style="2" hidden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6" width="19.5703125" style="2" customWidth="1"/>
    <col min="1547" max="1547" width="0" style="2" hidden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2" width="19.5703125" style="2" customWidth="1"/>
    <col min="1803" max="1803" width="0" style="2" hidden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8" width="19.5703125" style="2" customWidth="1"/>
    <col min="2059" max="2059" width="0" style="2" hidden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4" width="19.5703125" style="2" customWidth="1"/>
    <col min="2315" max="2315" width="0" style="2" hidden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0" width="19.5703125" style="2" customWidth="1"/>
    <col min="2571" max="2571" width="0" style="2" hidden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6" width="19.5703125" style="2" customWidth="1"/>
    <col min="2827" max="2827" width="0" style="2" hidden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2" width="19.5703125" style="2" customWidth="1"/>
    <col min="3083" max="3083" width="0" style="2" hidden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8" width="19.5703125" style="2" customWidth="1"/>
    <col min="3339" max="3339" width="0" style="2" hidden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4" width="19.5703125" style="2" customWidth="1"/>
    <col min="3595" max="3595" width="0" style="2" hidden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0" width="19.5703125" style="2" customWidth="1"/>
    <col min="3851" max="3851" width="0" style="2" hidden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6" width="19.5703125" style="2" customWidth="1"/>
    <col min="4107" max="4107" width="0" style="2" hidden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2" width="19.5703125" style="2" customWidth="1"/>
    <col min="4363" max="4363" width="0" style="2" hidden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8" width="19.5703125" style="2" customWidth="1"/>
    <col min="4619" max="4619" width="0" style="2" hidden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4" width="19.5703125" style="2" customWidth="1"/>
    <col min="4875" max="4875" width="0" style="2" hidden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0" width="19.5703125" style="2" customWidth="1"/>
    <col min="5131" max="5131" width="0" style="2" hidden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6" width="19.5703125" style="2" customWidth="1"/>
    <col min="5387" max="5387" width="0" style="2" hidden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2" width="19.5703125" style="2" customWidth="1"/>
    <col min="5643" max="5643" width="0" style="2" hidden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8" width="19.5703125" style="2" customWidth="1"/>
    <col min="5899" max="5899" width="0" style="2" hidden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4" width="19.5703125" style="2" customWidth="1"/>
    <col min="6155" max="6155" width="0" style="2" hidden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0" width="19.5703125" style="2" customWidth="1"/>
    <col min="6411" max="6411" width="0" style="2" hidden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6" width="19.5703125" style="2" customWidth="1"/>
    <col min="6667" max="6667" width="0" style="2" hidden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2" width="19.5703125" style="2" customWidth="1"/>
    <col min="6923" max="6923" width="0" style="2" hidden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8" width="19.5703125" style="2" customWidth="1"/>
    <col min="7179" max="7179" width="0" style="2" hidden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4" width="19.5703125" style="2" customWidth="1"/>
    <col min="7435" max="7435" width="0" style="2" hidden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0" width="19.5703125" style="2" customWidth="1"/>
    <col min="7691" max="7691" width="0" style="2" hidden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6" width="19.5703125" style="2" customWidth="1"/>
    <col min="7947" max="7947" width="0" style="2" hidden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2" width="19.5703125" style="2" customWidth="1"/>
    <col min="8203" max="8203" width="0" style="2" hidden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8" width="19.5703125" style="2" customWidth="1"/>
    <col min="8459" max="8459" width="0" style="2" hidden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4" width="19.5703125" style="2" customWidth="1"/>
    <col min="8715" max="8715" width="0" style="2" hidden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0" width="19.5703125" style="2" customWidth="1"/>
    <col min="8971" max="8971" width="0" style="2" hidden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6" width="19.5703125" style="2" customWidth="1"/>
    <col min="9227" max="9227" width="0" style="2" hidden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2" width="19.5703125" style="2" customWidth="1"/>
    <col min="9483" max="9483" width="0" style="2" hidden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8" width="19.5703125" style="2" customWidth="1"/>
    <col min="9739" max="9739" width="0" style="2" hidden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4" width="19.5703125" style="2" customWidth="1"/>
    <col min="9995" max="9995" width="0" style="2" hidden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0" width="19.5703125" style="2" customWidth="1"/>
    <col min="10251" max="10251" width="0" style="2" hidden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6" width="19.5703125" style="2" customWidth="1"/>
    <col min="10507" max="10507" width="0" style="2" hidden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2" width="19.5703125" style="2" customWidth="1"/>
    <col min="10763" max="10763" width="0" style="2" hidden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8" width="19.5703125" style="2" customWidth="1"/>
    <col min="11019" max="11019" width="0" style="2" hidden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4" width="19.5703125" style="2" customWidth="1"/>
    <col min="11275" max="11275" width="0" style="2" hidden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0" width="19.5703125" style="2" customWidth="1"/>
    <col min="11531" max="11531" width="0" style="2" hidden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6" width="19.5703125" style="2" customWidth="1"/>
    <col min="11787" max="11787" width="0" style="2" hidden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2" width="19.5703125" style="2" customWidth="1"/>
    <col min="12043" max="12043" width="0" style="2" hidden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8" width="19.5703125" style="2" customWidth="1"/>
    <col min="12299" max="12299" width="0" style="2" hidden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4" width="19.5703125" style="2" customWidth="1"/>
    <col min="12555" max="12555" width="0" style="2" hidden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0" width="19.5703125" style="2" customWidth="1"/>
    <col min="12811" max="12811" width="0" style="2" hidden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6" width="19.5703125" style="2" customWidth="1"/>
    <col min="13067" max="13067" width="0" style="2" hidden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2" width="19.5703125" style="2" customWidth="1"/>
    <col min="13323" max="13323" width="0" style="2" hidden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8" width="19.5703125" style="2" customWidth="1"/>
    <col min="13579" max="13579" width="0" style="2" hidden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4" width="19.5703125" style="2" customWidth="1"/>
    <col min="13835" max="13835" width="0" style="2" hidden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0" width="19.5703125" style="2" customWidth="1"/>
    <col min="14091" max="14091" width="0" style="2" hidden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6" width="19.5703125" style="2" customWidth="1"/>
    <col min="14347" max="14347" width="0" style="2" hidden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2" width="19.5703125" style="2" customWidth="1"/>
    <col min="14603" max="14603" width="0" style="2" hidden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8" width="19.5703125" style="2" customWidth="1"/>
    <col min="14859" max="14859" width="0" style="2" hidden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4" width="19.5703125" style="2" customWidth="1"/>
    <col min="15115" max="15115" width="0" style="2" hidden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0" width="19.5703125" style="2" customWidth="1"/>
    <col min="15371" max="15371" width="0" style="2" hidden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6" width="19.5703125" style="2" customWidth="1"/>
    <col min="15627" max="15627" width="0" style="2" hidden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2" width="19.5703125" style="2" customWidth="1"/>
    <col min="15883" max="15883" width="0" style="2" hidden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8" width="19.5703125" style="2" customWidth="1"/>
    <col min="16139" max="16139" width="0" style="2" hidden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4.25" thickBot="1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25">
      <c r="C2" s="6" t="s">
        <v>0</v>
      </c>
      <c r="D2" s="7"/>
      <c r="E2" s="7"/>
      <c r="F2" s="7"/>
      <c r="G2" s="7"/>
      <c r="H2" s="7"/>
      <c r="I2" s="7"/>
      <c r="J2" s="8"/>
    </row>
    <row r="3" spans="1:54" x14ac:dyDescent="0.25">
      <c r="C3" s="10" t="s">
        <v>1</v>
      </c>
      <c r="D3" s="11" t="s">
        <v>2</v>
      </c>
      <c r="E3" s="12"/>
      <c r="F3" s="12"/>
      <c r="G3" s="12"/>
      <c r="H3" s="12"/>
      <c r="I3" s="12"/>
      <c r="J3" s="13"/>
    </row>
    <row r="4" spans="1:54" ht="14.25" thickBot="1" x14ac:dyDescent="0.3">
      <c r="C4" s="14" t="s">
        <v>3</v>
      </c>
      <c r="D4" s="15">
        <v>46173</v>
      </c>
      <c r="E4" s="16"/>
      <c r="F4" s="16"/>
      <c r="G4" s="16"/>
      <c r="H4" s="16"/>
      <c r="I4" s="16"/>
      <c r="J4" s="17"/>
    </row>
    <row r="5" spans="1:54" ht="14.25" thickBot="1" x14ac:dyDescent="0.3">
      <c r="C5" s="18"/>
    </row>
    <row r="6" spans="1:54" ht="25.5" x14ac:dyDescent="0.25">
      <c r="C6" s="21" t="s">
        <v>4</v>
      </c>
      <c r="D6" s="22" t="s">
        <v>5</v>
      </c>
      <c r="E6" s="23" t="s">
        <v>6</v>
      </c>
      <c r="F6" s="24" t="s">
        <v>7</v>
      </c>
      <c r="G6" s="25" t="s">
        <v>8</v>
      </c>
      <c r="H6" s="25" t="s">
        <v>9</v>
      </c>
      <c r="I6" s="26" t="s">
        <v>10</v>
      </c>
      <c r="J6" s="27" t="s">
        <v>11</v>
      </c>
      <c r="K6" s="28" t="s">
        <v>12</v>
      </c>
    </row>
    <row r="7" spans="1:54" x14ac:dyDescent="0.25">
      <c r="C7" s="29"/>
      <c r="D7" s="30"/>
      <c r="E7" s="31"/>
      <c r="F7" s="32"/>
      <c r="G7" s="33"/>
      <c r="H7" s="33"/>
      <c r="I7" s="34"/>
      <c r="J7" s="35"/>
      <c r="K7" s="36"/>
    </row>
    <row r="8" spans="1:54" x14ac:dyDescent="0.25">
      <c r="A8" s="37"/>
      <c r="B8" s="38"/>
      <c r="C8" s="39" t="s">
        <v>13</v>
      </c>
      <c r="D8" s="40"/>
      <c r="E8" s="41"/>
      <c r="F8" s="42"/>
      <c r="G8" s="43"/>
      <c r="H8" s="43"/>
      <c r="I8" s="44"/>
      <c r="J8" s="45"/>
      <c r="K8" s="46"/>
    </row>
    <row r="9" spans="1:54" x14ac:dyDescent="0.25">
      <c r="C9" s="47" t="s">
        <v>14</v>
      </c>
      <c r="D9" s="40"/>
      <c r="E9" s="41"/>
      <c r="F9" s="42"/>
      <c r="G9" s="43"/>
      <c r="H9" s="43"/>
      <c r="I9" s="44"/>
      <c r="J9" s="45"/>
      <c r="K9" s="46"/>
    </row>
    <row r="10" spans="1:54" x14ac:dyDescent="0.25">
      <c r="B10" s="1" t="s">
        <v>15</v>
      </c>
      <c r="C10" s="29" t="s">
        <v>16</v>
      </c>
      <c r="D10" s="40" t="s">
        <v>17</v>
      </c>
      <c r="E10" s="41" t="s">
        <v>18</v>
      </c>
      <c r="F10" s="42">
        <v>151300</v>
      </c>
      <c r="G10" s="43">
        <v>4470.16</v>
      </c>
      <c r="H10" s="43">
        <v>3</v>
      </c>
      <c r="I10" s="44"/>
      <c r="J10" s="45"/>
      <c r="K10" s="46"/>
    </row>
    <row r="11" spans="1:54" x14ac:dyDescent="0.25">
      <c r="B11" s="1" t="s">
        <v>19</v>
      </c>
      <c r="C11" s="29" t="s">
        <v>20</v>
      </c>
      <c r="D11" s="40" t="s">
        <v>21</v>
      </c>
      <c r="E11" s="41" t="s">
        <v>18</v>
      </c>
      <c r="F11" s="42">
        <v>376558</v>
      </c>
      <c r="G11" s="43">
        <v>4142.8900000000003</v>
      </c>
      <c r="H11" s="43">
        <v>2.78</v>
      </c>
      <c r="I11" s="44"/>
      <c r="J11" s="45"/>
      <c r="K11" s="46"/>
    </row>
    <row r="12" spans="1:54" x14ac:dyDescent="0.25">
      <c r="B12" s="1" t="s">
        <v>22</v>
      </c>
      <c r="C12" s="29" t="s">
        <v>23</v>
      </c>
      <c r="D12" s="40" t="s">
        <v>24</v>
      </c>
      <c r="E12" s="41" t="s">
        <v>25</v>
      </c>
      <c r="F12" s="42">
        <v>364046</v>
      </c>
      <c r="G12" s="43">
        <v>4072.95</v>
      </c>
      <c r="H12" s="43">
        <v>2.73</v>
      </c>
      <c r="I12" s="44"/>
      <c r="J12" s="45"/>
      <c r="K12" s="46"/>
    </row>
    <row r="13" spans="1:54" x14ac:dyDescent="0.25">
      <c r="B13" s="1" t="s">
        <v>26</v>
      </c>
      <c r="C13" s="29" t="s">
        <v>27</v>
      </c>
      <c r="D13" s="40" t="s">
        <v>28</v>
      </c>
      <c r="E13" s="41" t="s">
        <v>29</v>
      </c>
      <c r="F13" s="42">
        <v>211692</v>
      </c>
      <c r="G13" s="43">
        <v>3749.49</v>
      </c>
      <c r="H13" s="43">
        <v>2.52</v>
      </c>
      <c r="I13" s="44"/>
      <c r="J13" s="45"/>
      <c r="K13" s="46"/>
    </row>
    <row r="14" spans="1:54" x14ac:dyDescent="0.25">
      <c r="B14" s="1" t="s">
        <v>30</v>
      </c>
      <c r="C14" s="29" t="s">
        <v>31</v>
      </c>
      <c r="D14" s="40" t="s">
        <v>32</v>
      </c>
      <c r="E14" s="41" t="s">
        <v>33</v>
      </c>
      <c r="F14" s="42">
        <v>400952</v>
      </c>
      <c r="G14" s="43">
        <v>3722.64</v>
      </c>
      <c r="H14" s="43">
        <v>2.5</v>
      </c>
      <c r="I14" s="44"/>
      <c r="J14" s="45"/>
      <c r="K14" s="46"/>
    </row>
    <row r="15" spans="1:54" x14ac:dyDescent="0.25">
      <c r="B15" s="1" t="s">
        <v>34</v>
      </c>
      <c r="C15" s="29" t="s">
        <v>35</v>
      </c>
      <c r="D15" s="40" t="s">
        <v>36</v>
      </c>
      <c r="E15" s="41" t="s">
        <v>37</v>
      </c>
      <c r="F15" s="42">
        <v>449670</v>
      </c>
      <c r="G15" s="43">
        <v>3694.94</v>
      </c>
      <c r="H15" s="43">
        <v>2.48</v>
      </c>
      <c r="I15" s="44"/>
      <c r="J15" s="45"/>
      <c r="K15" s="46"/>
    </row>
    <row r="16" spans="1:54" x14ac:dyDescent="0.25">
      <c r="B16" s="1" t="s">
        <v>38</v>
      </c>
      <c r="C16" s="29" t="s">
        <v>39</v>
      </c>
      <c r="D16" s="40" t="s">
        <v>40</v>
      </c>
      <c r="E16" s="41" t="s">
        <v>41</v>
      </c>
      <c r="F16" s="42">
        <v>3668135</v>
      </c>
      <c r="G16" s="43">
        <v>3681.71</v>
      </c>
      <c r="H16" s="43">
        <v>2.4700000000000002</v>
      </c>
      <c r="I16" s="44"/>
      <c r="J16" s="45"/>
      <c r="K16" s="46"/>
    </row>
    <row r="17" spans="2:11" x14ac:dyDescent="0.25">
      <c r="B17" s="1" t="s">
        <v>42</v>
      </c>
      <c r="C17" s="29" t="s">
        <v>43</v>
      </c>
      <c r="D17" s="40" t="s">
        <v>44</v>
      </c>
      <c r="E17" s="41" t="s">
        <v>18</v>
      </c>
      <c r="F17" s="42">
        <v>86574</v>
      </c>
      <c r="G17" s="43">
        <v>3589.44</v>
      </c>
      <c r="H17" s="43">
        <v>2.41</v>
      </c>
      <c r="I17" s="44"/>
      <c r="J17" s="45"/>
      <c r="K17" s="46"/>
    </row>
    <row r="18" spans="2:11" x14ac:dyDescent="0.25">
      <c r="B18" s="1" t="s">
        <v>45</v>
      </c>
      <c r="C18" s="29" t="s">
        <v>46</v>
      </c>
      <c r="D18" s="40" t="s">
        <v>47</v>
      </c>
      <c r="E18" s="41" t="s">
        <v>48</v>
      </c>
      <c r="F18" s="42">
        <v>9269</v>
      </c>
      <c r="G18" s="43">
        <v>3563.47</v>
      </c>
      <c r="H18" s="43">
        <v>2.39</v>
      </c>
      <c r="I18" s="44"/>
      <c r="J18" s="45"/>
      <c r="K18" s="46"/>
    </row>
    <row r="19" spans="2:11" x14ac:dyDescent="0.25">
      <c r="B19" s="1" t="s">
        <v>49</v>
      </c>
      <c r="C19" s="29" t="s">
        <v>50</v>
      </c>
      <c r="D19" s="40" t="s">
        <v>51</v>
      </c>
      <c r="E19" s="41" t="s">
        <v>52</v>
      </c>
      <c r="F19" s="42">
        <v>910233</v>
      </c>
      <c r="G19" s="43">
        <v>3306.88</v>
      </c>
      <c r="H19" s="43">
        <v>2.2200000000000002</v>
      </c>
      <c r="I19" s="44"/>
      <c r="J19" s="45"/>
      <c r="K19" s="46"/>
    </row>
    <row r="20" spans="2:11" x14ac:dyDescent="0.25">
      <c r="B20" s="1" t="s">
        <v>53</v>
      </c>
      <c r="C20" s="29" t="s">
        <v>54</v>
      </c>
      <c r="D20" s="40" t="s">
        <v>55</v>
      </c>
      <c r="E20" s="41" t="s">
        <v>18</v>
      </c>
      <c r="F20" s="42">
        <v>368775</v>
      </c>
      <c r="G20" s="43">
        <v>3243.38</v>
      </c>
      <c r="H20" s="43">
        <v>2.1800000000000002</v>
      </c>
      <c r="I20" s="44"/>
      <c r="J20" s="45"/>
      <c r="K20" s="46"/>
    </row>
    <row r="21" spans="2:11" x14ac:dyDescent="0.25">
      <c r="B21" s="1" t="s">
        <v>56</v>
      </c>
      <c r="C21" s="29" t="s">
        <v>57</v>
      </c>
      <c r="D21" s="40" t="s">
        <v>58</v>
      </c>
      <c r="E21" s="41" t="s">
        <v>59</v>
      </c>
      <c r="F21" s="42">
        <v>77988</v>
      </c>
      <c r="G21" s="43">
        <v>3219.89</v>
      </c>
      <c r="H21" s="43">
        <v>2.16</v>
      </c>
      <c r="I21" s="44"/>
      <c r="J21" s="45"/>
      <c r="K21" s="46"/>
    </row>
    <row r="22" spans="2:11" x14ac:dyDescent="0.25">
      <c r="B22" s="1" t="s">
        <v>60</v>
      </c>
      <c r="C22" s="29" t="s">
        <v>61</v>
      </c>
      <c r="D22" s="40" t="s">
        <v>62</v>
      </c>
      <c r="E22" s="41" t="s">
        <v>48</v>
      </c>
      <c r="F22" s="42">
        <v>24117</v>
      </c>
      <c r="G22" s="43">
        <v>3163.67</v>
      </c>
      <c r="H22" s="43">
        <v>2.12</v>
      </c>
      <c r="I22" s="44"/>
      <c r="J22" s="45"/>
      <c r="K22" s="46"/>
    </row>
    <row r="23" spans="2:11" x14ac:dyDescent="0.25">
      <c r="B23" s="1" t="s">
        <v>63</v>
      </c>
      <c r="C23" s="29" t="s">
        <v>64</v>
      </c>
      <c r="D23" s="40" t="s">
        <v>65</v>
      </c>
      <c r="E23" s="41" t="s">
        <v>18</v>
      </c>
      <c r="F23" s="42">
        <v>285774</v>
      </c>
      <c r="G23" s="43">
        <v>3156.37</v>
      </c>
      <c r="H23" s="43">
        <v>2.12</v>
      </c>
      <c r="I23" s="44"/>
      <c r="J23" s="45"/>
      <c r="K23" s="46"/>
    </row>
    <row r="24" spans="2:11" x14ac:dyDescent="0.25">
      <c r="B24" s="1" t="s">
        <v>66</v>
      </c>
      <c r="C24" s="29" t="s">
        <v>67</v>
      </c>
      <c r="D24" s="40" t="s">
        <v>68</v>
      </c>
      <c r="E24" s="41" t="s">
        <v>59</v>
      </c>
      <c r="F24" s="42">
        <v>282417</v>
      </c>
      <c r="G24" s="43">
        <v>3111.39</v>
      </c>
      <c r="H24" s="43">
        <v>2.09</v>
      </c>
      <c r="I24" s="44"/>
      <c r="J24" s="45"/>
      <c r="K24" s="46"/>
    </row>
    <row r="25" spans="2:11" x14ac:dyDescent="0.25">
      <c r="B25" s="1" t="s">
        <v>69</v>
      </c>
      <c r="C25" s="29" t="s">
        <v>70</v>
      </c>
      <c r="D25" s="40" t="s">
        <v>71</v>
      </c>
      <c r="E25" s="41" t="s">
        <v>48</v>
      </c>
      <c r="F25" s="42">
        <v>59705</v>
      </c>
      <c r="G25" s="43">
        <v>3073.97</v>
      </c>
      <c r="H25" s="43">
        <v>2.06</v>
      </c>
      <c r="I25" s="44"/>
      <c r="J25" s="45"/>
      <c r="K25" s="46"/>
    </row>
    <row r="26" spans="2:11" x14ac:dyDescent="0.25">
      <c r="B26" s="1" t="s">
        <v>72</v>
      </c>
      <c r="C26" s="29" t="s">
        <v>73</v>
      </c>
      <c r="D26" s="40" t="s">
        <v>74</v>
      </c>
      <c r="E26" s="41" t="s">
        <v>75</v>
      </c>
      <c r="F26" s="42">
        <v>26307</v>
      </c>
      <c r="G26" s="43">
        <v>3031.62</v>
      </c>
      <c r="H26" s="43">
        <v>2.0299999999999998</v>
      </c>
      <c r="I26" s="44"/>
      <c r="J26" s="45"/>
      <c r="K26" s="46"/>
    </row>
    <row r="27" spans="2:11" x14ac:dyDescent="0.25">
      <c r="B27" s="1" t="s">
        <v>76</v>
      </c>
      <c r="C27" s="29" t="s">
        <v>77</v>
      </c>
      <c r="D27" s="40" t="s">
        <v>78</v>
      </c>
      <c r="E27" s="41" t="s">
        <v>79</v>
      </c>
      <c r="F27" s="42">
        <v>4159365</v>
      </c>
      <c r="G27" s="43">
        <v>2966.46</v>
      </c>
      <c r="H27" s="43">
        <v>1.99</v>
      </c>
      <c r="I27" s="44"/>
      <c r="J27" s="45"/>
      <c r="K27" s="46"/>
    </row>
    <row r="28" spans="2:11" x14ac:dyDescent="0.25">
      <c r="B28" s="1" t="s">
        <v>80</v>
      </c>
      <c r="C28" s="29" t="s">
        <v>81</v>
      </c>
      <c r="D28" s="40" t="s">
        <v>82</v>
      </c>
      <c r="E28" s="41" t="s">
        <v>83</v>
      </c>
      <c r="F28" s="42">
        <v>282700</v>
      </c>
      <c r="G28" s="43">
        <v>2932.02</v>
      </c>
      <c r="H28" s="43">
        <v>1.97</v>
      </c>
      <c r="I28" s="44"/>
      <c r="J28" s="45"/>
      <c r="K28" s="46"/>
    </row>
    <row r="29" spans="2:11" x14ac:dyDescent="0.25">
      <c r="B29" s="1" t="s">
        <v>84</v>
      </c>
      <c r="C29" s="29" t="s">
        <v>85</v>
      </c>
      <c r="D29" s="40" t="s">
        <v>86</v>
      </c>
      <c r="E29" s="41" t="s">
        <v>59</v>
      </c>
      <c r="F29" s="42">
        <v>106686</v>
      </c>
      <c r="G29" s="43">
        <v>2904.63</v>
      </c>
      <c r="H29" s="43">
        <v>1.95</v>
      </c>
      <c r="I29" s="44"/>
      <c r="J29" s="45"/>
      <c r="K29" s="46"/>
    </row>
    <row r="30" spans="2:11" x14ac:dyDescent="0.25">
      <c r="B30" s="1" t="s">
        <v>87</v>
      </c>
      <c r="C30" s="29" t="s">
        <v>88</v>
      </c>
      <c r="D30" s="40" t="s">
        <v>89</v>
      </c>
      <c r="E30" s="41" t="s">
        <v>90</v>
      </c>
      <c r="F30" s="42">
        <v>92552</v>
      </c>
      <c r="G30" s="43">
        <v>2899.19</v>
      </c>
      <c r="H30" s="43">
        <v>1.95</v>
      </c>
      <c r="I30" s="44"/>
      <c r="J30" s="45"/>
      <c r="K30" s="46"/>
    </row>
    <row r="31" spans="2:11" x14ac:dyDescent="0.25">
      <c r="B31" s="1" t="s">
        <v>91</v>
      </c>
      <c r="C31" s="29" t="s">
        <v>92</v>
      </c>
      <c r="D31" s="40" t="s">
        <v>93</v>
      </c>
      <c r="E31" s="41" t="s">
        <v>94</v>
      </c>
      <c r="F31" s="42">
        <v>2346760</v>
      </c>
      <c r="G31" s="43">
        <v>2857.65</v>
      </c>
      <c r="H31" s="43">
        <v>1.92</v>
      </c>
      <c r="I31" s="44"/>
      <c r="J31" s="45"/>
      <c r="K31" s="46"/>
    </row>
    <row r="32" spans="2:11" x14ac:dyDescent="0.25">
      <c r="B32" s="1" t="s">
        <v>95</v>
      </c>
      <c r="C32" s="29" t="s">
        <v>96</v>
      </c>
      <c r="D32" s="40" t="s">
        <v>97</v>
      </c>
      <c r="E32" s="41" t="s">
        <v>98</v>
      </c>
      <c r="F32" s="42">
        <v>95792</v>
      </c>
      <c r="G32" s="43">
        <v>2739.46</v>
      </c>
      <c r="H32" s="43">
        <v>1.84</v>
      </c>
      <c r="I32" s="44"/>
      <c r="J32" s="45"/>
      <c r="K32" s="46"/>
    </row>
    <row r="33" spans="2:11" x14ac:dyDescent="0.25">
      <c r="B33" s="1" t="s">
        <v>99</v>
      </c>
      <c r="C33" s="29" t="s">
        <v>100</v>
      </c>
      <c r="D33" s="40" t="s">
        <v>101</v>
      </c>
      <c r="E33" s="41" t="s">
        <v>102</v>
      </c>
      <c r="F33" s="42">
        <v>145881</v>
      </c>
      <c r="G33" s="43">
        <v>2671.23</v>
      </c>
      <c r="H33" s="43">
        <v>1.79</v>
      </c>
      <c r="I33" s="44"/>
      <c r="J33" s="45"/>
      <c r="K33" s="46"/>
    </row>
    <row r="34" spans="2:11" x14ac:dyDescent="0.25">
      <c r="B34" s="1" t="s">
        <v>103</v>
      </c>
      <c r="C34" s="29" t="s">
        <v>104</v>
      </c>
      <c r="D34" s="40" t="s">
        <v>105</v>
      </c>
      <c r="E34" s="41" t="s">
        <v>25</v>
      </c>
      <c r="F34" s="42">
        <v>155259</v>
      </c>
      <c r="G34" s="43">
        <v>2643.28</v>
      </c>
      <c r="H34" s="43">
        <v>1.77</v>
      </c>
      <c r="I34" s="44"/>
      <c r="J34" s="45"/>
      <c r="K34" s="46"/>
    </row>
    <row r="35" spans="2:11" x14ac:dyDescent="0.25">
      <c r="B35" s="1" t="s">
        <v>106</v>
      </c>
      <c r="C35" s="29" t="s">
        <v>107</v>
      </c>
      <c r="D35" s="40" t="s">
        <v>108</v>
      </c>
      <c r="E35" s="41" t="s">
        <v>109</v>
      </c>
      <c r="F35" s="42">
        <v>271607</v>
      </c>
      <c r="G35" s="43">
        <v>2618.56</v>
      </c>
      <c r="H35" s="43">
        <v>1.76</v>
      </c>
      <c r="I35" s="44"/>
      <c r="J35" s="45"/>
      <c r="K35" s="46"/>
    </row>
    <row r="36" spans="2:11" x14ac:dyDescent="0.25">
      <c r="B36" s="1" t="s">
        <v>110</v>
      </c>
      <c r="C36" s="29" t="s">
        <v>111</v>
      </c>
      <c r="D36" s="40" t="s">
        <v>112</v>
      </c>
      <c r="E36" s="41" t="s">
        <v>113</v>
      </c>
      <c r="F36" s="42">
        <v>72982</v>
      </c>
      <c r="G36" s="43">
        <v>2567.94</v>
      </c>
      <c r="H36" s="43">
        <v>1.72</v>
      </c>
      <c r="I36" s="44"/>
      <c r="J36" s="45"/>
      <c r="K36" s="46"/>
    </row>
    <row r="37" spans="2:11" x14ac:dyDescent="0.25">
      <c r="B37" s="1" t="s">
        <v>114</v>
      </c>
      <c r="C37" s="29" t="s">
        <v>115</v>
      </c>
      <c r="D37" s="40" t="s">
        <v>116</v>
      </c>
      <c r="E37" s="41" t="s">
        <v>117</v>
      </c>
      <c r="F37" s="42">
        <v>150678</v>
      </c>
      <c r="G37" s="43">
        <v>2522.35</v>
      </c>
      <c r="H37" s="43">
        <v>1.69</v>
      </c>
      <c r="I37" s="44"/>
      <c r="J37" s="45"/>
      <c r="K37" s="46"/>
    </row>
    <row r="38" spans="2:11" x14ac:dyDescent="0.25">
      <c r="B38" s="1" t="s">
        <v>118</v>
      </c>
      <c r="C38" s="29" t="s">
        <v>119</v>
      </c>
      <c r="D38" s="40" t="s">
        <v>120</v>
      </c>
      <c r="E38" s="41" t="s">
        <v>102</v>
      </c>
      <c r="F38" s="42">
        <v>40380</v>
      </c>
      <c r="G38" s="43">
        <v>2374.75</v>
      </c>
      <c r="H38" s="43">
        <v>1.59</v>
      </c>
      <c r="I38" s="44"/>
      <c r="J38" s="45"/>
      <c r="K38" s="46"/>
    </row>
    <row r="39" spans="2:11" x14ac:dyDescent="0.25">
      <c r="B39" s="1" t="s">
        <v>121</v>
      </c>
      <c r="C39" s="29" t="s">
        <v>122</v>
      </c>
      <c r="D39" s="40" t="s">
        <v>123</v>
      </c>
      <c r="E39" s="41" t="s">
        <v>52</v>
      </c>
      <c r="F39" s="42">
        <v>56313</v>
      </c>
      <c r="G39" s="43">
        <v>2358.9</v>
      </c>
      <c r="H39" s="43">
        <v>1.58</v>
      </c>
      <c r="I39" s="44"/>
      <c r="J39" s="45"/>
      <c r="K39" s="46"/>
    </row>
    <row r="40" spans="2:11" x14ac:dyDescent="0.25">
      <c r="B40" s="1" t="s">
        <v>124</v>
      </c>
      <c r="C40" s="29" t="s">
        <v>125</v>
      </c>
      <c r="D40" s="40" t="s">
        <v>126</v>
      </c>
      <c r="E40" s="41" t="s">
        <v>52</v>
      </c>
      <c r="F40" s="42">
        <v>113050</v>
      </c>
      <c r="G40" s="43">
        <v>2178.25</v>
      </c>
      <c r="H40" s="43">
        <v>1.46</v>
      </c>
      <c r="I40" s="44"/>
      <c r="J40" s="45"/>
      <c r="K40" s="46"/>
    </row>
    <row r="41" spans="2:11" x14ac:dyDescent="0.25">
      <c r="B41" s="1" t="s">
        <v>127</v>
      </c>
      <c r="C41" s="29" t="s">
        <v>128</v>
      </c>
      <c r="D41" s="40" t="s">
        <v>129</v>
      </c>
      <c r="E41" s="41" t="s">
        <v>90</v>
      </c>
      <c r="F41" s="42">
        <v>99780</v>
      </c>
      <c r="G41" s="43">
        <v>2162.63</v>
      </c>
      <c r="H41" s="43">
        <v>1.45</v>
      </c>
      <c r="I41" s="44"/>
      <c r="J41" s="45"/>
      <c r="K41" s="46"/>
    </row>
    <row r="42" spans="2:11" x14ac:dyDescent="0.25">
      <c r="B42" s="1" t="s">
        <v>130</v>
      </c>
      <c r="C42" s="29" t="s">
        <v>131</v>
      </c>
      <c r="D42" s="40" t="s">
        <v>132</v>
      </c>
      <c r="E42" s="41" t="s">
        <v>133</v>
      </c>
      <c r="F42" s="42">
        <v>2015904</v>
      </c>
      <c r="G42" s="43">
        <v>2151.37</v>
      </c>
      <c r="H42" s="43">
        <v>1.44</v>
      </c>
      <c r="I42" s="44"/>
      <c r="J42" s="45"/>
      <c r="K42" s="46"/>
    </row>
    <row r="43" spans="2:11" x14ac:dyDescent="0.25">
      <c r="B43" s="1" t="s">
        <v>134</v>
      </c>
      <c r="C43" s="29" t="s">
        <v>135</v>
      </c>
      <c r="D43" s="40" t="s">
        <v>136</v>
      </c>
      <c r="E43" s="41" t="s">
        <v>137</v>
      </c>
      <c r="F43" s="42">
        <v>192682</v>
      </c>
      <c r="G43" s="43">
        <v>2097.44</v>
      </c>
      <c r="H43" s="43">
        <v>1.41</v>
      </c>
      <c r="I43" s="44"/>
      <c r="J43" s="45"/>
      <c r="K43" s="46"/>
    </row>
    <row r="44" spans="2:11" x14ac:dyDescent="0.25">
      <c r="B44" s="1" t="s">
        <v>138</v>
      </c>
      <c r="C44" s="29" t="s">
        <v>139</v>
      </c>
      <c r="D44" s="40" t="s">
        <v>140</v>
      </c>
      <c r="E44" s="41" t="s">
        <v>94</v>
      </c>
      <c r="F44" s="42">
        <v>780440</v>
      </c>
      <c r="G44" s="43">
        <v>2012.75</v>
      </c>
      <c r="H44" s="43">
        <v>1.35</v>
      </c>
      <c r="I44" s="44"/>
      <c r="J44" s="45"/>
      <c r="K44" s="46"/>
    </row>
    <row r="45" spans="2:11" x14ac:dyDescent="0.25">
      <c r="B45" s="1" t="s">
        <v>141</v>
      </c>
      <c r="C45" s="29" t="s">
        <v>142</v>
      </c>
      <c r="D45" s="40" t="s">
        <v>143</v>
      </c>
      <c r="E45" s="41" t="s">
        <v>144</v>
      </c>
      <c r="F45" s="42">
        <v>206809</v>
      </c>
      <c r="G45" s="43">
        <v>1998.81</v>
      </c>
      <c r="H45" s="43">
        <v>1.34</v>
      </c>
      <c r="I45" s="44"/>
      <c r="J45" s="45"/>
      <c r="K45" s="46"/>
    </row>
    <row r="46" spans="2:11" x14ac:dyDescent="0.25">
      <c r="B46" s="1" t="s">
        <v>145</v>
      </c>
      <c r="C46" s="29" t="s">
        <v>146</v>
      </c>
      <c r="D46" s="40" t="s">
        <v>147</v>
      </c>
      <c r="E46" s="41" t="s">
        <v>52</v>
      </c>
      <c r="F46" s="42">
        <v>57584</v>
      </c>
      <c r="G46" s="43">
        <v>1924.98</v>
      </c>
      <c r="H46" s="43">
        <v>1.29</v>
      </c>
      <c r="I46" s="44"/>
      <c r="J46" s="45"/>
      <c r="K46" s="46"/>
    </row>
    <row r="47" spans="2:11" x14ac:dyDescent="0.25">
      <c r="B47" s="1" t="s">
        <v>148</v>
      </c>
      <c r="C47" s="29" t="s">
        <v>149</v>
      </c>
      <c r="D47" s="40" t="s">
        <v>150</v>
      </c>
      <c r="E47" s="41" t="s">
        <v>144</v>
      </c>
      <c r="F47" s="42">
        <v>270641</v>
      </c>
      <c r="G47" s="43">
        <v>1872.29</v>
      </c>
      <c r="H47" s="43">
        <v>1.26</v>
      </c>
      <c r="I47" s="44"/>
      <c r="J47" s="45"/>
      <c r="K47" s="46"/>
    </row>
    <row r="48" spans="2:11" x14ac:dyDescent="0.25">
      <c r="B48" s="1" t="s">
        <v>151</v>
      </c>
      <c r="C48" s="29" t="s">
        <v>152</v>
      </c>
      <c r="D48" s="40" t="s">
        <v>153</v>
      </c>
      <c r="E48" s="41" t="s">
        <v>154</v>
      </c>
      <c r="F48" s="42">
        <v>413638</v>
      </c>
      <c r="G48" s="43">
        <v>1871.09</v>
      </c>
      <c r="H48" s="43">
        <v>1.26</v>
      </c>
      <c r="I48" s="44"/>
      <c r="J48" s="45"/>
      <c r="K48" s="46"/>
    </row>
    <row r="49" spans="2:11" x14ac:dyDescent="0.25">
      <c r="B49" s="1" t="s">
        <v>155</v>
      </c>
      <c r="C49" s="29" t="s">
        <v>156</v>
      </c>
      <c r="D49" s="40" t="s">
        <v>157</v>
      </c>
      <c r="E49" s="41" t="s">
        <v>158</v>
      </c>
      <c r="F49" s="42">
        <v>1834023</v>
      </c>
      <c r="G49" s="43">
        <v>1838.79</v>
      </c>
      <c r="H49" s="43">
        <v>1.23</v>
      </c>
      <c r="I49" s="44"/>
      <c r="J49" s="45"/>
      <c r="K49" s="46"/>
    </row>
    <row r="50" spans="2:11" x14ac:dyDescent="0.25">
      <c r="B50" s="1" t="s">
        <v>159</v>
      </c>
      <c r="C50" s="29" t="s">
        <v>160</v>
      </c>
      <c r="D50" s="40" t="s">
        <v>161</v>
      </c>
      <c r="E50" s="41" t="s">
        <v>90</v>
      </c>
      <c r="F50" s="42">
        <v>976439</v>
      </c>
      <c r="G50" s="43">
        <v>1687.19</v>
      </c>
      <c r="H50" s="43">
        <v>1.1299999999999999</v>
      </c>
      <c r="I50" s="44"/>
      <c r="J50" s="45"/>
      <c r="K50" s="46"/>
    </row>
    <row r="51" spans="2:11" x14ac:dyDescent="0.25">
      <c r="B51" s="1" t="s">
        <v>162</v>
      </c>
      <c r="C51" s="29" t="s">
        <v>163</v>
      </c>
      <c r="D51" s="40" t="s">
        <v>164</v>
      </c>
      <c r="E51" s="41" t="s">
        <v>94</v>
      </c>
      <c r="F51" s="42">
        <v>90896</v>
      </c>
      <c r="G51" s="43">
        <v>1577.23</v>
      </c>
      <c r="H51" s="43">
        <v>1.06</v>
      </c>
      <c r="I51" s="44"/>
      <c r="J51" s="45"/>
      <c r="K51" s="46"/>
    </row>
    <row r="52" spans="2:11" x14ac:dyDescent="0.25">
      <c r="B52" s="1" t="s">
        <v>165</v>
      </c>
      <c r="C52" s="29" t="s">
        <v>166</v>
      </c>
      <c r="D52" s="40" t="s">
        <v>167</v>
      </c>
      <c r="E52" s="41" t="s">
        <v>52</v>
      </c>
      <c r="F52" s="42">
        <v>150627</v>
      </c>
      <c r="G52" s="43">
        <v>1552.21</v>
      </c>
      <c r="H52" s="43">
        <v>1.04</v>
      </c>
      <c r="I52" s="44"/>
      <c r="J52" s="45"/>
      <c r="K52" s="46"/>
    </row>
    <row r="53" spans="2:11" x14ac:dyDescent="0.25">
      <c r="B53" s="1" t="s">
        <v>168</v>
      </c>
      <c r="C53" s="29" t="s">
        <v>169</v>
      </c>
      <c r="D53" s="40" t="s">
        <v>170</v>
      </c>
      <c r="E53" s="41" t="s">
        <v>79</v>
      </c>
      <c r="F53" s="42">
        <v>598465</v>
      </c>
      <c r="G53" s="43">
        <v>1528.78</v>
      </c>
      <c r="H53" s="43">
        <v>1.03</v>
      </c>
      <c r="I53" s="44"/>
      <c r="J53" s="45"/>
      <c r="K53" s="46"/>
    </row>
    <row r="54" spans="2:11" x14ac:dyDescent="0.25">
      <c r="B54" s="1" t="s">
        <v>171</v>
      </c>
      <c r="C54" s="29" t="s">
        <v>172</v>
      </c>
      <c r="D54" s="40" t="s">
        <v>173</v>
      </c>
      <c r="E54" s="41" t="s">
        <v>18</v>
      </c>
      <c r="F54" s="42">
        <v>192520</v>
      </c>
      <c r="G54" s="43">
        <v>1523.8</v>
      </c>
      <c r="H54" s="43">
        <v>1.02</v>
      </c>
      <c r="I54" s="44"/>
      <c r="J54" s="45"/>
      <c r="K54" s="46"/>
    </row>
    <row r="55" spans="2:11" x14ac:dyDescent="0.25">
      <c r="B55" s="1" t="s">
        <v>174</v>
      </c>
      <c r="C55" s="29" t="s">
        <v>175</v>
      </c>
      <c r="D55" s="40" t="s">
        <v>176</v>
      </c>
      <c r="E55" s="41" t="s">
        <v>177</v>
      </c>
      <c r="F55" s="42">
        <v>401497</v>
      </c>
      <c r="G55" s="43">
        <v>1499.79</v>
      </c>
      <c r="H55" s="43">
        <v>1.01</v>
      </c>
      <c r="I55" s="44"/>
      <c r="J55" s="45"/>
      <c r="K55" s="46"/>
    </row>
    <row r="56" spans="2:11" x14ac:dyDescent="0.25">
      <c r="B56" s="1" t="s">
        <v>178</v>
      </c>
      <c r="C56" s="29" t="s">
        <v>179</v>
      </c>
      <c r="D56" s="40" t="s">
        <v>180</v>
      </c>
      <c r="E56" s="41" t="s">
        <v>33</v>
      </c>
      <c r="F56" s="42">
        <v>106524</v>
      </c>
      <c r="G56" s="43">
        <v>1470.35</v>
      </c>
      <c r="H56" s="43">
        <v>0.99</v>
      </c>
      <c r="I56" s="44"/>
      <c r="J56" s="45"/>
      <c r="K56" s="46"/>
    </row>
    <row r="57" spans="2:11" x14ac:dyDescent="0.25">
      <c r="B57" s="1" t="s">
        <v>181</v>
      </c>
      <c r="C57" s="29" t="s">
        <v>182</v>
      </c>
      <c r="D57" s="40" t="s">
        <v>183</v>
      </c>
      <c r="E57" s="41" t="s">
        <v>184</v>
      </c>
      <c r="F57" s="42">
        <v>35600</v>
      </c>
      <c r="G57" s="43">
        <v>1439.34</v>
      </c>
      <c r="H57" s="43">
        <v>0.97</v>
      </c>
      <c r="I57" s="44"/>
      <c r="J57" s="45"/>
      <c r="K57" s="46"/>
    </row>
    <row r="58" spans="2:11" x14ac:dyDescent="0.25">
      <c r="B58" s="1" t="s">
        <v>185</v>
      </c>
      <c r="C58" s="29" t="s">
        <v>186</v>
      </c>
      <c r="D58" s="40" t="s">
        <v>187</v>
      </c>
      <c r="E58" s="41" t="s">
        <v>109</v>
      </c>
      <c r="F58" s="42">
        <v>29057</v>
      </c>
      <c r="G58" s="43">
        <v>1424.66</v>
      </c>
      <c r="H58" s="43">
        <v>0.96</v>
      </c>
      <c r="I58" s="44"/>
      <c r="J58" s="45"/>
      <c r="K58" s="46"/>
    </row>
    <row r="59" spans="2:11" x14ac:dyDescent="0.25">
      <c r="B59" s="1" t="s">
        <v>188</v>
      </c>
      <c r="C59" s="29" t="s">
        <v>189</v>
      </c>
      <c r="D59" s="40" t="s">
        <v>190</v>
      </c>
      <c r="E59" s="41" t="s">
        <v>33</v>
      </c>
      <c r="F59" s="42">
        <v>489332</v>
      </c>
      <c r="G59" s="43">
        <v>1411.92</v>
      </c>
      <c r="H59" s="43">
        <v>0.95</v>
      </c>
      <c r="I59" s="44"/>
      <c r="J59" s="45"/>
      <c r="K59" s="46"/>
    </row>
    <row r="60" spans="2:11" x14ac:dyDescent="0.25">
      <c r="B60" s="1" t="s">
        <v>191</v>
      </c>
      <c r="C60" s="29" t="s">
        <v>192</v>
      </c>
      <c r="D60" s="40" t="s">
        <v>193</v>
      </c>
      <c r="E60" s="41" t="s">
        <v>59</v>
      </c>
      <c r="F60" s="42">
        <v>307250</v>
      </c>
      <c r="G60" s="43">
        <v>1400.91</v>
      </c>
      <c r="H60" s="43">
        <v>0.94</v>
      </c>
      <c r="I60" s="44"/>
      <c r="J60" s="45"/>
      <c r="K60" s="46"/>
    </row>
    <row r="61" spans="2:11" x14ac:dyDescent="0.25">
      <c r="B61" s="1" t="s">
        <v>194</v>
      </c>
      <c r="C61" s="29" t="s">
        <v>195</v>
      </c>
      <c r="D61" s="40" t="s">
        <v>196</v>
      </c>
      <c r="E61" s="41" t="s">
        <v>197</v>
      </c>
      <c r="F61" s="42">
        <v>91713</v>
      </c>
      <c r="G61" s="43">
        <v>1371.57</v>
      </c>
      <c r="H61" s="43">
        <v>0.92</v>
      </c>
      <c r="I61" s="44"/>
      <c r="J61" s="45"/>
      <c r="K61" s="46"/>
    </row>
    <row r="62" spans="2:11" x14ac:dyDescent="0.25">
      <c r="B62" s="1" t="s">
        <v>198</v>
      </c>
      <c r="C62" s="29" t="s">
        <v>199</v>
      </c>
      <c r="D62" s="40" t="s">
        <v>200</v>
      </c>
      <c r="E62" s="41" t="s">
        <v>201</v>
      </c>
      <c r="F62" s="42">
        <v>804494</v>
      </c>
      <c r="G62" s="43">
        <v>1245.76</v>
      </c>
      <c r="H62" s="43">
        <v>0.84</v>
      </c>
      <c r="I62" s="44"/>
      <c r="J62" s="45"/>
      <c r="K62" s="46"/>
    </row>
    <row r="63" spans="2:11" x14ac:dyDescent="0.25">
      <c r="B63" s="1" t="s">
        <v>202</v>
      </c>
      <c r="C63" s="29" t="s">
        <v>203</v>
      </c>
      <c r="D63" s="40" t="s">
        <v>204</v>
      </c>
      <c r="E63" s="41" t="s">
        <v>33</v>
      </c>
      <c r="F63" s="42">
        <v>238041</v>
      </c>
      <c r="G63" s="43">
        <v>1241.5</v>
      </c>
      <c r="H63" s="43">
        <v>0.83</v>
      </c>
      <c r="I63" s="44"/>
      <c r="J63" s="45"/>
      <c r="K63" s="46"/>
    </row>
    <row r="64" spans="2:11" x14ac:dyDescent="0.25">
      <c r="B64" s="1" t="s">
        <v>205</v>
      </c>
      <c r="C64" s="29" t="s">
        <v>206</v>
      </c>
      <c r="D64" s="40" t="s">
        <v>207</v>
      </c>
      <c r="E64" s="41" t="s">
        <v>52</v>
      </c>
      <c r="F64" s="42">
        <v>1084844</v>
      </c>
      <c r="G64" s="43">
        <v>1223.92</v>
      </c>
      <c r="H64" s="43">
        <v>0.82</v>
      </c>
      <c r="I64" s="44"/>
      <c r="J64" s="45"/>
      <c r="K64" s="46"/>
    </row>
    <row r="65" spans="1:11" x14ac:dyDescent="0.25">
      <c r="B65" s="1" t="s">
        <v>208</v>
      </c>
      <c r="C65" s="29" t="s">
        <v>209</v>
      </c>
      <c r="D65" s="40" t="s">
        <v>210</v>
      </c>
      <c r="E65" s="41" t="s">
        <v>201</v>
      </c>
      <c r="F65" s="42">
        <v>1051425</v>
      </c>
      <c r="G65" s="43">
        <v>1198.0999999999999</v>
      </c>
      <c r="H65" s="43">
        <v>0.8</v>
      </c>
      <c r="I65" s="44"/>
      <c r="J65" s="45"/>
      <c r="K65" s="46"/>
    </row>
    <row r="66" spans="1:11" x14ac:dyDescent="0.25">
      <c r="B66" s="1" t="s">
        <v>211</v>
      </c>
      <c r="C66" s="29" t="s">
        <v>212</v>
      </c>
      <c r="D66" s="40" t="s">
        <v>213</v>
      </c>
      <c r="E66" s="41" t="s">
        <v>33</v>
      </c>
      <c r="F66" s="42">
        <v>72215</v>
      </c>
      <c r="G66" s="43">
        <v>1160.78</v>
      </c>
      <c r="H66" s="43">
        <v>0.78</v>
      </c>
      <c r="I66" s="44"/>
      <c r="J66" s="45"/>
      <c r="K66" s="46"/>
    </row>
    <row r="67" spans="1:11" x14ac:dyDescent="0.25">
      <c r="B67" s="1" t="s">
        <v>214</v>
      </c>
      <c r="C67" s="29" t="s">
        <v>215</v>
      </c>
      <c r="D67" s="40" t="s">
        <v>216</v>
      </c>
      <c r="E67" s="41" t="s">
        <v>59</v>
      </c>
      <c r="F67" s="42">
        <v>7322</v>
      </c>
      <c r="G67" s="43">
        <v>1074.43</v>
      </c>
      <c r="H67" s="43">
        <v>0.72</v>
      </c>
      <c r="I67" s="44"/>
      <c r="J67" s="45"/>
      <c r="K67" s="46"/>
    </row>
    <row r="68" spans="1:11" x14ac:dyDescent="0.25">
      <c r="B68" s="1" t="s">
        <v>217</v>
      </c>
      <c r="C68" s="29" t="s">
        <v>218</v>
      </c>
      <c r="D68" s="40" t="s">
        <v>219</v>
      </c>
      <c r="E68" s="41" t="s">
        <v>220</v>
      </c>
      <c r="F68" s="42">
        <v>157158</v>
      </c>
      <c r="G68" s="43">
        <v>1041.0899999999999</v>
      </c>
      <c r="H68" s="43">
        <v>0.7</v>
      </c>
      <c r="I68" s="44"/>
      <c r="J68" s="45"/>
      <c r="K68" s="46"/>
    </row>
    <row r="69" spans="1:11" x14ac:dyDescent="0.25">
      <c r="B69" s="1" t="s">
        <v>221</v>
      </c>
      <c r="C69" s="29" t="s">
        <v>222</v>
      </c>
      <c r="D69" s="40" t="s">
        <v>223</v>
      </c>
      <c r="E69" s="41" t="s">
        <v>59</v>
      </c>
      <c r="F69" s="42">
        <v>38876</v>
      </c>
      <c r="G69" s="43">
        <v>833.85</v>
      </c>
      <c r="H69" s="43">
        <v>0.56000000000000005</v>
      </c>
      <c r="I69" s="44"/>
      <c r="J69" s="45"/>
      <c r="K69" s="46"/>
    </row>
    <row r="70" spans="1:11" x14ac:dyDescent="0.25">
      <c r="B70" s="1" t="s">
        <v>224</v>
      </c>
      <c r="C70" s="29" t="s">
        <v>225</v>
      </c>
      <c r="D70" s="40" t="s">
        <v>226</v>
      </c>
      <c r="E70" s="41" t="s">
        <v>52</v>
      </c>
      <c r="F70" s="42">
        <v>174390</v>
      </c>
      <c r="G70" s="43">
        <v>832.19</v>
      </c>
      <c r="H70" s="43">
        <v>0.56000000000000005</v>
      </c>
      <c r="I70" s="44"/>
      <c r="J70" s="45"/>
      <c r="K70" s="46"/>
    </row>
    <row r="71" spans="1:11" x14ac:dyDescent="0.25">
      <c r="B71" s="1" t="s">
        <v>227</v>
      </c>
      <c r="C71" s="29" t="s">
        <v>228</v>
      </c>
      <c r="D71" s="40" t="s">
        <v>229</v>
      </c>
      <c r="E71" s="41" t="s">
        <v>201</v>
      </c>
      <c r="F71" s="42">
        <v>201076</v>
      </c>
      <c r="G71" s="43">
        <v>831.25</v>
      </c>
      <c r="H71" s="43">
        <v>0.56000000000000005</v>
      </c>
      <c r="I71" s="44"/>
      <c r="J71" s="45"/>
      <c r="K71" s="46"/>
    </row>
    <row r="72" spans="1:11" x14ac:dyDescent="0.25">
      <c r="B72" s="1" t="s">
        <v>230</v>
      </c>
      <c r="C72" s="29" t="s">
        <v>231</v>
      </c>
      <c r="D72" s="40" t="s">
        <v>232</v>
      </c>
      <c r="E72" s="41" t="s">
        <v>117</v>
      </c>
      <c r="F72" s="42">
        <v>42721</v>
      </c>
      <c r="G72" s="43">
        <v>765.65</v>
      </c>
      <c r="H72" s="43">
        <v>0.51</v>
      </c>
      <c r="I72" s="44"/>
      <c r="J72" s="45"/>
      <c r="K72" s="46"/>
    </row>
    <row r="73" spans="1:11" x14ac:dyDescent="0.25">
      <c r="B73" s="1" t="s">
        <v>233</v>
      </c>
      <c r="C73" s="29" t="s">
        <v>234</v>
      </c>
      <c r="D73" s="40" t="s">
        <v>235</v>
      </c>
      <c r="E73" s="41" t="s">
        <v>236</v>
      </c>
      <c r="F73" s="42">
        <v>188250</v>
      </c>
      <c r="G73" s="43">
        <v>765.05</v>
      </c>
      <c r="H73" s="43">
        <v>0.51</v>
      </c>
      <c r="I73" s="44"/>
      <c r="J73" s="45"/>
      <c r="K73" s="46"/>
    </row>
    <row r="74" spans="1:11" x14ac:dyDescent="0.25">
      <c r="B74" s="1" t="s">
        <v>237</v>
      </c>
      <c r="C74" s="29" t="s">
        <v>238</v>
      </c>
      <c r="D74" s="40" t="s">
        <v>239</v>
      </c>
      <c r="E74" s="41" t="s">
        <v>75</v>
      </c>
      <c r="F74" s="42">
        <v>27846</v>
      </c>
      <c r="G74" s="43">
        <v>663.15</v>
      </c>
      <c r="H74" s="43">
        <v>0.44</v>
      </c>
      <c r="I74" s="44"/>
      <c r="J74" s="45"/>
      <c r="K74" s="46"/>
    </row>
    <row r="75" spans="1:11" x14ac:dyDescent="0.25">
      <c r="B75" s="1" t="s">
        <v>240</v>
      </c>
      <c r="C75" s="29" t="s">
        <v>241</v>
      </c>
      <c r="D75" s="40" t="s">
        <v>242</v>
      </c>
      <c r="E75" s="41" t="s">
        <v>94</v>
      </c>
      <c r="F75" s="42">
        <v>229110</v>
      </c>
      <c r="G75" s="43">
        <v>527.02</v>
      </c>
      <c r="H75" s="43">
        <v>0.35</v>
      </c>
      <c r="I75" s="44"/>
      <c r="J75" s="45"/>
      <c r="K75" s="46"/>
    </row>
    <row r="76" spans="1:11" x14ac:dyDescent="0.25">
      <c r="B76" s="1" t="s">
        <v>243</v>
      </c>
      <c r="C76" s="29" t="s">
        <v>244</v>
      </c>
      <c r="D76" s="40" t="s">
        <v>245</v>
      </c>
      <c r="E76" s="41" t="s">
        <v>201</v>
      </c>
      <c r="F76" s="42">
        <v>39848</v>
      </c>
      <c r="G76" s="43">
        <v>487.98</v>
      </c>
      <c r="H76" s="43">
        <v>0.33</v>
      </c>
      <c r="I76" s="44"/>
      <c r="J76" s="45"/>
      <c r="K76" s="46"/>
    </row>
    <row r="77" spans="1:11" x14ac:dyDescent="0.25">
      <c r="B77" s="1" t="s">
        <v>246</v>
      </c>
      <c r="C77" s="29" t="s">
        <v>247</v>
      </c>
      <c r="D77" s="40" t="s">
        <v>248</v>
      </c>
      <c r="E77" s="41" t="s">
        <v>90</v>
      </c>
      <c r="F77" s="42">
        <v>20689</v>
      </c>
      <c r="G77" s="43">
        <v>457.27</v>
      </c>
      <c r="H77" s="43">
        <v>0.31</v>
      </c>
      <c r="I77" s="44"/>
      <c r="J77" s="45"/>
      <c r="K77" s="46"/>
    </row>
    <row r="78" spans="1:11" x14ac:dyDescent="0.25">
      <c r="C78" s="39" t="s">
        <v>249</v>
      </c>
      <c r="D78" s="40"/>
      <c r="E78" s="41"/>
      <c r="F78" s="42"/>
      <c r="G78" s="48">
        <v>147396.42000000001</v>
      </c>
      <c r="H78" s="48">
        <v>98.91</v>
      </c>
      <c r="I78" s="44"/>
      <c r="J78" s="45"/>
      <c r="K78" s="46"/>
    </row>
    <row r="79" spans="1:11" x14ac:dyDescent="0.25">
      <c r="C79" s="29"/>
      <c r="D79" s="40"/>
      <c r="E79" s="41"/>
      <c r="F79" s="42"/>
      <c r="G79" s="43"/>
      <c r="H79" s="43"/>
      <c r="I79" s="44"/>
      <c r="J79" s="45"/>
      <c r="K79" s="46"/>
    </row>
    <row r="80" spans="1:11" x14ac:dyDescent="0.25">
      <c r="A80" s="37"/>
      <c r="B80" s="38"/>
      <c r="C80" s="39" t="s">
        <v>250</v>
      </c>
      <c r="D80" s="40"/>
      <c r="E80" s="41"/>
      <c r="F80" s="42"/>
      <c r="G80" s="43"/>
      <c r="H80" s="43"/>
      <c r="I80" s="44"/>
      <c r="J80" s="45"/>
      <c r="K80" s="46"/>
    </row>
    <row r="81" spans="1:11" x14ac:dyDescent="0.25">
      <c r="C81" s="47" t="s">
        <v>251</v>
      </c>
      <c r="D81" s="40"/>
      <c r="E81" s="41"/>
      <c r="F81" s="42"/>
      <c r="G81" s="43"/>
      <c r="H81" s="43"/>
      <c r="I81" s="44"/>
      <c r="J81" s="45"/>
      <c r="K81" s="46"/>
    </row>
    <row r="82" spans="1:11" x14ac:dyDescent="0.25">
      <c r="B82" s="1" t="s">
        <v>252</v>
      </c>
      <c r="C82" s="29" t="s">
        <v>253</v>
      </c>
      <c r="D82" s="40"/>
      <c r="E82" s="41"/>
      <c r="F82" s="42"/>
      <c r="G82" s="43">
        <v>1822</v>
      </c>
      <c r="H82" s="43">
        <v>1.22</v>
      </c>
      <c r="I82" s="44">
        <v>5.350778</v>
      </c>
      <c r="J82" s="45"/>
      <c r="K82" s="46"/>
    </row>
    <row r="83" spans="1:11" x14ac:dyDescent="0.25">
      <c r="C83" s="39" t="s">
        <v>249</v>
      </c>
      <c r="D83" s="40"/>
      <c r="E83" s="41"/>
      <c r="F83" s="42"/>
      <c r="G83" s="48">
        <v>1822</v>
      </c>
      <c r="H83" s="48">
        <v>1.22</v>
      </c>
      <c r="I83" s="44"/>
      <c r="J83" s="45"/>
      <c r="K83" s="46"/>
    </row>
    <row r="84" spans="1:11" x14ac:dyDescent="0.25">
      <c r="C84" s="29"/>
      <c r="D84" s="40"/>
      <c r="E84" s="41"/>
      <c r="F84" s="42"/>
      <c r="G84" s="43"/>
      <c r="H84" s="43"/>
      <c r="I84" s="44"/>
      <c r="J84" s="45"/>
      <c r="K84" s="46"/>
    </row>
    <row r="85" spans="1:11" x14ac:dyDescent="0.25">
      <c r="A85" s="37"/>
      <c r="B85" s="38"/>
      <c r="C85" s="39" t="s">
        <v>254</v>
      </c>
      <c r="D85" s="40"/>
      <c r="E85" s="41"/>
      <c r="F85" s="42"/>
      <c r="G85" s="43"/>
      <c r="H85" s="43"/>
      <c r="I85" s="44"/>
      <c r="J85" s="45"/>
      <c r="K85" s="46"/>
    </row>
    <row r="86" spans="1:11" x14ac:dyDescent="0.25">
      <c r="B86" s="1"/>
      <c r="C86" s="29" t="s">
        <v>255</v>
      </c>
      <c r="D86" s="40"/>
      <c r="E86" s="41"/>
      <c r="F86" s="42"/>
      <c r="G86" s="43">
        <v>-177.23</v>
      </c>
      <c r="H86" s="43">
        <v>-0.13</v>
      </c>
      <c r="I86" s="44"/>
      <c r="J86" s="45"/>
      <c r="K86" s="46"/>
    </row>
    <row r="87" spans="1:11" x14ac:dyDescent="0.25">
      <c r="C87" s="39" t="s">
        <v>249</v>
      </c>
      <c r="D87" s="40"/>
      <c r="E87" s="41"/>
      <c r="F87" s="42"/>
      <c r="G87" s="48">
        <v>-177.23</v>
      </c>
      <c r="H87" s="48">
        <v>-0.13</v>
      </c>
      <c r="I87" s="44"/>
      <c r="J87" s="45"/>
      <c r="K87" s="46"/>
    </row>
    <row r="88" spans="1:11" x14ac:dyDescent="0.25">
      <c r="C88" s="29"/>
      <c r="D88" s="40"/>
      <c r="E88" s="41"/>
      <c r="F88" s="42"/>
      <c r="G88" s="43"/>
      <c r="H88" s="43"/>
      <c r="I88" s="44"/>
      <c r="J88" s="45"/>
      <c r="K88" s="46"/>
    </row>
    <row r="89" spans="1:11" ht="14.25" thickBot="1" x14ac:dyDescent="0.3">
      <c r="C89" s="49" t="s">
        <v>256</v>
      </c>
      <c r="D89" s="50"/>
      <c r="E89" s="51"/>
      <c r="F89" s="52"/>
      <c r="G89" s="53">
        <v>149041.19</v>
      </c>
      <c r="H89" s="53">
        <f>SUMIFS(H:H,C:C,"Total")</f>
        <v>100</v>
      </c>
      <c r="I89" s="54"/>
      <c r="J89" s="55"/>
      <c r="K89" s="56"/>
    </row>
    <row r="92" spans="1:11" x14ac:dyDescent="0.25">
      <c r="C92" s="18" t="s">
        <v>257</v>
      </c>
    </row>
    <row r="93" spans="1:11" x14ac:dyDescent="0.25">
      <c r="C93" s="57" t="s">
        <v>258</v>
      </c>
      <c r="D93" s="57"/>
      <c r="E93" s="57"/>
      <c r="F93" s="57"/>
      <c r="G93" s="57"/>
      <c r="H93" s="57"/>
      <c r="I93" s="57"/>
      <c r="J93" s="57"/>
      <c r="K93" s="57"/>
    </row>
    <row r="94" spans="1:11" x14ac:dyDescent="0.25">
      <c r="C94" s="2" t="s">
        <v>259</v>
      </c>
    </row>
    <row r="95" spans="1:11" x14ac:dyDescent="0.25">
      <c r="C95" s="2" t="s">
        <v>260</v>
      </c>
    </row>
    <row r="96" spans="1:11" x14ac:dyDescent="0.25">
      <c r="C96" s="58" t="s">
        <v>261</v>
      </c>
      <c r="D96" s="59"/>
      <c r="E96" s="59"/>
      <c r="F96" s="59"/>
      <c r="G96" s="59"/>
      <c r="H96" s="59"/>
      <c r="I96" s="59"/>
      <c r="J96" s="59"/>
      <c r="K96" s="59"/>
    </row>
    <row r="97" spans="3:11" x14ac:dyDescent="0.25">
      <c r="C97" s="58" t="s">
        <v>262</v>
      </c>
      <c r="D97" s="59"/>
      <c r="E97" s="59"/>
      <c r="F97" s="59"/>
      <c r="G97" s="59"/>
      <c r="H97" s="59"/>
      <c r="I97" s="59"/>
      <c r="J97" s="59"/>
      <c r="K97" s="59"/>
    </row>
    <row r="98" spans="3:11" x14ac:dyDescent="0.25">
      <c r="C98" s="2" t="s">
        <v>263</v>
      </c>
    </row>
    <row r="100" spans="3:11" ht="16.5" thickBot="1" x14ac:dyDescent="0.3">
      <c r="C100" s="60" t="s">
        <v>264</v>
      </c>
      <c r="D100" s="61"/>
      <c r="E100" s="61"/>
    </row>
    <row r="101" spans="3:11" ht="25.5" x14ac:dyDescent="0.25">
      <c r="C101" s="62" t="s">
        <v>265</v>
      </c>
      <c r="D101" s="63" t="s">
        <v>266</v>
      </c>
      <c r="E101" s="63" t="s">
        <v>267</v>
      </c>
    </row>
    <row r="102" spans="3:11" x14ac:dyDescent="0.25">
      <c r="C102" s="64" t="s">
        <v>268</v>
      </c>
      <c r="D102" s="65">
        <v>12.41</v>
      </c>
      <c r="E102" s="65">
        <v>12.89</v>
      </c>
    </row>
    <row r="103" spans="3:11" x14ac:dyDescent="0.25">
      <c r="C103" s="64" t="s">
        <v>269</v>
      </c>
      <c r="D103" s="65">
        <v>12.41</v>
      </c>
      <c r="E103" s="65">
        <v>12.9</v>
      </c>
    </row>
    <row r="104" spans="3:11" x14ac:dyDescent="0.25">
      <c r="C104" s="64" t="s">
        <v>270</v>
      </c>
      <c r="D104" s="65">
        <v>12.62</v>
      </c>
      <c r="E104" s="65">
        <v>13.13</v>
      </c>
    </row>
    <row r="105" spans="3:11" ht="14.25" thickBot="1" x14ac:dyDescent="0.3">
      <c r="C105" s="66" t="s">
        <v>271</v>
      </c>
      <c r="D105" s="67">
        <v>12.62</v>
      </c>
      <c r="E105" s="67">
        <v>13.13</v>
      </c>
    </row>
    <row r="106" spans="3:11" x14ac:dyDescent="0.25">
      <c r="C106" s="68"/>
      <c r="D106" s="69"/>
      <c r="E106" s="69"/>
    </row>
    <row r="107" spans="3:11" x14ac:dyDescent="0.25">
      <c r="C107" s="68"/>
      <c r="D107" s="70"/>
      <c r="E107" s="70"/>
    </row>
    <row r="108" spans="3:11" ht="14.25" thickBot="1" x14ac:dyDescent="0.3">
      <c r="C108" s="71" t="s">
        <v>272</v>
      </c>
      <c r="D108" s="71"/>
      <c r="E108" s="71"/>
    </row>
    <row r="109" spans="3:11" x14ac:dyDescent="0.25">
      <c r="C109" s="72" t="s">
        <v>265</v>
      </c>
      <c r="D109" s="73" t="s">
        <v>273</v>
      </c>
      <c r="E109" s="74"/>
    </row>
    <row r="110" spans="3:11" x14ac:dyDescent="0.25">
      <c r="C110" s="75"/>
      <c r="D110" s="76" t="s">
        <v>274</v>
      </c>
      <c r="E110" s="77" t="s">
        <v>275</v>
      </c>
    </row>
    <row r="111" spans="3:11" x14ac:dyDescent="0.25">
      <c r="C111" s="64" t="s">
        <v>276</v>
      </c>
      <c r="D111" s="78" t="s">
        <v>277</v>
      </c>
      <c r="E111" s="79" t="s">
        <v>277</v>
      </c>
    </row>
    <row r="112" spans="3:11" ht="14.25" thickBot="1" x14ac:dyDescent="0.3">
      <c r="C112" s="66" t="s">
        <v>278</v>
      </c>
      <c r="D112" s="80" t="s">
        <v>277</v>
      </c>
      <c r="E112" s="81" t="s">
        <v>277</v>
      </c>
    </row>
    <row r="113" spans="3:5" ht="14.25" thickBot="1" x14ac:dyDescent="0.3">
      <c r="C113" s="82"/>
      <c r="D113" s="82"/>
      <c r="E113" s="82"/>
    </row>
    <row r="114" spans="3:5" ht="14.25" thickBot="1" x14ac:dyDescent="0.3">
      <c r="C114" s="83" t="s">
        <v>279</v>
      </c>
      <c r="D114" s="84">
        <v>0.34</v>
      </c>
      <c r="E114" s="85"/>
    </row>
    <row r="115" spans="3:5" x14ac:dyDescent="0.25">
      <c r="C115" s="82"/>
      <c r="D115" s="82"/>
      <c r="E115" s="82"/>
    </row>
    <row r="116" spans="3:5" ht="15" x14ac:dyDescent="0.25">
      <c r="C116" s="86" t="s">
        <v>280</v>
      </c>
      <c r="D116" s="86"/>
    </row>
    <row r="117" spans="3:5" ht="15" x14ac:dyDescent="0.25">
      <c r="C117" s="86" t="s">
        <v>281</v>
      </c>
      <c r="D117" s="86"/>
    </row>
    <row r="118" spans="3:5" ht="15" x14ac:dyDescent="0.25">
      <c r="C118" s="86" t="s">
        <v>282</v>
      </c>
      <c r="D118" s="86"/>
    </row>
    <row r="119" spans="3:5" ht="15" x14ac:dyDescent="0.25">
      <c r="C119" s="87" t="s">
        <v>283</v>
      </c>
      <c r="D119" s="86"/>
    </row>
    <row r="120" spans="3:5" ht="15" x14ac:dyDescent="0.25">
      <c r="C120" s="87" t="s">
        <v>284</v>
      </c>
      <c r="D120" s="86"/>
    </row>
    <row r="121" spans="3:5" ht="15" x14ac:dyDescent="0.25">
      <c r="C121" s="87" t="s">
        <v>285</v>
      </c>
      <c r="D121" s="86"/>
    </row>
    <row r="122" spans="3:5" ht="15" x14ac:dyDescent="0.25">
      <c r="C122" s="87" t="s">
        <v>286</v>
      </c>
      <c r="D122" s="86"/>
    </row>
    <row r="123" spans="3:5" ht="15" x14ac:dyDescent="0.25">
      <c r="C123" s="87" t="s">
        <v>287</v>
      </c>
      <c r="D123" s="86"/>
    </row>
    <row r="124" spans="3:5" ht="15" x14ac:dyDescent="0.25">
      <c r="C124" s="87" t="s">
        <v>288</v>
      </c>
      <c r="D124" s="86"/>
    </row>
    <row r="125" spans="3:5" ht="15" x14ac:dyDescent="0.25">
      <c r="C125" s="86" t="s">
        <v>289</v>
      </c>
      <c r="D125" s="86"/>
    </row>
    <row r="126" spans="3:5" ht="15" x14ac:dyDescent="0.25">
      <c r="C126" s="86" t="s">
        <v>290</v>
      </c>
      <c r="D126" s="86"/>
    </row>
    <row r="127" spans="3:5" ht="15" x14ac:dyDescent="0.25">
      <c r="C127" s="87" t="s">
        <v>291</v>
      </c>
      <c r="D127" s="86"/>
    </row>
    <row r="128" spans="3:5" ht="15" x14ac:dyDescent="0.25">
      <c r="C128" s="86" t="s">
        <v>292</v>
      </c>
      <c r="D128" s="86"/>
    </row>
    <row r="129" spans="3:4" ht="15" x14ac:dyDescent="0.25">
      <c r="C129" s="87" t="s">
        <v>293</v>
      </c>
      <c r="D129" s="86"/>
    </row>
    <row r="130" spans="3:4" ht="15" x14ac:dyDescent="0.25">
      <c r="C130" s="87" t="s">
        <v>294</v>
      </c>
      <c r="D130" s="86"/>
    </row>
    <row r="131" spans="3:4" ht="15" x14ac:dyDescent="0.25">
      <c r="C131" s="87"/>
      <c r="D131" s="86"/>
    </row>
    <row r="132" spans="3:4" x14ac:dyDescent="0.25">
      <c r="C132" s="88" t="s">
        <v>295</v>
      </c>
    </row>
    <row r="151" spans="3:7" ht="14.25" thickBot="1" x14ac:dyDescent="0.3"/>
    <row r="152" spans="3:7" ht="20.25" customHeight="1" thickBot="1" x14ac:dyDescent="0.3">
      <c r="C152" s="89" t="s">
        <v>296</v>
      </c>
      <c r="D152" s="90"/>
      <c r="E152" s="90"/>
      <c r="F152" s="90"/>
      <c r="G152" s="91"/>
    </row>
    <row r="153" spans="3:7" ht="39" customHeight="1" thickBot="1" x14ac:dyDescent="0.3">
      <c r="C153" s="89" t="s">
        <v>297</v>
      </c>
      <c r="D153" s="90"/>
      <c r="E153" s="90"/>
      <c r="F153" s="90"/>
      <c r="G153" s="91"/>
    </row>
  </sheetData>
  <mergeCells count="8">
    <mergeCell ref="C152:G152"/>
    <mergeCell ref="C153:G153"/>
    <mergeCell ref="C2:J2"/>
    <mergeCell ref="D3:J3"/>
    <mergeCell ref="D4:J4"/>
    <mergeCell ref="C108:E108"/>
    <mergeCell ref="C109:C110"/>
    <mergeCell ref="D109:E10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HMCF</vt:lpstr>
      <vt:lpstr>XDO_?CLASS_3?5?</vt:lpstr>
      <vt:lpstr>XDO_?FINAL_ISIN?16?</vt:lpstr>
      <vt:lpstr>XDO_?FINAL_ISIN?17?</vt:lpstr>
      <vt:lpstr>XDO_?FINAL_ISIN?18?</vt:lpstr>
      <vt:lpstr>XDO_?FINAL_MV?16?</vt:lpstr>
      <vt:lpstr>XDO_?FINAL_MV?17?</vt:lpstr>
      <vt:lpstr>XDO_?FINAL_MV?18?</vt:lpstr>
      <vt:lpstr>XDO_?FINAL_NAME?16?</vt:lpstr>
      <vt:lpstr>XDO_?FINAL_NAME?17?</vt:lpstr>
      <vt:lpstr>XDO_?FINAL_NAME?18?</vt:lpstr>
      <vt:lpstr>XDO_?FINAL_PER_NET?16?</vt:lpstr>
      <vt:lpstr>XDO_?FINAL_PER_NET?17?</vt:lpstr>
      <vt:lpstr>XDO_?FINAL_PER_NET?18?</vt:lpstr>
      <vt:lpstr>XDO_?FINAL_QUANTITE?16?</vt:lpstr>
      <vt:lpstr>XDO_?FINAL_QUANTITE?17?</vt:lpstr>
      <vt:lpstr>XDO_?FINAL_QUANTITE?18?</vt:lpstr>
      <vt:lpstr>XDO_?NAMCNAME?5?</vt:lpstr>
      <vt:lpstr>XDO_?NOVAL?16?</vt:lpstr>
      <vt:lpstr>XDO_?NOVAL?17?</vt:lpstr>
      <vt:lpstr>XDO_?NOVAL?18?</vt:lpstr>
      <vt:lpstr>XDO_?NPTF?5?</vt:lpstr>
      <vt:lpstr>XDO_?RATING?16?</vt:lpstr>
      <vt:lpstr>XDO_?RATING?17?</vt:lpstr>
      <vt:lpstr>XDO_?RATING?18?</vt:lpstr>
      <vt:lpstr>XDO_?REMARKS?16?</vt:lpstr>
      <vt:lpstr>XDO_?REMARKS?17?</vt:lpstr>
      <vt:lpstr>XDO_?REMARKS?18?</vt:lpstr>
      <vt:lpstr>XDO_?TITL?5?</vt:lpstr>
      <vt:lpstr>XDO_?YTM?16?</vt:lpstr>
      <vt:lpstr>XDO_?YTM?17?</vt:lpstr>
      <vt:lpstr>XDO_?YTM?18?</vt:lpstr>
      <vt:lpstr>XDO_GROUP_?G_2?5?</vt:lpstr>
      <vt:lpstr>XDO_GROUP_?G_3?5?</vt:lpstr>
      <vt:lpstr>XDO_GROUP_?G_4?16?</vt:lpstr>
      <vt:lpstr>XDO_GROUP_?G_4?17?</vt:lpstr>
      <vt:lpstr>XDO_GROUP_?G_4?18?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Pratima-Bane</cp:lastModifiedBy>
  <dcterms:created xsi:type="dcterms:W3CDTF">2026-06-05T11:58:06Z</dcterms:created>
  <dcterms:modified xsi:type="dcterms:W3CDTF">2026-06-05T11:58:07Z</dcterms:modified>
</cp:coreProperties>
</file>