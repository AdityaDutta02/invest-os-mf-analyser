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0 June'25\Monthly Portfolios\HeliosMF_Monthtly Portfolio_30th June  2025___\"/>
    </mc:Choice>
  </mc:AlternateContent>
  <xr:revisionPtr revIDLastSave="0" documentId="13_ncr:1_{A237182E-2B50-4EE5-BEE0-A306D662678B}" xr6:coauthVersionLast="47" xr6:coauthVersionMax="47" xr10:uidLastSave="{00000000-0000-0000-0000-000000000000}"/>
  <bookViews>
    <workbookView xWindow="-110" yWindow="-110" windowWidth="19420" windowHeight="10300" xr2:uid="{21DD83A2-0E6D-4E5C-8FC9-738C4803AB11}"/>
  </bookViews>
  <sheets>
    <sheet name="HFCF" sheetId="1" r:id="rId1"/>
  </sheets>
  <externalReferences>
    <externalReference r:id="rId2"/>
  </externalReferences>
  <definedNames>
    <definedName name="XDO_?CLASS_3?1?">HFCF!$C$11:$C$79</definedName>
    <definedName name="XDO_?FINAL_ISIN?1?">HFCF!$D$13:$D$79</definedName>
    <definedName name="XDO_?FINAL_ISIN?2?">HFCF!$D$13:$D$79</definedName>
    <definedName name="XDO_?FINAL_ISIN?3?">HFCF!$D$13:$D$79</definedName>
    <definedName name="XDO_?FINAL_MV?1?">HFCF!$G$13:$G$79</definedName>
    <definedName name="XDO_?FINAL_MV?2?">HFCF!$G$13:$G$79</definedName>
    <definedName name="XDO_?FINAL_MV?3?">HFCF!$G$13:$G$79</definedName>
    <definedName name="XDO_?FINAL_NAME?1?">HFCF!$C$13:$C$79</definedName>
    <definedName name="XDO_?FINAL_NAME?2?">HFCF!$C$13:$C$79</definedName>
    <definedName name="XDO_?FINAL_NAME?3?">HFCF!$C$13:$C$79</definedName>
    <definedName name="XDO_?FINAL_PER_NET?1?">HFCF!$H$13:$H$79</definedName>
    <definedName name="XDO_?FINAL_PER_NET?2?">HFCF!$H$13:$H$79</definedName>
    <definedName name="XDO_?FINAL_PER_NET?3?">HFCF!$H$13:$H$79</definedName>
    <definedName name="XDO_?FINAL_QUANTITE?1?">HFCF!$F$13:$F$79</definedName>
    <definedName name="XDO_?FINAL_QUANTITE?2?">HFCF!$F$13:$F$79</definedName>
    <definedName name="XDO_?FINAL_QUANTITE?3?">HFCF!$F$13:$F$79</definedName>
    <definedName name="XDO_?NAMC?">[1]HOF!#REF!</definedName>
    <definedName name="XDO_?NAMC?1?">HFCF!#REF!</definedName>
    <definedName name="XDO_?NAMC?2?">[1]HBAF!#REF!</definedName>
    <definedName name="XDO_?NAMC?3?">[1]HFSF!#REF!</definedName>
    <definedName name="XDO_?NAMC?4?">[1]HLM!#REF!</definedName>
    <definedName name="XDO_?NAMCNAME?1?">HFCF!$C$2:$C$79</definedName>
    <definedName name="XDO_?NDATE?">[1]HOF!#REF!</definedName>
    <definedName name="XDO_?NDATE?1?">HFCF!#REF!</definedName>
    <definedName name="XDO_?NDATE?2?">[1]HBAF!#REF!</definedName>
    <definedName name="XDO_?NDATE?3?">[1]HFSF!#REF!</definedName>
    <definedName name="XDO_?NDATE?4?">[1]HLM!#REF!</definedName>
    <definedName name="XDO_?NNPTF?">[1]HOF!#REF!</definedName>
    <definedName name="XDO_?NNPTF?1?">HFCF!#REF!</definedName>
    <definedName name="XDO_?NNPTF?2?">[1]HBAF!#REF!</definedName>
    <definedName name="XDO_?NNPTF?3?">[1]HFSF!#REF!</definedName>
    <definedName name="XDO_?NNPTF?4?">[1]HLM!#REF!</definedName>
    <definedName name="XDO_?NOVAL?1?">HFCF!$B$13:$B$79</definedName>
    <definedName name="XDO_?NOVAL?2?">HFCF!$B$13:$B$79</definedName>
    <definedName name="XDO_?NOVAL?3?">HFCF!$B$13:$B$79</definedName>
    <definedName name="XDO_?NPTF?1?">HFCF!$D$2:$D$79</definedName>
    <definedName name="XDO_?RATING?1?">HFCF!$E$13:$E$79</definedName>
    <definedName name="XDO_?RATING?2?">HFCF!$E$13:$E$79</definedName>
    <definedName name="XDO_?RATING?3?">HFCF!$E$13:$E$79</definedName>
    <definedName name="XDO_?REMARKS?1?">HFCF!$K$13:$K$79</definedName>
    <definedName name="XDO_?REMARKS?2?">HFCF!$K$13:$K$79</definedName>
    <definedName name="XDO_?REMARKS?3?">HFCF!$K$13:$K$79</definedName>
    <definedName name="XDO_?TITL?1?">HFCF!$A$11:$A$79</definedName>
    <definedName name="XDO_?YTM?1?">HFCF!$I$13:$I$79</definedName>
    <definedName name="XDO_?YTM?2?">HFCF!$I$13:$I$79</definedName>
    <definedName name="XDO_?YTM?3?">HFCF!$I$13:$I$79</definedName>
    <definedName name="XDO_GROUP_?G_2?1?">HFCF!$2:$79</definedName>
    <definedName name="XDO_GROUP_?G_3?1?">HFCF!$11:$79</definedName>
    <definedName name="XDO_GROUP_?G_4?1?">HFCF!$B$13:$IV$79</definedName>
    <definedName name="XDO_GROUP_?G_4?11?">[1]HFSF!#REF!</definedName>
    <definedName name="XDO_GROUP_?G_4?2?">HFCF!#REF!</definedName>
    <definedName name="XDO_GROUP_?G_4?3?">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</calcChain>
</file>

<file path=xl/sharedStrings.xml><?xml version="1.0" encoding="utf-8"?>
<sst xmlns="http://schemas.openxmlformats.org/spreadsheetml/2006/main" count="297" uniqueCount="256">
  <si>
    <t>Helios Mutual Fund</t>
  </si>
  <si>
    <t>SCHEME NAME :</t>
  </si>
  <si>
    <t>Helios Flexi Cap Fund (An open-ended dynamic equity scheme investing across large cap, 
mid cap &amp; small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</si>
  <si>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</si>
  <si>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</si>
  <si>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</si>
  <si>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</si>
  <si>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</si>
  <si>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</si>
  <si>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</si>
  <si>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</si>
  <si>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</si>
  <si>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</si>
  <si>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</si>
  <si>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</si>
  <si>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</si>
  <si>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</si>
  <si>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</si>
  <si>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ICICI Bank Ltd.</t>
  </si>
  <si>
    <t>INE090A01021</t>
  </si>
  <si>
    <t>Adani Ports and Special Economic Zone Ltd.</t>
  </si>
  <si>
    <t>INE742F01042</t>
  </si>
  <si>
    <t>Transport Infrastructure</t>
  </si>
  <si>
    <t>100006</t>
  </si>
  <si>
    <t>Eternal Ltd.</t>
  </si>
  <si>
    <t>INE758T01015</t>
  </si>
  <si>
    <t>Retailing</t>
  </si>
  <si>
    <t>100012</t>
  </si>
  <si>
    <t>Bajaj Finance Ltd.</t>
  </si>
  <si>
    <t>INE296A01032</t>
  </si>
  <si>
    <t>Finance</t>
  </si>
  <si>
    <t>101313</t>
  </si>
  <si>
    <t>Bharti Airtel Ltd.</t>
  </si>
  <si>
    <t>INE397D01024</t>
  </si>
  <si>
    <t>Telecom - Services</t>
  </si>
  <si>
    <t>101396</t>
  </si>
  <si>
    <t>Hindustan Petroleum Corporation Ltd.</t>
  </si>
  <si>
    <t>INE094A01015</t>
  </si>
  <si>
    <t>Petroleum Products</t>
  </si>
  <si>
    <t>100010</t>
  </si>
  <si>
    <t>One 97 Communications Ltd.</t>
  </si>
  <si>
    <t>INE982J01020</t>
  </si>
  <si>
    <t>Financial Technology (Fintech)</t>
  </si>
  <si>
    <t>100032</t>
  </si>
  <si>
    <t>Bharat Electronics Ltd.</t>
  </si>
  <si>
    <t>INE263A01024</t>
  </si>
  <si>
    <t>Aerospace &amp; Defense</t>
  </si>
  <si>
    <t>100830</t>
  </si>
  <si>
    <t>Kotak Mahindra Bank Ltd.</t>
  </si>
  <si>
    <t>INE237A01028</t>
  </si>
  <si>
    <t>101623</t>
  </si>
  <si>
    <t>KPIT Technologies Ltd.</t>
  </si>
  <si>
    <t>INE04I401011</t>
  </si>
  <si>
    <t>IT - Software</t>
  </si>
  <si>
    <t>102449</t>
  </si>
  <si>
    <t>DLF Ltd.</t>
  </si>
  <si>
    <t>INE271C01023</t>
  </si>
  <si>
    <t>Realty</t>
  </si>
  <si>
    <t>100003</t>
  </si>
  <si>
    <t>State Bank of India</t>
  </si>
  <si>
    <t>INE062A01020</t>
  </si>
  <si>
    <t>100108</t>
  </si>
  <si>
    <t>360 ONE WAM Ltd.</t>
  </si>
  <si>
    <t>INE466L01038</t>
  </si>
  <si>
    <t>Capital Markets</t>
  </si>
  <si>
    <t>100024</t>
  </si>
  <si>
    <t>PB Fintech Ltd.</t>
  </si>
  <si>
    <t>INE417T01026</t>
  </si>
  <si>
    <t>101390</t>
  </si>
  <si>
    <t>PNB Housing Finance Ltd.</t>
  </si>
  <si>
    <t>INE572E01012</t>
  </si>
  <si>
    <t>100095</t>
  </si>
  <si>
    <t>Motilal Oswal Financial Services Ltd.</t>
  </si>
  <si>
    <t>INE338I01027</t>
  </si>
  <si>
    <t>100037</t>
  </si>
  <si>
    <t>Varun Beverages Ltd.</t>
  </si>
  <si>
    <t>INE200M01039</t>
  </si>
  <si>
    <t>Beverages</t>
  </si>
  <si>
    <t>100181</t>
  </si>
  <si>
    <t>CarTrade Tech Ltd.</t>
  </si>
  <si>
    <t>INE290S01011</t>
  </si>
  <si>
    <t>100148</t>
  </si>
  <si>
    <t>Axis Bank Ltd.</t>
  </si>
  <si>
    <t>INE238A01034</t>
  </si>
  <si>
    <t>100195</t>
  </si>
  <si>
    <t>ABB India Ltd.</t>
  </si>
  <si>
    <t>INE117A01022</t>
  </si>
  <si>
    <t>Electrical Equipment</t>
  </si>
  <si>
    <t>100477</t>
  </si>
  <si>
    <t>Power Grid Corporation of India Ltd.</t>
  </si>
  <si>
    <t>INE752E01010</t>
  </si>
  <si>
    <t>Power</t>
  </si>
  <si>
    <t>100872</t>
  </si>
  <si>
    <t>Fortis Healthcare Ltd.</t>
  </si>
  <si>
    <t>INE061F01013</t>
  </si>
  <si>
    <t>Healthcare Services</t>
  </si>
  <si>
    <t>100234</t>
  </si>
  <si>
    <t>Shriram Finance Ltd.</t>
  </si>
  <si>
    <t>INE721A01047</t>
  </si>
  <si>
    <t>101121</t>
  </si>
  <si>
    <t>NTPC Ltd.</t>
  </si>
  <si>
    <t>INE733E01010</t>
  </si>
  <si>
    <t>100222</t>
  </si>
  <si>
    <t>Multi Commodity Exchange of India Ltd.</t>
  </si>
  <si>
    <t>INE745G01035</t>
  </si>
  <si>
    <t>102122</t>
  </si>
  <si>
    <t>Siemens Energy India Ltd.</t>
  </si>
  <si>
    <t>INE1NPP01017</t>
  </si>
  <si>
    <t>100814</t>
  </si>
  <si>
    <t>Delhivery Ltd.</t>
  </si>
  <si>
    <t>INE148O01028</t>
  </si>
  <si>
    <t>Transport Services</t>
  </si>
  <si>
    <t>100682</t>
  </si>
  <si>
    <t>Apollo Hospitals Enterprise Ltd.</t>
  </si>
  <si>
    <t>INE437A01024</t>
  </si>
  <si>
    <t>101178</t>
  </si>
  <si>
    <t>REC Ltd.</t>
  </si>
  <si>
    <t>INE020B01018</t>
  </si>
  <si>
    <t>101345</t>
  </si>
  <si>
    <t>HDFC Asset Management Co. Ltd.</t>
  </si>
  <si>
    <t>INE127D01025</t>
  </si>
  <si>
    <t>100120</t>
  </si>
  <si>
    <t>K.P.R. Mill Ltd.</t>
  </si>
  <si>
    <t>INE930H01031</t>
  </si>
  <si>
    <t>Textiles &amp; Apparels</t>
  </si>
  <si>
    <t>100775</t>
  </si>
  <si>
    <t>Indegene Ltd.</t>
  </si>
  <si>
    <t>INE065X01017</t>
  </si>
  <si>
    <t>100382</t>
  </si>
  <si>
    <t>Interglobe Aviation Ltd.</t>
  </si>
  <si>
    <t>INE646L01027</t>
  </si>
  <si>
    <t>100114</t>
  </si>
  <si>
    <t>Adani Energy Solutions Ltd.</t>
  </si>
  <si>
    <t>INE931S01010</t>
  </si>
  <si>
    <t>101213</t>
  </si>
  <si>
    <t>Vishal Mega Mart Ltd.</t>
  </si>
  <si>
    <t>INE01EA01019</t>
  </si>
  <si>
    <t>100089</t>
  </si>
  <si>
    <t>Bajaj Auto Ltd.</t>
  </si>
  <si>
    <t>INE917I01010</t>
  </si>
  <si>
    <t>Automobiles</t>
  </si>
  <si>
    <t>100706</t>
  </si>
  <si>
    <t>Syrma SGS Technology Ltd.</t>
  </si>
  <si>
    <t>INE0DYJ01015</t>
  </si>
  <si>
    <t>Industrial Manufacturing</t>
  </si>
  <si>
    <t>100182</t>
  </si>
  <si>
    <t>Muthoot Finance Ltd.</t>
  </si>
  <si>
    <t>INE414G01012</t>
  </si>
  <si>
    <t>101618</t>
  </si>
  <si>
    <t>Cummins India Ltd.</t>
  </si>
  <si>
    <t>INE298A01020</t>
  </si>
  <si>
    <t>Industrial Products</t>
  </si>
  <si>
    <t>100284</t>
  </si>
  <si>
    <t>Torrent Pharmaceuticals Ltd.</t>
  </si>
  <si>
    <t>INE685A01028</t>
  </si>
  <si>
    <t>Pharmaceuticals &amp; Biotechnology</t>
  </si>
  <si>
    <t>100283</t>
  </si>
  <si>
    <t>Lemon Tree Hotels Ltd.</t>
  </si>
  <si>
    <t>INE970X01018</t>
  </si>
  <si>
    <t>Leisure Services</t>
  </si>
  <si>
    <t>100661</t>
  </si>
  <si>
    <t>Cholamandalam Investment &amp; Finance Co. Ltd.</t>
  </si>
  <si>
    <t>INE121A01024</t>
  </si>
  <si>
    <t>100773</t>
  </si>
  <si>
    <t>ICICI Lombard General Insurance Company Ltd.</t>
  </si>
  <si>
    <t>INE765G01017</t>
  </si>
  <si>
    <t>Insurance</t>
  </si>
  <si>
    <t>100022</t>
  </si>
  <si>
    <t>Gokaldas Exports Ltd.</t>
  </si>
  <si>
    <t>INE887G01027</t>
  </si>
  <si>
    <t>100150</t>
  </si>
  <si>
    <t>ITC Hotels Ltd.</t>
  </si>
  <si>
    <t>INE379A01028</t>
  </si>
  <si>
    <t>100552</t>
  </si>
  <si>
    <t>Ather Energy Ltd.</t>
  </si>
  <si>
    <t>INE0LEZ01016</t>
  </si>
  <si>
    <t>100324</t>
  </si>
  <si>
    <t>HDFC Life Insurance Company Ltd.</t>
  </si>
  <si>
    <t>INE795G01014</t>
  </si>
  <si>
    <t>100906</t>
  </si>
  <si>
    <t>NBCC (India) Ltd.</t>
  </si>
  <si>
    <t>INE095N01031</t>
  </si>
  <si>
    <t>Construction</t>
  </si>
  <si>
    <t>100691</t>
  </si>
  <si>
    <t>The Indian Hotels Company Ltd.</t>
  </si>
  <si>
    <t>INE053A01029</t>
  </si>
  <si>
    <t>100565</t>
  </si>
  <si>
    <t>Glaxosmithkline Pharmaceuticals Ltd.</t>
  </si>
  <si>
    <t>INE159A01016</t>
  </si>
  <si>
    <t>100241</t>
  </si>
  <si>
    <t>SAREGAMA India Ltd.</t>
  </si>
  <si>
    <t>INE979A01025</t>
  </si>
  <si>
    <t>Entertainment</t>
  </si>
  <si>
    <t>102070</t>
  </si>
  <si>
    <t>Westlife Foodworld Ltd.</t>
  </si>
  <si>
    <t>INE274F01020</t>
  </si>
  <si>
    <t>101289</t>
  </si>
  <si>
    <t>Niva Bupa Health Insurance Company Ltd.</t>
  </si>
  <si>
    <t>INE995S01015</t>
  </si>
  <si>
    <t>100570</t>
  </si>
  <si>
    <t>Honeywell Automation India Ltd.</t>
  </si>
  <si>
    <t>INE671A01010</t>
  </si>
  <si>
    <t>100399</t>
  </si>
  <si>
    <t>The Phoenix Mills Ltd.</t>
  </si>
  <si>
    <t>INE211B01039</t>
  </si>
  <si>
    <t>100572</t>
  </si>
  <si>
    <t>Swiggy Ltd.</t>
  </si>
  <si>
    <t>INE00H001014</t>
  </si>
  <si>
    <t>102447</t>
  </si>
  <si>
    <t>Hitachi Energy India Ltd.</t>
  </si>
  <si>
    <t>INE07Y701011</t>
  </si>
  <si>
    <t>100519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</si>
  <si>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</si>
  <si>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</si>
  <si>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</si>
  <si>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</si>
  <si>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</si>
  <si>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</si>
  <si>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101708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</si>
  <si>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</si>
  <si>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</si>
  <si>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</si>
  <si>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</si>
  <si>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</si>
  <si>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</si>
  <si>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</si>
  <si>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May  31, 2025</t>
  </si>
  <si>
    <t>NAV Rs. per unit as on June  30, 2025</t>
  </si>
  <si>
    <t>Helios Flexi Cap Fund - Regular Plan - Growth Option</t>
  </si>
  <si>
    <t>Helios Flexi Cap Fund - Regular Plan - IDCW Option</t>
  </si>
  <si>
    <t>Helios Flexi Cap Fund - Direct Plan - Growth Option</t>
  </si>
  <si>
    <t>Helios Flexi Cap Fund - Direct Plan - IDCW Option</t>
  </si>
  <si>
    <t>Dividend History:Total dividends declared during the month ended June  30,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</si>
  <si>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</si>
  <si>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</si>
  <si>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</si>
  <si>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</si>
  <si>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</si>
  <si>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</si>
  <si>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June  30, 2025.</t>
  </si>
  <si>
    <t>Investment in Repo in Corporate Debt Securities during the Month ended June  30,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</si>
  <si>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</si>
  <si>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</si>
  <si>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</si>
  <si>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June  30,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</si>
  <si>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</si>
  <si>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June  30, 2025 is Nil.</t>
  </si>
  <si>
    <t>Market Value includes accrued interest (if any)</t>
  </si>
  <si>
    <t>Investments in Credit Default Swap (CDS) during the period/as on June  30, 2025: Nil</t>
  </si>
  <si>
    <t>Total value and percentage of illiquid equity shares: Nil</t>
  </si>
  <si>
    <t>Funds parked in short term deposit(s) during the period / as on June  30,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</si>
  <si>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</si>
  <si>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</si>
  <si>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</si>
  <si>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advisors if in doubt about whether the product is suitable for them.</t>
  </si>
  <si>
    <t>  # Please note that the above risk-o-meter is as per the product labelling of the scheme available as on the date of this communication/disclosure. As Para 17.4 of SEBI Master Circular dated June 27, 2024,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</si>
</sst>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sz val="10"/>
      <name val="Franklin Gothic Book"/>
      <family val="2"/>
    </font>
    <font>
      <b/>
      <sz val="11"/>
      <name val="Aptos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9E0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7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65" fontId="4" fillId="0" borderId="18" xfId="1" applyNumberFormat="1" applyFont="1" applyBorder="1"/>
    <xf numFmtId="164" fontId="4" fillId="0" borderId="18" xfId="1" applyFont="1" applyBorder="1" applyAlignment="1">
      <alignment horizontal="right"/>
    </xf>
    <xf numFmtId="164" fontId="4" fillId="0" borderId="19" xfId="1" applyFont="1" applyBorder="1"/>
    <xf numFmtId="164" fontId="4" fillId="0" borderId="20" xfId="1" applyFont="1" applyBorder="1"/>
    <xf numFmtId="164" fontId="9" fillId="2" borderId="21" xfId="1" applyFont="1" applyFill="1" applyBorder="1" applyAlignment="1">
      <alignment vertical="center"/>
    </xf>
    <xf numFmtId="0" fontId="7" fillId="0" borderId="16" xfId="0" applyFont="1" applyBorder="1"/>
    <xf numFmtId="0" fontId="4" fillId="0" borderId="22" xfId="0" applyFont="1" applyBorder="1"/>
    <xf numFmtId="0" fontId="4" fillId="0" borderId="23" xfId="0" applyFont="1" applyBorder="1"/>
    <xf numFmtId="165" fontId="4" fillId="0" borderId="23" xfId="1" applyNumberFormat="1" applyFont="1" applyBorder="1"/>
    <xf numFmtId="164" fontId="4" fillId="0" borderId="23" xfId="1" applyFont="1" applyBorder="1" applyAlignment="1">
      <alignment horizontal="right"/>
    </xf>
    <xf numFmtId="164" fontId="4" fillId="0" borderId="24" xfId="1" applyFont="1" applyBorder="1"/>
    <xf numFmtId="164" fontId="4" fillId="0" borderId="25" xfId="1" applyFont="1" applyBorder="1"/>
    <xf numFmtId="0" fontId="10" fillId="3" borderId="16" xfId="4" applyFont="1" applyFill="1" applyBorder="1"/>
    <xf numFmtId="166" fontId="4" fillId="0" borderId="26" xfId="0" applyNumberFormat="1" applyFont="1" applyBorder="1"/>
    <xf numFmtId="0" fontId="3" fillId="3" borderId="21" xfId="4" applyFont="1" applyFill="1" applyBorder="1"/>
    <xf numFmtId="0" fontId="3" fillId="3" borderId="0" xfId="4" applyFont="1" applyFill="1"/>
    <xf numFmtId="166" fontId="4" fillId="0" borderId="27" xfId="0" applyNumberFormat="1" applyFont="1" applyBorder="1"/>
    <xf numFmtId="164" fontId="10" fillId="3" borderId="5" xfId="1" applyFont="1" applyFill="1" applyBorder="1" applyAlignment="1">
      <alignment horizontal="right"/>
    </xf>
    <xf numFmtId="0" fontId="10" fillId="3" borderId="28" xfId="0" applyFont="1" applyFill="1" applyBorder="1"/>
    <xf numFmtId="0" fontId="10" fillId="3" borderId="29" xfId="0" applyFont="1" applyFill="1" applyBorder="1"/>
    <xf numFmtId="0" fontId="10" fillId="3" borderId="30" xfId="0" applyFont="1" applyFill="1" applyBorder="1" applyAlignment="1">
      <alignment horizontal="center"/>
    </xf>
    <xf numFmtId="165" fontId="4" fillId="0" borderId="30" xfId="1" applyNumberFormat="1" applyFont="1" applyBorder="1"/>
    <xf numFmtId="164" fontId="7" fillId="0" borderId="31" xfId="1" applyFont="1" applyBorder="1" applyAlignment="1">
      <alignment horizontal="right"/>
    </xf>
    <xf numFmtId="164" fontId="4" fillId="0" borderId="32" xfId="1" applyFont="1" applyBorder="1"/>
    <xf numFmtId="164" fontId="4" fillId="0" borderId="33" xfId="1" applyFont="1" applyBorder="1"/>
    <xf numFmtId="0" fontId="12" fillId="0" borderId="0" xfId="0" applyFont="1"/>
    <xf numFmtId="0" fontId="2" fillId="0" borderId="0" xfId="2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/>
    </xf>
    <xf numFmtId="0" fontId="14" fillId="0" borderId="4" xfId="0" applyFont="1" applyBorder="1"/>
    <xf numFmtId="168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/>
    <xf numFmtId="0" fontId="15" fillId="5" borderId="0" xfId="0" applyFont="1" applyFill="1"/>
    <xf numFmtId="49" fontId="16" fillId="6" borderId="5" xfId="4" applyNumberFormat="1" applyFont="1" applyFill="1" applyBorder="1" applyAlignment="1">
      <alignment horizontal="center" vertical="center"/>
    </xf>
    <xf numFmtId="49" fontId="16" fillId="6" borderId="6" xfId="4" applyNumberFormat="1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 applyAlignment="1">
      <alignment horizontal="center" vertical="center"/>
    </xf>
    <xf numFmtId="0" fontId="12" fillId="0" borderId="36" xfId="0" applyFont="1" applyBorder="1" applyAlignment="1">
      <alignment wrapText="1"/>
    </xf>
    <xf numFmtId="2" fontId="12" fillId="0" borderId="37" xfId="0" applyNumberFormat="1" applyFont="1" applyBorder="1" applyAlignment="1">
      <alignment horizontal="right"/>
    </xf>
    <xf numFmtId="165" fontId="12" fillId="0" borderId="0" xfId="1" applyNumberFormat="1" applyFont="1"/>
    <xf numFmtId="49" fontId="2" fillId="7" borderId="0" xfId="2" applyNumberFormat="1" applyFill="1" applyAlignment="1">
      <alignment horizontal="left"/>
    </xf>
    <xf numFmtId="49" fontId="16" fillId="7" borderId="0" xfId="4" applyNumberFormat="1" applyFont="1" applyFill="1" applyAlignment="1">
      <alignment horizontal="left"/>
    </xf>
    <xf numFmtId="0" fontId="17" fillId="0" borderId="0" xfId="0" applyFont="1"/>
    <xf numFmtId="0" fontId="18" fillId="0" borderId="38" xfId="0" applyFont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165" fontId="17" fillId="0" borderId="39" xfId="1" applyNumberFormat="1" applyFont="1" applyBorder="1"/>
    <xf numFmtId="164" fontId="17" fillId="0" borderId="40" xfId="1" applyFont="1" applyBorder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9" fillId="0" borderId="0" xfId="0" applyFont="1"/>
    <xf numFmtId="165" fontId="17" fillId="0" borderId="0" xfId="1" applyNumberFormat="1" applyFont="1"/>
    <xf numFmtId="0" fontId="6" fillId="4" borderId="3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9" fontId="16" fillId="6" borderId="13" xfId="4" applyNumberFormat="1" applyFont="1" applyFill="1" applyBorder="1" applyAlignment="1">
      <alignment horizontal="center" vertical="center"/>
    </xf>
    <xf numFmtId="49" fontId="16" fillId="6" borderId="15" xfId="4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167" fontId="6" fillId="0" borderId="8" xfId="0" applyNumberFormat="1" applyFont="1" applyBorder="1" applyAlignment="1">
      <alignment horizontal="left"/>
    </xf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9" fillId="8" borderId="11" xfId="3" applyFont="1" applyFill="1" applyBorder="1" applyAlignment="1">
      <alignment vertical="center"/>
    </xf>
    <xf numFmtId="0" fontId="9" fillId="8" borderId="12" xfId="3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165" fontId="9" fillId="8" borderId="13" xfId="1" applyNumberFormat="1" applyFont="1" applyFill="1" applyBorder="1" applyAlignment="1">
      <alignment vertical="center"/>
    </xf>
    <xf numFmtId="164" fontId="9" fillId="8" borderId="13" xfId="1" applyFont="1" applyFill="1" applyBorder="1" applyAlignment="1">
      <alignment vertical="center" wrapText="1"/>
    </xf>
    <xf numFmtId="164" fontId="9" fillId="8" borderId="14" xfId="1" applyFont="1" applyFill="1" applyBorder="1" applyAlignment="1">
      <alignment vertical="center"/>
    </xf>
    <xf numFmtId="164" fontId="9" fillId="8" borderId="15" xfId="1" applyFont="1" applyFill="1" applyBorder="1" applyAlignment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168" fontId="14" fillId="0" borderId="6" xfId="0" applyNumberFormat="1" applyFont="1" applyBorder="1" applyAlignment="1">
      <alignment horizontal="center" vertical="center"/>
    </xf>
    <xf numFmtId="168" fontId="14" fillId="0" borderId="31" xfId="0" applyNumberFormat="1" applyFont="1" applyBorder="1" applyAlignment="1">
      <alignment horizontal="center" vertical="center"/>
    </xf>
    <xf numFmtId="168" fontId="14" fillId="0" borderId="4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41818DF0-AE1F-4923-B922-A0362B7E348E}"/>
    <cellStyle name="Style 1" xfId="3" xr:uid="{43013A8C-5245-46B4-B4BB-BAE1AEAA54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119</xdr:row>
      <xdr:rowOff>9525</xdr:rowOff>
    </xdr:from>
    <xdr:to>
      <xdr:col>6</xdr:col>
      <xdr:colOff>1266825</xdr:colOff>
      <xdr:row>119</xdr:row>
      <xdr:rowOff>2895600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9DE81-4041-4467-8C0E-5C45A31D7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764625"/>
          <a:ext cx="927735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ne%202025\Monthly%2030-June-2025\Final\HeliosMF_Monthtly%20Portfolio_30th%20June%20%202025___.xls" TargetMode="External"/><Relationship Id="rId1" Type="http://schemas.openxmlformats.org/officeDocument/2006/relationships/externalLinkPath" Target="HeliosMF_Monthtly%20Portfolio_30th%20June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50B-9CC2-48C9-A4E8-280D3B551C7D}">
  <sheetPr codeName="Sheet12"/>
  <dimension ref="A1:IS122"/>
  <sheetViews>
    <sheetView showGridLines="0" tabSelected="1" zoomScale="90" zoomScaleNormal="90" workbookViewId="0">
      <pane ySplit="6" topLeftCell="A7" activePane="bottomLeft" state="frozen"/>
      <selection pane="bottomLeft" activeCell="E14" sqref="E14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4" t="s">
        <v>0</v>
      </c>
      <c r="D2" s="85"/>
      <c r="E2" s="85"/>
      <c r="F2" s="85"/>
      <c r="G2" s="85"/>
      <c r="H2" s="85"/>
      <c r="I2" s="85"/>
      <c r="J2" s="86"/>
    </row>
    <row r="3" spans="1:54" ht="13.5" customHeight="1" x14ac:dyDescent="0.35">
      <c r="C3" s="7" t="s">
        <v>1</v>
      </c>
      <c r="D3" s="76" t="s">
        <v>2</v>
      </c>
      <c r="E3" s="76"/>
      <c r="F3" s="76"/>
      <c r="G3" s="76"/>
      <c r="H3" s="76"/>
      <c r="I3" s="76"/>
      <c r="J3" s="77"/>
    </row>
    <row r="4" spans="1:54" ht="14" thickBot="1" x14ac:dyDescent="0.4">
      <c r="C4" s="8" t="s">
        <v>3</v>
      </c>
      <c r="D4" s="78">
        <v>45838</v>
      </c>
      <c r="E4" s="79"/>
      <c r="F4" s="79"/>
      <c r="G4" s="79"/>
      <c r="H4" s="79"/>
      <c r="I4" s="79"/>
      <c r="J4" s="80"/>
    </row>
    <row r="5" spans="1:54" ht="14" thickBot="1" x14ac:dyDescent="0.4">
      <c r="C5" s="9"/>
    </row>
    <row r="6" spans="1:54" ht="26" x14ac:dyDescent="0.35">
      <c r="C6" s="87" t="s">
        <v>4</v>
      </c>
      <c r="D6" s="88" t="s">
        <v>5</v>
      </c>
      <c r="E6" s="89" t="s">
        <v>6</v>
      </c>
      <c r="F6" s="90" t="s">
        <v>7</v>
      </c>
      <c r="G6" s="91" t="s">
        <v>8</v>
      </c>
      <c r="H6" s="91" t="s">
        <v>9</v>
      </c>
      <c r="I6" s="92" t="s">
        <v>10</v>
      </c>
      <c r="J6" s="93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0"/>
    </row>
    <row r="9" spans="1:54" x14ac:dyDescent="0.35">
      <c r="C9" s="28" t="s">
        <v>14</v>
      </c>
      <c r="D9" s="22"/>
      <c r="E9" s="23"/>
      <c r="F9" s="24"/>
      <c r="G9" s="25"/>
      <c r="H9" s="25"/>
      <c r="I9" s="26"/>
      <c r="J9" s="27"/>
      <c r="K9" s="20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1176580</v>
      </c>
      <c r="G10" s="25">
        <v>23549.25</v>
      </c>
      <c r="H10" s="25">
        <v>6.79</v>
      </c>
      <c r="I10" s="26"/>
      <c r="J10" s="27"/>
      <c r="K10" s="29"/>
    </row>
    <row r="11" spans="1:54" x14ac:dyDescent="0.35">
      <c r="A11" s="30"/>
      <c r="B11" s="31"/>
      <c r="C11" s="13" t="s">
        <v>18</v>
      </c>
      <c r="D11" s="22" t="s">
        <v>19</v>
      </c>
      <c r="E11" s="23" t="s">
        <v>17</v>
      </c>
      <c r="F11" s="24">
        <v>1202746</v>
      </c>
      <c r="G11" s="25">
        <v>17389.3</v>
      </c>
      <c r="H11" s="25">
        <v>5.01</v>
      </c>
      <c r="I11" s="26"/>
      <c r="J11" s="27"/>
      <c r="K11" s="32"/>
    </row>
    <row r="12" spans="1:54" x14ac:dyDescent="0.35">
      <c r="C12" s="13" t="s">
        <v>20</v>
      </c>
      <c r="D12" s="22" t="s">
        <v>21</v>
      </c>
      <c r="E12" s="23" t="s">
        <v>22</v>
      </c>
      <c r="F12" s="24">
        <v>828033</v>
      </c>
      <c r="G12" s="25">
        <v>12008.13</v>
      </c>
      <c r="H12" s="25">
        <v>3.46</v>
      </c>
      <c r="I12" s="26"/>
      <c r="J12" s="27"/>
      <c r="K12" s="32"/>
    </row>
    <row r="13" spans="1:54" x14ac:dyDescent="0.35">
      <c r="B13" s="1" t="s">
        <v>23</v>
      </c>
      <c r="C13" s="13" t="s">
        <v>24</v>
      </c>
      <c r="D13" s="22" t="s">
        <v>25</v>
      </c>
      <c r="E13" s="23" t="s">
        <v>26</v>
      </c>
      <c r="F13" s="24">
        <v>4356686</v>
      </c>
      <c r="G13" s="25">
        <v>11508.19</v>
      </c>
      <c r="H13" s="25">
        <v>3.32</v>
      </c>
      <c r="I13" s="26"/>
      <c r="J13" s="27"/>
      <c r="K13" s="32"/>
    </row>
    <row r="14" spans="1:54" x14ac:dyDescent="0.35">
      <c r="B14" s="1" t="s">
        <v>27</v>
      </c>
      <c r="C14" s="13" t="s">
        <v>28</v>
      </c>
      <c r="D14" s="22" t="s">
        <v>29</v>
      </c>
      <c r="E14" s="23" t="s">
        <v>30</v>
      </c>
      <c r="F14" s="24">
        <v>1127416</v>
      </c>
      <c r="G14" s="25">
        <v>10558.25</v>
      </c>
      <c r="H14" s="25">
        <v>3.04</v>
      </c>
      <c r="I14" s="26"/>
      <c r="J14" s="27"/>
      <c r="K14" s="32"/>
    </row>
    <row r="15" spans="1:54" x14ac:dyDescent="0.35">
      <c r="B15" s="1" t="s">
        <v>31</v>
      </c>
      <c r="C15" s="13" t="s">
        <v>32</v>
      </c>
      <c r="D15" s="22" t="s">
        <v>33</v>
      </c>
      <c r="E15" s="23" t="s">
        <v>34</v>
      </c>
      <c r="F15" s="24">
        <v>514350</v>
      </c>
      <c r="G15" s="25">
        <v>10336.379999999999</v>
      </c>
      <c r="H15" s="25">
        <v>2.98</v>
      </c>
      <c r="I15" s="26"/>
      <c r="J15" s="27"/>
      <c r="K15" s="32"/>
    </row>
    <row r="16" spans="1:54" x14ac:dyDescent="0.35">
      <c r="B16" s="1" t="s">
        <v>35</v>
      </c>
      <c r="C16" s="13" t="s">
        <v>36</v>
      </c>
      <c r="D16" s="22" t="s">
        <v>37</v>
      </c>
      <c r="E16" s="23" t="s">
        <v>38</v>
      </c>
      <c r="F16" s="24">
        <v>2253712</v>
      </c>
      <c r="G16" s="25">
        <v>9872.39</v>
      </c>
      <c r="H16" s="25">
        <v>2.84</v>
      </c>
      <c r="I16" s="26"/>
      <c r="J16" s="27"/>
      <c r="K16" s="32"/>
    </row>
    <row r="17" spans="2:11" x14ac:dyDescent="0.35">
      <c r="B17" s="1" t="s">
        <v>39</v>
      </c>
      <c r="C17" s="13" t="s">
        <v>40</v>
      </c>
      <c r="D17" s="22" t="s">
        <v>41</v>
      </c>
      <c r="E17" s="23" t="s">
        <v>42</v>
      </c>
      <c r="F17" s="24">
        <v>1065667</v>
      </c>
      <c r="G17" s="25">
        <v>9846.76</v>
      </c>
      <c r="H17" s="25">
        <v>2.84</v>
      </c>
      <c r="I17" s="26"/>
      <c r="J17" s="27"/>
      <c r="K17" s="32"/>
    </row>
    <row r="18" spans="2:11" x14ac:dyDescent="0.35">
      <c r="B18" s="1" t="s">
        <v>43</v>
      </c>
      <c r="C18" s="13" t="s">
        <v>44</v>
      </c>
      <c r="D18" s="22" t="s">
        <v>45</v>
      </c>
      <c r="E18" s="23" t="s">
        <v>46</v>
      </c>
      <c r="F18" s="24">
        <v>2217741</v>
      </c>
      <c r="G18" s="25">
        <v>9347.7800000000007</v>
      </c>
      <c r="H18" s="25">
        <v>2.69</v>
      </c>
      <c r="I18" s="26"/>
      <c r="J18" s="27"/>
      <c r="K18" s="32"/>
    </row>
    <row r="19" spans="2:11" x14ac:dyDescent="0.35">
      <c r="B19" s="1" t="s">
        <v>47</v>
      </c>
      <c r="C19" s="13" t="s">
        <v>48</v>
      </c>
      <c r="D19" s="22" t="s">
        <v>49</v>
      </c>
      <c r="E19" s="23" t="s">
        <v>17</v>
      </c>
      <c r="F19" s="24">
        <v>387774</v>
      </c>
      <c r="G19" s="25">
        <v>8389.49</v>
      </c>
      <c r="H19" s="25">
        <v>2.42</v>
      </c>
      <c r="I19" s="26"/>
      <c r="J19" s="27"/>
      <c r="K19" s="32"/>
    </row>
    <row r="20" spans="2:11" x14ac:dyDescent="0.35">
      <c r="B20" s="1" t="s">
        <v>50</v>
      </c>
      <c r="C20" s="13" t="s">
        <v>51</v>
      </c>
      <c r="D20" s="22" t="s">
        <v>52</v>
      </c>
      <c r="E20" s="23" t="s">
        <v>53</v>
      </c>
      <c r="F20" s="24">
        <v>643497</v>
      </c>
      <c r="G20" s="25">
        <v>8099.7</v>
      </c>
      <c r="H20" s="25">
        <v>2.33</v>
      </c>
      <c r="I20" s="26"/>
      <c r="J20" s="27"/>
      <c r="K20" s="32"/>
    </row>
    <row r="21" spans="2:11" x14ac:dyDescent="0.35">
      <c r="B21" s="1" t="s">
        <v>54</v>
      </c>
      <c r="C21" s="13" t="s">
        <v>55</v>
      </c>
      <c r="D21" s="22" t="s">
        <v>56</v>
      </c>
      <c r="E21" s="23" t="s">
        <v>57</v>
      </c>
      <c r="F21" s="24">
        <v>953859</v>
      </c>
      <c r="G21" s="25">
        <v>7991.43</v>
      </c>
      <c r="H21" s="25">
        <v>2.2999999999999998</v>
      </c>
      <c r="I21" s="26"/>
      <c r="J21" s="27"/>
      <c r="K21" s="32"/>
    </row>
    <row r="22" spans="2:11" x14ac:dyDescent="0.35">
      <c r="B22" s="1" t="s">
        <v>58</v>
      </c>
      <c r="C22" s="13" t="s">
        <v>59</v>
      </c>
      <c r="D22" s="22" t="s">
        <v>60</v>
      </c>
      <c r="E22" s="23" t="s">
        <v>17</v>
      </c>
      <c r="F22" s="24">
        <v>939514</v>
      </c>
      <c r="G22" s="25">
        <v>7707.3</v>
      </c>
      <c r="H22" s="25">
        <v>2.2200000000000002</v>
      </c>
      <c r="I22" s="26"/>
      <c r="J22" s="27"/>
      <c r="K22" s="32"/>
    </row>
    <row r="23" spans="2:11" x14ac:dyDescent="0.35">
      <c r="B23" s="1" t="s">
        <v>61</v>
      </c>
      <c r="C23" s="13" t="s">
        <v>62</v>
      </c>
      <c r="D23" s="22" t="s">
        <v>63</v>
      </c>
      <c r="E23" s="23" t="s">
        <v>64</v>
      </c>
      <c r="F23" s="24">
        <v>607859</v>
      </c>
      <c r="G23" s="25">
        <v>7260.88</v>
      </c>
      <c r="H23" s="25">
        <v>2.09</v>
      </c>
      <c r="I23" s="26"/>
      <c r="J23" s="27"/>
      <c r="K23" s="32"/>
    </row>
    <row r="24" spans="2:11" x14ac:dyDescent="0.35">
      <c r="B24" s="1" t="s">
        <v>65</v>
      </c>
      <c r="C24" s="13" t="s">
        <v>66</v>
      </c>
      <c r="D24" s="22" t="s">
        <v>67</v>
      </c>
      <c r="E24" s="23" t="s">
        <v>42</v>
      </c>
      <c r="F24" s="24">
        <v>384966</v>
      </c>
      <c r="G24" s="25">
        <v>7021.39</v>
      </c>
      <c r="H24" s="25">
        <v>2.02</v>
      </c>
      <c r="I24" s="26"/>
      <c r="J24" s="27"/>
      <c r="K24" s="32"/>
    </row>
    <row r="25" spans="2:11" x14ac:dyDescent="0.35">
      <c r="B25" s="1" t="s">
        <v>68</v>
      </c>
      <c r="C25" s="13" t="s">
        <v>69</v>
      </c>
      <c r="D25" s="22" t="s">
        <v>70</v>
      </c>
      <c r="E25" s="23" t="s">
        <v>30</v>
      </c>
      <c r="F25" s="24">
        <v>629300</v>
      </c>
      <c r="G25" s="25">
        <v>6981.45</v>
      </c>
      <c r="H25" s="25">
        <v>2.0099999999999998</v>
      </c>
      <c r="I25" s="26"/>
      <c r="J25" s="27"/>
      <c r="K25" s="32"/>
    </row>
    <row r="26" spans="2:11" x14ac:dyDescent="0.35">
      <c r="B26" s="1" t="s">
        <v>71</v>
      </c>
      <c r="C26" s="13" t="s">
        <v>72</v>
      </c>
      <c r="D26" s="22" t="s">
        <v>73</v>
      </c>
      <c r="E26" s="23" t="s">
        <v>64</v>
      </c>
      <c r="F26" s="24">
        <v>783210</v>
      </c>
      <c r="G26" s="25">
        <v>6814.32</v>
      </c>
      <c r="H26" s="25">
        <v>1.96</v>
      </c>
      <c r="I26" s="26"/>
      <c r="J26" s="27"/>
      <c r="K26" s="32"/>
    </row>
    <row r="27" spans="2:11" x14ac:dyDescent="0.35">
      <c r="B27" s="1" t="s">
        <v>74</v>
      </c>
      <c r="C27" s="13" t="s">
        <v>75</v>
      </c>
      <c r="D27" s="22" t="s">
        <v>76</v>
      </c>
      <c r="E27" s="23" t="s">
        <v>77</v>
      </c>
      <c r="F27" s="24">
        <v>1316221</v>
      </c>
      <c r="G27" s="25">
        <v>6022.37</v>
      </c>
      <c r="H27" s="25">
        <v>1.74</v>
      </c>
      <c r="I27" s="26"/>
      <c r="J27" s="27"/>
      <c r="K27" s="32"/>
    </row>
    <row r="28" spans="2:11" x14ac:dyDescent="0.35">
      <c r="B28" s="1" t="s">
        <v>78</v>
      </c>
      <c r="C28" s="13" t="s">
        <v>79</v>
      </c>
      <c r="D28" s="22" t="s">
        <v>80</v>
      </c>
      <c r="E28" s="23" t="s">
        <v>26</v>
      </c>
      <c r="F28" s="24">
        <v>345012</v>
      </c>
      <c r="G28" s="25">
        <v>5867.62</v>
      </c>
      <c r="H28" s="25">
        <v>1.69</v>
      </c>
      <c r="I28" s="26"/>
      <c r="J28" s="27"/>
      <c r="K28" s="32"/>
    </row>
    <row r="29" spans="2:11" x14ac:dyDescent="0.35">
      <c r="B29" s="1" t="s">
        <v>81</v>
      </c>
      <c r="C29" s="13" t="s">
        <v>82</v>
      </c>
      <c r="D29" s="22" t="s">
        <v>83</v>
      </c>
      <c r="E29" s="23" t="s">
        <v>17</v>
      </c>
      <c r="F29" s="24">
        <v>486000</v>
      </c>
      <c r="G29" s="25">
        <v>5828.11</v>
      </c>
      <c r="H29" s="25">
        <v>1.68</v>
      </c>
      <c r="I29" s="26"/>
      <c r="J29" s="27"/>
      <c r="K29" s="32"/>
    </row>
    <row r="30" spans="2:11" x14ac:dyDescent="0.35">
      <c r="B30" s="1" t="s">
        <v>84</v>
      </c>
      <c r="C30" s="13" t="s">
        <v>85</v>
      </c>
      <c r="D30" s="22" t="s">
        <v>86</v>
      </c>
      <c r="E30" s="23" t="s">
        <v>87</v>
      </c>
      <c r="F30" s="24">
        <v>94763</v>
      </c>
      <c r="G30" s="25">
        <v>5762.06</v>
      </c>
      <c r="H30" s="25">
        <v>1.66</v>
      </c>
      <c r="I30" s="26"/>
      <c r="J30" s="27"/>
      <c r="K30" s="32"/>
    </row>
    <row r="31" spans="2:11" x14ac:dyDescent="0.35">
      <c r="B31" s="1" t="s">
        <v>88</v>
      </c>
      <c r="C31" s="13" t="s">
        <v>89</v>
      </c>
      <c r="D31" s="22" t="s">
        <v>90</v>
      </c>
      <c r="E31" s="23" t="s">
        <v>91</v>
      </c>
      <c r="F31" s="24">
        <v>1916717</v>
      </c>
      <c r="G31" s="25">
        <v>5748.23</v>
      </c>
      <c r="H31" s="25">
        <v>1.66</v>
      </c>
      <c r="I31" s="26"/>
      <c r="J31" s="27"/>
      <c r="K31" s="32"/>
    </row>
    <row r="32" spans="2:11" x14ac:dyDescent="0.35">
      <c r="B32" s="1" t="s">
        <v>92</v>
      </c>
      <c r="C32" s="13" t="s">
        <v>93</v>
      </c>
      <c r="D32" s="22" t="s">
        <v>94</v>
      </c>
      <c r="E32" s="23" t="s">
        <v>95</v>
      </c>
      <c r="F32" s="24">
        <v>719543</v>
      </c>
      <c r="G32" s="25">
        <v>5716.77</v>
      </c>
      <c r="H32" s="25">
        <v>1.65</v>
      </c>
      <c r="I32" s="26"/>
      <c r="J32" s="27"/>
      <c r="K32" s="32"/>
    </row>
    <row r="33" spans="2:11" x14ac:dyDescent="0.35">
      <c r="B33" s="1" t="s">
        <v>96</v>
      </c>
      <c r="C33" s="13" t="s">
        <v>97</v>
      </c>
      <c r="D33" s="22" t="s">
        <v>98</v>
      </c>
      <c r="E33" s="23" t="s">
        <v>30</v>
      </c>
      <c r="F33" s="24">
        <v>794752</v>
      </c>
      <c r="G33" s="25">
        <v>5617.7</v>
      </c>
      <c r="H33" s="25">
        <v>1.62</v>
      </c>
      <c r="I33" s="26"/>
      <c r="J33" s="27"/>
      <c r="K33" s="32"/>
    </row>
    <row r="34" spans="2:11" x14ac:dyDescent="0.35">
      <c r="B34" s="1" t="s">
        <v>99</v>
      </c>
      <c r="C34" s="13" t="s">
        <v>100</v>
      </c>
      <c r="D34" s="22" t="s">
        <v>101</v>
      </c>
      <c r="E34" s="23" t="s">
        <v>91</v>
      </c>
      <c r="F34" s="24">
        <v>1620348</v>
      </c>
      <c r="G34" s="25">
        <v>5426.55</v>
      </c>
      <c r="H34" s="25">
        <v>1.56</v>
      </c>
      <c r="I34" s="26"/>
      <c r="J34" s="27"/>
      <c r="K34" s="32"/>
    </row>
    <row r="35" spans="2:11" x14ac:dyDescent="0.35">
      <c r="B35" s="1" t="s">
        <v>102</v>
      </c>
      <c r="C35" s="13" t="s">
        <v>103</v>
      </c>
      <c r="D35" s="22" t="s">
        <v>104</v>
      </c>
      <c r="E35" s="23" t="s">
        <v>64</v>
      </c>
      <c r="F35" s="24">
        <v>60657</v>
      </c>
      <c r="G35" s="25">
        <v>5425.16</v>
      </c>
      <c r="H35" s="25">
        <v>1.56</v>
      </c>
      <c r="I35" s="26"/>
      <c r="J35" s="27"/>
      <c r="K35" s="32"/>
    </row>
    <row r="36" spans="2:11" x14ac:dyDescent="0.35">
      <c r="B36" s="1" t="s">
        <v>105</v>
      </c>
      <c r="C36" s="13" t="s">
        <v>106</v>
      </c>
      <c r="D36" s="22" t="s">
        <v>107</v>
      </c>
      <c r="E36" s="23" t="s">
        <v>87</v>
      </c>
      <c r="F36" s="24">
        <v>181691</v>
      </c>
      <c r="G36" s="25">
        <v>5406.94</v>
      </c>
      <c r="H36" s="25">
        <v>1.56</v>
      </c>
      <c r="I36" s="26"/>
      <c r="J36" s="27"/>
      <c r="K36" s="32"/>
    </row>
    <row r="37" spans="2:11" x14ac:dyDescent="0.35">
      <c r="B37" s="1" t="s">
        <v>108</v>
      </c>
      <c r="C37" s="13" t="s">
        <v>109</v>
      </c>
      <c r="D37" s="22" t="s">
        <v>110</v>
      </c>
      <c r="E37" s="23" t="s">
        <v>111</v>
      </c>
      <c r="F37" s="24">
        <v>1351489</v>
      </c>
      <c r="G37" s="25">
        <v>5173.5</v>
      </c>
      <c r="H37" s="25">
        <v>1.49</v>
      </c>
      <c r="I37" s="26"/>
      <c r="J37" s="27"/>
      <c r="K37" s="32"/>
    </row>
    <row r="38" spans="2:11" x14ac:dyDescent="0.35">
      <c r="B38" s="1" t="s">
        <v>112</v>
      </c>
      <c r="C38" s="13" t="s">
        <v>113</v>
      </c>
      <c r="D38" s="22" t="s">
        <v>114</v>
      </c>
      <c r="E38" s="23" t="s">
        <v>95</v>
      </c>
      <c r="F38" s="24">
        <v>70130</v>
      </c>
      <c r="G38" s="25">
        <v>5078.8100000000004</v>
      </c>
      <c r="H38" s="25">
        <v>1.46</v>
      </c>
      <c r="I38" s="26"/>
      <c r="J38" s="27"/>
      <c r="K38" s="32"/>
    </row>
    <row r="39" spans="2:11" x14ac:dyDescent="0.35">
      <c r="B39" s="1" t="s">
        <v>115</v>
      </c>
      <c r="C39" s="13" t="s">
        <v>116</v>
      </c>
      <c r="D39" s="22" t="s">
        <v>117</v>
      </c>
      <c r="E39" s="23" t="s">
        <v>30</v>
      </c>
      <c r="F39" s="24">
        <v>1260100</v>
      </c>
      <c r="G39" s="25">
        <v>5070.6400000000003</v>
      </c>
      <c r="H39" s="25">
        <v>1.46</v>
      </c>
      <c r="I39" s="26"/>
      <c r="J39" s="27"/>
      <c r="K39" s="32"/>
    </row>
    <row r="40" spans="2:11" x14ac:dyDescent="0.35">
      <c r="B40" s="1" t="s">
        <v>118</v>
      </c>
      <c r="C40" s="13" t="s">
        <v>119</v>
      </c>
      <c r="D40" s="22" t="s">
        <v>120</v>
      </c>
      <c r="E40" s="23" t="s">
        <v>64</v>
      </c>
      <c r="F40" s="24">
        <v>95492</v>
      </c>
      <c r="G40" s="25">
        <v>4957.75</v>
      </c>
      <c r="H40" s="25">
        <v>1.43</v>
      </c>
      <c r="I40" s="26"/>
      <c r="J40" s="27"/>
      <c r="K40" s="32"/>
    </row>
    <row r="41" spans="2:11" x14ac:dyDescent="0.35">
      <c r="B41" s="1" t="s">
        <v>121</v>
      </c>
      <c r="C41" s="13" t="s">
        <v>122</v>
      </c>
      <c r="D41" s="22" t="s">
        <v>123</v>
      </c>
      <c r="E41" s="23" t="s">
        <v>124</v>
      </c>
      <c r="F41" s="24">
        <v>430133</v>
      </c>
      <c r="G41" s="25">
        <v>4907.82</v>
      </c>
      <c r="H41" s="25">
        <v>1.41</v>
      </c>
      <c r="I41" s="26"/>
      <c r="J41" s="27"/>
      <c r="K41" s="32"/>
    </row>
    <row r="42" spans="2:11" x14ac:dyDescent="0.35">
      <c r="B42" s="1" t="s">
        <v>125</v>
      </c>
      <c r="C42" s="13" t="s">
        <v>126</v>
      </c>
      <c r="D42" s="22" t="s">
        <v>127</v>
      </c>
      <c r="E42" s="23" t="s">
        <v>95</v>
      </c>
      <c r="F42" s="24">
        <v>844453</v>
      </c>
      <c r="G42" s="25">
        <v>4852.6499999999996</v>
      </c>
      <c r="H42" s="25">
        <v>1.4</v>
      </c>
      <c r="I42" s="26"/>
      <c r="J42" s="27"/>
      <c r="K42" s="32"/>
    </row>
    <row r="43" spans="2:11" x14ac:dyDescent="0.35">
      <c r="B43" s="1" t="s">
        <v>128</v>
      </c>
      <c r="C43" s="13" t="s">
        <v>129</v>
      </c>
      <c r="D43" s="22" t="s">
        <v>130</v>
      </c>
      <c r="E43" s="23" t="s">
        <v>111</v>
      </c>
      <c r="F43" s="24">
        <v>79870</v>
      </c>
      <c r="G43" s="25">
        <v>4773.43</v>
      </c>
      <c r="H43" s="25">
        <v>1.38</v>
      </c>
      <c r="I43" s="26"/>
      <c r="J43" s="27"/>
      <c r="K43" s="32"/>
    </row>
    <row r="44" spans="2:11" x14ac:dyDescent="0.35">
      <c r="B44" s="1" t="s">
        <v>131</v>
      </c>
      <c r="C44" s="13" t="s">
        <v>132</v>
      </c>
      <c r="D44" s="22" t="s">
        <v>133</v>
      </c>
      <c r="E44" s="23" t="s">
        <v>91</v>
      </c>
      <c r="F44" s="24">
        <v>518220</v>
      </c>
      <c r="G44" s="25">
        <v>4569.3999999999996</v>
      </c>
      <c r="H44" s="25">
        <v>1.32</v>
      </c>
      <c r="I44" s="26"/>
      <c r="J44" s="27"/>
      <c r="K44" s="32"/>
    </row>
    <row r="45" spans="2:11" x14ac:dyDescent="0.35">
      <c r="B45" s="1" t="s">
        <v>134</v>
      </c>
      <c r="C45" s="13" t="s">
        <v>135</v>
      </c>
      <c r="D45" s="22" t="s">
        <v>136</v>
      </c>
      <c r="E45" s="23" t="s">
        <v>26</v>
      </c>
      <c r="F45" s="24">
        <v>3347711</v>
      </c>
      <c r="G45" s="25">
        <v>4485.26</v>
      </c>
      <c r="H45" s="25">
        <v>1.29</v>
      </c>
      <c r="I45" s="26"/>
      <c r="J45" s="27"/>
      <c r="K45" s="32"/>
    </row>
    <row r="46" spans="2:11" x14ac:dyDescent="0.35">
      <c r="B46" s="1" t="s">
        <v>137</v>
      </c>
      <c r="C46" s="13" t="s">
        <v>138</v>
      </c>
      <c r="D46" s="22" t="s">
        <v>139</v>
      </c>
      <c r="E46" s="23" t="s">
        <v>140</v>
      </c>
      <c r="F46" s="24">
        <v>49688</v>
      </c>
      <c r="G46" s="25">
        <v>4161.87</v>
      </c>
      <c r="H46" s="25">
        <v>1.2</v>
      </c>
      <c r="I46" s="26"/>
      <c r="J46" s="27"/>
      <c r="K46" s="32"/>
    </row>
    <row r="47" spans="2:11" x14ac:dyDescent="0.35">
      <c r="B47" s="1" t="s">
        <v>141</v>
      </c>
      <c r="C47" s="13" t="s">
        <v>142</v>
      </c>
      <c r="D47" s="22" t="s">
        <v>143</v>
      </c>
      <c r="E47" s="23" t="s">
        <v>144</v>
      </c>
      <c r="F47" s="24">
        <v>722740</v>
      </c>
      <c r="G47" s="25">
        <v>4099.38</v>
      </c>
      <c r="H47" s="25">
        <v>1.18</v>
      </c>
      <c r="I47" s="26"/>
      <c r="J47" s="27"/>
      <c r="K47" s="32"/>
    </row>
    <row r="48" spans="2:11" x14ac:dyDescent="0.35">
      <c r="B48" s="1" t="s">
        <v>145</v>
      </c>
      <c r="C48" s="13" t="s">
        <v>146</v>
      </c>
      <c r="D48" s="22" t="s">
        <v>147</v>
      </c>
      <c r="E48" s="23" t="s">
        <v>30</v>
      </c>
      <c r="F48" s="24">
        <v>149176</v>
      </c>
      <c r="G48" s="25">
        <v>3914.23</v>
      </c>
      <c r="H48" s="25">
        <v>1.1299999999999999</v>
      </c>
      <c r="I48" s="26"/>
      <c r="J48" s="27"/>
      <c r="K48" s="32"/>
    </row>
    <row r="49" spans="2:11" x14ac:dyDescent="0.35">
      <c r="B49" s="1" t="s">
        <v>148</v>
      </c>
      <c r="C49" s="13" t="s">
        <v>149</v>
      </c>
      <c r="D49" s="22" t="s">
        <v>150</v>
      </c>
      <c r="E49" s="23" t="s">
        <v>151</v>
      </c>
      <c r="F49" s="24">
        <v>111855</v>
      </c>
      <c r="G49" s="25">
        <v>3802.4</v>
      </c>
      <c r="H49" s="25">
        <v>1.1000000000000001</v>
      </c>
      <c r="I49" s="26"/>
      <c r="J49" s="27"/>
      <c r="K49" s="32"/>
    </row>
    <row r="50" spans="2:11" x14ac:dyDescent="0.35">
      <c r="B50" s="1" t="s">
        <v>152</v>
      </c>
      <c r="C50" s="13" t="s">
        <v>153</v>
      </c>
      <c r="D50" s="22" t="s">
        <v>154</v>
      </c>
      <c r="E50" s="23" t="s">
        <v>155</v>
      </c>
      <c r="F50" s="24">
        <v>106498</v>
      </c>
      <c r="G50" s="25">
        <v>3629.66</v>
      </c>
      <c r="H50" s="25">
        <v>1.05</v>
      </c>
      <c r="I50" s="26"/>
      <c r="J50" s="27"/>
      <c r="K50" s="32"/>
    </row>
    <row r="51" spans="2:11" x14ac:dyDescent="0.35">
      <c r="B51" s="1" t="s">
        <v>156</v>
      </c>
      <c r="C51" s="13" t="s">
        <v>157</v>
      </c>
      <c r="D51" s="22" t="s">
        <v>158</v>
      </c>
      <c r="E51" s="23" t="s">
        <v>159</v>
      </c>
      <c r="F51" s="24">
        <v>2584820</v>
      </c>
      <c r="G51" s="25">
        <v>3621.59</v>
      </c>
      <c r="H51" s="25">
        <v>1.04</v>
      </c>
      <c r="I51" s="26"/>
      <c r="J51" s="27"/>
      <c r="K51" s="32"/>
    </row>
    <row r="52" spans="2:11" x14ac:dyDescent="0.35">
      <c r="B52" s="1" t="s">
        <v>160</v>
      </c>
      <c r="C52" s="13" t="s">
        <v>161</v>
      </c>
      <c r="D52" s="22" t="s">
        <v>162</v>
      </c>
      <c r="E52" s="23" t="s">
        <v>30</v>
      </c>
      <c r="F52" s="24">
        <v>220029</v>
      </c>
      <c r="G52" s="25">
        <v>3582.07</v>
      </c>
      <c r="H52" s="25">
        <v>1.03</v>
      </c>
      <c r="I52" s="26"/>
      <c r="J52" s="27"/>
      <c r="K52" s="32"/>
    </row>
    <row r="53" spans="2:11" x14ac:dyDescent="0.35">
      <c r="B53" s="1" t="s">
        <v>163</v>
      </c>
      <c r="C53" s="13" t="s">
        <v>164</v>
      </c>
      <c r="D53" s="22" t="s">
        <v>165</v>
      </c>
      <c r="E53" s="23" t="s">
        <v>166</v>
      </c>
      <c r="F53" s="24">
        <v>168729</v>
      </c>
      <c r="G53" s="25">
        <v>3442.41</v>
      </c>
      <c r="H53" s="25">
        <v>0.99</v>
      </c>
      <c r="I53" s="26"/>
      <c r="J53" s="27"/>
      <c r="K53" s="32"/>
    </row>
    <row r="54" spans="2:11" x14ac:dyDescent="0.35">
      <c r="B54" s="1" t="s">
        <v>167</v>
      </c>
      <c r="C54" s="13" t="s">
        <v>168</v>
      </c>
      <c r="D54" s="22" t="s">
        <v>169</v>
      </c>
      <c r="E54" s="23" t="s">
        <v>124</v>
      </c>
      <c r="F54" s="24">
        <v>377574</v>
      </c>
      <c r="G54" s="25">
        <v>3399.49</v>
      </c>
      <c r="H54" s="25">
        <v>0.98</v>
      </c>
      <c r="I54" s="26"/>
      <c r="J54" s="27"/>
      <c r="K54" s="32"/>
    </row>
    <row r="55" spans="2:11" x14ac:dyDescent="0.35">
      <c r="B55" s="1" t="s">
        <v>170</v>
      </c>
      <c r="C55" s="13" t="s">
        <v>171</v>
      </c>
      <c r="D55" s="22" t="s">
        <v>172</v>
      </c>
      <c r="E55" s="23" t="s">
        <v>159</v>
      </c>
      <c r="F55" s="24">
        <v>1506826</v>
      </c>
      <c r="G55" s="25">
        <v>3351.03</v>
      </c>
      <c r="H55" s="25">
        <v>0.97</v>
      </c>
      <c r="I55" s="26"/>
      <c r="J55" s="27"/>
      <c r="K55" s="32"/>
    </row>
    <row r="56" spans="2:11" x14ac:dyDescent="0.35">
      <c r="B56" s="1" t="s">
        <v>173</v>
      </c>
      <c r="C56" s="13" t="s">
        <v>174</v>
      </c>
      <c r="D56" s="22" t="s">
        <v>175</v>
      </c>
      <c r="E56" s="23" t="s">
        <v>140</v>
      </c>
      <c r="F56" s="24">
        <v>963967</v>
      </c>
      <c r="G56" s="25">
        <v>3203.26</v>
      </c>
      <c r="H56" s="25">
        <v>0.92</v>
      </c>
      <c r="I56" s="26"/>
      <c r="J56" s="27"/>
      <c r="K56" s="32"/>
    </row>
    <row r="57" spans="2:11" x14ac:dyDescent="0.35">
      <c r="B57" s="1" t="s">
        <v>176</v>
      </c>
      <c r="C57" s="13" t="s">
        <v>177</v>
      </c>
      <c r="D57" s="22" t="s">
        <v>178</v>
      </c>
      <c r="E57" s="23" t="s">
        <v>166</v>
      </c>
      <c r="F57" s="24">
        <v>378608</v>
      </c>
      <c r="G57" s="25">
        <v>3083</v>
      </c>
      <c r="H57" s="25">
        <v>0.89</v>
      </c>
      <c r="I57" s="26"/>
      <c r="J57" s="27"/>
      <c r="K57" s="32"/>
    </row>
    <row r="58" spans="2:11" x14ac:dyDescent="0.35">
      <c r="B58" s="1" t="s">
        <v>179</v>
      </c>
      <c r="C58" s="13" t="s">
        <v>180</v>
      </c>
      <c r="D58" s="22" t="s">
        <v>181</v>
      </c>
      <c r="E58" s="23" t="s">
        <v>182</v>
      </c>
      <c r="F58" s="24">
        <v>2429547</v>
      </c>
      <c r="G58" s="25">
        <v>2981.54</v>
      </c>
      <c r="H58" s="25">
        <v>0.86</v>
      </c>
      <c r="I58" s="26"/>
      <c r="J58" s="27"/>
      <c r="K58" s="32"/>
    </row>
    <row r="59" spans="2:11" x14ac:dyDescent="0.35">
      <c r="B59" s="1" t="s">
        <v>183</v>
      </c>
      <c r="C59" s="13" t="s">
        <v>184</v>
      </c>
      <c r="D59" s="22" t="s">
        <v>185</v>
      </c>
      <c r="E59" s="23" t="s">
        <v>159</v>
      </c>
      <c r="F59" s="24">
        <v>391266</v>
      </c>
      <c r="G59" s="25">
        <v>2974.8</v>
      </c>
      <c r="H59" s="25">
        <v>0.86</v>
      </c>
      <c r="I59" s="26"/>
      <c r="J59" s="27"/>
      <c r="K59" s="32"/>
    </row>
    <row r="60" spans="2:11" x14ac:dyDescent="0.35">
      <c r="B60" s="1" t="s">
        <v>186</v>
      </c>
      <c r="C60" s="13" t="s">
        <v>187</v>
      </c>
      <c r="D60" s="22" t="s">
        <v>188</v>
      </c>
      <c r="E60" s="23" t="s">
        <v>155</v>
      </c>
      <c r="F60" s="24">
        <v>84390</v>
      </c>
      <c r="G60" s="25">
        <v>2859.22</v>
      </c>
      <c r="H60" s="25">
        <v>0.82</v>
      </c>
      <c r="I60" s="26"/>
      <c r="J60" s="27"/>
      <c r="K60" s="32"/>
    </row>
    <row r="61" spans="2:11" x14ac:dyDescent="0.35">
      <c r="B61" s="1" t="s">
        <v>189</v>
      </c>
      <c r="C61" s="13" t="s">
        <v>190</v>
      </c>
      <c r="D61" s="22" t="s">
        <v>191</v>
      </c>
      <c r="E61" s="23" t="s">
        <v>192</v>
      </c>
      <c r="F61" s="24">
        <v>534957</v>
      </c>
      <c r="G61" s="25">
        <v>2666.49</v>
      </c>
      <c r="H61" s="25">
        <v>0.77</v>
      </c>
      <c r="I61" s="26"/>
      <c r="J61" s="27"/>
      <c r="K61" s="32"/>
    </row>
    <row r="62" spans="2:11" x14ac:dyDescent="0.35">
      <c r="B62" s="1" t="s">
        <v>193</v>
      </c>
      <c r="C62" s="13" t="s">
        <v>194</v>
      </c>
      <c r="D62" s="22" t="s">
        <v>195</v>
      </c>
      <c r="E62" s="23" t="s">
        <v>159</v>
      </c>
      <c r="F62" s="24">
        <v>344898</v>
      </c>
      <c r="G62" s="25">
        <v>2569.83</v>
      </c>
      <c r="H62" s="25">
        <v>0.74</v>
      </c>
      <c r="I62" s="26"/>
      <c r="J62" s="27"/>
      <c r="K62" s="32"/>
    </row>
    <row r="63" spans="2:11" x14ac:dyDescent="0.35">
      <c r="B63" s="1" t="s">
        <v>196</v>
      </c>
      <c r="C63" s="13" t="s">
        <v>197</v>
      </c>
      <c r="D63" s="22" t="s">
        <v>198</v>
      </c>
      <c r="E63" s="23" t="s">
        <v>166</v>
      </c>
      <c r="F63" s="24">
        <v>2901472</v>
      </c>
      <c r="G63" s="25">
        <v>2372.5300000000002</v>
      </c>
      <c r="H63" s="25">
        <v>0.68</v>
      </c>
      <c r="I63" s="26"/>
      <c r="J63" s="27"/>
      <c r="K63" s="32"/>
    </row>
    <row r="64" spans="2:11" x14ac:dyDescent="0.35">
      <c r="B64" s="1" t="s">
        <v>199</v>
      </c>
      <c r="C64" s="13" t="s">
        <v>200</v>
      </c>
      <c r="D64" s="22" t="s">
        <v>201</v>
      </c>
      <c r="E64" s="23" t="s">
        <v>144</v>
      </c>
      <c r="F64" s="24">
        <v>5870</v>
      </c>
      <c r="G64" s="25">
        <v>2310.14</v>
      </c>
      <c r="H64" s="25">
        <v>0.67</v>
      </c>
      <c r="I64" s="26"/>
      <c r="J64" s="27"/>
      <c r="K64" s="32"/>
    </row>
    <row r="65" spans="2:11" x14ac:dyDescent="0.35">
      <c r="B65" s="1" t="s">
        <v>202</v>
      </c>
      <c r="C65" s="13" t="s">
        <v>203</v>
      </c>
      <c r="D65" s="22" t="s">
        <v>204</v>
      </c>
      <c r="E65" s="23" t="s">
        <v>57</v>
      </c>
      <c r="F65" s="24">
        <v>138624</v>
      </c>
      <c r="G65" s="25">
        <v>2164.89</v>
      </c>
      <c r="H65" s="25">
        <v>0.62</v>
      </c>
      <c r="I65" s="26"/>
      <c r="J65" s="27"/>
      <c r="K65" s="32"/>
    </row>
    <row r="66" spans="2:11" x14ac:dyDescent="0.35">
      <c r="B66" s="1" t="s">
        <v>205</v>
      </c>
      <c r="C66" s="13" t="s">
        <v>206</v>
      </c>
      <c r="D66" s="22" t="s">
        <v>207</v>
      </c>
      <c r="E66" s="23" t="s">
        <v>26</v>
      </c>
      <c r="F66" s="24">
        <v>462200</v>
      </c>
      <c r="G66" s="25">
        <v>1850.65</v>
      </c>
      <c r="H66" s="25">
        <v>0.53</v>
      </c>
      <c r="I66" s="26"/>
      <c r="J66" s="27"/>
      <c r="K66" s="32"/>
    </row>
    <row r="67" spans="2:11" x14ac:dyDescent="0.35">
      <c r="B67" s="1" t="s">
        <v>208</v>
      </c>
      <c r="C67" s="13" t="s">
        <v>209</v>
      </c>
      <c r="D67" s="22" t="s">
        <v>210</v>
      </c>
      <c r="E67" s="23" t="s">
        <v>87</v>
      </c>
      <c r="F67" s="24">
        <v>6258</v>
      </c>
      <c r="G67" s="25">
        <v>1252.04</v>
      </c>
      <c r="H67" s="25">
        <v>0.36</v>
      </c>
      <c r="I67" s="26"/>
      <c r="J67" s="27"/>
      <c r="K67" s="32"/>
    </row>
    <row r="68" spans="2:11" x14ac:dyDescent="0.35">
      <c r="B68" s="1" t="s">
        <v>211</v>
      </c>
      <c r="C68" s="21" t="s">
        <v>212</v>
      </c>
      <c r="D68" s="22"/>
      <c r="E68" s="23"/>
      <c r="F68" s="24"/>
      <c r="G68" s="33">
        <v>342665.68</v>
      </c>
      <c r="H68" s="33">
        <v>98.73</v>
      </c>
      <c r="I68" s="26"/>
      <c r="J68" s="27"/>
      <c r="K68" s="32"/>
    </row>
    <row r="69" spans="2:11" x14ac:dyDescent="0.35">
      <c r="B69" s="1"/>
      <c r="C69" s="13"/>
      <c r="D69" s="22"/>
      <c r="E69" s="23"/>
      <c r="F69" s="24"/>
      <c r="G69" s="25"/>
      <c r="H69" s="25"/>
      <c r="I69" s="26"/>
      <c r="J69" s="27"/>
      <c r="K69" s="32"/>
    </row>
    <row r="70" spans="2:11" x14ac:dyDescent="0.35">
      <c r="B70" s="1"/>
      <c r="C70" s="21" t="s">
        <v>213</v>
      </c>
      <c r="D70" s="22"/>
      <c r="E70" s="23"/>
      <c r="F70" s="24"/>
      <c r="G70" s="25"/>
      <c r="H70" s="25"/>
      <c r="I70" s="26"/>
      <c r="J70" s="27"/>
      <c r="K70" s="32"/>
    </row>
    <row r="71" spans="2:11" x14ac:dyDescent="0.35">
      <c r="B71" s="1"/>
      <c r="C71" s="28" t="s">
        <v>214</v>
      </c>
      <c r="D71" s="22"/>
      <c r="E71" s="23"/>
      <c r="F71" s="24"/>
      <c r="G71" s="25"/>
      <c r="H71" s="25"/>
      <c r="I71" s="26"/>
      <c r="J71" s="27"/>
      <c r="K71" s="32"/>
    </row>
    <row r="72" spans="2:11" x14ac:dyDescent="0.35">
      <c r="B72" s="1"/>
      <c r="C72" s="13" t="s">
        <v>215</v>
      </c>
      <c r="D72" s="22"/>
      <c r="E72" s="23"/>
      <c r="F72" s="24"/>
      <c r="G72" s="25">
        <v>4475</v>
      </c>
      <c r="H72" s="25">
        <v>1.29</v>
      </c>
      <c r="I72" s="26">
        <v>5.4910600000000001</v>
      </c>
      <c r="J72" s="27"/>
      <c r="K72" s="32"/>
    </row>
    <row r="73" spans="2:11" x14ac:dyDescent="0.35">
      <c r="B73" s="1"/>
      <c r="C73" s="21" t="s">
        <v>212</v>
      </c>
      <c r="D73" s="22"/>
      <c r="E73" s="23"/>
      <c r="F73" s="24"/>
      <c r="G73" s="33">
        <v>4475</v>
      </c>
      <c r="H73" s="33">
        <v>1.29</v>
      </c>
      <c r="I73" s="26"/>
      <c r="J73" s="27"/>
      <c r="K73" s="32"/>
    </row>
    <row r="74" spans="2:11" x14ac:dyDescent="0.35">
      <c r="B74" s="1"/>
      <c r="C74" s="13"/>
      <c r="D74" s="22"/>
      <c r="E74" s="23"/>
      <c r="F74" s="24"/>
      <c r="G74" s="25"/>
      <c r="H74" s="25"/>
      <c r="I74" s="26"/>
      <c r="J74" s="27"/>
      <c r="K74" s="32"/>
    </row>
    <row r="75" spans="2:11" x14ac:dyDescent="0.35">
      <c r="B75" s="1"/>
      <c r="C75" s="21" t="s">
        <v>216</v>
      </c>
      <c r="D75" s="22"/>
      <c r="E75" s="23"/>
      <c r="F75" s="24"/>
      <c r="G75" s="25"/>
      <c r="H75" s="25"/>
      <c r="I75" s="26"/>
      <c r="J75" s="27"/>
      <c r="K75" s="32"/>
    </row>
    <row r="76" spans="2:11" x14ac:dyDescent="0.35">
      <c r="B76" s="1"/>
      <c r="C76" s="13" t="s">
        <v>217</v>
      </c>
      <c r="D76" s="22"/>
      <c r="E76" s="23"/>
      <c r="F76" s="24"/>
      <c r="G76" s="25">
        <v>-77.13</v>
      </c>
      <c r="H76" s="25">
        <v>-0.02</v>
      </c>
      <c r="I76" s="26"/>
      <c r="J76" s="27"/>
      <c r="K76" s="32"/>
    </row>
    <row r="77" spans="2:11" x14ac:dyDescent="0.35">
      <c r="B77" s="1"/>
      <c r="C77" s="21" t="s">
        <v>212</v>
      </c>
      <c r="D77" s="22"/>
      <c r="E77" s="23"/>
      <c r="F77" s="24"/>
      <c r="G77" s="33">
        <v>-77.13</v>
      </c>
      <c r="H77" s="33">
        <v>-0.02</v>
      </c>
      <c r="I77" s="26"/>
      <c r="J77" s="27"/>
      <c r="K77" s="32"/>
    </row>
    <row r="78" spans="2:11" x14ac:dyDescent="0.35">
      <c r="B78" s="1"/>
      <c r="C78" s="13"/>
      <c r="D78" s="22"/>
      <c r="E78" s="23"/>
      <c r="F78" s="24"/>
      <c r="G78" s="25"/>
      <c r="H78" s="25"/>
      <c r="I78" s="26"/>
      <c r="J78" s="27"/>
      <c r="K78" s="32"/>
    </row>
    <row r="79" spans="2:11" ht="14" thickBot="1" x14ac:dyDescent="0.4">
      <c r="B79" s="1" t="s">
        <v>218</v>
      </c>
      <c r="C79" s="34" t="s">
        <v>219</v>
      </c>
      <c r="D79" s="35"/>
      <c r="E79" s="36"/>
      <c r="F79" s="37"/>
      <c r="G79" s="38">
        <v>347063.55</v>
      </c>
      <c r="H79" s="38">
        <f>SUMIFS(H:H,C:C,"Total")</f>
        <v>100.00000000000001</v>
      </c>
      <c r="I79" s="39"/>
      <c r="J79" s="40"/>
      <c r="K79" s="32"/>
    </row>
    <row r="82" spans="3:54" x14ac:dyDescent="0.35">
      <c r="C82" s="9" t="s">
        <v>220</v>
      </c>
      <c r="K82" s="2"/>
      <c r="L82" s="2"/>
      <c r="AF82" s="6"/>
      <c r="AI82" s="2"/>
      <c r="AS82" s="6"/>
      <c r="AU82" s="6"/>
      <c r="AV82" s="2"/>
      <c r="AX82" s="2"/>
      <c r="AY82" s="6"/>
      <c r="BB82" s="2"/>
    </row>
    <row r="83" spans="3:54" ht="28.5" customHeight="1" x14ac:dyDescent="0.35">
      <c r="C83" s="81" t="s">
        <v>221</v>
      </c>
      <c r="D83" s="81"/>
      <c r="E83" s="81"/>
      <c r="F83" s="81"/>
      <c r="G83" s="81"/>
      <c r="H83" s="81"/>
      <c r="I83" s="81"/>
      <c r="J83" s="81"/>
      <c r="L83" s="2"/>
      <c r="AH83" s="6"/>
      <c r="AI83" s="2"/>
      <c r="AU83" s="6"/>
      <c r="AV83" s="2"/>
      <c r="AW83" s="6"/>
      <c r="AX83" s="2"/>
      <c r="BA83" s="6"/>
      <c r="BB83" s="2"/>
    </row>
    <row r="84" spans="3:54" x14ac:dyDescent="0.35">
      <c r="C84" s="41" t="s">
        <v>222</v>
      </c>
      <c r="K84" s="2"/>
      <c r="L84" s="2"/>
      <c r="AF84" s="6"/>
      <c r="AI84" s="2"/>
      <c r="AS84" s="6"/>
      <c r="AU84" s="6"/>
      <c r="AV84" s="2"/>
      <c r="AX84" s="2"/>
      <c r="AY84" s="6"/>
      <c r="BB84" s="2"/>
    </row>
    <row r="85" spans="3:54" ht="39" customHeight="1" x14ac:dyDescent="0.35">
      <c r="C85" s="82" t="s">
        <v>223</v>
      </c>
      <c r="D85" s="82"/>
      <c r="E85" s="82"/>
      <c r="F85" s="82"/>
      <c r="G85" s="82"/>
      <c r="H85" s="82"/>
      <c r="I85" s="82"/>
      <c r="J85" s="82"/>
      <c r="K85" s="2"/>
      <c r="L85" s="2"/>
      <c r="AF85" s="6"/>
      <c r="AI85" s="2"/>
      <c r="AS85" s="6"/>
      <c r="AU85" s="6"/>
      <c r="AV85" s="2"/>
      <c r="AX85" s="2"/>
      <c r="AY85" s="6"/>
      <c r="BB85" s="2"/>
    </row>
    <row r="86" spans="3:54" ht="14.5" x14ac:dyDescent="0.35">
      <c r="C86" s="42"/>
      <c r="D86" s="42"/>
      <c r="E86" s="42"/>
      <c r="K86" s="2"/>
      <c r="L86" s="2"/>
      <c r="AF86" s="6"/>
      <c r="AI86" s="2"/>
      <c r="AS86" s="6"/>
      <c r="AU86" s="6"/>
      <c r="AV86" s="2"/>
      <c r="AX86" s="2"/>
      <c r="AY86" s="6"/>
      <c r="BB86" s="2"/>
    </row>
    <row r="87" spans="3:54" ht="16.5" thickBot="1" x14ac:dyDescent="0.4">
      <c r="C87" s="43" t="s">
        <v>224</v>
      </c>
      <c r="D87" s="44"/>
      <c r="E87" s="44"/>
      <c r="K87" s="2"/>
      <c r="L87" s="2"/>
      <c r="AF87" s="6"/>
      <c r="AI87" s="2"/>
      <c r="AS87" s="6"/>
      <c r="AU87" s="6"/>
      <c r="AV87" s="2"/>
      <c r="AX87" s="2"/>
      <c r="AY87" s="6"/>
      <c r="BB87" s="2"/>
    </row>
    <row r="88" spans="3:54" ht="26" x14ac:dyDescent="0.35">
      <c r="C88" s="45" t="s">
        <v>225</v>
      </c>
      <c r="D88" s="94" t="s">
        <v>226</v>
      </c>
      <c r="E88" s="95" t="s">
        <v>227</v>
      </c>
      <c r="K88" s="2"/>
      <c r="L88" s="2"/>
      <c r="AF88" s="6"/>
      <c r="AI88" s="2"/>
      <c r="AS88" s="6"/>
      <c r="AU88" s="6"/>
      <c r="AV88" s="2"/>
      <c r="AX88" s="2"/>
      <c r="AY88" s="6"/>
      <c r="BB88" s="2"/>
    </row>
    <row r="89" spans="3:54" x14ac:dyDescent="0.35">
      <c r="C89" s="46" t="s">
        <v>228</v>
      </c>
      <c r="D89" s="47">
        <v>13.8</v>
      </c>
      <c r="E89" s="96">
        <v>14.42</v>
      </c>
      <c r="K89" s="2"/>
      <c r="L89" s="2"/>
      <c r="AF89" s="6"/>
      <c r="AI89" s="2"/>
      <c r="AS89" s="6"/>
      <c r="AU89" s="6"/>
      <c r="AV89" s="2"/>
      <c r="AX89" s="2"/>
      <c r="AY89" s="6"/>
      <c r="BB89" s="2"/>
    </row>
    <row r="90" spans="3:54" x14ac:dyDescent="0.35">
      <c r="C90" s="46" t="s">
        <v>229</v>
      </c>
      <c r="D90" s="47">
        <v>13.8</v>
      </c>
      <c r="E90" s="96">
        <v>14.42</v>
      </c>
      <c r="K90" s="2"/>
      <c r="L90" s="2"/>
      <c r="AF90" s="6"/>
      <c r="AI90" s="2"/>
      <c r="AS90" s="6"/>
      <c r="AU90" s="6"/>
      <c r="AV90" s="2"/>
      <c r="AX90" s="2"/>
      <c r="AY90" s="6"/>
      <c r="BB90" s="2"/>
    </row>
    <row r="91" spans="3:54" x14ac:dyDescent="0.35">
      <c r="C91" s="46" t="s">
        <v>230</v>
      </c>
      <c r="D91" s="47">
        <v>14.13</v>
      </c>
      <c r="E91" s="96">
        <v>14.77</v>
      </c>
      <c r="K91" s="2"/>
      <c r="L91" s="2"/>
      <c r="AF91" s="6"/>
      <c r="AI91" s="2"/>
      <c r="AS91" s="6"/>
      <c r="AU91" s="6"/>
      <c r="AV91" s="2"/>
      <c r="AX91" s="2"/>
      <c r="AY91" s="6"/>
      <c r="BB91" s="2"/>
    </row>
    <row r="92" spans="3:54" ht="14" thickBot="1" x14ac:dyDescent="0.4">
      <c r="C92" s="48" t="s">
        <v>231</v>
      </c>
      <c r="D92" s="97">
        <v>14.13</v>
      </c>
      <c r="E92" s="98">
        <v>14.77</v>
      </c>
      <c r="K92" s="2"/>
      <c r="L92" s="2"/>
      <c r="AF92" s="6"/>
      <c r="AI92" s="2"/>
      <c r="AS92" s="6"/>
      <c r="AU92" s="6"/>
      <c r="AV92" s="2"/>
      <c r="AX92" s="2"/>
      <c r="AY92" s="6"/>
      <c r="BB92" s="2"/>
    </row>
    <row r="93" spans="3:54" x14ac:dyDescent="0.35">
      <c r="C93" s="49"/>
      <c r="D93" s="41"/>
      <c r="E93" s="41"/>
      <c r="K93" s="2"/>
      <c r="L93" s="2"/>
      <c r="AF93" s="6"/>
      <c r="AI93" s="2"/>
      <c r="AS93" s="6"/>
      <c r="AU93" s="6"/>
      <c r="AV93" s="2"/>
      <c r="AX93" s="2"/>
      <c r="AY93" s="6"/>
      <c r="BB93" s="2"/>
    </row>
    <row r="94" spans="3:54" ht="14" thickBot="1" x14ac:dyDescent="0.4">
      <c r="C94" s="83" t="s">
        <v>232</v>
      </c>
      <c r="D94" s="83"/>
      <c r="E94" s="83"/>
      <c r="K94" s="2"/>
      <c r="L94" s="2"/>
      <c r="AF94" s="6"/>
      <c r="AI94" s="2"/>
      <c r="AS94" s="6"/>
      <c r="AU94" s="6"/>
      <c r="AV94" s="2"/>
      <c r="AX94" s="2"/>
      <c r="AY94" s="6"/>
      <c r="BB94" s="2"/>
    </row>
    <row r="95" spans="3:54" x14ac:dyDescent="0.35">
      <c r="C95" s="69" t="s">
        <v>225</v>
      </c>
      <c r="D95" s="71" t="s">
        <v>233</v>
      </c>
      <c r="E95" s="72"/>
      <c r="K95" s="2"/>
      <c r="L95" s="2"/>
      <c r="AF95" s="6"/>
      <c r="AI95" s="2"/>
      <c r="AS95" s="6"/>
      <c r="AU95" s="6"/>
      <c r="AV95" s="2"/>
      <c r="AX95" s="2"/>
      <c r="AY95" s="6"/>
      <c r="BB95" s="2"/>
    </row>
    <row r="96" spans="3:54" x14ac:dyDescent="0.35">
      <c r="C96" s="70"/>
      <c r="D96" s="50" t="s">
        <v>234</v>
      </c>
      <c r="E96" s="51" t="s">
        <v>235</v>
      </c>
      <c r="K96" s="2"/>
      <c r="L96" s="2"/>
      <c r="AF96" s="6"/>
      <c r="AI96" s="2"/>
      <c r="AS96" s="6"/>
      <c r="AU96" s="6"/>
      <c r="AV96" s="2"/>
      <c r="AX96" s="2"/>
      <c r="AY96" s="6"/>
      <c r="BB96" s="2"/>
    </row>
    <row r="97" spans="3:54" x14ac:dyDescent="0.35">
      <c r="C97" s="52" t="s">
        <v>229</v>
      </c>
      <c r="D97" s="53" t="s">
        <v>236</v>
      </c>
      <c r="E97" s="99" t="s">
        <v>236</v>
      </c>
      <c r="K97" s="2"/>
      <c r="L97" s="2"/>
      <c r="AF97" s="6"/>
      <c r="AI97" s="2"/>
      <c r="AS97" s="6"/>
      <c r="AU97" s="6"/>
      <c r="AV97" s="2"/>
      <c r="AX97" s="2"/>
      <c r="AY97" s="6"/>
      <c r="BB97" s="2"/>
    </row>
    <row r="98" spans="3:54" ht="14" thickBot="1" x14ac:dyDescent="0.4">
      <c r="C98" s="48" t="s">
        <v>231</v>
      </c>
      <c r="D98" s="100" t="s">
        <v>236</v>
      </c>
      <c r="E98" s="101" t="s">
        <v>236</v>
      </c>
      <c r="K98" s="2"/>
      <c r="L98" s="2"/>
      <c r="AF98" s="6"/>
      <c r="AI98" s="2"/>
      <c r="AS98" s="6"/>
      <c r="AU98" s="6"/>
      <c r="AV98" s="2"/>
      <c r="AX98" s="2"/>
      <c r="AY98" s="6"/>
      <c r="BB98" s="2"/>
    </row>
    <row r="99" spans="3:54" ht="14" thickBot="1" x14ac:dyDescent="0.4">
      <c r="C99" s="41"/>
      <c r="D99" s="41"/>
      <c r="E99" s="41"/>
      <c r="K99" s="2"/>
      <c r="L99" s="2"/>
      <c r="AF99" s="6"/>
      <c r="AI99" s="2"/>
      <c r="AS99" s="6"/>
      <c r="AU99" s="6"/>
      <c r="AV99" s="2"/>
      <c r="AX99" s="2"/>
      <c r="AY99" s="6"/>
      <c r="BB99" s="2"/>
    </row>
    <row r="100" spans="3:54" ht="14" thickBot="1" x14ac:dyDescent="0.4">
      <c r="C100" s="54" t="s">
        <v>237</v>
      </c>
      <c r="D100" s="55">
        <v>0.62</v>
      </c>
      <c r="E100" s="56"/>
      <c r="K100" s="2"/>
      <c r="L100" s="2"/>
      <c r="AF100" s="6"/>
      <c r="AI100" s="2"/>
      <c r="AS100" s="6"/>
      <c r="AU100" s="6"/>
      <c r="AV100" s="2"/>
      <c r="AX100" s="2"/>
      <c r="AY100" s="6"/>
      <c r="BB100" s="2"/>
    </row>
    <row r="101" spans="3:54" x14ac:dyDescent="0.35">
      <c r="C101" s="41"/>
      <c r="D101" s="41"/>
      <c r="E101" s="41"/>
      <c r="K101" s="2"/>
      <c r="L101" s="2"/>
      <c r="AF101" s="6"/>
      <c r="AI101" s="2"/>
      <c r="AS101" s="6"/>
      <c r="AU101" s="6"/>
      <c r="AV101" s="2"/>
      <c r="AX101" s="2"/>
      <c r="AY101" s="6"/>
      <c r="BB101" s="2"/>
    </row>
    <row r="102" spans="3:54" ht="14.5" x14ac:dyDescent="0.35">
      <c r="C102" s="42" t="s">
        <v>238</v>
      </c>
      <c r="D102" s="42"/>
      <c r="E102" s="42"/>
      <c r="K102" s="2"/>
      <c r="L102" s="2"/>
      <c r="AF102" s="6"/>
      <c r="AI102" s="2"/>
      <c r="AS102" s="6"/>
      <c r="AU102" s="6"/>
      <c r="AV102" s="2"/>
      <c r="AX102" s="2"/>
      <c r="AY102" s="6"/>
      <c r="BB102" s="2"/>
    </row>
    <row r="103" spans="3:54" ht="14.5" x14ac:dyDescent="0.35">
      <c r="C103" s="42" t="s">
        <v>239</v>
      </c>
      <c r="D103" s="42"/>
      <c r="E103" s="42"/>
      <c r="K103" s="2"/>
      <c r="L103" s="2"/>
      <c r="AF103" s="6"/>
      <c r="AI103" s="2"/>
      <c r="AS103" s="6"/>
      <c r="AU103" s="6"/>
      <c r="AV103" s="2"/>
      <c r="AX103" s="2"/>
      <c r="AY103" s="6"/>
      <c r="BB103" s="2"/>
    </row>
    <row r="104" spans="3:54" ht="14.5" x14ac:dyDescent="0.35">
      <c r="C104" s="42" t="s">
        <v>240</v>
      </c>
      <c r="D104" s="42"/>
      <c r="E104" s="42"/>
      <c r="K104" s="2"/>
      <c r="L104" s="2"/>
      <c r="AF104" s="6"/>
      <c r="AI104" s="2"/>
      <c r="AS104" s="6"/>
      <c r="AU104" s="6"/>
      <c r="AV104" s="2"/>
      <c r="AX104" s="2"/>
      <c r="AY104" s="6"/>
      <c r="BB104" s="2"/>
    </row>
    <row r="105" spans="3:54" ht="14.5" x14ac:dyDescent="0.35">
      <c r="C105" s="57" t="s">
        <v>241</v>
      </c>
      <c r="D105" s="42"/>
      <c r="E105" s="42"/>
      <c r="K105" s="2"/>
      <c r="L105" s="2"/>
      <c r="AF105" s="6"/>
      <c r="AI105" s="2"/>
      <c r="AS105" s="6"/>
      <c r="AU105" s="6"/>
      <c r="AV105" s="2"/>
      <c r="AX105" s="2"/>
      <c r="AY105" s="6"/>
      <c r="BB105" s="2"/>
    </row>
    <row r="106" spans="3:54" ht="14.5" x14ac:dyDescent="0.35">
      <c r="C106" s="57" t="s">
        <v>242</v>
      </c>
      <c r="D106" s="42"/>
      <c r="E106" s="42"/>
      <c r="K106" s="2"/>
      <c r="L106" s="2"/>
      <c r="AF106" s="6"/>
      <c r="AI106" s="2"/>
      <c r="AS106" s="6"/>
      <c r="AU106" s="6"/>
      <c r="AV106" s="2"/>
      <c r="AX106" s="2"/>
      <c r="AY106" s="6"/>
      <c r="BB106" s="2"/>
    </row>
    <row r="107" spans="3:54" ht="14.5" x14ac:dyDescent="0.35">
      <c r="C107" s="57" t="s">
        <v>243</v>
      </c>
      <c r="D107" s="42"/>
      <c r="E107" s="42"/>
      <c r="K107" s="2"/>
      <c r="L107" s="2"/>
      <c r="AF107" s="6"/>
      <c r="AI107" s="2"/>
      <c r="AS107" s="6"/>
      <c r="AU107" s="6"/>
      <c r="AV107" s="2"/>
      <c r="AX107" s="2"/>
      <c r="AY107" s="6"/>
      <c r="BB107" s="2"/>
    </row>
    <row r="108" spans="3:54" ht="14.5" x14ac:dyDescent="0.35">
      <c r="C108" s="57" t="s">
        <v>244</v>
      </c>
      <c r="D108" s="42"/>
      <c r="E108" s="42"/>
      <c r="K108" s="2"/>
      <c r="L108" s="2"/>
      <c r="AF108" s="6"/>
      <c r="AI108" s="2"/>
      <c r="AS108" s="6"/>
      <c r="AU108" s="6"/>
      <c r="AV108" s="2"/>
      <c r="AX108" s="2"/>
      <c r="AY108" s="6"/>
      <c r="BB108" s="2"/>
    </row>
    <row r="109" spans="3:54" ht="14.5" x14ac:dyDescent="0.35">
      <c r="C109" s="57" t="s">
        <v>245</v>
      </c>
      <c r="D109" s="42"/>
      <c r="E109" s="42"/>
      <c r="K109" s="2"/>
      <c r="L109" s="2"/>
      <c r="AF109" s="6"/>
      <c r="AI109" s="2"/>
      <c r="AS109" s="6"/>
      <c r="AU109" s="6"/>
      <c r="AV109" s="2"/>
      <c r="AX109" s="2"/>
      <c r="AY109" s="6"/>
      <c r="BB109" s="2"/>
    </row>
    <row r="110" spans="3:54" ht="14.5" x14ac:dyDescent="0.35">
      <c r="C110" s="57" t="s">
        <v>246</v>
      </c>
      <c r="D110" s="42"/>
      <c r="E110" s="42"/>
      <c r="K110" s="2"/>
      <c r="L110" s="2"/>
      <c r="AF110" s="6"/>
      <c r="AI110" s="2"/>
      <c r="AS110" s="6"/>
      <c r="AU110" s="6"/>
      <c r="AV110" s="2"/>
      <c r="AX110" s="2"/>
      <c r="AY110" s="6"/>
      <c r="BB110" s="2"/>
    </row>
    <row r="111" spans="3:54" ht="14.5" x14ac:dyDescent="0.35">
      <c r="C111" s="42" t="s">
        <v>247</v>
      </c>
      <c r="D111" s="42"/>
      <c r="E111" s="42"/>
      <c r="K111" s="2"/>
      <c r="L111" s="2"/>
      <c r="AF111" s="6"/>
      <c r="AI111" s="2"/>
      <c r="AS111" s="6"/>
      <c r="AU111" s="6"/>
      <c r="AV111" s="2"/>
      <c r="AX111" s="2"/>
      <c r="AY111" s="6"/>
      <c r="BB111" s="2"/>
    </row>
    <row r="112" spans="3:54" ht="14.5" x14ac:dyDescent="0.35">
      <c r="C112" s="42" t="s">
        <v>248</v>
      </c>
      <c r="D112" s="42"/>
      <c r="E112" s="42"/>
      <c r="K112" s="2"/>
      <c r="L112" s="2"/>
      <c r="AF112" s="6"/>
      <c r="AI112" s="2"/>
      <c r="AS112" s="6"/>
      <c r="AU112" s="6"/>
      <c r="AV112" s="2"/>
      <c r="AX112" s="2"/>
      <c r="AY112" s="6"/>
      <c r="BB112" s="2"/>
    </row>
    <row r="113" spans="1:253" ht="14.5" x14ac:dyDescent="0.35">
      <c r="C113" s="57" t="s">
        <v>249</v>
      </c>
      <c r="D113" s="42"/>
      <c r="E113" s="42"/>
      <c r="K113" s="2"/>
      <c r="L113" s="2"/>
      <c r="AF113" s="6"/>
      <c r="AI113" s="2"/>
      <c r="AS113" s="6"/>
      <c r="AU113" s="6"/>
      <c r="AV113" s="2"/>
      <c r="AX113" s="2"/>
      <c r="AY113" s="6"/>
      <c r="BB113" s="2"/>
    </row>
    <row r="114" spans="1:253" ht="14.5" x14ac:dyDescent="0.35">
      <c r="C114" s="42" t="s">
        <v>250</v>
      </c>
      <c r="D114" s="42"/>
      <c r="E114" s="42"/>
      <c r="K114" s="2"/>
      <c r="L114" s="2"/>
      <c r="AF114" s="6"/>
      <c r="AI114" s="2"/>
      <c r="AS114" s="6"/>
      <c r="AU114" s="6"/>
      <c r="AV114" s="2"/>
      <c r="AX114" s="2"/>
      <c r="AY114" s="6"/>
      <c r="BB114" s="2"/>
    </row>
    <row r="115" spans="1:253" ht="14.5" x14ac:dyDescent="0.35">
      <c r="C115" s="57" t="s">
        <v>251</v>
      </c>
      <c r="D115" s="42"/>
      <c r="E115" s="42"/>
      <c r="K115" s="2"/>
      <c r="L115" s="2"/>
      <c r="AF115" s="6"/>
      <c r="AI115" s="2"/>
      <c r="AS115" s="6"/>
      <c r="AU115" s="6"/>
      <c r="AV115" s="2"/>
      <c r="AX115" s="2"/>
      <c r="AY115" s="6"/>
      <c r="BB115" s="2"/>
    </row>
    <row r="116" spans="1:253" ht="14.5" x14ac:dyDescent="0.35">
      <c r="C116" s="57" t="s">
        <v>252</v>
      </c>
      <c r="D116" s="42"/>
      <c r="E116" s="42"/>
      <c r="K116" s="2"/>
      <c r="L116" s="2"/>
      <c r="AF116" s="6"/>
      <c r="AI116" s="2"/>
      <c r="AS116" s="6"/>
      <c r="AU116" s="6"/>
      <c r="AV116" s="2"/>
      <c r="AX116" s="2"/>
      <c r="AY116" s="6"/>
      <c r="BB116" s="2"/>
    </row>
    <row r="117" spans="1:253" x14ac:dyDescent="0.35">
      <c r="C117" s="41"/>
      <c r="D117" s="41"/>
      <c r="E117" s="41"/>
      <c r="K117" s="2"/>
      <c r="L117" s="2"/>
      <c r="AF117" s="6"/>
      <c r="AI117" s="2"/>
      <c r="AS117" s="6"/>
      <c r="AU117" s="6"/>
      <c r="AV117" s="2"/>
      <c r="AX117" s="2"/>
      <c r="AY117" s="6"/>
      <c r="BB117" s="2"/>
    </row>
    <row r="118" spans="1:253" x14ac:dyDescent="0.35">
      <c r="C118" s="58" t="s">
        <v>253</v>
      </c>
      <c r="D118" s="41"/>
      <c r="E118" s="41"/>
      <c r="K118" s="2"/>
      <c r="L118" s="2"/>
      <c r="AF118" s="6"/>
      <c r="AI118" s="2"/>
      <c r="AS118" s="6"/>
      <c r="AU118" s="6"/>
      <c r="AV118" s="2"/>
      <c r="AX118" s="2"/>
      <c r="AY118" s="6"/>
      <c r="BB118" s="2"/>
    </row>
    <row r="119" spans="1:253" ht="14" thickBot="1" x14ac:dyDescent="0.4">
      <c r="C119" s="41"/>
      <c r="D119" s="41"/>
      <c r="E119" s="41"/>
      <c r="K119" s="2"/>
      <c r="L119" s="2"/>
      <c r="AF119" s="6"/>
      <c r="AI119" s="2"/>
      <c r="AS119" s="6"/>
      <c r="AU119" s="6"/>
      <c r="AV119" s="2"/>
      <c r="AX119" s="2"/>
      <c r="AY119" s="6"/>
      <c r="BB119" s="2"/>
    </row>
    <row r="120" spans="1:253" ht="231.75" customHeight="1" thickBot="1" x14ac:dyDescent="0.4">
      <c r="A120" s="59"/>
      <c r="B120" s="59"/>
      <c r="C120" s="60"/>
      <c r="D120" s="61"/>
      <c r="E120" s="61"/>
      <c r="F120" s="62"/>
      <c r="G120" s="63"/>
      <c r="H120" s="64"/>
      <c r="I120" s="64"/>
      <c r="J120" s="64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65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65"/>
      <c r="AT120" s="59"/>
      <c r="AU120" s="65"/>
      <c r="AV120" s="59"/>
      <c r="AW120" s="59"/>
      <c r="AX120" s="59"/>
      <c r="AY120" s="65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  <c r="GD120" s="59"/>
      <c r="GE120" s="59"/>
      <c r="GF120" s="59"/>
      <c r="GG120" s="59"/>
      <c r="GH120" s="59"/>
      <c r="GI120" s="59"/>
      <c r="GJ120" s="59"/>
      <c r="GK120" s="59"/>
      <c r="GL120" s="59"/>
      <c r="GM120" s="59"/>
      <c r="GN120" s="59"/>
      <c r="GO120" s="59"/>
      <c r="GP120" s="59"/>
      <c r="GQ120" s="59"/>
      <c r="GR120" s="59"/>
      <c r="GS120" s="59"/>
      <c r="GT120" s="59"/>
      <c r="GU120" s="59"/>
      <c r="GV120" s="59"/>
      <c r="GW120" s="59"/>
      <c r="GX120" s="59"/>
      <c r="GY120" s="59"/>
      <c r="GZ120" s="59"/>
      <c r="HA120" s="59"/>
      <c r="HB120" s="59"/>
      <c r="HC120" s="59"/>
      <c r="HD120" s="59"/>
      <c r="HE120" s="59"/>
      <c r="HF120" s="59"/>
      <c r="HG120" s="59"/>
      <c r="HH120" s="59"/>
      <c r="HI120" s="59"/>
      <c r="HJ120" s="59"/>
      <c r="HK120" s="59"/>
      <c r="HL120" s="59"/>
      <c r="HM120" s="59"/>
      <c r="HN120" s="59"/>
      <c r="HO120" s="59"/>
      <c r="HP120" s="59"/>
      <c r="HQ120" s="59"/>
      <c r="HR120" s="59"/>
      <c r="HS120" s="59"/>
      <c r="HT120" s="59"/>
      <c r="HU120" s="59"/>
      <c r="HV120" s="59"/>
      <c r="HW120" s="59"/>
      <c r="HX120" s="59"/>
      <c r="HY120" s="59"/>
      <c r="HZ120" s="59"/>
      <c r="IA120" s="59"/>
      <c r="IB120" s="59"/>
      <c r="IC120" s="59"/>
      <c r="ID120" s="59"/>
      <c r="IE120" s="59"/>
      <c r="IF120" s="59"/>
      <c r="IG120" s="59"/>
      <c r="IH120" s="59"/>
      <c r="II120" s="59"/>
      <c r="IJ120" s="59"/>
      <c r="IK120" s="59"/>
      <c r="IL120" s="59"/>
      <c r="IM120" s="59"/>
      <c r="IN120" s="59"/>
      <c r="IO120" s="59"/>
      <c r="IP120" s="59"/>
      <c r="IQ120" s="59"/>
      <c r="IR120" s="59"/>
      <c r="IS120" s="59"/>
    </row>
    <row r="121" spans="1:253" ht="30" customHeight="1" thickBot="1" x14ac:dyDescent="0.4">
      <c r="A121" s="59"/>
      <c r="B121" s="59"/>
      <c r="C121" s="73" t="s">
        <v>254</v>
      </c>
      <c r="D121" s="74"/>
      <c r="E121" s="74"/>
      <c r="F121" s="74"/>
      <c r="G121" s="75"/>
      <c r="H121" s="64"/>
      <c r="I121" s="64"/>
      <c r="J121" s="64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65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65"/>
      <c r="AT121" s="59"/>
      <c r="AU121" s="65"/>
      <c r="AV121" s="59"/>
      <c r="AW121" s="59"/>
      <c r="AX121" s="59"/>
      <c r="AY121" s="65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59"/>
      <c r="FU121" s="59"/>
      <c r="FV121" s="59"/>
      <c r="FW121" s="59"/>
      <c r="FX121" s="59"/>
      <c r="FY121" s="59"/>
      <c r="FZ121" s="59"/>
      <c r="GA121" s="59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59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/>
      <c r="GX121" s="59"/>
      <c r="GY121" s="59"/>
      <c r="GZ121" s="59"/>
      <c r="HA121" s="59"/>
      <c r="HB121" s="59"/>
      <c r="HC121" s="59"/>
      <c r="HD121" s="59"/>
      <c r="HE121" s="59"/>
      <c r="HF121" s="59"/>
      <c r="HG121" s="59"/>
      <c r="HH121" s="59"/>
      <c r="HI121" s="59"/>
      <c r="HJ121" s="59"/>
      <c r="HK121" s="59"/>
      <c r="HL121" s="59"/>
      <c r="HM121" s="59"/>
      <c r="HN121" s="59"/>
      <c r="HO121" s="59"/>
      <c r="HP121" s="59"/>
      <c r="HQ121" s="59"/>
      <c r="HR121" s="59"/>
      <c r="HS121" s="59"/>
      <c r="HT121" s="59"/>
      <c r="HU121" s="59"/>
      <c r="HV121" s="59"/>
      <c r="HW121" s="59"/>
      <c r="HX121" s="59"/>
      <c r="HY121" s="59"/>
      <c r="HZ121" s="59"/>
      <c r="IA121" s="59"/>
      <c r="IB121" s="59"/>
      <c r="IC121" s="59"/>
      <c r="ID121" s="59"/>
      <c r="IE121" s="59"/>
      <c r="IF121" s="59"/>
      <c r="IG121" s="59"/>
      <c r="IH121" s="59"/>
      <c r="II121" s="59"/>
      <c r="IJ121" s="59"/>
      <c r="IK121" s="59"/>
      <c r="IL121" s="59"/>
      <c r="IM121" s="59"/>
      <c r="IN121" s="59"/>
      <c r="IO121" s="59"/>
      <c r="IP121" s="59"/>
      <c r="IQ121" s="59"/>
      <c r="IR121" s="59"/>
      <c r="IS121" s="59"/>
    </row>
    <row r="122" spans="1:253" ht="143" x14ac:dyDescent="0.35">
      <c r="A122" s="59"/>
      <c r="B122" s="59"/>
      <c r="C122" s="66" t="s">
        <v>255</v>
      </c>
      <c r="D122" s="67"/>
      <c r="E122" s="67"/>
      <c r="F122" s="68"/>
      <c r="G122" s="64"/>
      <c r="H122" s="64"/>
      <c r="I122" s="64"/>
      <c r="J122" s="64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65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65"/>
      <c r="AT122" s="59"/>
      <c r="AU122" s="65"/>
      <c r="AV122" s="59"/>
      <c r="AW122" s="59"/>
      <c r="AX122" s="59"/>
      <c r="AY122" s="65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/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59"/>
      <c r="FU122" s="59"/>
      <c r="FV122" s="59"/>
      <c r="FW122" s="59"/>
      <c r="FX122" s="59"/>
      <c r="FY122" s="59"/>
      <c r="FZ122" s="59"/>
      <c r="GA122" s="59"/>
      <c r="GB122" s="59"/>
      <c r="GC122" s="59"/>
      <c r="GD122" s="59"/>
      <c r="GE122" s="59"/>
      <c r="GF122" s="59"/>
      <c r="GG122" s="59"/>
      <c r="GH122" s="59"/>
      <c r="GI122" s="59"/>
      <c r="GJ122" s="59"/>
      <c r="GK122" s="59"/>
      <c r="GL122" s="59"/>
      <c r="GM122" s="59"/>
      <c r="GN122" s="59"/>
      <c r="GO122" s="59"/>
      <c r="GP122" s="59"/>
      <c r="GQ122" s="59"/>
      <c r="GR122" s="59"/>
      <c r="GS122" s="59"/>
      <c r="GT122" s="59"/>
      <c r="GU122" s="59"/>
      <c r="GV122" s="59"/>
      <c r="GW122" s="59"/>
      <c r="GX122" s="59"/>
      <c r="GY122" s="59"/>
      <c r="GZ122" s="59"/>
      <c r="HA122" s="59"/>
      <c r="HB122" s="59"/>
      <c r="HC122" s="59"/>
      <c r="HD122" s="59"/>
      <c r="HE122" s="59"/>
      <c r="HF122" s="59"/>
      <c r="HG122" s="59"/>
      <c r="HH122" s="59"/>
      <c r="HI122" s="59"/>
      <c r="HJ122" s="59"/>
      <c r="HK122" s="59"/>
      <c r="HL122" s="59"/>
      <c r="HM122" s="59"/>
      <c r="HN122" s="59"/>
      <c r="HO122" s="59"/>
      <c r="HP122" s="59"/>
      <c r="HQ122" s="59"/>
      <c r="HR122" s="59"/>
      <c r="HS122" s="59"/>
      <c r="HT122" s="59"/>
      <c r="HU122" s="59"/>
      <c r="HV122" s="59"/>
      <c r="HW122" s="59"/>
      <c r="HX122" s="59"/>
      <c r="HY122" s="59"/>
      <c r="HZ122" s="59"/>
      <c r="IA122" s="59"/>
      <c r="IB122" s="59"/>
      <c r="IC122" s="59"/>
      <c r="ID122" s="59"/>
      <c r="IE122" s="59"/>
      <c r="IF122" s="59"/>
      <c r="IG122" s="59"/>
      <c r="IH122" s="59"/>
      <c r="II122" s="59"/>
      <c r="IJ122" s="59"/>
      <c r="IK122" s="59"/>
      <c r="IL122" s="59"/>
      <c r="IM122" s="59"/>
      <c r="IN122" s="59"/>
      <c r="IO122" s="59"/>
      <c r="IP122" s="59"/>
      <c r="IQ122" s="59"/>
      <c r="IR122" s="59"/>
      <c r="IS122" s="59"/>
    </row>
  </sheetData>
  <mergeCells count="9">
    <mergeCell ref="C95:C96"/>
    <mergeCell ref="D95:E95"/>
    <mergeCell ref="C121:G121"/>
    <mergeCell ref="C2:J2"/>
    <mergeCell ref="D3:J3"/>
    <mergeCell ref="D4:J4"/>
    <mergeCell ref="C83:J83"/>
    <mergeCell ref="C85:J85"/>
    <mergeCell ref="C94:E9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HFCF</vt:lpstr>
      <vt:lpstr>XDO_?CLASS_3?1?</vt:lpstr>
      <vt:lpstr>XDO_?FINAL_ISIN?1?</vt:lpstr>
      <vt:lpstr>XDO_?FINAL_ISIN?2?</vt:lpstr>
      <vt:lpstr>XDO_?FINAL_ISIN?3?</vt:lpstr>
      <vt:lpstr>XDO_?FINAL_MV?1?</vt:lpstr>
      <vt:lpstr>XDO_?FINAL_MV?2?</vt:lpstr>
      <vt:lpstr>XDO_?FINAL_MV?3?</vt:lpstr>
      <vt:lpstr>XDO_?FINAL_NAME?1?</vt:lpstr>
      <vt:lpstr>XDO_?FINAL_NAME?2?</vt:lpstr>
      <vt:lpstr>XDO_?FINAL_NAME?3?</vt:lpstr>
      <vt:lpstr>XDO_?FINAL_PER_NET?1?</vt:lpstr>
      <vt:lpstr>XDO_?FINAL_PER_NET?2?</vt:lpstr>
      <vt:lpstr>XDO_?FINAL_PER_NET?3?</vt:lpstr>
      <vt:lpstr>XDO_?FINAL_QUANTITE?1?</vt:lpstr>
      <vt:lpstr>XDO_?FINAL_QUANTITE?2?</vt:lpstr>
      <vt:lpstr>XDO_?FINAL_QUANTITE?3?</vt:lpstr>
      <vt:lpstr>XDO_?NAMCNAME?1?</vt:lpstr>
      <vt:lpstr>XDO_?NOVAL?1?</vt:lpstr>
      <vt:lpstr>XDO_?NOVAL?2?</vt:lpstr>
      <vt:lpstr>XDO_?NOVAL?3?</vt:lpstr>
      <vt:lpstr>XDO_?NPTF?1?</vt:lpstr>
      <vt:lpstr>XDO_?RATING?1?</vt:lpstr>
      <vt:lpstr>XDO_?RATING?2?</vt:lpstr>
      <vt:lpstr>XDO_?RATING?3?</vt:lpstr>
      <vt:lpstr>XDO_?REMARKS?1?</vt:lpstr>
      <vt:lpstr>XDO_?REMARKS?2?</vt:lpstr>
      <vt:lpstr>XDO_?REMARKS?3?</vt:lpstr>
      <vt:lpstr>XDO_?TITL?1?</vt:lpstr>
      <vt:lpstr>XDO_?YTM?1?</vt:lpstr>
      <vt:lpstr>XDO_?YTM?2?</vt:lpstr>
      <vt:lpstr>XDO_?YTM?3?</vt:lpstr>
      <vt:lpstr>XDO_GROUP_?G_2?1?</vt:lpstr>
      <vt:lpstr>XDO_GROUP_?G_3?1?</vt:lpstr>
      <vt:lpstr>XDO_GROUP_?G_4?1?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2025-07-07T10:30:02Z</dcterms:created>
  <dcterms:modified xsi:type="dcterms:W3CDTF">2025-07-08T10:17:30Z</dcterms:modified>
</cp:coreProperties>
</file>