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28. Helios MF\Reporting\Monthly\Monthly Portfolio\2026-27\May 2026\Monthly 31-May-2026\"/>
    </mc:Choice>
  </mc:AlternateContent>
  <xr:revisionPtr revIDLastSave="0" documentId="8_{C4E0E793-EA3D-4C61-9D0B-EE9E75A4FDFD}" xr6:coauthVersionLast="47" xr6:coauthVersionMax="47" xr10:uidLastSave="{00000000-0000-0000-0000-000000000000}"/>
  <bookViews>
    <workbookView xWindow="-120" yWindow="-120" windowWidth="29040" windowHeight="15720" xr2:uid="{2C43089C-040E-416D-B574-9A7BA674360F}"/>
  </bookViews>
  <sheets>
    <sheet name="HARF" sheetId="1" r:id="rId1"/>
  </sheets>
  <externalReferences>
    <externalReference r:id="rId2"/>
  </externalReferences>
  <definedNames>
    <definedName name="XDO_?CLASS_3?7?">HARF!$C$8:$C$36</definedName>
    <definedName name="XDO_?FINAL_ISIN?22?">HARF!$D$10:$D$36</definedName>
    <definedName name="XDO_?FINAL_ISIN?23?">HARF!$D$10:$D$46</definedName>
    <definedName name="XDO_?FINAL_ISIN?24?">HARF!$D$10:$D$51</definedName>
    <definedName name="XDO_?FINAL_ISIN?25?">HARF!$D$10:$D$56</definedName>
    <definedName name="XDO_?FINAL_MV?22?">HARF!$G$10:$G$36</definedName>
    <definedName name="XDO_?FINAL_MV?23?">HARF!$G$10:$G$46</definedName>
    <definedName name="XDO_?FINAL_MV?24?">HARF!$G$10:$G$51</definedName>
    <definedName name="XDO_?FINAL_MV?25?">HARF!$G$10:$G$56</definedName>
    <definedName name="XDO_?FINAL_NAME?22?">HARF!$C$10:$C$36</definedName>
    <definedName name="XDO_?FINAL_NAME?23?">HARF!$C$10:$C$46</definedName>
    <definedName name="XDO_?FINAL_NAME?24?">HARF!$C$10:$C$51</definedName>
    <definedName name="XDO_?FINAL_NAME?25?">HARF!$C$10:$C$56</definedName>
    <definedName name="XDO_?FINAL_PER_NET?22?">HARF!$H$10:$H$36</definedName>
    <definedName name="XDO_?FINAL_PER_NET?23?">HARF!$H$10:$H$46</definedName>
    <definedName name="XDO_?FINAL_PER_NET?24?">HARF!$H$10:$H$51</definedName>
    <definedName name="XDO_?FINAL_PER_NET?25?">HARF!$H$10:$H$56</definedName>
    <definedName name="XDO_?FINAL_QUANTITE?22?">HARF!$F$10:$F$36</definedName>
    <definedName name="XDO_?FINAL_QUANTITE?23?">HARF!$F$10:$F$46</definedName>
    <definedName name="XDO_?FINAL_QUANTITE?24?">HARF!$F$10:$F$51</definedName>
    <definedName name="XDO_?FINAL_QUANTITE?25?">HARF!$F$10:$F$56</definedName>
    <definedName name="XDO_?NAMC?">[1]HOF!#REF!</definedName>
    <definedName name="XDO_?NAMC?1?">[1]HFCF!#REF!</definedName>
    <definedName name="XDO_?NAMC?2?">[1]HBAF!#REF!</definedName>
    <definedName name="XDO_?NAMC?3?">[1]HFSF!#REF!</definedName>
    <definedName name="XDO_?NAMC?4?">[1]HLM!#REF!</definedName>
    <definedName name="XDO_?NAMC?5?">[1]HMCF!#REF!</definedName>
    <definedName name="XDO_?NAMC?6?">[1]HSCF!#REF!</definedName>
    <definedName name="XDO_?NAMC?7?">HARF!#REF!</definedName>
    <definedName name="XDO_?NAMCNAME?7?">HARF!$C$2:$C$36</definedName>
    <definedName name="XDO_?NDATE?">[1]HOF!#REF!</definedName>
    <definedName name="XDO_?NDATE?1?">[1]HFCF!#REF!</definedName>
    <definedName name="XDO_?NDATE?2?">[1]HBAF!#REF!</definedName>
    <definedName name="XDO_?NDATE?3?">[1]HFSF!#REF!</definedName>
    <definedName name="XDO_?NDATE?4?">[1]HLM!#REF!</definedName>
    <definedName name="XDO_?NDATE?5?">[1]HMCF!#REF!</definedName>
    <definedName name="XDO_?NDATE?6?">[1]HSCF!#REF!</definedName>
    <definedName name="XDO_?NDATE?7?">HARF!#REF!</definedName>
    <definedName name="XDO_?NNPTF?">[1]HOF!#REF!</definedName>
    <definedName name="XDO_?NNPTF?1?">[1]HFCF!#REF!</definedName>
    <definedName name="XDO_?NNPTF?2?">[1]HBAF!#REF!</definedName>
    <definedName name="XDO_?NNPTF?3?">[1]HFSF!#REF!</definedName>
    <definedName name="XDO_?NNPTF?4?">[1]HLM!#REF!</definedName>
    <definedName name="XDO_?NNPTF?5?">[1]HMCF!#REF!</definedName>
    <definedName name="XDO_?NNPTF?6?">[1]HSCF!#REF!</definedName>
    <definedName name="XDO_?NNPTF?7?">HARF!#REF!</definedName>
    <definedName name="XDO_?NOVAL?22?">HARF!$B$10:$B$36</definedName>
    <definedName name="XDO_?NOVAL?23?">HARF!$B$10:$B$46</definedName>
    <definedName name="XDO_?NOVAL?24?">HARF!$B$10:$B$51</definedName>
    <definedName name="XDO_?NOVAL?25?">HARF!$B$10:$B$56</definedName>
    <definedName name="XDO_?NPTF?7?">HARF!$D$2:$D$36</definedName>
    <definedName name="XDO_?RATING?22?">HARF!$E$10:$E$36</definedName>
    <definedName name="XDO_?RATING?23?">HARF!$E$10:$E$46</definedName>
    <definedName name="XDO_?RATING?24?">HARF!$E$10:$E$51</definedName>
    <definedName name="XDO_?RATING?25?">HARF!$E$10:$E$56</definedName>
    <definedName name="XDO_?REMARKS?22?">HARF!$K$10:$K$36</definedName>
    <definedName name="XDO_?REMARKS?23?">HARF!$K$10:$K$46</definedName>
    <definedName name="XDO_?REMARKS?24?">HARF!$K$10:$K$51</definedName>
    <definedName name="XDO_?REMARKS?25?">HARF!$K$10:$K$56</definedName>
    <definedName name="XDO_?TITL?7?">HARF!$A$8:$A$36</definedName>
    <definedName name="XDO_?YTM?22?">HARF!$I$10:$I$36</definedName>
    <definedName name="XDO_?YTM?23?">HARF!$I$10:$I$46</definedName>
    <definedName name="XDO_?YTM?24?">HARF!$I$10:$I$51</definedName>
    <definedName name="XDO_?YTM?25?">HARF!$I$10:$I$56</definedName>
    <definedName name="XDO_GROUP_?G_2?7?">HARF!$2:$59</definedName>
    <definedName name="XDO_GROUP_?G_3?7?">HARF!$8:$58</definedName>
    <definedName name="XDO_GROUP_?G_4?22?">HARF!$B$10:$IV$36</definedName>
    <definedName name="XDO_GROUP_?G_4?23?">HARF!$B$41:$IV$46</definedName>
    <definedName name="XDO_GROUP_?G_4?24?">HARF!$B$51:$IV$51</definedName>
    <definedName name="XDO_GROUP_?G_4?25?">HARF!$B$56:$IV$56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1" i="1" l="1"/>
  <c r="G91" i="1"/>
  <c r="H59" i="1"/>
</calcChain>
</file>

<file path=xl/sharedStrings.xml><?xml version="1.0" encoding="utf-8"?>
<sst xmlns="http://schemas.openxmlformats.org/spreadsheetml/2006/main" count="427" uniqueCount="249">
  <si>
    <t>Helios Mutual Fund</t>
  </si>
  <si>
    <t>SCHEME NAME :</t>
  </si>
  <si>
    <t>Helios Arbitrage Fund (An open-ended scheme investing in arbitrage opportunities)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</si>
  <si>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</si>
  <si>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</si>
  <si>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</si>
  <si>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</si>
  <si>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</si>
  <si>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</si>
  <si>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</si>
  <si>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</si>
  <si>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</si>
  <si>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</si>
  <si>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</si>
  <si>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</si>
  <si>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100012</t>
  </si>
  <si>
    <t>ICICI Bank Ltd.</t>
  </si>
  <si>
    <t>INE090A01021</t>
  </si>
  <si>
    <t>Banks</t>
  </si>
  <si>
    <t>100181</t>
  </si>
  <si>
    <t>NTPC Ltd.</t>
  </si>
  <si>
    <t>INE733E01010</t>
  </si>
  <si>
    <t>Power</t>
  </si>
  <si>
    <t>100006</t>
  </si>
  <si>
    <t>HDFC Bank Ltd.</t>
  </si>
  <si>
    <t>INE040A01034</t>
  </si>
  <si>
    <t>100010</t>
  </si>
  <si>
    <t>State Bank of India</t>
  </si>
  <si>
    <t>INE062A01020</t>
  </si>
  <si>
    <t>100814</t>
  </si>
  <si>
    <t>HDFC Asset Management Co. Ltd.</t>
  </si>
  <si>
    <t>INE127D01025</t>
  </si>
  <si>
    <t>Capital Markets</t>
  </si>
  <si>
    <t>101313</t>
  </si>
  <si>
    <t>Eternal Ltd.</t>
  </si>
  <si>
    <t>INE758T01015</t>
  </si>
  <si>
    <t>Retailing</t>
  </si>
  <si>
    <t>100128</t>
  </si>
  <si>
    <t>Eicher Motors Ltd.</t>
  </si>
  <si>
    <t>INE066A01021</t>
  </si>
  <si>
    <t>Automobiles</t>
  </si>
  <si>
    <t>100008</t>
  </si>
  <si>
    <t>Sun Pharmaceutical Industries Ltd.</t>
  </si>
  <si>
    <t>INE044A01036</t>
  </si>
  <si>
    <t>Pharmaceuticals &amp; Biotechnology</t>
  </si>
  <si>
    <t>100106</t>
  </si>
  <si>
    <t>Maruti Suzuki India Ltd.</t>
  </si>
  <si>
    <t>INE585B01010</t>
  </si>
  <si>
    <t>100177</t>
  </si>
  <si>
    <t>Grasim Industries Ltd.</t>
  </si>
  <si>
    <t>INE047A01021</t>
  </si>
  <si>
    <t>Cement &amp; Cement Products</t>
  </si>
  <si>
    <t>100092</t>
  </si>
  <si>
    <t>Bank of Baroda</t>
  </si>
  <si>
    <t>INE028A01039</t>
  </si>
  <si>
    <t>100184</t>
  </si>
  <si>
    <t>Tata Steel Ltd.</t>
  </si>
  <si>
    <t>INE081A01020</t>
  </si>
  <si>
    <t>Ferrous Metals</t>
  </si>
  <si>
    <t>100014</t>
  </si>
  <si>
    <t>Mahindra &amp; Mahindra Ltd.</t>
  </si>
  <si>
    <t>INE101A01026</t>
  </si>
  <si>
    <t>100370</t>
  </si>
  <si>
    <t>Biocon Ltd.</t>
  </si>
  <si>
    <t>INE376G01013</t>
  </si>
  <si>
    <t>100180</t>
  </si>
  <si>
    <t>Hindalco Industries Ltd.</t>
  </si>
  <si>
    <t>INE038A01020</t>
  </si>
  <si>
    <t>Non - Ferrous Metals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</si>
  <si>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</si>
  <si>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</si>
  <si>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</si>
  <si>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</si>
  <si>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</si>
  <si>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</si>
  <si>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</si>
  <si>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</si>
  <si>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</si>
  <si>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</si>
  <si>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</si>
  <si>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</si>
  <si>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</si>
  <si>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</si>
  <si>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</si>
  <si>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</si>
  <si>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100024</t>
  </si>
  <si>
    <t>Axis Bank Ltd.</t>
  </si>
  <si>
    <t>INE238A01034</t>
  </si>
  <si>
    <t>100104</t>
  </si>
  <si>
    <t>Kotak Mahindra Bank Ltd.</t>
  </si>
  <si>
    <t>INE237A01036</t>
  </si>
  <si>
    <t>100153</t>
  </si>
  <si>
    <t>Cipla Ltd.</t>
  </si>
  <si>
    <t>INE059A01026</t>
  </si>
  <si>
    <t>100013</t>
  </si>
  <si>
    <t>IndusInd Bank Ltd.</t>
  </si>
  <si>
    <t>INE095A01012</t>
  </si>
  <si>
    <t>100173</t>
  </si>
  <si>
    <t>Asian Paints Ltd.</t>
  </si>
  <si>
    <t>INE021A01026</t>
  </si>
  <si>
    <t>Consumer Durables</t>
  </si>
  <si>
    <t>100089</t>
  </si>
  <si>
    <t>Bharat Electronics Ltd.</t>
  </si>
  <si>
    <t>INE263A01024</t>
  </si>
  <si>
    <t>Aerospace &amp; Defense</t>
  </si>
  <si>
    <t>100380</t>
  </si>
  <si>
    <t>Bajaj Finserv Ltd.</t>
  </si>
  <si>
    <t>INE918I01026</t>
  </si>
  <si>
    <t>Finance</t>
  </si>
  <si>
    <t>100211</t>
  </si>
  <si>
    <t>IDFC First Bank Ltd.</t>
  </si>
  <si>
    <t>INE092T01019</t>
  </si>
  <si>
    <t>Total</t>
  </si>
  <si>
    <t>MONEY MARKET INSTRUMENTS</t>
  </si>
  <si>
    <t>Treasury Bills</t>
  </si>
  <si>
    <t>1801476</t>
  </si>
  <si>
    <t>364 DAY T-BILL 13.05.27</t>
  </si>
  <si>
    <t>IN002026Z060</t>
  </si>
  <si>
    <t>Sovereign</t>
  </si>
  <si>
    <t>1801466</t>
  </si>
  <si>
    <t>182 DAY T-BILL 05.11.26</t>
  </si>
  <si>
    <t>IN002026Y055</t>
  </si>
  <si>
    <t>1801424</t>
  </si>
  <si>
    <t>364 DAY T-BILL 28.01.27</t>
  </si>
  <si>
    <t>IN002025Z435</t>
  </si>
  <si>
    <t>1801442</t>
  </si>
  <si>
    <t>364 DAY T-BILL 11.03.27</t>
  </si>
  <si>
    <t>IN002025Z492</t>
  </si>
  <si>
    <t>1801467</t>
  </si>
  <si>
    <t>364 DAY T-BILL 06.05.27</t>
  </si>
  <si>
    <t>IN002026Z052</t>
  </si>
  <si>
    <t>1801445</t>
  </si>
  <si>
    <t>364 DAY T-BILL 13.08.26</t>
  </si>
  <si>
    <t>IN002025Z203</t>
  </si>
  <si>
    <t>OTHERS</t>
  </si>
  <si>
    <t>TREPS / Reverse Repo Investments</t>
  </si>
  <si>
    <t>106260100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</si>
  <si>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</si>
  <si>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</si>
  <si>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</si>
  <si>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</si>
  <si>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</si>
  <si>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</si>
  <si>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</si>
  <si>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</si>
  <si>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</si>
  <si>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</si>
  <si>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</si>
  <si>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ICICI Bank Ltd. 30-JUN-26</t>
  </si>
  <si>
    <t>Short</t>
  </si>
  <si>
    <t>NTPC Ltd. 30-JUN-26</t>
  </si>
  <si>
    <t>HDFC Bank Ltd. 30-JUN-26</t>
  </si>
  <si>
    <t>State Bank of India 30-JUN-26</t>
  </si>
  <si>
    <t>HDFC Asset Management Co. Ltd. 30-JUN-26</t>
  </si>
  <si>
    <t>Eternal Ltd. 30-JUN-26</t>
  </si>
  <si>
    <t>Eicher Motors Ltd. 30-JUN-26</t>
  </si>
  <si>
    <t>Sun Pharmaceutical Industries Ltd. 30-JUN-26</t>
  </si>
  <si>
    <t>Maruti Suzuki India Ltd. 30-JUN-26</t>
  </si>
  <si>
    <t>Grasim Industries Ltd. 30-JUN-26</t>
  </si>
  <si>
    <t>Bank of Baroda 30-JUN-26</t>
  </si>
  <si>
    <t>Tata Steel Ltd. 30-JUN-26</t>
  </si>
  <si>
    <t>Mahindra &amp; Mahindra Ltd. 30-JUN-26</t>
  </si>
  <si>
    <t>Biocon Ltd. 30-JUN-26</t>
  </si>
  <si>
    <t>Hindalco Industries Ltd. 30-JUN-26</t>
  </si>
  <si>
    <t>Reliance Industries Ltd. 30-JUN-26</t>
  </si>
  <si>
    <t>Bharti Airtel Ltd. 30-JUN-26</t>
  </si>
  <si>
    <t>ITC Ltd. 30-JUN-26</t>
  </si>
  <si>
    <t>Larsen &amp; Toubro Ltd. 30-JUN-26</t>
  </si>
  <si>
    <t>Axis Bank Ltd. 30-JUN-26</t>
  </si>
  <si>
    <t>Kotak Mahindra Bank Ltd. 30-JUN-26</t>
  </si>
  <si>
    <t>Cipla Ltd. 30-JUN-26</t>
  </si>
  <si>
    <t>IndusInd Bank Ltd. 30-JUN-26</t>
  </si>
  <si>
    <t>Asian Paints Ltd. 30-JUN-26</t>
  </si>
  <si>
    <t>Bharat Electronics Ltd. 30-JUN-26</t>
  </si>
  <si>
    <t>Bajaj Finserv Ltd. 30-JUN-26</t>
  </si>
  <si>
    <t>IDFC First Bank Ltd. 30-JUN-26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</si>
  <si>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</si>
  <si>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</si>
  <si>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</si>
  <si>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</si>
  <si>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</si>
  <si>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 xml:space="preserve">3. ## YTC represents Yield to Call. It is disclosed for Perpetual Bond issued by Banks (i.e. AT-1 Bond / Tier 1 Bond / Tier 2 Bond), as per AMFI Best Practices Guidelines Circular no. 91/2020-21 dated March 24, 2021 on Valuation of AT-1 Bonds and Tier 2 Bonds.
</t>
  </si>
  <si>
    <t>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</si>
  <si>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</si>
  <si>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NAV History:</t>
  </si>
  <si>
    <t>Option / Plan</t>
  </si>
  <si>
    <t>NAV Rs. per unit as on April 30, 2026</t>
  </si>
  <si>
    <t>NAV Rs. per unit as on May 29, 2026</t>
  </si>
  <si>
    <t xml:space="preserve">Helios Small Cap Fund - Regular Plan - Growth Option </t>
  </si>
  <si>
    <t xml:space="preserve">Helios Small Cap Fund - Regular Plan - IDCW Option </t>
  </si>
  <si>
    <t xml:space="preserve">Helios Small Cap Fund - Direct Plan - Growth Option </t>
  </si>
  <si>
    <t xml:space="preserve">Helios Small Cap Fund - Direct Plan - IDCW Option </t>
  </si>
  <si>
    <t>Dividend History:Total dividends declared during the month ended May 31, 2026 under the Income Distribution cum Capital Withdrawal (IDCW) Options of the Scheme are as follows:</t>
  </si>
  <si>
    <t>Rate of dividend per Unit</t>
  </si>
  <si>
    <t>Individuals &amp; HUF</t>
  </si>
  <si>
    <t>Others</t>
  </si>
  <si>
    <t>Nil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</si>
  <si>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</si>
  <si>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</si>
  <si>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May 31, 2026.</t>
  </si>
  <si>
    <t>Investment in Repo in Corporate Debt Securities during the Month ended May 31, 2026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</si>
  <si>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</si>
  <si>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</si>
  <si>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</si>
  <si>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May 31, 2026 is 10735.13 Lakhs.</t>
  </si>
  <si>
    <t xml:space="preserve">Hedging Positions through Futures as on  31-May-2026 : </t>
  </si>
  <si>
    <t>Underlying</t>
  </si>
  <si>
    <t>Series</t>
  </si>
  <si>
    <t>Futures Price when purchased 
( Rs. Per unit)</t>
  </si>
  <si>
    <t>Current price of the contract
( Rs. Per unit)</t>
  </si>
  <si>
    <t>Margin maintained in Rs. Lakhs</t>
  </si>
  <si>
    <t>Total %age of existing assets hedged through futures: 74.60%</t>
  </si>
  <si>
    <t xml:space="preserve">For the period 01-May-2026 to 31-May-2026, the following details specified for hedging transactions through futures which have been squared off/expired : </t>
  </si>
  <si>
    <t>Total Number of contracts where futures were bought (opening balance)</t>
  </si>
  <si>
    <t>Total Number of contracts where futures were bought</t>
  </si>
  <si>
    <t>Total Number of contracts where futures were sold (opening balance)</t>
  </si>
  <si>
    <t>Total Number of contracts where futures were sold</t>
  </si>
  <si>
    <t>Gross Notional Value of contracts where futures were bought (opening balance) Rs.</t>
  </si>
  <si>
    <t>Gross Notional Value of contracts where futures were bought Rs.</t>
  </si>
  <si>
    <t>Gross Notional Value of contracts where futures were sold (opening balance) Rs.</t>
  </si>
  <si>
    <t>Gross Notional Value of contracts where futures were sold Rs.</t>
  </si>
  <si>
    <t>Net Profit/Loss value on all contracts combined Rs.</t>
  </si>
  <si>
    <t>Exposure created due to over hedging through futures (quantity of hedging position exceeding the quantity of existing position being hedged) is reported in the next table.</t>
  </si>
  <si>
    <t>Other than Hedging Positions through Futures as on 31-May-2026 :</t>
  </si>
  <si>
    <t>Total exposure due to futures (non hedging positions) as a %age of net assets : Nil</t>
  </si>
  <si>
    <t xml:space="preserve">For the period 01-May-2026 to 31-May-2026, the following details specified for non-hedging transactions through futures which have been squared off/expired : </t>
  </si>
  <si>
    <t>Hedging Position through Put Option as on 31-May-2026 :</t>
  </si>
  <si>
    <t>Number of Contracts</t>
  </si>
  <si>
    <t>Option Price when purchased (Rs. Per unit)</t>
  </si>
  <si>
    <t>Current Option Price 
( Rs. Per unit)</t>
  </si>
  <si>
    <t>Total %age of existing assets hedged through put options: Nil</t>
  </si>
  <si>
    <t>For the period 01-May-2026 to 31-May-2026, the following details specified for hedging transactions through options which have already been exercised/expired :</t>
  </si>
  <si>
    <t>Total Number of contracts entered into</t>
  </si>
  <si>
    <t>Gross Notional Value of contracts entered into Rs.</t>
  </si>
  <si>
    <t>Net Profit/Loss value on all contracts (treat premium paid as loss) Rs.</t>
  </si>
  <si>
    <t>Exposure created due to over hedging through options (quantity of hedging position exceeding the quantity of existing position being hedged) is reported in the next table.</t>
  </si>
  <si>
    <t>Other than Hedging Positions through Options as on 31-May-2026 :</t>
  </si>
  <si>
    <t>Call/Put</t>
  </si>
  <si>
    <t>Current Option Price ( Rs. Per unit)</t>
  </si>
  <si>
    <t>Total exposure through options as a % of net assets : Nil</t>
  </si>
  <si>
    <t>For the period 01-May-2026 to 31-May-2026, the following details specified for non-hedging transactions through options which have already been exercised/expired :</t>
  </si>
  <si>
    <t xml:space="preserve">Hedging Positions through Swaps as on 31-May-2026 : </t>
  </si>
  <si>
    <t>Total value and percentage of illiquid equity shares: Nil</t>
  </si>
  <si>
    <t>Funds parked in short term deposit(s) during the period / as on May 31, 2026: Nil</t>
  </si>
  <si>
    <t>Value of term deposits placed as margin for trading in cash or derivatives market: Nil</t>
  </si>
  <si>
    <t>Total below investment grade or default provided for and its percentage to NAV: Nil</t>
  </si>
  <si>
    <t>Product Labelling: To provide investors an easy understanding of the kind of product/scheme they are investing in and its suitability to them, the product labelling is as under:</t>
  </si>
  <si>
    <t>*Investors should consult their financial advisers if in doubt about whether the product is suitable for them.</t>
  </si>
  <si>
    <t xml:space="preserve"># Above risk-o-meters are as on May 31, 2026. For latest risk-o-meter(s), investors are requested to refer periodical portfolio disclosure(s) available on the website of the Fund viz. www.heliosmf.in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</si>
</sst>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[$-409]mmmm/yy;@"/>
    <numFmt numFmtId="169" formatCode="_(* #,##0_);_(* \(#,##0\);_(* &quot;-&quot;_);_(* @_)"/>
    <numFmt numFmtId="170" formatCode="_(* #,##0.00_);_(* \(#,##0.00\);_(* &quot;-&quot;_);_(* 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10"/>
      <color indexed="8"/>
      <name val="Franklin Gothic Book"/>
      <family val="2"/>
    </font>
    <font>
      <b/>
      <sz val="10"/>
      <color rgb="FFFF0000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3960D"/>
        <bgColor indexed="64"/>
      </patternFill>
    </fill>
    <fill>
      <patternFill patternType="solid">
        <fgColor rgb="FFF3960D"/>
        <bgColor rgb="FFFFFFFF"/>
      </patternFill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64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4" fillId="0" borderId="0" xfId="0" applyNumberFormat="1" applyFont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166" fontId="6" fillId="0" borderId="9" xfId="0" applyNumberFormat="1" applyFont="1" applyBorder="1" applyAlignment="1">
      <alignment horizontal="left"/>
    </xf>
    <xf numFmtId="166" fontId="6" fillId="0" borderId="10" xfId="0" applyNumberFormat="1" applyFont="1" applyBorder="1" applyAlignment="1">
      <alignment horizontal="left"/>
    </xf>
    <xf numFmtId="166" fontId="6" fillId="0" borderId="11" xfId="0" applyNumberFormat="1" applyFont="1" applyBorder="1" applyAlignment="1">
      <alignment horizontal="left"/>
    </xf>
    <xf numFmtId="0" fontId="7" fillId="0" borderId="0" xfId="0" applyFont="1"/>
    <xf numFmtId="164" fontId="4" fillId="0" borderId="0" xfId="1" applyNumberFormat="1" applyFont="1"/>
    <xf numFmtId="43" fontId="4" fillId="0" borderId="0" xfId="1" applyFont="1"/>
    <xf numFmtId="0" fontId="9" fillId="2" borderId="12" xfId="3" applyFont="1" applyFill="1" applyBorder="1" applyAlignment="1">
      <alignment vertical="center"/>
    </xf>
    <xf numFmtId="0" fontId="9" fillId="2" borderId="13" xfId="3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164" fontId="9" fillId="2" borderId="14" xfId="1" applyNumberFormat="1" applyFont="1" applyFill="1" applyBorder="1" applyAlignment="1">
      <alignment vertical="center"/>
    </xf>
    <xf numFmtId="43" fontId="9" fillId="2" borderId="14" xfId="1" applyFont="1" applyFill="1" applyBorder="1" applyAlignment="1">
      <alignment vertical="center" wrapText="1"/>
    </xf>
    <xf numFmtId="43" fontId="9" fillId="2" borderId="15" xfId="1" applyFont="1" applyFill="1" applyBorder="1" applyAlignment="1">
      <alignment vertical="center"/>
    </xf>
    <xf numFmtId="43" fontId="9" fillId="2" borderId="16" xfId="1" applyFont="1" applyFill="1" applyBorder="1" applyAlignment="1">
      <alignment vertical="center"/>
    </xf>
    <xf numFmtId="43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4" fontId="4" fillId="0" borderId="19" xfId="1" applyNumberFormat="1" applyFont="1" applyBorder="1"/>
    <xf numFmtId="43" fontId="4" fillId="0" borderId="19" xfId="1" applyFont="1" applyBorder="1" applyAlignment="1">
      <alignment horizontal="right"/>
    </xf>
    <xf numFmtId="43" fontId="4" fillId="0" borderId="20" xfId="1" applyFont="1" applyBorder="1"/>
    <xf numFmtId="43" fontId="4" fillId="0" borderId="21" xfId="1" applyFont="1" applyBorder="1"/>
    <xf numFmtId="165" fontId="4" fillId="0" borderId="22" xfId="0" applyNumberFormat="1" applyFont="1" applyBorder="1"/>
    <xf numFmtId="0" fontId="3" fillId="3" borderId="23" xfId="4" applyFont="1" applyFill="1" applyBorder="1"/>
    <xf numFmtId="0" fontId="3" fillId="3" borderId="0" xfId="4" applyFont="1" applyFill="1"/>
    <xf numFmtId="0" fontId="7" fillId="0" borderId="17" xfId="0" applyFont="1" applyBorder="1"/>
    <xf numFmtId="0" fontId="4" fillId="0" borderId="24" xfId="0" applyFont="1" applyBorder="1"/>
    <xf numFmtId="0" fontId="4" fillId="0" borderId="25" xfId="0" applyFont="1" applyBorder="1"/>
    <xf numFmtId="164" fontId="4" fillId="0" borderId="25" xfId="1" applyNumberFormat="1" applyFont="1" applyBorder="1"/>
    <xf numFmtId="43" fontId="4" fillId="0" borderId="25" xfId="1" applyFont="1" applyBorder="1" applyAlignment="1">
      <alignment horizontal="right"/>
    </xf>
    <xf numFmtId="43" fontId="4" fillId="0" borderId="26" xfId="1" applyFont="1" applyBorder="1"/>
    <xf numFmtId="43" fontId="4" fillId="0" borderId="27" xfId="1" applyFont="1" applyBorder="1"/>
    <xf numFmtId="165" fontId="4" fillId="0" borderId="28" xfId="0" applyNumberFormat="1" applyFont="1" applyBorder="1"/>
    <xf numFmtId="0" fontId="10" fillId="3" borderId="17" xfId="4" applyFont="1" applyFill="1" applyBorder="1"/>
    <xf numFmtId="43" fontId="10" fillId="3" borderId="29" xfId="1" applyFont="1" applyFill="1" applyBorder="1" applyAlignment="1">
      <alignment horizontal="right"/>
    </xf>
    <xf numFmtId="0" fontId="10" fillId="3" borderId="30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164" fontId="4" fillId="0" borderId="32" xfId="1" applyNumberFormat="1" applyFont="1" applyBorder="1"/>
    <xf numFmtId="43" fontId="7" fillId="0" borderId="33" xfId="1" applyFont="1" applyBorder="1" applyAlignment="1">
      <alignment horizontal="right"/>
    </xf>
    <xf numFmtId="43" fontId="4" fillId="0" borderId="34" xfId="1" applyFont="1" applyBorder="1"/>
    <xf numFmtId="43" fontId="4" fillId="0" borderId="35" xfId="1" applyFont="1" applyBorder="1"/>
    <xf numFmtId="165" fontId="4" fillId="0" borderId="36" xfId="0" applyNumberFormat="1" applyFont="1" applyBorder="1"/>
    <xf numFmtId="0" fontId="11" fillId="0" borderId="0" xfId="0" applyFont="1"/>
    <xf numFmtId="43" fontId="11" fillId="0" borderId="0" xfId="1" applyFont="1"/>
    <xf numFmtId="0" fontId="7" fillId="0" borderId="0" xfId="0" applyFont="1" applyAlignment="1">
      <alignment vertical="center"/>
    </xf>
    <xf numFmtId="0" fontId="7" fillId="0" borderId="29" xfId="0" applyFont="1" applyBorder="1" applyAlignment="1">
      <alignment vertical="center"/>
    </xf>
    <xf numFmtId="43" fontId="7" fillId="0" borderId="29" xfId="1" applyFont="1" applyBorder="1" applyAlignment="1">
      <alignment vertical="center"/>
    </xf>
    <xf numFmtId="43" fontId="7" fillId="0" borderId="29" xfId="1" applyFont="1" applyBorder="1" applyAlignment="1">
      <alignment vertical="center" wrapText="1"/>
    </xf>
    <xf numFmtId="0" fontId="4" fillId="0" borderId="29" xfId="0" applyFont="1" applyBorder="1"/>
    <xf numFmtId="43" fontId="4" fillId="0" borderId="29" xfId="1" applyFont="1" applyBorder="1"/>
    <xf numFmtId="0" fontId="7" fillId="0" borderId="29" xfId="0" applyFont="1" applyBorder="1"/>
    <xf numFmtId="43" fontId="7" fillId="0" borderId="29" xfId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0" fontId="15" fillId="0" borderId="29" xfId="0" applyFont="1" applyBorder="1"/>
    <xf numFmtId="167" fontId="14" fillId="0" borderId="29" xfId="0" applyNumberFormat="1" applyFont="1" applyBorder="1" applyAlignment="1">
      <alignment horizontal="center" vertical="center"/>
    </xf>
    <xf numFmtId="0" fontId="15" fillId="0" borderId="0" xfId="0" applyFont="1"/>
    <xf numFmtId="167" fontId="14" fillId="0" borderId="0" xfId="0" applyNumberFormat="1" applyFont="1" applyAlignment="1">
      <alignment horizontal="center" vertical="center"/>
    </xf>
    <xf numFmtId="0" fontId="6" fillId="0" borderId="37" xfId="0" applyFont="1" applyBorder="1" applyAlignment="1">
      <alignment horizontal="left" wrapText="1"/>
    </xf>
    <xf numFmtId="0" fontId="6" fillId="4" borderId="38" xfId="0" applyFont="1" applyFill="1" applyBorder="1" applyAlignment="1">
      <alignment horizontal="center" vertical="center" wrapText="1"/>
    </xf>
    <xf numFmtId="49" fontId="16" fillId="5" borderId="15" xfId="4" applyNumberFormat="1" applyFont="1" applyFill="1" applyBorder="1" applyAlignment="1">
      <alignment horizontal="center" vertical="center"/>
    </xf>
    <xf numFmtId="49" fontId="16" fillId="5" borderId="3" xfId="4" applyNumberFormat="1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 wrapText="1"/>
    </xf>
    <xf numFmtId="49" fontId="16" fillId="5" borderId="29" xfId="4" applyNumberFormat="1" applyFont="1" applyFill="1" applyBorder="1" applyAlignment="1">
      <alignment horizontal="center" vertical="center"/>
    </xf>
    <xf numFmtId="49" fontId="16" fillId="5" borderId="40" xfId="4" applyNumberFormat="1" applyFont="1" applyFill="1" applyBorder="1" applyAlignment="1">
      <alignment horizontal="center" vertical="center"/>
    </xf>
    <xf numFmtId="0" fontId="15" fillId="0" borderId="4" xfId="0" applyFont="1" applyBorder="1"/>
    <xf numFmtId="0" fontId="14" fillId="0" borderId="2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5" fillId="0" borderId="8" xfId="0" applyFont="1" applyBorder="1"/>
    <xf numFmtId="0" fontId="14" fillId="0" borderId="33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0" xfId="0" applyFont="1"/>
    <xf numFmtId="0" fontId="14" fillId="0" borderId="42" xfId="0" applyFont="1" applyBorder="1" applyAlignment="1">
      <alignment wrapText="1"/>
    </xf>
    <xf numFmtId="2" fontId="14" fillId="0" borderId="43" xfId="0" applyNumberFormat="1" applyFont="1" applyBorder="1" applyAlignment="1">
      <alignment horizontal="right"/>
    </xf>
    <xf numFmtId="164" fontId="14" fillId="0" borderId="0" xfId="1" applyNumberFormat="1" applyFont="1"/>
    <xf numFmtId="0" fontId="2" fillId="0" borderId="0" xfId="2"/>
    <xf numFmtId="49" fontId="2" fillId="6" borderId="0" xfId="2" applyNumberFormat="1" applyFill="1" applyAlignment="1">
      <alignment horizontal="left"/>
    </xf>
    <xf numFmtId="0" fontId="17" fillId="0" borderId="44" xfId="0" applyFont="1" applyBorder="1"/>
    <xf numFmtId="0" fontId="17" fillId="0" borderId="45" xfId="0" applyFont="1" applyBorder="1"/>
    <xf numFmtId="0" fontId="12" fillId="0" borderId="45" xfId="0" applyFont="1" applyBorder="1"/>
    <xf numFmtId="0" fontId="12" fillId="0" borderId="46" xfId="0" applyFont="1" applyBorder="1"/>
    <xf numFmtId="0" fontId="10" fillId="0" borderId="4" xfId="0" applyFont="1" applyBorder="1" applyAlignment="1">
      <alignment vertical="top" wrapText="1"/>
    </xf>
    <xf numFmtId="0" fontId="10" fillId="0" borderId="29" xfId="0" applyFont="1" applyBorder="1" applyAlignment="1">
      <alignment vertical="top" wrapText="1"/>
    </xf>
    <xf numFmtId="0" fontId="10" fillId="0" borderId="40" xfId="0" applyFont="1" applyBorder="1" applyAlignment="1">
      <alignment vertical="top" wrapText="1"/>
    </xf>
    <xf numFmtId="0" fontId="12" fillId="0" borderId="4" xfId="0" applyFont="1" applyBorder="1"/>
    <xf numFmtId="168" fontId="12" fillId="0" borderId="29" xfId="0" applyNumberFormat="1" applyFont="1" applyBorder="1"/>
    <xf numFmtId="0" fontId="12" fillId="0" borderId="29" xfId="0" applyFont="1" applyBorder="1" applyAlignment="1">
      <alignment horizontal="center"/>
    </xf>
    <xf numFmtId="43" fontId="12" fillId="0" borderId="29" xfId="1" applyFont="1" applyFill="1" applyBorder="1"/>
    <xf numFmtId="43" fontId="12" fillId="0" borderId="40" xfId="1" applyFont="1" applyFill="1" applyBorder="1"/>
    <xf numFmtId="0" fontId="10" fillId="0" borderId="47" xfId="0" applyFont="1" applyBorder="1"/>
    <xf numFmtId="0" fontId="10" fillId="0" borderId="0" xfId="0" applyFont="1"/>
    <xf numFmtId="0" fontId="12" fillId="0" borderId="0" xfId="0" applyFont="1"/>
    <xf numFmtId="0" fontId="12" fillId="0" borderId="23" xfId="0" applyFont="1" applyBorder="1"/>
    <xf numFmtId="0" fontId="12" fillId="0" borderId="47" xfId="0" applyFont="1" applyBorder="1"/>
    <xf numFmtId="164" fontId="12" fillId="0" borderId="0" xfId="5" applyNumberFormat="1" applyFont="1" applyFill="1" applyBorder="1"/>
    <xf numFmtId="164" fontId="12" fillId="0" borderId="23" xfId="5" applyNumberFormat="1" applyFont="1" applyFill="1" applyBorder="1"/>
    <xf numFmtId="0" fontId="12" fillId="0" borderId="47" xfId="5" applyNumberFormat="1" applyFont="1" applyFill="1" applyBorder="1" applyAlignment="1">
      <alignment horizontal="left"/>
    </xf>
    <xf numFmtId="0" fontId="12" fillId="0" borderId="0" xfId="5" applyNumberFormat="1" applyFont="1" applyFill="1" applyBorder="1" applyAlignment="1">
      <alignment horizontal="left"/>
    </xf>
    <xf numFmtId="169" fontId="12" fillId="0" borderId="0" xfId="5" applyNumberFormat="1" applyFont="1" applyFill="1" applyBorder="1"/>
    <xf numFmtId="0" fontId="12" fillId="0" borderId="48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12" fillId="0" borderId="49" xfId="0" applyFont="1" applyBorder="1" applyAlignment="1">
      <alignment horizontal="center" vertical="top" wrapText="1"/>
    </xf>
    <xf numFmtId="0" fontId="12" fillId="0" borderId="48" xfId="0" applyFont="1" applyBorder="1"/>
    <xf numFmtId="0" fontId="12" fillId="0" borderId="6" xfId="0" applyFont="1" applyBorder="1"/>
    <xf numFmtId="0" fontId="12" fillId="0" borderId="49" xfId="0" applyFont="1" applyBorder="1"/>
    <xf numFmtId="164" fontId="12" fillId="0" borderId="0" xfId="1" applyNumberFormat="1" applyFont="1" applyFill="1" applyBorder="1"/>
    <xf numFmtId="0" fontId="12" fillId="0" borderId="50" xfId="0" applyFont="1" applyBorder="1" applyAlignment="1">
      <alignment vertical="top"/>
    </xf>
    <xf numFmtId="0" fontId="12" fillId="0" borderId="37" xfId="0" applyFont="1" applyBorder="1" applyAlignment="1">
      <alignment vertical="top"/>
    </xf>
    <xf numFmtId="164" fontId="12" fillId="0" borderId="37" xfId="1" applyNumberFormat="1" applyFont="1" applyFill="1" applyBorder="1"/>
    <xf numFmtId="164" fontId="12" fillId="0" borderId="37" xfId="5" applyNumberFormat="1" applyFont="1" applyFill="1" applyBorder="1" applyAlignment="1">
      <alignment vertical="top"/>
    </xf>
    <xf numFmtId="164" fontId="12" fillId="0" borderId="51" xfId="5" applyNumberFormat="1" applyFont="1" applyFill="1" applyBorder="1" applyAlignment="1">
      <alignment vertical="top"/>
    </xf>
    <xf numFmtId="4" fontId="12" fillId="0" borderId="0" xfId="0" applyNumberFormat="1" applyFont="1"/>
    <xf numFmtId="4" fontId="12" fillId="0" borderId="23" xfId="0" applyNumberFormat="1" applyFont="1" applyBorder="1"/>
    <xf numFmtId="0" fontId="17" fillId="0" borderId="0" xfId="0" applyFont="1"/>
    <xf numFmtId="170" fontId="12" fillId="0" borderId="0" xfId="0" applyNumberFormat="1" applyFont="1"/>
    <xf numFmtId="43" fontId="12" fillId="0" borderId="23" xfId="0" applyNumberFormat="1" applyFont="1" applyBorder="1"/>
    <xf numFmtId="0" fontId="12" fillId="0" borderId="52" xfId="0" applyFont="1" applyBorder="1" applyAlignment="1">
      <alignment vertical="top" wrapText="1"/>
    </xf>
    <xf numFmtId="0" fontId="12" fillId="0" borderId="52" xfId="0" applyFont="1" applyBorder="1"/>
    <xf numFmtId="0" fontId="18" fillId="0" borderId="47" xfId="0" applyFont="1" applyBorder="1"/>
    <xf numFmtId="0" fontId="18" fillId="0" borderId="0" xfId="0" applyFont="1"/>
    <xf numFmtId="0" fontId="17" fillId="0" borderId="47" xfId="0" applyFont="1" applyBorder="1"/>
    <xf numFmtId="0" fontId="12" fillId="0" borderId="48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49" xfId="0" applyFont="1" applyBorder="1" applyAlignment="1">
      <alignment horizontal="left"/>
    </xf>
    <xf numFmtId="0" fontId="12" fillId="0" borderId="47" xfId="0" applyFont="1" applyBorder="1" applyAlignment="1">
      <alignment horizontal="left"/>
    </xf>
    <xf numFmtId="10" fontId="12" fillId="0" borderId="0" xfId="6" applyNumberFormat="1" applyFont="1" applyFill="1" applyBorder="1" applyAlignment="1">
      <alignment horizontal="left"/>
    </xf>
    <xf numFmtId="0" fontId="7" fillId="0" borderId="47" xfId="0" applyFont="1" applyBorder="1"/>
    <xf numFmtId="0" fontId="12" fillId="0" borderId="50" xfId="0" applyFont="1" applyBorder="1"/>
    <xf numFmtId="0" fontId="12" fillId="0" borderId="37" xfId="0" applyFont="1" applyBorder="1"/>
    <xf numFmtId="43" fontId="12" fillId="0" borderId="51" xfId="0" applyNumberFormat="1" applyFont="1" applyBorder="1"/>
    <xf numFmtId="0" fontId="14" fillId="0" borderId="44" xfId="0" applyFont="1" applyBorder="1"/>
    <xf numFmtId="0" fontId="14" fillId="0" borderId="45" xfId="0" applyFont="1" applyBorder="1"/>
    <xf numFmtId="0" fontId="14" fillId="0" borderId="46" xfId="0" applyFont="1" applyBorder="1"/>
    <xf numFmtId="0" fontId="6" fillId="0" borderId="0" xfId="0" applyFont="1"/>
    <xf numFmtId="0" fontId="14" fillId="0" borderId="23" xfId="0" applyFont="1" applyBorder="1"/>
    <xf numFmtId="0" fontId="14" fillId="0" borderId="47" xfId="0" applyFont="1" applyBorder="1"/>
    <xf numFmtId="43" fontId="14" fillId="0" borderId="0" xfId="0" applyNumberFormat="1" applyFont="1"/>
    <xf numFmtId="0" fontId="14" fillId="0" borderId="50" xfId="0" applyFont="1" applyBorder="1"/>
    <xf numFmtId="0" fontId="14" fillId="0" borderId="37" xfId="0" applyFont="1" applyBorder="1"/>
    <xf numFmtId="0" fontId="14" fillId="0" borderId="51" xfId="0" applyFont="1" applyBorder="1"/>
    <xf numFmtId="49" fontId="16" fillId="6" borderId="0" xfId="4" applyNumberFormat="1" applyFont="1" applyFill="1" applyAlignment="1">
      <alignment horizontal="left"/>
    </xf>
    <xf numFmtId="0" fontId="9" fillId="0" borderId="53" xfId="0" applyFont="1" applyBorder="1" applyAlignment="1">
      <alignment horizontal="left" vertical="center" wrapText="1"/>
    </xf>
    <xf numFmtId="0" fontId="9" fillId="0" borderId="54" xfId="0" applyFont="1" applyBorder="1" applyAlignment="1">
      <alignment horizontal="left" vertical="center" wrapText="1"/>
    </xf>
    <xf numFmtId="0" fontId="9" fillId="0" borderId="55" xfId="0" applyFont="1" applyBorder="1" applyAlignment="1">
      <alignment horizontal="left" vertical="center" wrapText="1"/>
    </xf>
  </cellXfs>
  <cellStyles count="7">
    <cellStyle name="Comma" xfId="1" builtinId="3"/>
    <cellStyle name="Comma 2" xfId="5" xr:uid="{3AF8FB2F-B440-44D8-988E-7FCD961E5426}"/>
    <cellStyle name="Explanatory Text" xfId="2" builtinId="53"/>
    <cellStyle name="Normal" xfId="0" builtinId="0"/>
    <cellStyle name="Normal 2" xfId="4" xr:uid="{A03BA686-8330-4A8A-8CD5-32BB2A24A65C}"/>
    <cellStyle name="Percent 2" xfId="6" xr:uid="{8A78F901-5914-4A22-B32A-5C49B79327F3}"/>
    <cellStyle name="Style 1" xfId="3" xr:uid="{DFA9B99A-30F7-42E7-9B3E-1834DD2B6C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215</xdr:row>
      <xdr:rowOff>57150</xdr:rowOff>
    </xdr:from>
    <xdr:to>
      <xdr:col>4</xdr:col>
      <xdr:colOff>1562100</xdr:colOff>
      <xdr:row>228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77326F-B642-447D-B898-F2A64FEF6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9281100"/>
          <a:ext cx="6743700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6-27\May%202026\Monthly%2031-May-2026\HeliosMF_Monthtly%20Portfolio_31st%20May%202026_.xls" TargetMode="External"/><Relationship Id="rId1" Type="http://schemas.openxmlformats.org/officeDocument/2006/relationships/externalLinkPath" Target="HeliosMF_Monthtly%20Portfolio_31st%20May%202026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  <sheetName val="HSCF"/>
      <sheetName val="HAR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DE7C-B1E7-467F-B43C-D62987A6B7A9}">
  <sheetPr codeName="Sheet1"/>
  <dimension ref="A1:BB231"/>
  <sheetViews>
    <sheetView showGridLines="0" tabSelected="1" zoomScale="90" zoomScaleNormal="90" workbookViewId="0">
      <pane ySplit="6" topLeftCell="A159" activePane="bottomLeft" state="frozen"/>
      <selection pane="bottomLeft" activeCell="D107" sqref="D107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19" customWidth="1"/>
    <col min="7" max="10" width="19.5703125" style="20" customWidth="1"/>
    <col min="11" max="11" width="19.5703125" style="9" hidden="1" customWidth="1"/>
    <col min="12" max="12" width="9.140625" style="9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9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9" bestFit="1" customWidth="1"/>
    <col min="49" max="49" width="15" style="2" bestFit="1" customWidth="1"/>
    <col min="50" max="50" width="11.7109375" style="9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9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1" width="23.7109375" style="2" customWidth="1"/>
    <col min="262" max="266" width="19.5703125" style="2" customWidth="1"/>
    <col min="267" max="267" width="0" style="2" hidden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7" width="23.7109375" style="2" customWidth="1"/>
    <col min="518" max="522" width="19.5703125" style="2" customWidth="1"/>
    <col min="523" max="523" width="0" style="2" hidden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3" width="23.7109375" style="2" customWidth="1"/>
    <col min="774" max="778" width="19.5703125" style="2" customWidth="1"/>
    <col min="779" max="779" width="0" style="2" hidden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29" width="23.7109375" style="2" customWidth="1"/>
    <col min="1030" max="1034" width="19.5703125" style="2" customWidth="1"/>
    <col min="1035" max="1035" width="0" style="2" hidden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5" width="23.7109375" style="2" customWidth="1"/>
    <col min="1286" max="1290" width="19.5703125" style="2" customWidth="1"/>
    <col min="1291" max="1291" width="0" style="2" hidden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1" width="23.7109375" style="2" customWidth="1"/>
    <col min="1542" max="1546" width="19.5703125" style="2" customWidth="1"/>
    <col min="1547" max="1547" width="0" style="2" hidden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7" width="23.7109375" style="2" customWidth="1"/>
    <col min="1798" max="1802" width="19.5703125" style="2" customWidth="1"/>
    <col min="1803" max="1803" width="0" style="2" hidden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3" width="23.7109375" style="2" customWidth="1"/>
    <col min="2054" max="2058" width="19.5703125" style="2" customWidth="1"/>
    <col min="2059" max="2059" width="0" style="2" hidden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09" width="23.7109375" style="2" customWidth="1"/>
    <col min="2310" max="2314" width="19.5703125" style="2" customWidth="1"/>
    <col min="2315" max="2315" width="0" style="2" hidden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5" width="23.7109375" style="2" customWidth="1"/>
    <col min="2566" max="2570" width="19.5703125" style="2" customWidth="1"/>
    <col min="2571" max="2571" width="0" style="2" hidden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1" width="23.7109375" style="2" customWidth="1"/>
    <col min="2822" max="2826" width="19.5703125" style="2" customWidth="1"/>
    <col min="2827" max="2827" width="0" style="2" hidden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7" width="23.7109375" style="2" customWidth="1"/>
    <col min="3078" max="3082" width="19.5703125" style="2" customWidth="1"/>
    <col min="3083" max="3083" width="0" style="2" hidden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3" width="23.7109375" style="2" customWidth="1"/>
    <col min="3334" max="3338" width="19.5703125" style="2" customWidth="1"/>
    <col min="3339" max="3339" width="0" style="2" hidden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89" width="23.7109375" style="2" customWidth="1"/>
    <col min="3590" max="3594" width="19.5703125" style="2" customWidth="1"/>
    <col min="3595" max="3595" width="0" style="2" hidden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5" width="23.7109375" style="2" customWidth="1"/>
    <col min="3846" max="3850" width="19.5703125" style="2" customWidth="1"/>
    <col min="3851" max="3851" width="0" style="2" hidden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1" width="23.7109375" style="2" customWidth="1"/>
    <col min="4102" max="4106" width="19.5703125" style="2" customWidth="1"/>
    <col min="4107" max="4107" width="0" style="2" hidden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7" width="23.7109375" style="2" customWidth="1"/>
    <col min="4358" max="4362" width="19.5703125" style="2" customWidth="1"/>
    <col min="4363" max="4363" width="0" style="2" hidden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3" width="23.7109375" style="2" customWidth="1"/>
    <col min="4614" max="4618" width="19.5703125" style="2" customWidth="1"/>
    <col min="4619" max="4619" width="0" style="2" hidden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69" width="23.7109375" style="2" customWidth="1"/>
    <col min="4870" max="4874" width="19.5703125" style="2" customWidth="1"/>
    <col min="4875" max="4875" width="0" style="2" hidden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5" width="23.7109375" style="2" customWidth="1"/>
    <col min="5126" max="5130" width="19.5703125" style="2" customWidth="1"/>
    <col min="5131" max="5131" width="0" style="2" hidden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1" width="23.7109375" style="2" customWidth="1"/>
    <col min="5382" max="5386" width="19.5703125" style="2" customWidth="1"/>
    <col min="5387" max="5387" width="0" style="2" hidden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7" width="23.7109375" style="2" customWidth="1"/>
    <col min="5638" max="5642" width="19.5703125" style="2" customWidth="1"/>
    <col min="5643" max="5643" width="0" style="2" hidden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3" width="23.7109375" style="2" customWidth="1"/>
    <col min="5894" max="5898" width="19.5703125" style="2" customWidth="1"/>
    <col min="5899" max="5899" width="0" style="2" hidden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49" width="23.7109375" style="2" customWidth="1"/>
    <col min="6150" max="6154" width="19.5703125" style="2" customWidth="1"/>
    <col min="6155" max="6155" width="0" style="2" hidden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5" width="23.7109375" style="2" customWidth="1"/>
    <col min="6406" max="6410" width="19.5703125" style="2" customWidth="1"/>
    <col min="6411" max="6411" width="0" style="2" hidden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1" width="23.7109375" style="2" customWidth="1"/>
    <col min="6662" max="6666" width="19.5703125" style="2" customWidth="1"/>
    <col min="6667" max="6667" width="0" style="2" hidden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7" width="23.7109375" style="2" customWidth="1"/>
    <col min="6918" max="6922" width="19.5703125" style="2" customWidth="1"/>
    <col min="6923" max="6923" width="0" style="2" hidden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3" width="23.7109375" style="2" customWidth="1"/>
    <col min="7174" max="7178" width="19.5703125" style="2" customWidth="1"/>
    <col min="7179" max="7179" width="0" style="2" hidden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29" width="23.7109375" style="2" customWidth="1"/>
    <col min="7430" max="7434" width="19.5703125" style="2" customWidth="1"/>
    <col min="7435" max="7435" width="0" style="2" hidden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5" width="23.7109375" style="2" customWidth="1"/>
    <col min="7686" max="7690" width="19.5703125" style="2" customWidth="1"/>
    <col min="7691" max="7691" width="0" style="2" hidden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1" width="23.7109375" style="2" customWidth="1"/>
    <col min="7942" max="7946" width="19.5703125" style="2" customWidth="1"/>
    <col min="7947" max="7947" width="0" style="2" hidden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7" width="23.7109375" style="2" customWidth="1"/>
    <col min="8198" max="8202" width="19.5703125" style="2" customWidth="1"/>
    <col min="8203" max="8203" width="0" style="2" hidden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3" width="23.7109375" style="2" customWidth="1"/>
    <col min="8454" max="8458" width="19.5703125" style="2" customWidth="1"/>
    <col min="8459" max="8459" width="0" style="2" hidden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09" width="23.7109375" style="2" customWidth="1"/>
    <col min="8710" max="8714" width="19.5703125" style="2" customWidth="1"/>
    <col min="8715" max="8715" width="0" style="2" hidden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5" width="23.7109375" style="2" customWidth="1"/>
    <col min="8966" max="8970" width="19.5703125" style="2" customWidth="1"/>
    <col min="8971" max="8971" width="0" style="2" hidden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1" width="23.7109375" style="2" customWidth="1"/>
    <col min="9222" max="9226" width="19.5703125" style="2" customWidth="1"/>
    <col min="9227" max="9227" width="0" style="2" hidden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7" width="23.7109375" style="2" customWidth="1"/>
    <col min="9478" max="9482" width="19.5703125" style="2" customWidth="1"/>
    <col min="9483" max="9483" width="0" style="2" hidden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3" width="23.7109375" style="2" customWidth="1"/>
    <col min="9734" max="9738" width="19.5703125" style="2" customWidth="1"/>
    <col min="9739" max="9739" width="0" style="2" hidden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89" width="23.7109375" style="2" customWidth="1"/>
    <col min="9990" max="9994" width="19.5703125" style="2" customWidth="1"/>
    <col min="9995" max="9995" width="0" style="2" hidden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5" width="23.7109375" style="2" customWidth="1"/>
    <col min="10246" max="10250" width="19.5703125" style="2" customWidth="1"/>
    <col min="10251" max="10251" width="0" style="2" hidden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1" width="23.7109375" style="2" customWidth="1"/>
    <col min="10502" max="10506" width="19.5703125" style="2" customWidth="1"/>
    <col min="10507" max="10507" width="0" style="2" hidden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7" width="23.7109375" style="2" customWidth="1"/>
    <col min="10758" max="10762" width="19.5703125" style="2" customWidth="1"/>
    <col min="10763" max="10763" width="0" style="2" hidden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3" width="23.7109375" style="2" customWidth="1"/>
    <col min="11014" max="11018" width="19.5703125" style="2" customWidth="1"/>
    <col min="11019" max="11019" width="0" style="2" hidden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69" width="23.7109375" style="2" customWidth="1"/>
    <col min="11270" max="11274" width="19.5703125" style="2" customWidth="1"/>
    <col min="11275" max="11275" width="0" style="2" hidden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5" width="23.7109375" style="2" customWidth="1"/>
    <col min="11526" max="11530" width="19.5703125" style="2" customWidth="1"/>
    <col min="11531" max="11531" width="0" style="2" hidden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1" width="23.7109375" style="2" customWidth="1"/>
    <col min="11782" max="11786" width="19.5703125" style="2" customWidth="1"/>
    <col min="11787" max="11787" width="0" style="2" hidden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7" width="23.7109375" style="2" customWidth="1"/>
    <col min="12038" max="12042" width="19.5703125" style="2" customWidth="1"/>
    <col min="12043" max="12043" width="0" style="2" hidden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3" width="23.7109375" style="2" customWidth="1"/>
    <col min="12294" max="12298" width="19.5703125" style="2" customWidth="1"/>
    <col min="12299" max="12299" width="0" style="2" hidden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49" width="23.7109375" style="2" customWidth="1"/>
    <col min="12550" max="12554" width="19.5703125" style="2" customWidth="1"/>
    <col min="12555" max="12555" width="0" style="2" hidden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5" width="23.7109375" style="2" customWidth="1"/>
    <col min="12806" max="12810" width="19.5703125" style="2" customWidth="1"/>
    <col min="12811" max="12811" width="0" style="2" hidden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1" width="23.7109375" style="2" customWidth="1"/>
    <col min="13062" max="13066" width="19.5703125" style="2" customWidth="1"/>
    <col min="13067" max="13067" width="0" style="2" hidden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7" width="23.7109375" style="2" customWidth="1"/>
    <col min="13318" max="13322" width="19.5703125" style="2" customWidth="1"/>
    <col min="13323" max="13323" width="0" style="2" hidden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3" width="23.7109375" style="2" customWidth="1"/>
    <col min="13574" max="13578" width="19.5703125" style="2" customWidth="1"/>
    <col min="13579" max="13579" width="0" style="2" hidden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29" width="23.7109375" style="2" customWidth="1"/>
    <col min="13830" max="13834" width="19.5703125" style="2" customWidth="1"/>
    <col min="13835" max="13835" width="0" style="2" hidden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5" width="23.7109375" style="2" customWidth="1"/>
    <col min="14086" max="14090" width="19.5703125" style="2" customWidth="1"/>
    <col min="14091" max="14091" width="0" style="2" hidden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1" width="23.7109375" style="2" customWidth="1"/>
    <col min="14342" max="14346" width="19.5703125" style="2" customWidth="1"/>
    <col min="14347" max="14347" width="0" style="2" hidden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7" width="23.7109375" style="2" customWidth="1"/>
    <col min="14598" max="14602" width="19.5703125" style="2" customWidth="1"/>
    <col min="14603" max="14603" width="0" style="2" hidden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3" width="23.7109375" style="2" customWidth="1"/>
    <col min="14854" max="14858" width="19.5703125" style="2" customWidth="1"/>
    <col min="14859" max="14859" width="0" style="2" hidden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09" width="23.7109375" style="2" customWidth="1"/>
    <col min="15110" max="15114" width="19.5703125" style="2" customWidth="1"/>
    <col min="15115" max="15115" width="0" style="2" hidden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5" width="23.7109375" style="2" customWidth="1"/>
    <col min="15366" max="15370" width="19.5703125" style="2" customWidth="1"/>
    <col min="15371" max="15371" width="0" style="2" hidden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1" width="23.7109375" style="2" customWidth="1"/>
    <col min="15622" max="15626" width="19.5703125" style="2" customWidth="1"/>
    <col min="15627" max="15627" width="0" style="2" hidden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7" width="23.7109375" style="2" customWidth="1"/>
    <col min="15878" max="15882" width="19.5703125" style="2" customWidth="1"/>
    <col min="15883" max="15883" width="0" style="2" hidden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3" width="23.7109375" style="2" customWidth="1"/>
    <col min="16134" max="16138" width="19.5703125" style="2" customWidth="1"/>
    <col min="16139" max="16139" width="0" style="2" hidden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4.25" thickBot="1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25">
      <c r="C2" s="6" t="s">
        <v>0</v>
      </c>
      <c r="D2" s="7"/>
      <c r="E2" s="7"/>
      <c r="F2" s="7"/>
      <c r="G2" s="7"/>
      <c r="H2" s="7"/>
      <c r="I2" s="7"/>
      <c r="J2" s="8"/>
    </row>
    <row r="3" spans="1:54" x14ac:dyDescent="0.25">
      <c r="C3" s="10" t="s">
        <v>1</v>
      </c>
      <c r="D3" s="11" t="s">
        <v>2</v>
      </c>
      <c r="E3" s="12"/>
      <c r="F3" s="12"/>
      <c r="G3" s="12"/>
      <c r="H3" s="12"/>
      <c r="I3" s="12"/>
      <c r="J3" s="13"/>
    </row>
    <row r="4" spans="1:54" ht="14.25" thickBot="1" x14ac:dyDescent="0.3">
      <c r="C4" s="14" t="s">
        <v>3</v>
      </c>
      <c r="D4" s="15">
        <v>46173</v>
      </c>
      <c r="E4" s="16"/>
      <c r="F4" s="16"/>
      <c r="G4" s="16"/>
      <c r="H4" s="16"/>
      <c r="I4" s="16"/>
      <c r="J4" s="17"/>
    </row>
    <row r="5" spans="1:54" ht="14.25" thickBot="1" x14ac:dyDescent="0.3">
      <c r="C5" s="18"/>
    </row>
    <row r="6" spans="1:54" ht="25.5" x14ac:dyDescent="0.25">
      <c r="C6" s="21" t="s">
        <v>4</v>
      </c>
      <c r="D6" s="22" t="s">
        <v>5</v>
      </c>
      <c r="E6" s="23" t="s">
        <v>6</v>
      </c>
      <c r="F6" s="24" t="s">
        <v>7</v>
      </c>
      <c r="G6" s="25" t="s">
        <v>8</v>
      </c>
      <c r="H6" s="25" t="s">
        <v>9</v>
      </c>
      <c r="I6" s="26" t="s">
        <v>10</v>
      </c>
      <c r="J6" s="27" t="s">
        <v>11</v>
      </c>
      <c r="K6" s="28" t="s">
        <v>12</v>
      </c>
    </row>
    <row r="7" spans="1:54" x14ac:dyDescent="0.25">
      <c r="C7" s="29"/>
      <c r="D7" s="30"/>
      <c r="E7" s="31"/>
      <c r="F7" s="32"/>
      <c r="G7" s="33"/>
      <c r="H7" s="33"/>
      <c r="I7" s="34"/>
      <c r="J7" s="35"/>
      <c r="K7" s="36"/>
    </row>
    <row r="8" spans="1:54" x14ac:dyDescent="0.25">
      <c r="A8" s="37"/>
      <c r="B8" s="38"/>
      <c r="C8" s="39" t="s">
        <v>13</v>
      </c>
      <c r="D8" s="40"/>
      <c r="E8" s="41"/>
      <c r="F8" s="42"/>
      <c r="G8" s="43"/>
      <c r="H8" s="43"/>
      <c r="I8" s="44"/>
      <c r="J8" s="45"/>
      <c r="K8" s="46"/>
    </row>
    <row r="9" spans="1:54" x14ac:dyDescent="0.25">
      <c r="C9" s="47" t="s">
        <v>14</v>
      </c>
      <c r="D9" s="40"/>
      <c r="E9" s="41"/>
      <c r="F9" s="42"/>
      <c r="G9" s="43"/>
      <c r="H9" s="43"/>
      <c r="I9" s="44"/>
      <c r="J9" s="45"/>
      <c r="K9" s="46"/>
    </row>
    <row r="10" spans="1:54" x14ac:dyDescent="0.25">
      <c r="B10" s="1" t="s">
        <v>15</v>
      </c>
      <c r="C10" s="29" t="s">
        <v>16</v>
      </c>
      <c r="D10" s="40" t="s">
        <v>17</v>
      </c>
      <c r="E10" s="41" t="s">
        <v>18</v>
      </c>
      <c r="F10" s="42">
        <v>72100</v>
      </c>
      <c r="G10" s="43">
        <v>905.86</v>
      </c>
      <c r="H10" s="43">
        <v>6.29</v>
      </c>
      <c r="I10" s="44"/>
      <c r="J10" s="45"/>
      <c r="K10" s="46"/>
    </row>
    <row r="11" spans="1:54" x14ac:dyDescent="0.25">
      <c r="B11" s="1" t="s">
        <v>19</v>
      </c>
      <c r="C11" s="29" t="s">
        <v>20</v>
      </c>
      <c r="D11" s="40" t="s">
        <v>21</v>
      </c>
      <c r="E11" s="41" t="s">
        <v>22</v>
      </c>
      <c r="F11" s="42">
        <v>198000</v>
      </c>
      <c r="G11" s="43">
        <v>766.06</v>
      </c>
      <c r="H11" s="43">
        <v>5.32</v>
      </c>
      <c r="I11" s="44"/>
      <c r="J11" s="45"/>
      <c r="K11" s="46"/>
    </row>
    <row r="12" spans="1:54" x14ac:dyDescent="0.25">
      <c r="B12" s="1" t="s">
        <v>23</v>
      </c>
      <c r="C12" s="29" t="s">
        <v>24</v>
      </c>
      <c r="D12" s="40" t="s">
        <v>25</v>
      </c>
      <c r="E12" s="41" t="s">
        <v>18</v>
      </c>
      <c r="F12" s="42">
        <v>96250</v>
      </c>
      <c r="G12" s="43">
        <v>716.63</v>
      </c>
      <c r="H12" s="43">
        <v>4.9800000000000004</v>
      </c>
      <c r="I12" s="44"/>
      <c r="J12" s="45"/>
      <c r="K12" s="46"/>
    </row>
    <row r="13" spans="1:54" x14ac:dyDescent="0.25">
      <c r="B13" s="1" t="s">
        <v>26</v>
      </c>
      <c r="C13" s="29" t="s">
        <v>27</v>
      </c>
      <c r="D13" s="40" t="s">
        <v>28</v>
      </c>
      <c r="E13" s="41" t="s">
        <v>18</v>
      </c>
      <c r="F13" s="42">
        <v>67500</v>
      </c>
      <c r="G13" s="43">
        <v>650.97</v>
      </c>
      <c r="H13" s="43">
        <v>4.5199999999999996</v>
      </c>
      <c r="I13" s="44"/>
      <c r="J13" s="45"/>
      <c r="K13" s="46"/>
    </row>
    <row r="14" spans="1:54" x14ac:dyDescent="0.25">
      <c r="B14" s="1" t="s">
        <v>29</v>
      </c>
      <c r="C14" s="29" t="s">
        <v>30</v>
      </c>
      <c r="D14" s="40" t="s">
        <v>31</v>
      </c>
      <c r="E14" s="41" t="s">
        <v>32</v>
      </c>
      <c r="F14" s="42">
        <v>24000</v>
      </c>
      <c r="G14" s="43">
        <v>641.83000000000004</v>
      </c>
      <c r="H14" s="43">
        <v>4.46</v>
      </c>
      <c r="I14" s="44"/>
      <c r="J14" s="45"/>
      <c r="K14" s="46"/>
    </row>
    <row r="15" spans="1:54" x14ac:dyDescent="0.25">
      <c r="B15" s="1" t="s">
        <v>33</v>
      </c>
      <c r="C15" s="29" t="s">
        <v>34</v>
      </c>
      <c r="D15" s="40" t="s">
        <v>35</v>
      </c>
      <c r="E15" s="41" t="s">
        <v>36</v>
      </c>
      <c r="F15" s="42">
        <v>244925</v>
      </c>
      <c r="G15" s="43">
        <v>613.73</v>
      </c>
      <c r="H15" s="43">
        <v>4.26</v>
      </c>
      <c r="I15" s="44"/>
      <c r="J15" s="45"/>
      <c r="K15" s="46"/>
    </row>
    <row r="16" spans="1:54" x14ac:dyDescent="0.25">
      <c r="B16" s="1" t="s">
        <v>37</v>
      </c>
      <c r="C16" s="29" t="s">
        <v>38</v>
      </c>
      <c r="D16" s="40" t="s">
        <v>39</v>
      </c>
      <c r="E16" s="41" t="s">
        <v>40</v>
      </c>
      <c r="F16" s="42">
        <v>8100</v>
      </c>
      <c r="G16" s="43">
        <v>581.34</v>
      </c>
      <c r="H16" s="43">
        <v>4.04</v>
      </c>
      <c r="I16" s="44"/>
      <c r="J16" s="45"/>
      <c r="K16" s="46"/>
    </row>
    <row r="17" spans="2:11" x14ac:dyDescent="0.25">
      <c r="B17" s="1" t="s">
        <v>41</v>
      </c>
      <c r="C17" s="29" t="s">
        <v>42</v>
      </c>
      <c r="D17" s="40" t="s">
        <v>43</v>
      </c>
      <c r="E17" s="41" t="s">
        <v>44</v>
      </c>
      <c r="F17" s="42">
        <v>32200</v>
      </c>
      <c r="G17" s="43">
        <v>579.34</v>
      </c>
      <c r="H17" s="43">
        <v>4.03</v>
      </c>
      <c r="I17" s="44"/>
      <c r="J17" s="45"/>
      <c r="K17" s="46"/>
    </row>
    <row r="18" spans="2:11" x14ac:dyDescent="0.25">
      <c r="B18" s="1" t="s">
        <v>45</v>
      </c>
      <c r="C18" s="29" t="s">
        <v>46</v>
      </c>
      <c r="D18" s="40" t="s">
        <v>47</v>
      </c>
      <c r="E18" s="41" t="s">
        <v>40</v>
      </c>
      <c r="F18" s="42">
        <v>4150</v>
      </c>
      <c r="G18" s="43">
        <v>544.77</v>
      </c>
      <c r="H18" s="43">
        <v>3.79</v>
      </c>
      <c r="I18" s="44"/>
      <c r="J18" s="45"/>
      <c r="K18" s="46"/>
    </row>
    <row r="19" spans="2:11" x14ac:dyDescent="0.25">
      <c r="B19" s="1" t="s">
        <v>48</v>
      </c>
      <c r="C19" s="29" t="s">
        <v>49</v>
      </c>
      <c r="D19" s="40" t="s">
        <v>50</v>
      </c>
      <c r="E19" s="41" t="s">
        <v>51</v>
      </c>
      <c r="F19" s="42">
        <v>16500</v>
      </c>
      <c r="G19" s="43">
        <v>515.20000000000005</v>
      </c>
      <c r="H19" s="43">
        <v>3.58</v>
      </c>
      <c r="I19" s="44"/>
      <c r="J19" s="45"/>
      <c r="K19" s="46"/>
    </row>
    <row r="20" spans="2:11" x14ac:dyDescent="0.25">
      <c r="B20" s="1" t="s">
        <v>52</v>
      </c>
      <c r="C20" s="29" t="s">
        <v>53</v>
      </c>
      <c r="D20" s="40" t="s">
        <v>54</v>
      </c>
      <c r="E20" s="41" t="s">
        <v>18</v>
      </c>
      <c r="F20" s="42">
        <v>184275</v>
      </c>
      <c r="G20" s="43">
        <v>494.78</v>
      </c>
      <c r="H20" s="43">
        <v>3.44</v>
      </c>
      <c r="I20" s="44"/>
      <c r="J20" s="45"/>
      <c r="K20" s="46"/>
    </row>
    <row r="21" spans="2:11" x14ac:dyDescent="0.25">
      <c r="B21" s="1" t="s">
        <v>55</v>
      </c>
      <c r="C21" s="29" t="s">
        <v>56</v>
      </c>
      <c r="D21" s="40" t="s">
        <v>57</v>
      </c>
      <c r="E21" s="41" t="s">
        <v>58</v>
      </c>
      <c r="F21" s="42">
        <v>236500</v>
      </c>
      <c r="G21" s="43">
        <v>491.97</v>
      </c>
      <c r="H21" s="43">
        <v>3.42</v>
      </c>
      <c r="I21" s="44"/>
      <c r="J21" s="45"/>
      <c r="K21" s="46"/>
    </row>
    <row r="22" spans="2:11" x14ac:dyDescent="0.25">
      <c r="B22" s="1" t="s">
        <v>59</v>
      </c>
      <c r="C22" s="29" t="s">
        <v>60</v>
      </c>
      <c r="D22" s="40" t="s">
        <v>61</v>
      </c>
      <c r="E22" s="41" t="s">
        <v>40</v>
      </c>
      <c r="F22" s="42">
        <v>15200</v>
      </c>
      <c r="G22" s="43">
        <v>462.93</v>
      </c>
      <c r="H22" s="43">
        <v>3.22</v>
      </c>
      <c r="I22" s="44"/>
      <c r="J22" s="45"/>
      <c r="K22" s="46"/>
    </row>
    <row r="23" spans="2:11" x14ac:dyDescent="0.25">
      <c r="B23" s="1" t="s">
        <v>62</v>
      </c>
      <c r="C23" s="29" t="s">
        <v>63</v>
      </c>
      <c r="D23" s="40" t="s">
        <v>64</v>
      </c>
      <c r="E23" s="41" t="s">
        <v>44</v>
      </c>
      <c r="F23" s="42">
        <v>100000</v>
      </c>
      <c r="G23" s="43">
        <v>428.65</v>
      </c>
      <c r="H23" s="43">
        <v>2.98</v>
      </c>
      <c r="I23" s="44"/>
      <c r="J23" s="45"/>
      <c r="K23" s="46"/>
    </row>
    <row r="24" spans="2:11" x14ac:dyDescent="0.25">
      <c r="B24" s="1" t="s">
        <v>65</v>
      </c>
      <c r="C24" s="29" t="s">
        <v>66</v>
      </c>
      <c r="D24" s="40" t="s">
        <v>67</v>
      </c>
      <c r="E24" s="41" t="s">
        <v>68</v>
      </c>
      <c r="F24" s="42">
        <v>32200</v>
      </c>
      <c r="G24" s="43">
        <v>362.8</v>
      </c>
      <c r="H24" s="43">
        <v>2.52</v>
      </c>
      <c r="I24" s="44"/>
      <c r="J24" s="45"/>
      <c r="K24" s="46"/>
    </row>
    <row r="25" spans="2:11" x14ac:dyDescent="0.25">
      <c r="B25" s="1" t="s">
        <v>69</v>
      </c>
      <c r="C25" s="29" t="s">
        <v>70</v>
      </c>
      <c r="D25" s="40" t="s">
        <v>71</v>
      </c>
      <c r="E25" s="41" t="s">
        <v>72</v>
      </c>
      <c r="F25" s="42">
        <v>23000</v>
      </c>
      <c r="G25" s="43">
        <v>303.88</v>
      </c>
      <c r="H25" s="43">
        <v>2.11</v>
      </c>
      <c r="I25" s="44"/>
      <c r="J25" s="45"/>
      <c r="K25" s="46"/>
    </row>
    <row r="26" spans="2:11" x14ac:dyDescent="0.25">
      <c r="B26" s="1" t="s">
        <v>73</v>
      </c>
      <c r="C26" s="29" t="s">
        <v>74</v>
      </c>
      <c r="D26" s="40" t="s">
        <v>75</v>
      </c>
      <c r="E26" s="41" t="s">
        <v>76</v>
      </c>
      <c r="F26" s="42">
        <v>16150</v>
      </c>
      <c r="G26" s="43">
        <v>295.38</v>
      </c>
      <c r="H26" s="43">
        <v>2.0499999999999998</v>
      </c>
      <c r="I26" s="44"/>
      <c r="J26" s="45"/>
      <c r="K26" s="46"/>
    </row>
    <row r="27" spans="2:11" x14ac:dyDescent="0.25">
      <c r="B27" s="1" t="s">
        <v>77</v>
      </c>
      <c r="C27" s="29" t="s">
        <v>78</v>
      </c>
      <c r="D27" s="40" t="s">
        <v>79</v>
      </c>
      <c r="E27" s="41" t="s">
        <v>80</v>
      </c>
      <c r="F27" s="42">
        <v>75200</v>
      </c>
      <c r="G27" s="43">
        <v>215.75</v>
      </c>
      <c r="H27" s="43">
        <v>1.5</v>
      </c>
      <c r="I27" s="44"/>
      <c r="J27" s="45"/>
      <c r="K27" s="46"/>
    </row>
    <row r="28" spans="2:11" x14ac:dyDescent="0.25">
      <c r="B28" s="1" t="s">
        <v>81</v>
      </c>
      <c r="C28" s="29" t="s">
        <v>82</v>
      </c>
      <c r="D28" s="40" t="s">
        <v>83</v>
      </c>
      <c r="E28" s="41" t="s">
        <v>84</v>
      </c>
      <c r="F28" s="42">
        <v>4900</v>
      </c>
      <c r="G28" s="43">
        <v>199.75</v>
      </c>
      <c r="H28" s="43">
        <v>1.39</v>
      </c>
      <c r="I28" s="44"/>
      <c r="J28" s="45"/>
      <c r="K28" s="46"/>
    </row>
    <row r="29" spans="2:11" x14ac:dyDescent="0.25">
      <c r="B29" s="1" t="s">
        <v>85</v>
      </c>
      <c r="C29" s="29" t="s">
        <v>86</v>
      </c>
      <c r="D29" s="40" t="s">
        <v>87</v>
      </c>
      <c r="E29" s="41" t="s">
        <v>18</v>
      </c>
      <c r="F29" s="42">
        <v>14375</v>
      </c>
      <c r="G29" s="43">
        <v>184.95</v>
      </c>
      <c r="H29" s="43">
        <v>1.29</v>
      </c>
      <c r="I29" s="44"/>
      <c r="J29" s="45"/>
      <c r="K29" s="46"/>
    </row>
    <row r="30" spans="2:11" x14ac:dyDescent="0.25">
      <c r="B30" s="1" t="s">
        <v>88</v>
      </c>
      <c r="C30" s="29" t="s">
        <v>89</v>
      </c>
      <c r="D30" s="40" t="s">
        <v>90</v>
      </c>
      <c r="E30" s="41" t="s">
        <v>18</v>
      </c>
      <c r="F30" s="42">
        <v>40000</v>
      </c>
      <c r="G30" s="43">
        <v>153.68</v>
      </c>
      <c r="H30" s="43">
        <v>1.07</v>
      </c>
      <c r="I30" s="44"/>
      <c r="J30" s="45"/>
      <c r="K30" s="46"/>
    </row>
    <row r="31" spans="2:11" x14ac:dyDescent="0.25">
      <c r="B31" s="1" t="s">
        <v>91</v>
      </c>
      <c r="C31" s="29" t="s">
        <v>92</v>
      </c>
      <c r="D31" s="40" t="s">
        <v>93</v>
      </c>
      <c r="E31" s="41" t="s">
        <v>44</v>
      </c>
      <c r="F31" s="42">
        <v>10875</v>
      </c>
      <c r="G31" s="43">
        <v>152.36000000000001</v>
      </c>
      <c r="H31" s="43">
        <v>1.06</v>
      </c>
      <c r="I31" s="44"/>
      <c r="J31" s="45"/>
      <c r="K31" s="46"/>
    </row>
    <row r="32" spans="2:11" x14ac:dyDescent="0.25">
      <c r="B32" s="1" t="s">
        <v>94</v>
      </c>
      <c r="C32" s="29" t="s">
        <v>95</v>
      </c>
      <c r="D32" s="40" t="s">
        <v>96</v>
      </c>
      <c r="E32" s="41" t="s">
        <v>18</v>
      </c>
      <c r="F32" s="42">
        <v>14000</v>
      </c>
      <c r="G32" s="43">
        <v>128.01</v>
      </c>
      <c r="H32" s="43">
        <v>0.89</v>
      </c>
      <c r="I32" s="44"/>
      <c r="J32" s="45"/>
      <c r="K32" s="46"/>
    </row>
    <row r="33" spans="1:11" x14ac:dyDescent="0.25">
      <c r="B33" s="1" t="s">
        <v>97</v>
      </c>
      <c r="C33" s="29" t="s">
        <v>98</v>
      </c>
      <c r="D33" s="40" t="s">
        <v>99</v>
      </c>
      <c r="E33" s="41" t="s">
        <v>100</v>
      </c>
      <c r="F33" s="42">
        <v>3250</v>
      </c>
      <c r="G33" s="43">
        <v>86.83</v>
      </c>
      <c r="H33" s="43">
        <v>0.6</v>
      </c>
      <c r="I33" s="44"/>
      <c r="J33" s="45"/>
      <c r="K33" s="46"/>
    </row>
    <row r="34" spans="1:11" x14ac:dyDescent="0.25">
      <c r="B34" s="1" t="s">
        <v>101</v>
      </c>
      <c r="C34" s="29" t="s">
        <v>102</v>
      </c>
      <c r="D34" s="40" t="s">
        <v>103</v>
      </c>
      <c r="E34" s="41" t="s">
        <v>104</v>
      </c>
      <c r="F34" s="42">
        <v>17100</v>
      </c>
      <c r="G34" s="43">
        <v>70.239999999999995</v>
      </c>
      <c r="H34" s="43">
        <v>0.49</v>
      </c>
      <c r="I34" s="44"/>
      <c r="J34" s="45"/>
      <c r="K34" s="46"/>
    </row>
    <row r="35" spans="1:11" x14ac:dyDescent="0.25">
      <c r="B35" s="1" t="s">
        <v>105</v>
      </c>
      <c r="C35" s="29" t="s">
        <v>106</v>
      </c>
      <c r="D35" s="40" t="s">
        <v>107</v>
      </c>
      <c r="E35" s="41" t="s">
        <v>108</v>
      </c>
      <c r="F35" s="42">
        <v>3500</v>
      </c>
      <c r="G35" s="43">
        <v>62.43</v>
      </c>
      <c r="H35" s="43">
        <v>0.43</v>
      </c>
      <c r="I35" s="44"/>
      <c r="J35" s="45"/>
      <c r="K35" s="46"/>
    </row>
    <row r="36" spans="1:11" x14ac:dyDescent="0.25">
      <c r="B36" s="1" t="s">
        <v>109</v>
      </c>
      <c r="C36" s="29" t="s">
        <v>110</v>
      </c>
      <c r="D36" s="40" t="s">
        <v>111</v>
      </c>
      <c r="E36" s="41" t="s">
        <v>18</v>
      </c>
      <c r="F36" s="42">
        <v>46375</v>
      </c>
      <c r="G36" s="43">
        <v>33.07</v>
      </c>
      <c r="H36" s="43">
        <v>0.23</v>
      </c>
      <c r="I36" s="44"/>
      <c r="J36" s="45"/>
      <c r="K36" s="46"/>
    </row>
    <row r="37" spans="1:11" x14ac:dyDescent="0.25">
      <c r="C37" s="39" t="s">
        <v>112</v>
      </c>
      <c r="D37" s="40"/>
      <c r="E37" s="41"/>
      <c r="F37" s="42"/>
      <c r="G37" s="48">
        <v>10643.19</v>
      </c>
      <c r="H37" s="48">
        <v>73.959999999999994</v>
      </c>
      <c r="I37" s="44"/>
      <c r="J37" s="45"/>
      <c r="K37" s="46"/>
    </row>
    <row r="38" spans="1:11" x14ac:dyDescent="0.25">
      <c r="C38" s="29"/>
      <c r="D38" s="40"/>
      <c r="E38" s="41"/>
      <c r="F38" s="42"/>
      <c r="G38" s="43"/>
      <c r="H38" s="43"/>
      <c r="I38" s="44"/>
      <c r="J38" s="45"/>
      <c r="K38" s="46"/>
    </row>
    <row r="39" spans="1:11" x14ac:dyDescent="0.25">
      <c r="A39" s="37"/>
      <c r="B39" s="38"/>
      <c r="C39" s="39" t="s">
        <v>113</v>
      </c>
      <c r="D39" s="40"/>
      <c r="E39" s="41"/>
      <c r="F39" s="42"/>
      <c r="G39" s="43"/>
      <c r="H39" s="43"/>
      <c r="I39" s="44"/>
      <c r="J39" s="45"/>
      <c r="K39" s="46"/>
    </row>
    <row r="40" spans="1:11" x14ac:dyDescent="0.25">
      <c r="C40" s="47" t="s">
        <v>114</v>
      </c>
      <c r="D40" s="40"/>
      <c r="E40" s="41"/>
      <c r="F40" s="42"/>
      <c r="G40" s="43"/>
      <c r="H40" s="43"/>
      <c r="I40" s="44"/>
      <c r="J40" s="45"/>
      <c r="K40" s="46"/>
    </row>
    <row r="41" spans="1:11" x14ac:dyDescent="0.25">
      <c r="B41" s="1" t="s">
        <v>115</v>
      </c>
      <c r="C41" s="29" t="s">
        <v>116</v>
      </c>
      <c r="D41" s="40" t="s">
        <v>117</v>
      </c>
      <c r="E41" s="41" t="s">
        <v>118</v>
      </c>
      <c r="F41" s="42">
        <v>1000000</v>
      </c>
      <c r="G41" s="43">
        <v>946.66</v>
      </c>
      <c r="H41" s="43">
        <v>6.58</v>
      </c>
      <c r="I41" s="44">
        <v>5.9436</v>
      </c>
      <c r="J41" s="45"/>
      <c r="K41" s="46"/>
    </row>
    <row r="42" spans="1:11" x14ac:dyDescent="0.25">
      <c r="B42" s="1" t="s">
        <v>119</v>
      </c>
      <c r="C42" s="29" t="s">
        <v>120</v>
      </c>
      <c r="D42" s="40" t="s">
        <v>121</v>
      </c>
      <c r="E42" s="41" t="s">
        <v>118</v>
      </c>
      <c r="F42" s="42">
        <v>500000</v>
      </c>
      <c r="G42" s="43">
        <v>488.03</v>
      </c>
      <c r="H42" s="43">
        <v>3.39</v>
      </c>
      <c r="I42" s="44">
        <v>5.7031999999999998</v>
      </c>
      <c r="J42" s="45"/>
      <c r="K42" s="46"/>
    </row>
    <row r="43" spans="1:11" x14ac:dyDescent="0.25">
      <c r="B43" s="1" t="s">
        <v>122</v>
      </c>
      <c r="C43" s="29" t="s">
        <v>123</v>
      </c>
      <c r="D43" s="40" t="s">
        <v>124</v>
      </c>
      <c r="E43" s="41" t="s">
        <v>118</v>
      </c>
      <c r="F43" s="42">
        <v>500000</v>
      </c>
      <c r="G43" s="43">
        <v>481.34</v>
      </c>
      <c r="H43" s="43">
        <v>3.34</v>
      </c>
      <c r="I43" s="44">
        <v>5.8707000000000003</v>
      </c>
      <c r="J43" s="45"/>
      <c r="K43" s="46"/>
    </row>
    <row r="44" spans="1:11" x14ac:dyDescent="0.25">
      <c r="B44" s="1" t="s">
        <v>125</v>
      </c>
      <c r="C44" s="29" t="s">
        <v>126</v>
      </c>
      <c r="D44" s="40" t="s">
        <v>127</v>
      </c>
      <c r="E44" s="41" t="s">
        <v>118</v>
      </c>
      <c r="F44" s="42">
        <v>500000</v>
      </c>
      <c r="G44" s="43">
        <v>478.13</v>
      </c>
      <c r="H44" s="43">
        <v>3.32</v>
      </c>
      <c r="I44" s="44">
        <v>5.9</v>
      </c>
      <c r="J44" s="45"/>
      <c r="K44" s="46"/>
    </row>
    <row r="45" spans="1:11" x14ac:dyDescent="0.25">
      <c r="B45" s="1" t="s">
        <v>128</v>
      </c>
      <c r="C45" s="29" t="s">
        <v>129</v>
      </c>
      <c r="D45" s="40" t="s">
        <v>130</v>
      </c>
      <c r="E45" s="41" t="s">
        <v>118</v>
      </c>
      <c r="F45" s="42">
        <v>500000</v>
      </c>
      <c r="G45" s="43">
        <v>473.7</v>
      </c>
      <c r="H45" s="43">
        <v>3.29</v>
      </c>
      <c r="I45" s="44">
        <v>5.9774000000000003</v>
      </c>
      <c r="J45" s="45"/>
      <c r="K45" s="46"/>
    </row>
    <row r="46" spans="1:11" x14ac:dyDescent="0.25">
      <c r="B46" s="1" t="s">
        <v>131</v>
      </c>
      <c r="C46" s="29" t="s">
        <v>132</v>
      </c>
      <c r="D46" s="40" t="s">
        <v>133</v>
      </c>
      <c r="E46" s="41" t="s">
        <v>118</v>
      </c>
      <c r="F46" s="42">
        <v>200000</v>
      </c>
      <c r="G46" s="43">
        <v>197.82</v>
      </c>
      <c r="H46" s="43">
        <v>1.37</v>
      </c>
      <c r="I46" s="44">
        <v>5.4997999999999996</v>
      </c>
      <c r="J46" s="45"/>
      <c r="K46" s="46"/>
    </row>
    <row r="47" spans="1:11" x14ac:dyDescent="0.25">
      <c r="C47" s="39" t="s">
        <v>112</v>
      </c>
      <c r="D47" s="40"/>
      <c r="E47" s="41"/>
      <c r="F47" s="42"/>
      <c r="G47" s="48">
        <v>3065.68</v>
      </c>
      <c r="H47" s="48">
        <v>21.29</v>
      </c>
      <c r="I47" s="44"/>
      <c r="J47" s="45"/>
      <c r="K47" s="46"/>
    </row>
    <row r="48" spans="1:11" x14ac:dyDescent="0.25">
      <c r="C48" s="29"/>
      <c r="D48" s="40"/>
      <c r="E48" s="41"/>
      <c r="F48" s="42"/>
      <c r="G48" s="43"/>
      <c r="H48" s="43"/>
      <c r="I48" s="44"/>
      <c r="J48" s="45"/>
      <c r="K48" s="46"/>
    </row>
    <row r="49" spans="1:54" x14ac:dyDescent="0.25">
      <c r="A49" s="37"/>
      <c r="B49" s="38"/>
      <c r="C49" s="39" t="s">
        <v>134</v>
      </c>
      <c r="D49" s="40"/>
      <c r="E49" s="41"/>
      <c r="F49" s="42"/>
      <c r="G49" s="43"/>
      <c r="H49" s="43"/>
      <c r="I49" s="44"/>
      <c r="J49" s="45"/>
      <c r="K49" s="46"/>
    </row>
    <row r="50" spans="1:54" x14ac:dyDescent="0.25">
      <c r="C50" s="47" t="s">
        <v>135</v>
      </c>
      <c r="D50" s="40"/>
      <c r="E50" s="41"/>
      <c r="F50" s="42"/>
      <c r="G50" s="43"/>
      <c r="H50" s="43"/>
      <c r="I50" s="44"/>
      <c r="J50" s="45"/>
      <c r="K50" s="46"/>
    </row>
    <row r="51" spans="1:54" x14ac:dyDescent="0.25">
      <c r="B51" s="1" t="s">
        <v>136</v>
      </c>
      <c r="C51" s="29" t="s">
        <v>137</v>
      </c>
      <c r="D51" s="40"/>
      <c r="E51" s="41"/>
      <c r="F51" s="42"/>
      <c r="G51" s="43">
        <v>1405</v>
      </c>
      <c r="H51" s="43">
        <v>9.76</v>
      </c>
      <c r="I51" s="44">
        <v>5.350778</v>
      </c>
      <c r="J51" s="45"/>
      <c r="K51" s="46"/>
    </row>
    <row r="52" spans="1:54" x14ac:dyDescent="0.25">
      <c r="C52" s="39" t="s">
        <v>112</v>
      </c>
      <c r="D52" s="40"/>
      <c r="E52" s="41"/>
      <c r="F52" s="42"/>
      <c r="G52" s="48">
        <v>1405</v>
      </c>
      <c r="H52" s="48">
        <v>9.76</v>
      </c>
      <c r="I52" s="44"/>
      <c r="J52" s="45"/>
      <c r="K52" s="46"/>
    </row>
    <row r="53" spans="1:54" x14ac:dyDescent="0.25">
      <c r="C53" s="29"/>
      <c r="D53" s="40"/>
      <c r="E53" s="41"/>
      <c r="F53" s="42"/>
      <c r="G53" s="43"/>
      <c r="H53" s="43"/>
      <c r="I53" s="44"/>
      <c r="J53" s="45"/>
      <c r="K53" s="46"/>
    </row>
    <row r="54" spans="1:54" x14ac:dyDescent="0.25">
      <c r="A54" s="37"/>
      <c r="B54" s="38"/>
      <c r="C54" s="39" t="s">
        <v>138</v>
      </c>
      <c r="D54" s="40"/>
      <c r="E54" s="41"/>
      <c r="F54" s="42"/>
      <c r="G54" s="43"/>
      <c r="H54" s="43"/>
      <c r="I54" s="44"/>
      <c r="J54" s="45"/>
      <c r="K54" s="46"/>
    </row>
    <row r="55" spans="1:54" x14ac:dyDescent="0.25">
      <c r="A55" s="38"/>
      <c r="B55" s="38"/>
      <c r="C55" s="29" t="s">
        <v>139</v>
      </c>
      <c r="D55" s="40"/>
      <c r="E55" s="41"/>
      <c r="F55" s="42"/>
      <c r="G55" s="43">
        <v>324.02999999999997</v>
      </c>
      <c r="H55" s="43">
        <v>2.25</v>
      </c>
      <c r="I55" s="44"/>
      <c r="J55" s="45"/>
      <c r="K55" s="46"/>
    </row>
    <row r="56" spans="1:54" x14ac:dyDescent="0.25">
      <c r="B56" s="1"/>
      <c r="C56" s="29" t="s">
        <v>140</v>
      </c>
      <c r="D56" s="40"/>
      <c r="E56" s="41"/>
      <c r="F56" s="42"/>
      <c r="G56" s="43">
        <v>-1046.9299999999998</v>
      </c>
      <c r="H56" s="43">
        <v>-7.26</v>
      </c>
      <c r="I56" s="44"/>
      <c r="J56" s="45"/>
      <c r="K56" s="46"/>
    </row>
    <row r="57" spans="1:54" x14ac:dyDescent="0.25">
      <c r="C57" s="39" t="s">
        <v>112</v>
      </c>
      <c r="D57" s="40"/>
      <c r="E57" s="41"/>
      <c r="F57" s="42"/>
      <c r="G57" s="48">
        <v>-722.9</v>
      </c>
      <c r="H57" s="48">
        <v>-5.01</v>
      </c>
      <c r="I57" s="44"/>
      <c r="J57" s="45"/>
      <c r="K57" s="46"/>
    </row>
    <row r="58" spans="1:54" x14ac:dyDescent="0.25">
      <c r="C58" s="29"/>
      <c r="D58" s="40"/>
      <c r="E58" s="41"/>
      <c r="F58" s="42"/>
      <c r="G58" s="43"/>
      <c r="H58" s="43"/>
      <c r="I58" s="44"/>
      <c r="J58" s="45"/>
      <c r="K58" s="46"/>
    </row>
    <row r="59" spans="1:54" ht="14.25" thickBot="1" x14ac:dyDescent="0.3">
      <c r="C59" s="49" t="s">
        <v>141</v>
      </c>
      <c r="D59" s="50"/>
      <c r="E59" s="51"/>
      <c r="F59" s="52"/>
      <c r="G59" s="53">
        <v>14390.97</v>
      </c>
      <c r="H59" s="53">
        <f>SUMIFS(H:H,C:C,"Total")</f>
        <v>100</v>
      </c>
      <c r="I59" s="54"/>
      <c r="J59" s="55"/>
      <c r="K59" s="56"/>
    </row>
    <row r="61" spans="1:54" s="57" customFormat="1" ht="15.75" x14ac:dyDescent="0.3">
      <c r="C61" s="57" t="s">
        <v>142</v>
      </c>
      <c r="F61" s="58"/>
      <c r="G61" s="58"/>
      <c r="H61" s="58"/>
    </row>
    <row r="62" spans="1:54" s="59" customFormat="1" ht="27" x14ac:dyDescent="0.25">
      <c r="B62" s="60"/>
      <c r="C62" s="60" t="s">
        <v>143</v>
      </c>
      <c r="D62" s="60" t="s">
        <v>144</v>
      </c>
      <c r="E62" s="60" t="s">
        <v>145</v>
      </c>
      <c r="F62" s="61" t="s">
        <v>7</v>
      </c>
      <c r="G62" s="62" t="s">
        <v>146</v>
      </c>
      <c r="H62" s="61" t="s">
        <v>9</v>
      </c>
      <c r="I62" s="60" t="s">
        <v>12</v>
      </c>
    </row>
    <row r="63" spans="1:54" s="59" customFormat="1" x14ac:dyDescent="0.25">
      <c r="B63" s="60"/>
      <c r="C63" s="60" t="s">
        <v>147</v>
      </c>
      <c r="D63" s="60"/>
      <c r="E63" s="60"/>
      <c r="F63" s="61"/>
      <c r="G63" s="62"/>
      <c r="H63" s="61"/>
      <c r="I63" s="60"/>
    </row>
    <row r="64" spans="1:54" x14ac:dyDescent="0.25">
      <c r="B64" s="63">
        <v>2223035</v>
      </c>
      <c r="C64" s="63" t="s">
        <v>148</v>
      </c>
      <c r="D64" s="63" t="s">
        <v>149</v>
      </c>
      <c r="E64" s="63" t="s">
        <v>18</v>
      </c>
      <c r="F64" s="64">
        <v>-72100</v>
      </c>
      <c r="G64" s="64">
        <v>-915.67</v>
      </c>
      <c r="H64" s="64">
        <v>-6.36</v>
      </c>
      <c r="I64" s="63"/>
      <c r="J64" s="2"/>
      <c r="K64" s="2"/>
      <c r="L64" s="2"/>
      <c r="AI64" s="2"/>
      <c r="AV64" s="2"/>
      <c r="AX64" s="2"/>
      <c r="BB64" s="2"/>
    </row>
    <row r="65" spans="2:9" s="2" customFormat="1" x14ac:dyDescent="0.25">
      <c r="B65" s="63">
        <v>2222887</v>
      </c>
      <c r="C65" s="63" t="s">
        <v>150</v>
      </c>
      <c r="D65" s="63" t="s">
        <v>149</v>
      </c>
      <c r="E65" s="63" t="s">
        <v>22</v>
      </c>
      <c r="F65" s="64">
        <v>-198000</v>
      </c>
      <c r="G65" s="64">
        <v>-774.774</v>
      </c>
      <c r="H65" s="64">
        <v>-5.38</v>
      </c>
      <c r="I65" s="63"/>
    </row>
    <row r="66" spans="2:9" s="2" customFormat="1" x14ac:dyDescent="0.25">
      <c r="B66" s="63">
        <v>2222919</v>
      </c>
      <c r="C66" s="63" t="s">
        <v>151</v>
      </c>
      <c r="D66" s="63" t="s">
        <v>149</v>
      </c>
      <c r="E66" s="63" t="s">
        <v>18</v>
      </c>
      <c r="F66" s="64">
        <v>-96250</v>
      </c>
      <c r="G66" s="64">
        <v>-713.21249999999998</v>
      </c>
      <c r="H66" s="64">
        <v>-4.96</v>
      </c>
      <c r="I66" s="63"/>
    </row>
    <row r="67" spans="2:9" s="2" customFormat="1" x14ac:dyDescent="0.25">
      <c r="B67" s="63">
        <v>2222952</v>
      </c>
      <c r="C67" s="63" t="s">
        <v>152</v>
      </c>
      <c r="D67" s="63" t="s">
        <v>149</v>
      </c>
      <c r="E67" s="63" t="s">
        <v>18</v>
      </c>
      <c r="F67" s="64">
        <v>-67500</v>
      </c>
      <c r="G67" s="64">
        <v>-656.97749999999996</v>
      </c>
      <c r="H67" s="64">
        <v>-4.57</v>
      </c>
      <c r="I67" s="63"/>
    </row>
    <row r="68" spans="2:9" s="2" customFormat="1" x14ac:dyDescent="0.25">
      <c r="B68" s="63">
        <v>2223018</v>
      </c>
      <c r="C68" s="63" t="s">
        <v>153</v>
      </c>
      <c r="D68" s="63" t="s">
        <v>149</v>
      </c>
      <c r="E68" s="63" t="s">
        <v>32</v>
      </c>
      <c r="F68" s="64">
        <v>-24000</v>
      </c>
      <c r="G68" s="64">
        <v>-649.34400000000005</v>
      </c>
      <c r="H68" s="64">
        <v>-4.51</v>
      </c>
      <c r="I68" s="63"/>
    </row>
    <row r="69" spans="2:9" s="2" customFormat="1" x14ac:dyDescent="0.25">
      <c r="B69" s="63">
        <v>2223079</v>
      </c>
      <c r="C69" s="63" t="s">
        <v>154</v>
      </c>
      <c r="D69" s="63" t="s">
        <v>149</v>
      </c>
      <c r="E69" s="63" t="s">
        <v>36</v>
      </c>
      <c r="F69" s="64">
        <v>-244925</v>
      </c>
      <c r="G69" s="64">
        <v>-620.63995</v>
      </c>
      <c r="H69" s="64">
        <v>-4.3099999999999996</v>
      </c>
      <c r="I69" s="63"/>
    </row>
    <row r="70" spans="2:9" s="2" customFormat="1" x14ac:dyDescent="0.25">
      <c r="B70" s="63">
        <v>2223006</v>
      </c>
      <c r="C70" s="63" t="s">
        <v>155</v>
      </c>
      <c r="D70" s="63" t="s">
        <v>149</v>
      </c>
      <c r="E70" s="63" t="s">
        <v>40</v>
      </c>
      <c r="F70" s="64">
        <v>-8100</v>
      </c>
      <c r="G70" s="64">
        <v>-588.38400000000001</v>
      </c>
      <c r="H70" s="64">
        <v>-4.09</v>
      </c>
      <c r="I70" s="63"/>
    </row>
    <row r="71" spans="2:9" s="2" customFormat="1" x14ac:dyDescent="0.25">
      <c r="B71" s="63">
        <v>2223005</v>
      </c>
      <c r="C71" s="63" t="s">
        <v>156</v>
      </c>
      <c r="D71" s="63" t="s">
        <v>149</v>
      </c>
      <c r="E71" s="63" t="s">
        <v>44</v>
      </c>
      <c r="F71" s="64">
        <v>-32200</v>
      </c>
      <c r="G71" s="64">
        <v>-585.81460000000004</v>
      </c>
      <c r="H71" s="64">
        <v>-4.07</v>
      </c>
      <c r="I71" s="63"/>
    </row>
    <row r="72" spans="2:9" s="2" customFormat="1" x14ac:dyDescent="0.25">
      <c r="B72" s="63">
        <v>2222962</v>
      </c>
      <c r="C72" s="63" t="s">
        <v>157</v>
      </c>
      <c r="D72" s="63" t="s">
        <v>149</v>
      </c>
      <c r="E72" s="63" t="s">
        <v>40</v>
      </c>
      <c r="F72" s="64">
        <v>-4150</v>
      </c>
      <c r="G72" s="64">
        <v>-550.82950000000005</v>
      </c>
      <c r="H72" s="64">
        <v>-3.83</v>
      </c>
      <c r="I72" s="63"/>
    </row>
    <row r="73" spans="2:9" s="2" customFormat="1" x14ac:dyDescent="0.25">
      <c r="B73" s="63">
        <v>2223025</v>
      </c>
      <c r="C73" s="63" t="s">
        <v>158</v>
      </c>
      <c r="D73" s="63" t="s">
        <v>149</v>
      </c>
      <c r="E73" s="63" t="s">
        <v>51</v>
      </c>
      <c r="F73" s="64">
        <v>-16500</v>
      </c>
      <c r="G73" s="64">
        <v>-520.971</v>
      </c>
      <c r="H73" s="64">
        <v>-3.62</v>
      </c>
      <c r="I73" s="63"/>
    </row>
    <row r="74" spans="2:9" s="2" customFormat="1" x14ac:dyDescent="0.25">
      <c r="B74" s="63">
        <v>2223014</v>
      </c>
      <c r="C74" s="63" t="s">
        <v>159</v>
      </c>
      <c r="D74" s="63" t="s">
        <v>149</v>
      </c>
      <c r="E74" s="63" t="s">
        <v>18</v>
      </c>
      <c r="F74" s="64">
        <v>-184275</v>
      </c>
      <c r="G74" s="64">
        <v>-499.38524999999998</v>
      </c>
      <c r="H74" s="64">
        <v>-3.47</v>
      </c>
      <c r="I74" s="63"/>
    </row>
    <row r="75" spans="2:9" s="2" customFormat="1" x14ac:dyDescent="0.25">
      <c r="B75" s="63">
        <v>2222985</v>
      </c>
      <c r="C75" s="63" t="s">
        <v>160</v>
      </c>
      <c r="D75" s="63" t="s">
        <v>149</v>
      </c>
      <c r="E75" s="63" t="s">
        <v>58</v>
      </c>
      <c r="F75" s="64">
        <v>-236500</v>
      </c>
      <c r="G75" s="64">
        <v>-488.3252</v>
      </c>
      <c r="H75" s="64">
        <v>-3.39</v>
      </c>
      <c r="I75" s="63"/>
    </row>
    <row r="76" spans="2:9" s="2" customFormat="1" x14ac:dyDescent="0.25">
      <c r="B76" s="63">
        <v>2222890</v>
      </c>
      <c r="C76" s="63" t="s">
        <v>161</v>
      </c>
      <c r="D76" s="63" t="s">
        <v>149</v>
      </c>
      <c r="E76" s="63" t="s">
        <v>40</v>
      </c>
      <c r="F76" s="64">
        <v>-15200</v>
      </c>
      <c r="G76" s="64">
        <v>-468.05360000000002</v>
      </c>
      <c r="H76" s="64">
        <v>-3.25</v>
      </c>
      <c r="I76" s="63"/>
    </row>
    <row r="77" spans="2:9" s="2" customFormat="1" x14ac:dyDescent="0.25">
      <c r="B77" s="63">
        <v>2222931</v>
      </c>
      <c r="C77" s="63" t="s">
        <v>162</v>
      </c>
      <c r="D77" s="63" t="s">
        <v>149</v>
      </c>
      <c r="E77" s="63" t="s">
        <v>44</v>
      </c>
      <c r="F77" s="64">
        <v>-100000</v>
      </c>
      <c r="G77" s="64">
        <v>-433.5</v>
      </c>
      <c r="H77" s="64">
        <v>-3.01</v>
      </c>
      <c r="I77" s="63"/>
    </row>
    <row r="78" spans="2:9" s="2" customFormat="1" x14ac:dyDescent="0.25">
      <c r="B78" s="63">
        <v>2222960</v>
      </c>
      <c r="C78" s="63" t="s">
        <v>163</v>
      </c>
      <c r="D78" s="63" t="s">
        <v>149</v>
      </c>
      <c r="E78" s="63" t="s">
        <v>68</v>
      </c>
      <c r="F78" s="64">
        <v>-32200</v>
      </c>
      <c r="G78" s="64">
        <v>-367.11219999999997</v>
      </c>
      <c r="H78" s="64">
        <v>-2.5499999999999998</v>
      </c>
      <c r="I78" s="63"/>
    </row>
    <row r="79" spans="2:9" s="2" customFormat="1" x14ac:dyDescent="0.25">
      <c r="B79" s="63">
        <v>2222898</v>
      </c>
      <c r="C79" s="63" t="s">
        <v>164</v>
      </c>
      <c r="D79" s="63" t="s">
        <v>149</v>
      </c>
      <c r="E79" s="63" t="s">
        <v>72</v>
      </c>
      <c r="F79" s="64">
        <v>-23000</v>
      </c>
      <c r="G79" s="64">
        <v>-305.87700000000001</v>
      </c>
      <c r="H79" s="64">
        <v>-2.13</v>
      </c>
      <c r="I79" s="63"/>
    </row>
    <row r="80" spans="2:9" s="2" customFormat="1" x14ac:dyDescent="0.25">
      <c r="B80" s="63">
        <v>2222915</v>
      </c>
      <c r="C80" s="63" t="s">
        <v>165</v>
      </c>
      <c r="D80" s="63" t="s">
        <v>149</v>
      </c>
      <c r="E80" s="63" t="s">
        <v>76</v>
      </c>
      <c r="F80" s="64">
        <v>-16150</v>
      </c>
      <c r="G80" s="64">
        <v>-297.96749999999997</v>
      </c>
      <c r="H80" s="64">
        <v>-2.0699999999999998</v>
      </c>
      <c r="I80" s="63"/>
    </row>
    <row r="81" spans="2:11" s="2" customFormat="1" x14ac:dyDescent="0.25">
      <c r="B81" s="63">
        <v>2222939</v>
      </c>
      <c r="C81" s="63" t="s">
        <v>166</v>
      </c>
      <c r="D81" s="63" t="s">
        <v>149</v>
      </c>
      <c r="E81" s="63" t="s">
        <v>80</v>
      </c>
      <c r="F81" s="64">
        <v>-75200</v>
      </c>
      <c r="G81" s="64">
        <v>-218.04239999999999</v>
      </c>
      <c r="H81" s="64">
        <v>-1.52</v>
      </c>
      <c r="I81" s="63"/>
    </row>
    <row r="82" spans="2:11" s="2" customFormat="1" x14ac:dyDescent="0.25">
      <c r="B82" s="63">
        <v>2222938</v>
      </c>
      <c r="C82" s="63" t="s">
        <v>167</v>
      </c>
      <c r="D82" s="63" t="s">
        <v>149</v>
      </c>
      <c r="E82" s="63" t="s">
        <v>84</v>
      </c>
      <c r="F82" s="64">
        <v>-4900</v>
      </c>
      <c r="G82" s="64">
        <v>-201.47819999999999</v>
      </c>
      <c r="H82" s="64">
        <v>-1.4</v>
      </c>
      <c r="I82" s="63"/>
    </row>
    <row r="83" spans="2:11" s="2" customFormat="1" x14ac:dyDescent="0.25">
      <c r="B83" s="63">
        <v>2223044</v>
      </c>
      <c r="C83" s="63" t="s">
        <v>168</v>
      </c>
      <c r="D83" s="63" t="s">
        <v>149</v>
      </c>
      <c r="E83" s="63" t="s">
        <v>18</v>
      </c>
      <c r="F83" s="64">
        <v>-14375</v>
      </c>
      <c r="G83" s="64">
        <v>-186.90375</v>
      </c>
      <c r="H83" s="64">
        <v>-1.3</v>
      </c>
      <c r="I83" s="63"/>
    </row>
    <row r="84" spans="2:11" s="2" customFormat="1" x14ac:dyDescent="0.25">
      <c r="B84" s="63">
        <v>2222873</v>
      </c>
      <c r="C84" s="63" t="s">
        <v>169</v>
      </c>
      <c r="D84" s="63" t="s">
        <v>149</v>
      </c>
      <c r="E84" s="63" t="s">
        <v>18</v>
      </c>
      <c r="F84" s="64">
        <v>-40000</v>
      </c>
      <c r="G84" s="64">
        <v>-155.30000000000001</v>
      </c>
      <c r="H84" s="64">
        <v>-1.08</v>
      </c>
      <c r="I84" s="63"/>
    </row>
    <row r="85" spans="2:11" s="2" customFormat="1" x14ac:dyDescent="0.25">
      <c r="B85" s="63">
        <v>2222905</v>
      </c>
      <c r="C85" s="63" t="s">
        <v>170</v>
      </c>
      <c r="D85" s="63" t="s">
        <v>149</v>
      </c>
      <c r="E85" s="63" t="s">
        <v>44</v>
      </c>
      <c r="F85" s="64">
        <v>-10875</v>
      </c>
      <c r="G85" s="64">
        <v>-152.685</v>
      </c>
      <c r="H85" s="64">
        <v>-1.06</v>
      </c>
      <c r="I85" s="63"/>
    </row>
    <row r="86" spans="2:11" s="2" customFormat="1" x14ac:dyDescent="0.25">
      <c r="B86" s="63">
        <v>2223016</v>
      </c>
      <c r="C86" s="63" t="s">
        <v>171</v>
      </c>
      <c r="D86" s="63" t="s">
        <v>149</v>
      </c>
      <c r="E86" s="63" t="s">
        <v>18</v>
      </c>
      <c r="F86" s="64">
        <v>-14000</v>
      </c>
      <c r="G86" s="64">
        <v>-129.32499999999999</v>
      </c>
      <c r="H86" s="64">
        <v>-0.9</v>
      </c>
      <c r="I86" s="63"/>
    </row>
    <row r="87" spans="2:11" s="2" customFormat="1" x14ac:dyDescent="0.25">
      <c r="B87" s="63">
        <v>2222961</v>
      </c>
      <c r="C87" s="63" t="s">
        <v>172</v>
      </c>
      <c r="D87" s="63" t="s">
        <v>149</v>
      </c>
      <c r="E87" s="63" t="s">
        <v>100</v>
      </c>
      <c r="F87" s="64">
        <v>-3250</v>
      </c>
      <c r="G87" s="64">
        <v>-87.119500000000002</v>
      </c>
      <c r="H87" s="64">
        <v>-0.61</v>
      </c>
      <c r="I87" s="63"/>
    </row>
    <row r="88" spans="2:11" s="2" customFormat="1" x14ac:dyDescent="0.25">
      <c r="B88" s="63">
        <v>2222996</v>
      </c>
      <c r="C88" s="63" t="s">
        <v>173</v>
      </c>
      <c r="D88" s="63" t="s">
        <v>149</v>
      </c>
      <c r="E88" s="63" t="s">
        <v>104</v>
      </c>
      <c r="F88" s="64">
        <v>-17100</v>
      </c>
      <c r="G88" s="64">
        <v>-71.04195</v>
      </c>
      <c r="H88" s="64">
        <v>-0.49</v>
      </c>
      <c r="I88" s="63"/>
    </row>
    <row r="89" spans="2:11" s="2" customFormat="1" x14ac:dyDescent="0.25">
      <c r="B89" s="63">
        <v>2222918</v>
      </c>
      <c r="C89" s="63" t="s">
        <v>174</v>
      </c>
      <c r="D89" s="63" t="s">
        <v>149</v>
      </c>
      <c r="E89" s="63" t="s">
        <v>108</v>
      </c>
      <c r="F89" s="64">
        <v>-3500</v>
      </c>
      <c r="G89" s="64">
        <v>-63.045499999999997</v>
      </c>
      <c r="H89" s="64">
        <v>-0.44</v>
      </c>
      <c r="I89" s="63"/>
    </row>
    <row r="90" spans="2:11" s="2" customFormat="1" x14ac:dyDescent="0.25">
      <c r="B90" s="63">
        <v>2222879</v>
      </c>
      <c r="C90" s="63" t="s">
        <v>175</v>
      </c>
      <c r="D90" s="63" t="s">
        <v>149</v>
      </c>
      <c r="E90" s="63" t="s">
        <v>18</v>
      </c>
      <c r="F90" s="64">
        <v>-46375</v>
      </c>
      <c r="G90" s="64">
        <v>-33.348262499999997</v>
      </c>
      <c r="H90" s="64">
        <v>-0.23</v>
      </c>
      <c r="I90" s="63"/>
    </row>
    <row r="91" spans="2:11" s="18" customFormat="1" x14ac:dyDescent="0.25">
      <c r="B91" s="65"/>
      <c r="C91" s="65" t="s">
        <v>176</v>
      </c>
      <c r="D91" s="65"/>
      <c r="E91" s="65"/>
      <c r="F91" s="66"/>
      <c r="G91" s="66">
        <f>SUM(G63:G90)</f>
        <v>-10735.127362499999</v>
      </c>
      <c r="H91" s="66">
        <f>SUM(H63:H90)</f>
        <v>-74.599999999999994</v>
      </c>
      <c r="I91" s="65"/>
    </row>
    <row r="93" spans="2:11" x14ac:dyDescent="0.25">
      <c r="C93" s="18" t="s">
        <v>177</v>
      </c>
    </row>
    <row r="94" spans="2:11" x14ac:dyDescent="0.25">
      <c r="C94" s="67" t="s">
        <v>178</v>
      </c>
      <c r="D94" s="67"/>
      <c r="E94" s="67"/>
      <c r="F94" s="67"/>
      <c r="G94" s="67"/>
      <c r="H94" s="67"/>
      <c r="I94" s="67"/>
      <c r="J94" s="67"/>
      <c r="K94" s="67"/>
    </row>
    <row r="95" spans="2:11" x14ac:dyDescent="0.25">
      <c r="C95" s="2" t="s">
        <v>179</v>
      </c>
    </row>
    <row r="96" spans="2:11" x14ac:dyDescent="0.25">
      <c r="C96" s="2" t="s">
        <v>180</v>
      </c>
    </row>
    <row r="97" spans="3:11" x14ac:dyDescent="0.25">
      <c r="C97" s="68" t="s">
        <v>181</v>
      </c>
      <c r="D97" s="69"/>
      <c r="E97" s="69"/>
      <c r="F97" s="69"/>
      <c r="G97" s="69"/>
      <c r="H97" s="69"/>
      <c r="I97" s="69"/>
      <c r="J97" s="69"/>
      <c r="K97" s="69"/>
    </row>
    <row r="98" spans="3:11" x14ac:dyDescent="0.25">
      <c r="C98" s="68" t="s">
        <v>182</v>
      </c>
      <c r="D98" s="69"/>
      <c r="E98" s="69"/>
      <c r="F98" s="69"/>
      <c r="G98" s="69"/>
      <c r="H98" s="69"/>
      <c r="I98" s="69"/>
      <c r="J98" s="69"/>
      <c r="K98" s="69"/>
    </row>
    <row r="99" spans="3:11" x14ac:dyDescent="0.25">
      <c r="C99" s="2" t="s">
        <v>183</v>
      </c>
    </row>
    <row r="101" spans="3:11" ht="16.5" thickBot="1" x14ac:dyDescent="0.3">
      <c r="C101" s="70" t="s">
        <v>184</v>
      </c>
      <c r="D101" s="71"/>
    </row>
    <row r="102" spans="3:11" ht="25.5" x14ac:dyDescent="0.25">
      <c r="C102" s="72" t="s">
        <v>185</v>
      </c>
      <c r="D102" s="73" t="s">
        <v>186</v>
      </c>
      <c r="E102" s="73" t="s">
        <v>187</v>
      </c>
    </row>
    <row r="103" spans="3:11" x14ac:dyDescent="0.25">
      <c r="C103" s="74" t="s">
        <v>188</v>
      </c>
      <c r="D103" s="75">
        <v>10.06</v>
      </c>
      <c r="E103" s="75">
        <v>10.06</v>
      </c>
    </row>
    <row r="104" spans="3:11" x14ac:dyDescent="0.25">
      <c r="C104" s="74" t="s">
        <v>189</v>
      </c>
      <c r="D104" s="75">
        <v>10.06</v>
      </c>
      <c r="E104" s="75">
        <v>10.06</v>
      </c>
    </row>
    <row r="105" spans="3:11" x14ac:dyDescent="0.25">
      <c r="C105" s="74" t="s">
        <v>190</v>
      </c>
      <c r="D105" s="75">
        <v>10.06</v>
      </c>
      <c r="E105" s="75">
        <v>10.07</v>
      </c>
    </row>
    <row r="106" spans="3:11" x14ac:dyDescent="0.25">
      <c r="C106" s="74" t="s">
        <v>191</v>
      </c>
      <c r="D106" s="75">
        <v>10.06</v>
      </c>
      <c r="E106" s="75">
        <v>10.07</v>
      </c>
    </row>
    <row r="107" spans="3:11" x14ac:dyDescent="0.25">
      <c r="C107" s="76"/>
      <c r="D107" s="77"/>
      <c r="E107" s="77"/>
    </row>
    <row r="108" spans="3:11" x14ac:dyDescent="0.25">
      <c r="C108" s="76"/>
    </row>
    <row r="109" spans="3:11" ht="14.25" thickBot="1" x14ac:dyDescent="0.3">
      <c r="C109" s="78" t="s">
        <v>192</v>
      </c>
      <c r="D109" s="78"/>
      <c r="E109" s="78"/>
    </row>
    <row r="110" spans="3:11" x14ac:dyDescent="0.25">
      <c r="C110" s="79" t="s">
        <v>185</v>
      </c>
      <c r="D110" s="80" t="s">
        <v>193</v>
      </c>
      <c r="E110" s="81"/>
    </row>
    <row r="111" spans="3:11" x14ac:dyDescent="0.25">
      <c r="C111" s="82"/>
      <c r="D111" s="83" t="s">
        <v>194</v>
      </c>
      <c r="E111" s="84" t="s">
        <v>195</v>
      </c>
    </row>
    <row r="112" spans="3:11" x14ac:dyDescent="0.25">
      <c r="C112" s="85" t="s">
        <v>189</v>
      </c>
      <c r="D112" s="86" t="s">
        <v>196</v>
      </c>
      <c r="E112" s="87" t="s">
        <v>196</v>
      </c>
    </row>
    <row r="113" spans="3:8" ht="14.25" thickBot="1" x14ac:dyDescent="0.3">
      <c r="C113" s="88" t="s">
        <v>191</v>
      </c>
      <c r="D113" s="89" t="s">
        <v>196</v>
      </c>
      <c r="E113" s="90" t="s">
        <v>196</v>
      </c>
    </row>
    <row r="114" spans="3:8" ht="14.25" thickBot="1" x14ac:dyDescent="0.3">
      <c r="C114" s="91"/>
      <c r="D114" s="91"/>
      <c r="E114" s="91"/>
    </row>
    <row r="115" spans="3:8" ht="14.25" thickBot="1" x14ac:dyDescent="0.3">
      <c r="C115" s="92" t="s">
        <v>197</v>
      </c>
      <c r="D115" s="93">
        <v>2.6</v>
      </c>
      <c r="E115" s="94"/>
    </row>
    <row r="117" spans="3:8" ht="15" x14ac:dyDescent="0.25">
      <c r="C117" s="95" t="s">
        <v>198</v>
      </c>
      <c r="D117" s="95"/>
    </row>
    <row r="118" spans="3:8" ht="15" x14ac:dyDescent="0.25">
      <c r="C118" s="95" t="s">
        <v>199</v>
      </c>
      <c r="D118" s="95"/>
    </row>
    <row r="119" spans="3:8" ht="15" x14ac:dyDescent="0.25">
      <c r="C119" s="95" t="s">
        <v>200</v>
      </c>
      <c r="D119" s="95"/>
    </row>
    <row r="120" spans="3:8" ht="15" x14ac:dyDescent="0.25">
      <c r="C120" s="96" t="s">
        <v>201</v>
      </c>
      <c r="D120" s="95"/>
    </row>
    <row r="121" spans="3:8" ht="15" x14ac:dyDescent="0.25">
      <c r="C121" s="96" t="s">
        <v>202</v>
      </c>
      <c r="D121" s="95"/>
    </row>
    <row r="122" spans="3:8" ht="15" x14ac:dyDescent="0.25">
      <c r="C122" s="96" t="s">
        <v>203</v>
      </c>
      <c r="D122" s="95"/>
    </row>
    <row r="123" spans="3:8" ht="15" x14ac:dyDescent="0.25">
      <c r="C123" s="96" t="s">
        <v>204</v>
      </c>
    </row>
    <row r="124" spans="3:8" ht="15.75" thickBot="1" x14ac:dyDescent="0.3">
      <c r="C124" s="96"/>
    </row>
    <row r="125" spans="3:8" x14ac:dyDescent="0.25">
      <c r="C125" s="97" t="s">
        <v>205</v>
      </c>
      <c r="D125" s="98"/>
      <c r="E125" s="98"/>
      <c r="F125" s="99"/>
      <c r="G125" s="99"/>
      <c r="H125" s="100"/>
    </row>
    <row r="126" spans="3:8" ht="40.5" x14ac:dyDescent="0.25">
      <c r="C126" s="101" t="s">
        <v>206</v>
      </c>
      <c r="D126" s="102" t="s">
        <v>207</v>
      </c>
      <c r="E126" s="102" t="s">
        <v>144</v>
      </c>
      <c r="F126" s="102" t="s">
        <v>208</v>
      </c>
      <c r="G126" s="102" t="s">
        <v>209</v>
      </c>
      <c r="H126" s="103" t="s">
        <v>210</v>
      </c>
    </row>
    <row r="127" spans="3:8" x14ac:dyDescent="0.25">
      <c r="C127" s="104" t="s">
        <v>98</v>
      </c>
      <c r="D127" s="105">
        <v>46203</v>
      </c>
      <c r="E127" s="106" t="s">
        <v>149</v>
      </c>
      <c r="F127" s="107">
        <v>2603.5231020000001</v>
      </c>
      <c r="G127" s="107">
        <v>2680.6</v>
      </c>
      <c r="H127" s="108">
        <v>15.418341299999998</v>
      </c>
    </row>
    <row r="128" spans="3:8" x14ac:dyDescent="0.25">
      <c r="C128" s="104" t="s">
        <v>86</v>
      </c>
      <c r="D128" s="105">
        <v>46203</v>
      </c>
      <c r="E128" s="106" t="s">
        <v>149</v>
      </c>
      <c r="F128" s="107">
        <v>1258.0999999999999</v>
      </c>
      <c r="G128" s="107">
        <v>1300.2</v>
      </c>
      <c r="H128" s="108">
        <v>33.302059399999997</v>
      </c>
    </row>
    <row r="129" spans="3:8" x14ac:dyDescent="0.25">
      <c r="C129" s="104" t="s">
        <v>106</v>
      </c>
      <c r="D129" s="105">
        <v>46203</v>
      </c>
      <c r="E129" s="106" t="s">
        <v>149</v>
      </c>
      <c r="F129" s="107">
        <v>1773.2927999999999</v>
      </c>
      <c r="G129" s="107">
        <v>1801.3</v>
      </c>
      <c r="H129" s="108">
        <v>11.2527975</v>
      </c>
    </row>
    <row r="130" spans="3:8" x14ac:dyDescent="0.25">
      <c r="C130" s="104" t="s">
        <v>53</v>
      </c>
      <c r="D130" s="105">
        <v>46203</v>
      </c>
      <c r="E130" s="106" t="s">
        <v>149</v>
      </c>
      <c r="F130" s="107">
        <v>271.87459999999999</v>
      </c>
      <c r="G130" s="107">
        <v>271</v>
      </c>
      <c r="H130" s="108">
        <v>97.881812400000001</v>
      </c>
    </row>
    <row r="131" spans="3:8" x14ac:dyDescent="0.25">
      <c r="C131" s="104" t="s">
        <v>102</v>
      </c>
      <c r="D131" s="105">
        <v>46203</v>
      </c>
      <c r="E131" s="106" t="s">
        <v>149</v>
      </c>
      <c r="F131" s="107">
        <v>415.75</v>
      </c>
      <c r="G131" s="107">
        <v>415.45</v>
      </c>
      <c r="H131" s="108">
        <v>14.009388799999998</v>
      </c>
    </row>
    <row r="132" spans="3:8" x14ac:dyDescent="0.25">
      <c r="C132" s="104" t="s">
        <v>74</v>
      </c>
      <c r="D132" s="105">
        <v>46203</v>
      </c>
      <c r="E132" s="106" t="s">
        <v>149</v>
      </c>
      <c r="F132" s="107">
        <v>1897.6470300000001</v>
      </c>
      <c r="G132" s="107">
        <v>1845</v>
      </c>
      <c r="H132" s="108">
        <v>53.164104299999998</v>
      </c>
    </row>
    <row r="133" spans="3:8" x14ac:dyDescent="0.25">
      <c r="C133" s="104" t="s">
        <v>63</v>
      </c>
      <c r="D133" s="105">
        <v>46203</v>
      </c>
      <c r="E133" s="106" t="s">
        <v>149</v>
      </c>
      <c r="F133" s="107">
        <v>436.57873999999998</v>
      </c>
      <c r="G133" s="107">
        <v>433.5</v>
      </c>
      <c r="H133" s="108">
        <v>84.188249999999996</v>
      </c>
    </row>
    <row r="134" spans="3:8" x14ac:dyDescent="0.25">
      <c r="C134" s="104" t="s">
        <v>92</v>
      </c>
      <c r="D134" s="105">
        <v>46203</v>
      </c>
      <c r="E134" s="106" t="s">
        <v>149</v>
      </c>
      <c r="F134" s="107">
        <v>1406.5274999999999</v>
      </c>
      <c r="G134" s="107">
        <v>1404</v>
      </c>
      <c r="H134" s="108">
        <v>27.362805000000002</v>
      </c>
    </row>
    <row r="135" spans="3:8" x14ac:dyDescent="0.25">
      <c r="C135" s="104" t="s">
        <v>38</v>
      </c>
      <c r="D135" s="105">
        <v>46203</v>
      </c>
      <c r="E135" s="106" t="s">
        <v>149</v>
      </c>
      <c r="F135" s="107">
        <v>7025.827174</v>
      </c>
      <c r="G135" s="107">
        <v>7264</v>
      </c>
      <c r="H135" s="108">
        <v>111.04431750000001</v>
      </c>
    </row>
    <row r="136" spans="3:8" x14ac:dyDescent="0.25">
      <c r="C136" s="104" t="s">
        <v>34</v>
      </c>
      <c r="D136" s="105">
        <v>46203</v>
      </c>
      <c r="E136" s="106" t="s">
        <v>149</v>
      </c>
      <c r="F136" s="107">
        <v>246.57916399999999</v>
      </c>
      <c r="G136" s="107">
        <v>253.4</v>
      </c>
      <c r="H136" s="108">
        <v>148.54260390000002</v>
      </c>
    </row>
    <row r="137" spans="3:8" x14ac:dyDescent="0.25">
      <c r="C137" s="104" t="s">
        <v>49</v>
      </c>
      <c r="D137" s="105">
        <v>46203</v>
      </c>
      <c r="E137" s="106" t="s">
        <v>149</v>
      </c>
      <c r="F137" s="107">
        <v>3192.9984730000001</v>
      </c>
      <c r="G137" s="107">
        <v>3157.4</v>
      </c>
      <c r="H137" s="108">
        <v>92.956874999999997</v>
      </c>
    </row>
    <row r="138" spans="3:8" x14ac:dyDescent="0.25">
      <c r="C138" s="104" t="s">
        <v>30</v>
      </c>
      <c r="D138" s="105">
        <v>46203</v>
      </c>
      <c r="E138" s="106" t="s">
        <v>149</v>
      </c>
      <c r="F138" s="107">
        <v>2799.223763</v>
      </c>
      <c r="G138" s="107">
        <v>2705.6</v>
      </c>
      <c r="H138" s="108">
        <v>135.01151999999999</v>
      </c>
    </row>
    <row r="139" spans="3:8" x14ac:dyDescent="0.25">
      <c r="C139" s="104" t="s">
        <v>24</v>
      </c>
      <c r="D139" s="105">
        <v>46203</v>
      </c>
      <c r="E139" s="106" t="s">
        <v>149</v>
      </c>
      <c r="F139" s="107">
        <v>766.61313299999995</v>
      </c>
      <c r="G139" s="107">
        <v>741</v>
      </c>
      <c r="H139" s="108">
        <v>129.37227189999999</v>
      </c>
    </row>
    <row r="140" spans="3:8" x14ac:dyDescent="0.25">
      <c r="C140" s="104" t="s">
        <v>66</v>
      </c>
      <c r="D140" s="105">
        <v>46203</v>
      </c>
      <c r="E140" s="106" t="s">
        <v>149</v>
      </c>
      <c r="F140" s="107">
        <v>1078.302185</v>
      </c>
      <c r="G140" s="107">
        <v>1140.0999999999999</v>
      </c>
      <c r="H140" s="108">
        <v>73.27979400000001</v>
      </c>
    </row>
    <row r="141" spans="3:8" x14ac:dyDescent="0.25">
      <c r="C141" s="104" t="s">
        <v>16</v>
      </c>
      <c r="D141" s="105">
        <v>46203</v>
      </c>
      <c r="E141" s="106" t="s">
        <v>149</v>
      </c>
      <c r="F141" s="107">
        <v>1256.9436740000001</v>
      </c>
      <c r="G141" s="107">
        <v>1270</v>
      </c>
      <c r="H141" s="108">
        <v>163.08659499999999</v>
      </c>
    </row>
    <row r="142" spans="3:8" x14ac:dyDescent="0.25">
      <c r="C142" s="104" t="s">
        <v>110</v>
      </c>
      <c r="D142" s="105">
        <v>46203</v>
      </c>
      <c r="E142" s="106" t="s">
        <v>149</v>
      </c>
      <c r="F142" s="107">
        <v>68.546000000000006</v>
      </c>
      <c r="G142" s="107">
        <v>71.91</v>
      </c>
      <c r="H142" s="108">
        <v>7.1299476000000004</v>
      </c>
    </row>
    <row r="143" spans="3:8" x14ac:dyDescent="0.25">
      <c r="C143" s="104" t="s">
        <v>95</v>
      </c>
      <c r="D143" s="105">
        <v>46203</v>
      </c>
      <c r="E143" s="106" t="s">
        <v>149</v>
      </c>
      <c r="F143" s="107">
        <v>911.67250000000001</v>
      </c>
      <c r="G143" s="107">
        <v>923.75</v>
      </c>
      <c r="H143" s="108">
        <v>29.410080000000001</v>
      </c>
    </row>
    <row r="144" spans="3:8" x14ac:dyDescent="0.25">
      <c r="C144" s="104" t="s">
        <v>78</v>
      </c>
      <c r="D144" s="105">
        <v>46203</v>
      </c>
      <c r="E144" s="106" t="s">
        <v>149</v>
      </c>
      <c r="F144" s="107">
        <v>301.80419999999998</v>
      </c>
      <c r="G144" s="107">
        <v>289.95</v>
      </c>
      <c r="H144" s="108">
        <v>39.003232000000004</v>
      </c>
    </row>
    <row r="145" spans="3:8" x14ac:dyDescent="0.25">
      <c r="C145" s="104" t="s">
        <v>89</v>
      </c>
      <c r="D145" s="105">
        <v>46203</v>
      </c>
      <c r="E145" s="106" t="s">
        <v>149</v>
      </c>
      <c r="F145" s="107">
        <v>394</v>
      </c>
      <c r="G145" s="107">
        <v>388.25</v>
      </c>
      <c r="H145" s="108">
        <v>27.617999999999999</v>
      </c>
    </row>
    <row r="146" spans="3:8" x14ac:dyDescent="0.25">
      <c r="C146" s="104" t="s">
        <v>82</v>
      </c>
      <c r="D146" s="105">
        <v>46203</v>
      </c>
      <c r="E146" s="106" t="s">
        <v>149</v>
      </c>
      <c r="F146" s="107">
        <v>3911.5677999999998</v>
      </c>
      <c r="G146" s="107">
        <v>4111.8</v>
      </c>
      <c r="H146" s="108">
        <v>35.974746500000002</v>
      </c>
    </row>
    <row r="147" spans="3:8" x14ac:dyDescent="0.25">
      <c r="C147" s="104" t="s">
        <v>60</v>
      </c>
      <c r="D147" s="105">
        <v>46203</v>
      </c>
      <c r="E147" s="106" t="s">
        <v>149</v>
      </c>
      <c r="F147" s="107">
        <v>3159.5737049999998</v>
      </c>
      <c r="G147" s="107">
        <v>3079.3</v>
      </c>
      <c r="H147" s="108">
        <v>91.713759999999994</v>
      </c>
    </row>
    <row r="148" spans="3:8" x14ac:dyDescent="0.25">
      <c r="C148" s="104" t="s">
        <v>46</v>
      </c>
      <c r="D148" s="105">
        <v>46203</v>
      </c>
      <c r="E148" s="106" t="s">
        <v>149</v>
      </c>
      <c r="F148" s="107">
        <v>13227.060245999999</v>
      </c>
      <c r="G148" s="107">
        <v>13273</v>
      </c>
      <c r="H148" s="108">
        <v>98.581797499999993</v>
      </c>
    </row>
    <row r="149" spans="3:8" x14ac:dyDescent="0.25">
      <c r="C149" s="104" t="s">
        <v>20</v>
      </c>
      <c r="D149" s="105">
        <v>46203</v>
      </c>
      <c r="E149" s="106" t="s">
        <v>149</v>
      </c>
      <c r="F149" s="107">
        <v>393.76705099999998</v>
      </c>
      <c r="G149" s="107">
        <v>391.3</v>
      </c>
      <c r="H149" s="108">
        <v>140.03698499999999</v>
      </c>
    </row>
    <row r="150" spans="3:8" x14ac:dyDescent="0.25">
      <c r="C150" s="104" t="s">
        <v>70</v>
      </c>
      <c r="D150" s="105">
        <v>46203</v>
      </c>
      <c r="E150" s="106" t="s">
        <v>149</v>
      </c>
      <c r="F150" s="107">
        <v>1391.450022</v>
      </c>
      <c r="G150" s="107">
        <v>1329.9</v>
      </c>
      <c r="H150" s="108">
        <v>55.209314999999997</v>
      </c>
    </row>
    <row r="151" spans="3:8" x14ac:dyDescent="0.25">
      <c r="C151" s="104" t="s">
        <v>27</v>
      </c>
      <c r="D151" s="105">
        <v>46203</v>
      </c>
      <c r="E151" s="106" t="s">
        <v>149</v>
      </c>
      <c r="F151" s="107">
        <v>963.23333300000002</v>
      </c>
      <c r="G151" s="107">
        <v>973.3</v>
      </c>
      <c r="H151" s="108">
        <v>116.09932499999999</v>
      </c>
    </row>
    <row r="152" spans="3:8" x14ac:dyDescent="0.25">
      <c r="C152" s="104" t="s">
        <v>42</v>
      </c>
      <c r="D152" s="105">
        <v>46203</v>
      </c>
      <c r="E152" s="106" t="s">
        <v>149</v>
      </c>
      <c r="F152" s="107">
        <v>1867.7869390000001</v>
      </c>
      <c r="G152" s="107">
        <v>1819.3</v>
      </c>
      <c r="H152" s="108">
        <v>105.55031199999999</v>
      </c>
    </row>
    <row r="153" spans="3:8" x14ac:dyDescent="0.25">
      <c r="C153" s="104" t="s">
        <v>56</v>
      </c>
      <c r="D153" s="105">
        <v>46203</v>
      </c>
      <c r="E153" s="106" t="s">
        <v>149</v>
      </c>
      <c r="F153" s="107">
        <v>205.47984700000001</v>
      </c>
      <c r="G153" s="107">
        <v>206.48</v>
      </c>
      <c r="H153" s="108">
        <v>97.078993000000011</v>
      </c>
    </row>
    <row r="154" spans="3:8" x14ac:dyDescent="0.25">
      <c r="C154" s="104"/>
      <c r="D154" s="105"/>
      <c r="E154" s="106"/>
      <c r="F154" s="107"/>
      <c r="G154" s="107"/>
      <c r="H154" s="108"/>
    </row>
    <row r="155" spans="3:8" x14ac:dyDescent="0.25">
      <c r="C155" s="104" t="s">
        <v>211</v>
      </c>
      <c r="D155" s="105"/>
      <c r="E155" s="106"/>
      <c r="F155" s="107"/>
      <c r="G155" s="107"/>
      <c r="H155" s="108"/>
    </row>
    <row r="156" spans="3:8" x14ac:dyDescent="0.25">
      <c r="C156" s="109"/>
      <c r="D156" s="110"/>
      <c r="E156" s="110"/>
      <c r="F156" s="111"/>
      <c r="G156" s="111"/>
      <c r="H156" s="112"/>
    </row>
    <row r="157" spans="3:8" x14ac:dyDescent="0.25">
      <c r="C157" s="109" t="s">
        <v>212</v>
      </c>
      <c r="D157" s="110"/>
      <c r="E157" s="18"/>
      <c r="F157" s="111"/>
      <c r="G157" s="111"/>
      <c r="H157" s="112"/>
    </row>
    <row r="158" spans="3:8" x14ac:dyDescent="0.25">
      <c r="C158" s="113" t="s">
        <v>213</v>
      </c>
      <c r="D158" s="111"/>
      <c r="E158" s="111"/>
      <c r="F158" s="91" t="s">
        <v>196</v>
      </c>
      <c r="G158" s="111"/>
      <c r="H158" s="112"/>
    </row>
    <row r="159" spans="3:8" x14ac:dyDescent="0.25">
      <c r="C159" s="113" t="s">
        <v>214</v>
      </c>
      <c r="D159" s="111"/>
      <c r="E159" s="111"/>
      <c r="F159" s="91">
        <v>604</v>
      </c>
      <c r="G159" s="111"/>
      <c r="H159" s="112"/>
    </row>
    <row r="160" spans="3:8" x14ac:dyDescent="0.25">
      <c r="C160" s="113" t="s">
        <v>215</v>
      </c>
      <c r="D160" s="111"/>
      <c r="E160" s="111"/>
      <c r="F160" s="91">
        <v>487</v>
      </c>
      <c r="G160" s="114"/>
      <c r="H160" s="115"/>
    </row>
    <row r="161" spans="3:8" x14ac:dyDescent="0.25">
      <c r="C161" s="113" t="s">
        <v>216</v>
      </c>
      <c r="D161" s="111"/>
      <c r="E161" s="111"/>
      <c r="F161" s="91">
        <v>100</v>
      </c>
      <c r="G161" s="114"/>
      <c r="H161" s="115"/>
    </row>
    <row r="162" spans="3:8" x14ac:dyDescent="0.25">
      <c r="C162" s="113" t="s">
        <v>217</v>
      </c>
      <c r="D162" s="111"/>
      <c r="E162" s="111"/>
      <c r="F162" s="91" t="s">
        <v>196</v>
      </c>
      <c r="G162" s="114"/>
      <c r="H162" s="115"/>
    </row>
    <row r="163" spans="3:8" x14ac:dyDescent="0.25">
      <c r="C163" s="113" t="s">
        <v>218</v>
      </c>
      <c r="D163" s="111"/>
      <c r="E163" s="111"/>
      <c r="F163" s="91">
        <v>398576094.93999994</v>
      </c>
      <c r="G163" s="114"/>
      <c r="H163" s="115"/>
    </row>
    <row r="164" spans="3:8" x14ac:dyDescent="0.25">
      <c r="C164" s="113" t="s">
        <v>219</v>
      </c>
      <c r="D164" s="111"/>
      <c r="E164" s="111"/>
      <c r="F164" s="91">
        <v>324981689.64000005</v>
      </c>
      <c r="G164" s="114"/>
      <c r="H164" s="115"/>
    </row>
    <row r="165" spans="3:8" x14ac:dyDescent="0.25">
      <c r="C165" s="113" t="s">
        <v>220</v>
      </c>
      <c r="D165" s="111"/>
      <c r="E165" s="111"/>
      <c r="F165" s="91">
        <v>62319614.959999993</v>
      </c>
      <c r="G165" s="114"/>
      <c r="H165" s="115"/>
    </row>
    <row r="166" spans="3:8" x14ac:dyDescent="0.25">
      <c r="C166" s="113" t="s">
        <v>221</v>
      </c>
      <c r="D166" s="111"/>
      <c r="E166" s="111"/>
      <c r="F166" s="91">
        <v>-11274790.339999914</v>
      </c>
      <c r="G166" s="114"/>
      <c r="H166" s="115"/>
    </row>
    <row r="167" spans="3:8" x14ac:dyDescent="0.25">
      <c r="C167" s="116" t="s">
        <v>222</v>
      </c>
      <c r="D167" s="117"/>
      <c r="E167" s="117"/>
      <c r="F167" s="118"/>
      <c r="G167" s="114"/>
      <c r="H167" s="115"/>
    </row>
    <row r="168" spans="3:8" x14ac:dyDescent="0.25">
      <c r="C168" s="113"/>
      <c r="D168" s="111"/>
      <c r="E168" s="111"/>
      <c r="F168" s="118"/>
      <c r="G168" s="118"/>
      <c r="H168" s="115"/>
    </row>
    <row r="169" spans="3:8" x14ac:dyDescent="0.25">
      <c r="C169" s="109" t="s">
        <v>223</v>
      </c>
      <c r="D169" s="110"/>
      <c r="E169" s="18"/>
      <c r="F169" s="111"/>
      <c r="G169" s="111"/>
      <c r="H169" s="112"/>
    </row>
    <row r="170" spans="3:8" ht="40.5" x14ac:dyDescent="0.25">
      <c r="C170" s="101" t="s">
        <v>206</v>
      </c>
      <c r="D170" s="102" t="s">
        <v>144</v>
      </c>
      <c r="E170" s="102" t="s">
        <v>208</v>
      </c>
      <c r="F170" s="102" t="s">
        <v>209</v>
      </c>
      <c r="G170" s="102" t="s">
        <v>210</v>
      </c>
      <c r="H170" s="112"/>
    </row>
    <row r="171" spans="3:8" x14ac:dyDescent="0.25">
      <c r="C171" s="119" t="s">
        <v>196</v>
      </c>
      <c r="D171" s="120"/>
      <c r="E171" s="120"/>
      <c r="F171" s="120"/>
      <c r="G171" s="121"/>
      <c r="H171" s="112"/>
    </row>
    <row r="172" spans="3:8" x14ac:dyDescent="0.25">
      <c r="C172" s="122" t="s">
        <v>224</v>
      </c>
      <c r="D172" s="123"/>
      <c r="E172" s="123"/>
      <c r="F172" s="123"/>
      <c r="G172" s="124"/>
      <c r="H172" s="112"/>
    </row>
    <row r="173" spans="3:8" x14ac:dyDescent="0.25">
      <c r="C173" s="109"/>
      <c r="D173" s="110"/>
      <c r="E173" s="110"/>
      <c r="F173" s="111"/>
      <c r="G173" s="111"/>
      <c r="H173" s="112"/>
    </row>
    <row r="174" spans="3:8" x14ac:dyDescent="0.25">
      <c r="C174" s="109" t="s">
        <v>225</v>
      </c>
      <c r="D174" s="110"/>
      <c r="E174" s="18"/>
      <c r="F174" s="111"/>
      <c r="G174" s="111"/>
      <c r="H174" s="112"/>
    </row>
    <row r="175" spans="3:8" x14ac:dyDescent="0.25">
      <c r="C175" s="113" t="s">
        <v>213</v>
      </c>
      <c r="D175" s="111"/>
      <c r="E175" s="111"/>
      <c r="F175" s="125" t="s">
        <v>196</v>
      </c>
      <c r="G175" s="111"/>
      <c r="H175" s="112"/>
    </row>
    <row r="176" spans="3:8" x14ac:dyDescent="0.25">
      <c r="C176" s="113" t="s">
        <v>214</v>
      </c>
      <c r="D176" s="111"/>
      <c r="E176" s="111"/>
      <c r="F176" s="125" t="s">
        <v>196</v>
      </c>
      <c r="G176" s="111"/>
      <c r="H176" s="112"/>
    </row>
    <row r="177" spans="3:8" x14ac:dyDescent="0.25">
      <c r="C177" s="113" t="s">
        <v>215</v>
      </c>
      <c r="D177" s="111"/>
      <c r="E177" s="111"/>
      <c r="F177" s="125" t="s">
        <v>196</v>
      </c>
      <c r="G177" s="114"/>
      <c r="H177" s="115"/>
    </row>
    <row r="178" spans="3:8" x14ac:dyDescent="0.25">
      <c r="C178" s="113" t="s">
        <v>216</v>
      </c>
      <c r="D178" s="111"/>
      <c r="E178" s="111"/>
      <c r="F178" s="125" t="s">
        <v>196</v>
      </c>
      <c r="G178" s="114"/>
      <c r="H178" s="115"/>
    </row>
    <row r="179" spans="3:8" x14ac:dyDescent="0.25">
      <c r="C179" s="113" t="s">
        <v>217</v>
      </c>
      <c r="D179" s="111"/>
      <c r="E179" s="111"/>
      <c r="F179" s="125" t="s">
        <v>196</v>
      </c>
      <c r="G179" s="114"/>
      <c r="H179" s="115"/>
    </row>
    <row r="180" spans="3:8" x14ac:dyDescent="0.25">
      <c r="C180" s="113" t="s">
        <v>218</v>
      </c>
      <c r="D180" s="111"/>
      <c r="E180" s="111"/>
      <c r="F180" s="125" t="s">
        <v>196</v>
      </c>
      <c r="G180" s="114"/>
      <c r="H180" s="115"/>
    </row>
    <row r="181" spans="3:8" x14ac:dyDescent="0.25">
      <c r="C181" s="113" t="s">
        <v>219</v>
      </c>
      <c r="D181" s="111"/>
      <c r="E181" s="111"/>
      <c r="F181" s="125" t="s">
        <v>196</v>
      </c>
      <c r="G181" s="114"/>
      <c r="H181" s="115"/>
    </row>
    <row r="182" spans="3:8" x14ac:dyDescent="0.25">
      <c r="C182" s="113" t="s">
        <v>220</v>
      </c>
      <c r="D182" s="111"/>
      <c r="E182" s="111"/>
      <c r="F182" s="125" t="s">
        <v>196</v>
      </c>
      <c r="G182" s="114"/>
      <c r="H182" s="115"/>
    </row>
    <row r="183" spans="3:8" ht="14.25" thickBot="1" x14ac:dyDescent="0.3">
      <c r="C183" s="126" t="s">
        <v>221</v>
      </c>
      <c r="D183" s="127"/>
      <c r="E183" s="127"/>
      <c r="F183" s="128" t="s">
        <v>196</v>
      </c>
      <c r="G183" s="129"/>
      <c r="H183" s="130"/>
    </row>
    <row r="184" spans="3:8" x14ac:dyDescent="0.25">
      <c r="C184" s="113"/>
      <c r="D184" s="111"/>
      <c r="E184" s="111"/>
      <c r="F184" s="111"/>
      <c r="G184" s="131"/>
      <c r="H184" s="132"/>
    </row>
    <row r="185" spans="3:8" x14ac:dyDescent="0.25">
      <c r="C185" s="109" t="s">
        <v>226</v>
      </c>
      <c r="D185" s="110"/>
      <c r="E185" s="133"/>
      <c r="F185" s="111"/>
      <c r="G185" s="134"/>
      <c r="H185" s="112"/>
    </row>
    <row r="186" spans="3:8" ht="40.5" x14ac:dyDescent="0.25">
      <c r="C186" s="101" t="s">
        <v>206</v>
      </c>
      <c r="D186" s="102" t="s">
        <v>227</v>
      </c>
      <c r="E186" s="102" t="s">
        <v>228</v>
      </c>
      <c r="F186" s="102" t="s">
        <v>229</v>
      </c>
      <c r="G186" s="134"/>
      <c r="H186" s="135"/>
    </row>
    <row r="187" spans="3:8" x14ac:dyDescent="0.25">
      <c r="C187" s="119" t="s">
        <v>196</v>
      </c>
      <c r="D187" s="120"/>
      <c r="E187" s="120"/>
      <c r="F187" s="121"/>
      <c r="G187" s="136"/>
      <c r="H187" s="135"/>
    </row>
    <row r="188" spans="3:8" x14ac:dyDescent="0.25">
      <c r="C188" s="122" t="s">
        <v>230</v>
      </c>
      <c r="D188" s="123"/>
      <c r="E188" s="123"/>
      <c r="F188" s="124"/>
      <c r="G188" s="137"/>
      <c r="H188" s="135"/>
    </row>
    <row r="189" spans="3:8" x14ac:dyDescent="0.25">
      <c r="C189" s="138"/>
      <c r="D189" s="139"/>
      <c r="E189" s="139"/>
      <c r="F189" s="111"/>
      <c r="G189" s="134"/>
      <c r="H189" s="112"/>
    </row>
    <row r="190" spans="3:8" x14ac:dyDescent="0.25">
      <c r="C190" s="109" t="s">
        <v>231</v>
      </c>
      <c r="D190" s="110"/>
      <c r="E190" s="18"/>
      <c r="F190" s="111"/>
      <c r="G190" s="111"/>
      <c r="H190" s="112"/>
    </row>
    <row r="191" spans="3:8" x14ac:dyDescent="0.25">
      <c r="C191" s="113" t="s">
        <v>232</v>
      </c>
      <c r="D191" s="111"/>
      <c r="E191" s="111"/>
      <c r="F191" s="111" t="s">
        <v>196</v>
      </c>
      <c r="G191" s="111"/>
      <c r="H191" s="112"/>
    </row>
    <row r="192" spans="3:8" x14ac:dyDescent="0.25">
      <c r="C192" s="113" t="s">
        <v>233</v>
      </c>
      <c r="D192" s="111"/>
      <c r="E192" s="111"/>
      <c r="F192" s="111" t="s">
        <v>196</v>
      </c>
      <c r="G192" s="111"/>
      <c r="H192" s="112"/>
    </row>
    <row r="193" spans="3:8" x14ac:dyDescent="0.25">
      <c r="C193" s="113" t="s">
        <v>234</v>
      </c>
      <c r="D193" s="111"/>
      <c r="E193" s="111"/>
      <c r="F193" s="111" t="s">
        <v>196</v>
      </c>
      <c r="G193" s="111"/>
      <c r="H193" s="112"/>
    </row>
    <row r="194" spans="3:8" x14ac:dyDescent="0.25">
      <c r="C194" s="116" t="s">
        <v>235</v>
      </c>
      <c r="D194" s="117"/>
      <c r="E194" s="117"/>
      <c r="F194" s="111"/>
      <c r="G194" s="111"/>
      <c r="H194" s="112"/>
    </row>
    <row r="195" spans="3:8" x14ac:dyDescent="0.25">
      <c r="C195" s="116"/>
      <c r="D195" s="117"/>
      <c r="E195" s="117"/>
      <c r="F195" s="111"/>
      <c r="G195" s="111"/>
      <c r="H195" s="112"/>
    </row>
    <row r="196" spans="3:8" x14ac:dyDescent="0.25">
      <c r="C196" s="140" t="s">
        <v>236</v>
      </c>
      <c r="D196" s="133"/>
      <c r="E196" s="133"/>
      <c r="F196" s="111"/>
      <c r="G196" s="134"/>
      <c r="H196" s="112"/>
    </row>
    <row r="197" spans="3:8" ht="40.5" x14ac:dyDescent="0.25">
      <c r="C197" s="101" t="s">
        <v>206</v>
      </c>
      <c r="D197" s="102" t="s">
        <v>237</v>
      </c>
      <c r="E197" s="102" t="s">
        <v>227</v>
      </c>
      <c r="F197" s="102" t="s">
        <v>228</v>
      </c>
      <c r="G197" s="102" t="s">
        <v>238</v>
      </c>
      <c r="H197" s="112"/>
    </row>
    <row r="198" spans="3:8" x14ac:dyDescent="0.25">
      <c r="C198" s="119" t="s">
        <v>196</v>
      </c>
      <c r="D198" s="120"/>
      <c r="E198" s="120"/>
      <c r="F198" s="120"/>
      <c r="G198" s="121"/>
      <c r="H198" s="112"/>
    </row>
    <row r="199" spans="3:8" x14ac:dyDescent="0.25">
      <c r="C199" s="141" t="s">
        <v>239</v>
      </c>
      <c r="D199" s="142"/>
      <c r="E199" s="142"/>
      <c r="F199" s="142"/>
      <c r="G199" s="143"/>
      <c r="H199" s="112"/>
    </row>
    <row r="200" spans="3:8" x14ac:dyDescent="0.25">
      <c r="C200" s="144"/>
      <c r="D200" s="145"/>
      <c r="E200" s="145"/>
      <c r="F200" s="145"/>
      <c r="G200" s="145"/>
      <c r="H200" s="112"/>
    </row>
    <row r="201" spans="3:8" x14ac:dyDescent="0.25">
      <c r="C201" s="146" t="s">
        <v>240</v>
      </c>
      <c r="D201" s="18"/>
      <c r="E201" s="18"/>
      <c r="F201" s="111"/>
      <c r="G201" s="111"/>
      <c r="H201" s="112"/>
    </row>
    <row r="202" spans="3:8" x14ac:dyDescent="0.25">
      <c r="C202" s="113" t="s">
        <v>232</v>
      </c>
      <c r="D202" s="111"/>
      <c r="E202" s="111"/>
      <c r="F202" s="111" t="s">
        <v>196</v>
      </c>
      <c r="G202" s="111"/>
      <c r="H202" s="112"/>
    </row>
    <row r="203" spans="3:8" x14ac:dyDescent="0.25">
      <c r="C203" s="113" t="s">
        <v>233</v>
      </c>
      <c r="D203" s="111"/>
      <c r="E203" s="111"/>
      <c r="F203" s="111" t="s">
        <v>196</v>
      </c>
      <c r="G203" s="111"/>
      <c r="H203" s="112"/>
    </row>
    <row r="204" spans="3:8" ht="14.25" thickBot="1" x14ac:dyDescent="0.3">
      <c r="C204" s="147" t="s">
        <v>234</v>
      </c>
      <c r="D204" s="148"/>
      <c r="E204" s="148"/>
      <c r="F204" s="111" t="s">
        <v>196</v>
      </c>
      <c r="G204" s="148"/>
      <c r="H204" s="149"/>
    </row>
    <row r="205" spans="3:8" x14ac:dyDescent="0.25">
      <c r="C205" s="150"/>
      <c r="D205" s="151"/>
      <c r="E205" s="151"/>
      <c r="F205" s="151"/>
      <c r="G205" s="151"/>
      <c r="H205" s="152"/>
    </row>
    <row r="206" spans="3:8" x14ac:dyDescent="0.25">
      <c r="C206" s="109" t="s">
        <v>241</v>
      </c>
      <c r="D206" s="153" t="s">
        <v>196</v>
      </c>
      <c r="E206" s="91"/>
      <c r="F206" s="91"/>
      <c r="G206" s="91"/>
      <c r="H206" s="154"/>
    </row>
    <row r="207" spans="3:8" x14ac:dyDescent="0.25">
      <c r="C207" s="155"/>
      <c r="D207" s="91"/>
      <c r="E207" s="91"/>
      <c r="F207" s="156"/>
      <c r="G207" s="91"/>
      <c r="H207" s="154"/>
    </row>
    <row r="208" spans="3:8" ht="14.25" thickBot="1" x14ac:dyDescent="0.3">
      <c r="C208" s="157"/>
      <c r="D208" s="158"/>
      <c r="E208" s="158"/>
      <c r="F208" s="158"/>
      <c r="G208" s="158"/>
      <c r="H208" s="159"/>
    </row>
    <row r="210" spans="3:3" ht="15" x14ac:dyDescent="0.25">
      <c r="C210" s="96" t="s">
        <v>242</v>
      </c>
    </row>
    <row r="211" spans="3:3" ht="15" x14ac:dyDescent="0.25">
      <c r="C211" s="95" t="s">
        <v>243</v>
      </c>
    </row>
    <row r="212" spans="3:3" ht="15" x14ac:dyDescent="0.25">
      <c r="C212" s="96" t="s">
        <v>244</v>
      </c>
    </row>
    <row r="213" spans="3:3" ht="15" x14ac:dyDescent="0.25">
      <c r="C213" s="96" t="s">
        <v>245</v>
      </c>
    </row>
    <row r="214" spans="3:3" ht="15" x14ac:dyDescent="0.25">
      <c r="C214" s="96"/>
    </row>
    <row r="215" spans="3:3" x14ac:dyDescent="0.25">
      <c r="C215" s="160" t="s">
        <v>246</v>
      </c>
    </row>
    <row r="229" spans="3:7" ht="21" customHeight="1" thickBot="1" x14ac:dyDescent="0.3"/>
    <row r="230" spans="3:7" ht="27" customHeight="1" thickBot="1" x14ac:dyDescent="0.3">
      <c r="C230" s="161" t="s">
        <v>247</v>
      </c>
      <c r="D230" s="162"/>
      <c r="E230" s="162"/>
      <c r="F230" s="162"/>
      <c r="G230" s="163"/>
    </row>
    <row r="231" spans="3:7" ht="34.5" customHeight="1" thickBot="1" x14ac:dyDescent="0.3">
      <c r="C231" s="161" t="s">
        <v>248</v>
      </c>
      <c r="D231" s="162"/>
      <c r="E231" s="162"/>
      <c r="F231" s="162"/>
      <c r="G231" s="163"/>
    </row>
  </sheetData>
  <mergeCells count="12">
    <mergeCell ref="C171:G171"/>
    <mergeCell ref="C187:F187"/>
    <mergeCell ref="C198:G198"/>
    <mergeCell ref="C199:G199"/>
    <mergeCell ref="C230:G230"/>
    <mergeCell ref="C231:G231"/>
    <mergeCell ref="C2:J2"/>
    <mergeCell ref="D3:J3"/>
    <mergeCell ref="D4:J4"/>
    <mergeCell ref="C109:E109"/>
    <mergeCell ref="C110:C111"/>
    <mergeCell ref="D110:E110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HARF</vt:lpstr>
      <vt:lpstr>XDO_?CLASS_3?7?</vt:lpstr>
      <vt:lpstr>XDO_?FINAL_ISIN?22?</vt:lpstr>
      <vt:lpstr>XDO_?FINAL_ISIN?23?</vt:lpstr>
      <vt:lpstr>XDO_?FINAL_ISIN?24?</vt:lpstr>
      <vt:lpstr>XDO_?FINAL_ISIN?25?</vt:lpstr>
      <vt:lpstr>XDO_?FINAL_MV?22?</vt:lpstr>
      <vt:lpstr>XDO_?FINAL_MV?23?</vt:lpstr>
      <vt:lpstr>XDO_?FINAL_MV?24?</vt:lpstr>
      <vt:lpstr>XDO_?FINAL_MV?25?</vt:lpstr>
      <vt:lpstr>XDO_?FINAL_NAME?22?</vt:lpstr>
      <vt:lpstr>XDO_?FINAL_NAME?23?</vt:lpstr>
      <vt:lpstr>XDO_?FINAL_NAME?24?</vt:lpstr>
      <vt:lpstr>XDO_?FINAL_NAME?25?</vt:lpstr>
      <vt:lpstr>XDO_?FINAL_PER_NET?22?</vt:lpstr>
      <vt:lpstr>XDO_?FINAL_PER_NET?23?</vt:lpstr>
      <vt:lpstr>XDO_?FINAL_PER_NET?24?</vt:lpstr>
      <vt:lpstr>XDO_?FINAL_PER_NET?25?</vt:lpstr>
      <vt:lpstr>XDO_?FINAL_QUANTITE?22?</vt:lpstr>
      <vt:lpstr>XDO_?FINAL_QUANTITE?23?</vt:lpstr>
      <vt:lpstr>XDO_?FINAL_QUANTITE?24?</vt:lpstr>
      <vt:lpstr>XDO_?FINAL_QUANTITE?25?</vt:lpstr>
      <vt:lpstr>XDO_?NAMCNAME?7?</vt:lpstr>
      <vt:lpstr>XDO_?NOVAL?22?</vt:lpstr>
      <vt:lpstr>XDO_?NOVAL?23?</vt:lpstr>
      <vt:lpstr>XDO_?NOVAL?24?</vt:lpstr>
      <vt:lpstr>XDO_?NOVAL?25?</vt:lpstr>
      <vt:lpstr>XDO_?NPTF?7?</vt:lpstr>
      <vt:lpstr>XDO_?RATING?22?</vt:lpstr>
      <vt:lpstr>XDO_?RATING?23?</vt:lpstr>
      <vt:lpstr>XDO_?RATING?24?</vt:lpstr>
      <vt:lpstr>XDO_?RATING?25?</vt:lpstr>
      <vt:lpstr>XDO_?REMARKS?22?</vt:lpstr>
      <vt:lpstr>XDO_?REMARKS?23?</vt:lpstr>
      <vt:lpstr>XDO_?REMARKS?24?</vt:lpstr>
      <vt:lpstr>XDO_?REMARKS?25?</vt:lpstr>
      <vt:lpstr>XDO_?TITL?7?</vt:lpstr>
      <vt:lpstr>XDO_?YTM?22?</vt:lpstr>
      <vt:lpstr>XDO_?YTM?23?</vt:lpstr>
      <vt:lpstr>XDO_?YTM?24?</vt:lpstr>
      <vt:lpstr>XDO_?YTM?25?</vt:lpstr>
      <vt:lpstr>XDO_GROUP_?G_2?7?</vt:lpstr>
      <vt:lpstr>XDO_GROUP_?G_3?7?</vt:lpstr>
      <vt:lpstr>XDO_GROUP_?G_4?22?</vt:lpstr>
      <vt:lpstr>XDO_GROUP_?G_4?23?</vt:lpstr>
      <vt:lpstr>XDO_GROUP_?G_4?24?</vt:lpstr>
      <vt:lpstr>XDO_GROUP_?G_4?25?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Pratima-Bane</cp:lastModifiedBy>
  <dcterms:created xsi:type="dcterms:W3CDTF">2026-06-05T11:58:09Z</dcterms:created>
  <dcterms:modified xsi:type="dcterms:W3CDTF">2026-06-05T11:58:10Z</dcterms:modified>
</cp:coreProperties>
</file>