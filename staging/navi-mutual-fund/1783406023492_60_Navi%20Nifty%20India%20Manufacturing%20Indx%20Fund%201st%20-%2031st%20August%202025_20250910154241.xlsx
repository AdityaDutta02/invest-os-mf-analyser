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Passive\"/>
    </mc:Choice>
  </mc:AlternateContent>
  <xr:revisionPtr revIDLastSave="0" documentId="13_ncr:1_{173A2494-C17E-4551-B9DC-748D51C38D90}" xr6:coauthVersionLast="47" xr6:coauthVersionMax="47" xr10:uidLastSave="{00000000-0000-0000-0000-000000000000}"/>
  <bookViews>
    <workbookView xWindow="-98" yWindow="-98" windowWidth="19396" windowHeight="11475" xr2:uid="{56CD0745-68D9-439F-B198-7A545D01C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4" i="1" l="1"/>
  <c r="E94" i="1"/>
</calcChain>
</file>

<file path=xl/sharedStrings.xml><?xml version="1.0" encoding="utf-8"?>
<sst xmlns="http://schemas.openxmlformats.org/spreadsheetml/2006/main" count="259" uniqueCount="197">
  <si>
    <t>NAVI MUTUAL FUND</t>
  </si>
  <si>
    <t>Navi Nifty India Manufacturing Indx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</si>
  <si>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</si>
  <si>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</si>
  <si>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</si>
  <si>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</si>
  <si>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</si>
  <si>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</si>
  <si>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</si>
  <si>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</si>
  <si>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</si>
  <si>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</si>
  <si>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MARUTI SUZUKI INDIA LIMITED</t>
  </si>
  <si>
    <t>INE585B01010</t>
  </si>
  <si>
    <t>AUTOMOBILES</t>
  </si>
  <si>
    <t>MAHINDRA &amp; MAHINDRA LIMITED</t>
  </si>
  <si>
    <t>INE101A01026</t>
  </si>
  <si>
    <t>SUN PHARMACEUTICAL INDUSTRIES LIMITED</t>
  </si>
  <si>
    <t>INE044A01036</t>
  </si>
  <si>
    <t>PHARMACEUTICALS &amp; BIOTECHNOLOGY</t>
  </si>
  <si>
    <t>RELIANCE INDUSTRIES LIMITED</t>
  </si>
  <si>
    <t>INE002A01018</t>
  </si>
  <si>
    <t>PETROLEUM PRODUCTS</t>
  </si>
  <si>
    <t>TATA MOTORS LIMITED</t>
  </si>
  <si>
    <t>INE155A01022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</si>
  <si>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</si>
  <si>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</si>
  <si>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</si>
  <si>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</si>
  <si>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</si>
  <si>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</si>
  <si>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HINDALCO INDUSTRIES LIMITED</t>
  </si>
  <si>
    <t>INE038A01020</t>
  </si>
  <si>
    <t>NON - FERROUS METALS</t>
  </si>
  <si>
    <t>JSW STEEL LIMITED</t>
  </si>
  <si>
    <t>INE019A01038</t>
  </si>
  <si>
    <t>BAJAJ AUTO LIMITED</t>
  </si>
  <si>
    <t>INE917I01010</t>
  </si>
  <si>
    <t>CIPLA LIMITED</t>
  </si>
  <si>
    <t>INE059A01026</t>
  </si>
  <si>
    <t>EICHER MOTORS LIMITED</t>
  </si>
  <si>
    <t>INE066A01021</t>
  </si>
  <si>
    <t>HINDUSTAN AERONAUTICS LTD</t>
  </si>
  <si>
    <t>INE066F01020</t>
  </si>
  <si>
    <t>DIVI'S LABORATORIES LIMITED</t>
  </si>
  <si>
    <t>INE361B01024</t>
  </si>
  <si>
    <t>TVS MOTOR COMPANY LIMITED</t>
  </si>
  <si>
    <t>INE494B01023</t>
  </si>
  <si>
    <t>DR. REDDY'S LABORATORIES LIMITED</t>
  </si>
  <si>
    <t>INE089A01031</t>
  </si>
  <si>
    <t>VEDANTA LIMITED</t>
  </si>
  <si>
    <t>INE205A01025</t>
  </si>
  <si>
    <t>DIVERSIFIED METALS</t>
  </si>
  <si>
    <t>HERO MOTOCORP LIMITED</t>
  </si>
  <si>
    <t>INE158A01026</t>
  </si>
  <si>
    <t>DIXON TECHNOLOGIES (INDIA) LIMITED</t>
  </si>
  <si>
    <t>INE935N01020</t>
  </si>
  <si>
    <t>CONSUMER DURABLES</t>
  </si>
  <si>
    <t>SUZLON ENERGY LIMITED</t>
  </si>
  <si>
    <t>INE040H01021</t>
  </si>
  <si>
    <t>ELECTRICAL EQUIPMENT</t>
  </si>
  <si>
    <t>BHARAT PETROLEUM CORPORATION LIMITED</t>
  </si>
  <si>
    <t>INE029A01011</t>
  </si>
  <si>
    <t>INDIAN OIL CORPORATION LIMITED</t>
  </si>
  <si>
    <t>INE242A01010</t>
  </si>
  <si>
    <t>CUMMINS INDIA LIMITED</t>
  </si>
  <si>
    <t>INE298A01020</t>
  </si>
  <si>
    <t>INDUSTRIAL PRODUCTS</t>
  </si>
  <si>
    <t>PIDILITE INDUSTRIES LIMITED</t>
  </si>
  <si>
    <t>INE318A01026</t>
  </si>
  <si>
    <t>CHEMICALS &amp; PETROCHEMICALS</t>
  </si>
  <si>
    <t>LUPIN LIMITED</t>
  </si>
  <si>
    <t>INE326A01037</t>
  </si>
  <si>
    <t>CG POWER AND INDUSTRIAL SOLUTIONS LTD</t>
  </si>
  <si>
    <t>INE067A01029</t>
  </si>
  <si>
    <t>SAMVARDHANA MOTHERSON INTERNATIONAL LTD</t>
  </si>
  <si>
    <t>INE775A01035</t>
  </si>
  <si>
    <t>AUTO COMPONENTS</t>
  </si>
  <si>
    <t>SRF LIMITED</t>
  </si>
  <si>
    <t>INE647A01010</t>
  </si>
  <si>
    <t>HAVELLS INDIA LIMITED</t>
  </si>
  <si>
    <t>INE176B01034</t>
  </si>
  <si>
    <t>TORRENT PHARMACEUTICALS LIMITED</t>
  </si>
  <si>
    <t>INE685A01028</t>
  </si>
  <si>
    <t>UPL LIMITED</t>
  </si>
  <si>
    <t>INE628A01036</t>
  </si>
  <si>
    <t>FERTILIZERS &amp; AGROCHEMICALS</t>
  </si>
  <si>
    <t>ASHOK LEYLAND LIMITED</t>
  </si>
  <si>
    <t>INE208A01029</t>
  </si>
  <si>
    <t>AGRICULTURAL, COMMERCIAL &amp; CONSTRUCTION VEHICLES</t>
  </si>
  <si>
    <t>HYUNDAI MOTOR INDIA LIMITED</t>
  </si>
  <si>
    <t>INE0V6F01027</t>
  </si>
  <si>
    <t>BOSCH LIMITED</t>
  </si>
  <si>
    <t>INE323A01026</t>
  </si>
  <si>
    <t>JINDAL STEEL &amp; POWER LIMITED</t>
  </si>
  <si>
    <t>INE749A01030</t>
  </si>
  <si>
    <t>POLYCAB INDIA LIMITED</t>
  </si>
  <si>
    <t>INE455K01017</t>
  </si>
  <si>
    <t>SOLAR INDUSTRIES INDIA LIMITED</t>
  </si>
  <si>
    <t>INE343H01029</t>
  </si>
  <si>
    <t>TUBE INVESTMENTS OF INDIA LTD</t>
  </si>
  <si>
    <t>INE974X01010</t>
  </si>
  <si>
    <t>VOLTAS LIMITED</t>
  </si>
  <si>
    <t>INE226A01021</t>
  </si>
  <si>
    <t>PI INDUSTRIES LIMITED</t>
  </si>
  <si>
    <t>INE603J01030</t>
  </si>
  <si>
    <t>BHARAT FORGE LIMITED</t>
  </si>
  <si>
    <t>INE465A01025</t>
  </si>
  <si>
    <t>ALKEM LABORATORIES LIMITED</t>
  </si>
  <si>
    <t>INE540L01014</t>
  </si>
  <si>
    <t>AUROBINDO PHARMA LIMITED</t>
  </si>
  <si>
    <t>INE406A01037</t>
  </si>
  <si>
    <t>MRF LIMITED</t>
  </si>
  <si>
    <t>INE883A01011</t>
  </si>
  <si>
    <t>APL APOLLO TUBES LIMITED</t>
  </si>
  <si>
    <t>INE702C01027</t>
  </si>
  <si>
    <t>PAGE INDUSTRIES LIMITED</t>
  </si>
  <si>
    <t>INE761H01022</t>
  </si>
  <si>
    <t>TEXTILES &amp; APPARELS</t>
  </si>
  <si>
    <t>SUPREME INDUSTRIES LIMITED</t>
  </si>
  <si>
    <t>INE195A01028</t>
  </si>
  <si>
    <t>COROMANDEL INTERNATIONAL LIMITED</t>
  </si>
  <si>
    <t>INE169A01031</t>
  </si>
  <si>
    <t>SIEMENS LIMITED</t>
  </si>
  <si>
    <t>INE003A01024</t>
  </si>
  <si>
    <t>BHARAT HEAVY ELECTRICALS LIMITED</t>
  </si>
  <si>
    <t>INE257A01026</t>
  </si>
  <si>
    <t>ABB INDIA LIMITED</t>
  </si>
  <si>
    <t>INE117A01022</t>
  </si>
  <si>
    <t>BLUE STAR LTD</t>
  </si>
  <si>
    <t>INE472A01039</t>
  </si>
  <si>
    <t>ZYDUS LIFESCIENCES LIMITED</t>
  </si>
  <si>
    <t>INE010B01027</t>
  </si>
  <si>
    <t>KEI INDUSTRIES LIMITED</t>
  </si>
  <si>
    <t>INE878B01027</t>
  </si>
  <si>
    <t>CROMPTON GREAVES CONSUMER ELECTRICAL LTD</t>
  </si>
  <si>
    <t>INE299U01018</t>
  </si>
  <si>
    <t>SONA BLW PRECISION FORGINGS LIMITED</t>
  </si>
  <si>
    <t>INE073K01018</t>
  </si>
  <si>
    <t>MAZAGON DOCK SHIPBUILDERS LIMITED</t>
  </si>
  <si>
    <t>INE249Z01020</t>
  </si>
  <si>
    <t>INDUSTRIAL MANUFACTURING</t>
  </si>
  <si>
    <t>BALKRISHNA INDUSTRIES LIMITED</t>
  </si>
  <si>
    <t>INE787D01026</t>
  </si>
  <si>
    <t>EXIDE INDUSTRIES LIMITED</t>
  </si>
  <si>
    <t>INE302A01020</t>
  </si>
  <si>
    <t>ASTRAL LIMITED</t>
  </si>
  <si>
    <t>INE006I01046</t>
  </si>
  <si>
    <t>KAYNES TECHNOLOGY INDIA PRIVATE LTD</t>
  </si>
  <si>
    <t>INE918Z01012</t>
  </si>
  <si>
    <t>HINDUSTAN ZINC LIMITED</t>
  </si>
  <si>
    <t>INE267A01025</t>
  </si>
  <si>
    <t>TATA CHEMICALS LIMITED</t>
  </si>
  <si>
    <t>INE092A01019</t>
  </si>
  <si>
    <t>GUJARAT FLUOROCHEMICALS LIMITED</t>
  </si>
  <si>
    <t>INE09N301011</t>
  </si>
  <si>
    <t>LINDE INDIA LIMITED</t>
  </si>
  <si>
    <t>INE473A01011</t>
  </si>
  <si>
    <t>COCHIN SHIPYARD LIMITED</t>
  </si>
  <si>
    <t>INE704P01025</t>
  </si>
  <si>
    <t>DEEPAK NITRITE LTD</t>
  </si>
  <si>
    <t>INE288B01029</t>
  </si>
  <si>
    <t>AIA ENGINEERING LIMITED</t>
  </si>
  <si>
    <t>INE212H01026</t>
  </si>
  <si>
    <t>ESCORTS KUBOTA LIMITED</t>
  </si>
  <si>
    <t>INE042A01014</t>
  </si>
  <si>
    <t>HIMADRI SPECIALITY CHEMICAL LIMITED</t>
  </si>
  <si>
    <t>INE019C01026</t>
  </si>
  <si>
    <t>K.P.R. MILL LTD</t>
  </si>
  <si>
    <t>INE930H01031</t>
  </si>
  <si>
    <t>CASTROL INDIA LIMITED</t>
  </si>
  <si>
    <t>INE172A01027</t>
  </si>
  <si>
    <t>ADITYA BIRLA REAL ESTATE LIMITED</t>
  </si>
  <si>
    <t>INE055A01016</t>
  </si>
  <si>
    <t>PAPER, FOREST &amp; JUTE PRODUCTS</t>
  </si>
  <si>
    <t>HONEYWELL AUTOMATION INDIA LIMITED</t>
  </si>
  <si>
    <t>INE671A01010</t>
  </si>
  <si>
    <t>HINDUSTAN COPPER LIMITED</t>
  </si>
  <si>
    <t>INE531E01026</t>
  </si>
  <si>
    <t>TEJAS NETWORKS LIMITED</t>
  </si>
  <si>
    <t>INE010J01012</t>
  </si>
  <si>
    <t>TELECOM - EQUIPMENT &amp; ACCESSORIES</t>
  </si>
  <si>
    <t>IN9628A01026</t>
  </si>
  <si>
    <t>Sub Total</t>
  </si>
  <si>
    <t>(b)Unlisted</t>
  </si>
  <si>
    <t>Total</t>
  </si>
  <si>
    <t>TREPS/Reverse Repo/Net Current Assets/Cash/Cash Equivalent</t>
  </si>
  <si>
    <t>Grand Total</t>
  </si>
  <si>
    <t>Preference Shares</t>
  </si>
  <si>
    <t>6% TVS Motor Co Ltd. Pref Share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</si>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</sst>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9" fillId="0" borderId="5" xfId="0" applyFont="1" applyBorder="1"/>
    <xf numFmtId="0" fontId="10" fillId="0" borderId="6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10" fillId="0" borderId="7" xfId="0" applyFont="1" applyBorder="1" applyAlignment="1">
      <alignment horizontal="justify" vertical="top" wrapText="1"/>
    </xf>
    <xf numFmtId="0" fontId="9" fillId="0" borderId="5" xfId="0" applyFont="1" applyBorder="1" applyAlignment="1">
      <alignment horizontal="left"/>
    </xf>
    <xf numFmtId="0" fontId="8" fillId="0" borderId="8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111</xdr:row>
      <xdr:rowOff>128588</xdr:rowOff>
    </xdr:from>
    <xdr:to>
      <xdr:col>0</xdr:col>
      <xdr:colOff>3752850</xdr:colOff>
      <xdr:row>120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1AB0A-8676-47C7-8C82-4649D92A3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526376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3805237</xdr:colOff>
      <xdr:row>111</xdr:row>
      <xdr:rowOff>33337</xdr:rowOff>
    </xdr:from>
    <xdr:to>
      <xdr:col>3</xdr:col>
      <xdr:colOff>93208</xdr:colOff>
      <xdr:row>120</xdr:row>
      <xdr:rowOff>147637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FFCBFC-1CE5-44C5-B06E-B0451171D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5237" y="20612100"/>
          <a:ext cx="4069896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F412-9FDD-4153-A962-D748713CF1B6}">
  <dimension ref="A1:G122"/>
  <sheetViews>
    <sheetView tabSelected="1" topLeftCell="A102" workbookViewId="0">
      <selection activeCell="F119" sqref="F119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7" t="s">
        <v>0</v>
      </c>
      <c r="B4" s="28"/>
      <c r="C4" s="28"/>
      <c r="D4" s="28"/>
      <c r="E4" s="28"/>
      <c r="F4" s="28"/>
      <c r="G4" s="29"/>
    </row>
    <row r="5" spans="1:7" x14ac:dyDescent="0.45">
      <c r="A5" s="27" t="s">
        <v>1</v>
      </c>
      <c r="B5" s="28"/>
      <c r="C5" s="28"/>
      <c r="D5" s="28"/>
      <c r="E5" s="28"/>
      <c r="F5" s="28"/>
      <c r="G5" s="29"/>
    </row>
    <row r="6" spans="1:7" x14ac:dyDescent="0.45">
      <c r="A6" s="27" t="s">
        <v>2</v>
      </c>
      <c r="B6" s="28"/>
      <c r="C6" s="28"/>
      <c r="D6" s="28"/>
      <c r="E6" s="28"/>
      <c r="F6" s="28"/>
      <c r="G6" s="29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2281</v>
      </c>
      <c r="E10" s="9">
        <v>337.3827</v>
      </c>
      <c r="F10" s="10">
        <v>5.35</v>
      </c>
      <c r="G10" s="11"/>
    </row>
    <row r="11" spans="1:7" x14ac:dyDescent="0.45">
      <c r="A11" s="7" t="s">
        <v>15</v>
      </c>
      <c r="B11" s="7" t="s">
        <v>16</v>
      </c>
      <c r="C11" s="7" t="s">
        <v>14</v>
      </c>
      <c r="D11" s="8">
        <v>9862</v>
      </c>
      <c r="E11" s="9">
        <v>315.53469999999999</v>
      </c>
      <c r="F11" s="10">
        <v>5</v>
      </c>
      <c r="G11" s="11"/>
    </row>
    <row r="12" spans="1:7" x14ac:dyDescent="0.45">
      <c r="A12" s="7" t="s">
        <v>17</v>
      </c>
      <c r="B12" s="7" t="s">
        <v>18</v>
      </c>
      <c r="C12" s="7" t="s">
        <v>19</v>
      </c>
      <c r="D12" s="8">
        <v>18741</v>
      </c>
      <c r="E12" s="9">
        <v>298.8252</v>
      </c>
      <c r="F12" s="10">
        <v>4.7300000000000004</v>
      </c>
      <c r="G12" s="11"/>
    </row>
    <row r="13" spans="1:7" x14ac:dyDescent="0.45">
      <c r="A13" s="7" t="s">
        <v>20</v>
      </c>
      <c r="B13" s="7" t="s">
        <v>21</v>
      </c>
      <c r="C13" s="7" t="s">
        <v>22</v>
      </c>
      <c r="D13" s="8">
        <v>21612</v>
      </c>
      <c r="E13" s="9">
        <v>293.31810000000002</v>
      </c>
      <c r="F13" s="10">
        <v>4.6500000000000004</v>
      </c>
      <c r="G13" s="11"/>
    </row>
    <row r="14" spans="1:7" x14ac:dyDescent="0.45">
      <c r="A14" s="7" t="s">
        <v>23</v>
      </c>
      <c r="B14" s="7" t="s">
        <v>24</v>
      </c>
      <c r="C14" s="7" t="s">
        <v>14</v>
      </c>
      <c r="D14" s="8">
        <v>36277</v>
      </c>
      <c r="E14" s="9">
        <v>242.69309999999999</v>
      </c>
      <c r="F14" s="10">
        <v>3.85</v>
      </c>
      <c r="G14" s="11"/>
    </row>
    <row r="15" spans="1:7" x14ac:dyDescent="0.45">
      <c r="A15" s="7" t="s">
        <v>25</v>
      </c>
      <c r="B15" s="7" t="s">
        <v>26</v>
      </c>
      <c r="C15" s="7" t="s">
        <v>27</v>
      </c>
      <c r="D15" s="8">
        <v>60164</v>
      </c>
      <c r="E15" s="9">
        <v>222.2458</v>
      </c>
      <c r="F15" s="10">
        <v>3.52</v>
      </c>
      <c r="G15" s="11"/>
    </row>
    <row r="16" spans="1:7" x14ac:dyDescent="0.45">
      <c r="A16" s="7" t="s">
        <v>28</v>
      </c>
      <c r="B16" s="7" t="s">
        <v>29</v>
      </c>
      <c r="C16" s="7" t="s">
        <v>30</v>
      </c>
      <c r="D16" s="8">
        <v>143733</v>
      </c>
      <c r="E16" s="9">
        <v>222.03870000000001</v>
      </c>
      <c r="F16" s="10">
        <v>3.52</v>
      </c>
      <c r="G16" s="11"/>
    </row>
    <row r="17" spans="1:7" x14ac:dyDescent="0.45">
      <c r="A17" s="7" t="s">
        <v>31</v>
      </c>
      <c r="B17" s="7" t="s">
        <v>32</v>
      </c>
      <c r="C17" s="7" t="s">
        <v>33</v>
      </c>
      <c r="D17" s="8">
        <v>25171</v>
      </c>
      <c r="E17" s="9">
        <v>177.19130000000001</v>
      </c>
      <c r="F17" s="10">
        <v>2.81</v>
      </c>
      <c r="G17" s="11"/>
    </row>
    <row r="18" spans="1:7" x14ac:dyDescent="0.45">
      <c r="A18" s="7" t="s">
        <v>34</v>
      </c>
      <c r="B18" s="7" t="s">
        <v>35</v>
      </c>
      <c r="C18" s="7" t="s">
        <v>30</v>
      </c>
      <c r="D18" s="8">
        <v>16497</v>
      </c>
      <c r="E18" s="9">
        <v>169.35820000000001</v>
      </c>
      <c r="F18" s="10">
        <v>2.68</v>
      </c>
      <c r="G18" s="11"/>
    </row>
    <row r="19" spans="1:7" x14ac:dyDescent="0.45">
      <c r="A19" s="7" t="s">
        <v>36</v>
      </c>
      <c r="B19" s="7" t="s">
        <v>37</v>
      </c>
      <c r="C19" s="7" t="s">
        <v>14</v>
      </c>
      <c r="D19" s="8">
        <v>1926</v>
      </c>
      <c r="E19" s="9">
        <v>166.24270000000001</v>
      </c>
      <c r="F19" s="10">
        <v>2.63</v>
      </c>
      <c r="G19" s="11"/>
    </row>
    <row r="20" spans="1:7" x14ac:dyDescent="0.45">
      <c r="A20" s="7" t="s">
        <v>38</v>
      </c>
      <c r="B20" s="7" t="s">
        <v>39</v>
      </c>
      <c r="C20" s="7" t="s">
        <v>19</v>
      </c>
      <c r="D20" s="8">
        <v>9777</v>
      </c>
      <c r="E20" s="9">
        <v>155.3956</v>
      </c>
      <c r="F20" s="10">
        <v>2.46</v>
      </c>
      <c r="G20" s="11"/>
    </row>
    <row r="21" spans="1:7" x14ac:dyDescent="0.45">
      <c r="A21" s="7" t="s">
        <v>40</v>
      </c>
      <c r="B21" s="7" t="s">
        <v>41</v>
      </c>
      <c r="C21" s="7" t="s">
        <v>14</v>
      </c>
      <c r="D21" s="8">
        <v>2391</v>
      </c>
      <c r="E21" s="9">
        <v>145.92269999999999</v>
      </c>
      <c r="F21" s="10">
        <v>2.31</v>
      </c>
      <c r="G21" s="11"/>
    </row>
    <row r="22" spans="1:7" x14ac:dyDescent="0.45">
      <c r="A22" s="7" t="s">
        <v>42</v>
      </c>
      <c r="B22" s="7" t="s">
        <v>43</v>
      </c>
      <c r="C22" s="7" t="s">
        <v>27</v>
      </c>
      <c r="D22" s="8">
        <v>3190</v>
      </c>
      <c r="E22" s="9">
        <v>138.2099</v>
      </c>
      <c r="F22" s="10">
        <v>2.19</v>
      </c>
      <c r="G22" s="11"/>
    </row>
    <row r="23" spans="1:7" x14ac:dyDescent="0.45">
      <c r="A23" s="7" t="s">
        <v>44</v>
      </c>
      <c r="B23" s="7" t="s">
        <v>45</v>
      </c>
      <c r="C23" s="7" t="s">
        <v>19</v>
      </c>
      <c r="D23" s="8">
        <v>2207</v>
      </c>
      <c r="E23" s="9">
        <v>135.32220000000001</v>
      </c>
      <c r="F23" s="10">
        <v>2.14</v>
      </c>
      <c r="G23" s="11"/>
    </row>
    <row r="24" spans="1:7" x14ac:dyDescent="0.45">
      <c r="A24" s="7" t="s">
        <v>46</v>
      </c>
      <c r="B24" s="7" t="s">
        <v>47</v>
      </c>
      <c r="C24" s="7" t="s">
        <v>14</v>
      </c>
      <c r="D24" s="8">
        <v>4082</v>
      </c>
      <c r="E24" s="9">
        <v>133.7508</v>
      </c>
      <c r="F24" s="10">
        <v>2.12</v>
      </c>
      <c r="G24" s="11"/>
    </row>
    <row r="25" spans="1:7" x14ac:dyDescent="0.45">
      <c r="A25" s="7" t="s">
        <v>48</v>
      </c>
      <c r="B25" s="7" t="s">
        <v>49</v>
      </c>
      <c r="C25" s="7" t="s">
        <v>19</v>
      </c>
      <c r="D25" s="8">
        <v>10584</v>
      </c>
      <c r="E25" s="9">
        <v>133.369</v>
      </c>
      <c r="F25" s="10">
        <v>2.11</v>
      </c>
      <c r="G25" s="11"/>
    </row>
    <row r="26" spans="1:7" x14ac:dyDescent="0.45">
      <c r="A26" s="7" t="s">
        <v>50</v>
      </c>
      <c r="B26" s="7" t="s">
        <v>51</v>
      </c>
      <c r="C26" s="7" t="s">
        <v>52</v>
      </c>
      <c r="D26" s="8">
        <v>29483</v>
      </c>
      <c r="E26" s="9">
        <v>124.0202</v>
      </c>
      <c r="F26" s="10">
        <v>1.96</v>
      </c>
      <c r="G26" s="11"/>
    </row>
    <row r="27" spans="1:7" x14ac:dyDescent="0.45">
      <c r="A27" s="7" t="s">
        <v>53</v>
      </c>
      <c r="B27" s="7" t="s">
        <v>54</v>
      </c>
      <c r="C27" s="7" t="s">
        <v>14</v>
      </c>
      <c r="D27" s="8">
        <v>2257</v>
      </c>
      <c r="E27" s="9">
        <v>114.82940000000001</v>
      </c>
      <c r="F27" s="10">
        <v>1.82</v>
      </c>
      <c r="G27" s="11"/>
    </row>
    <row r="28" spans="1:7" x14ac:dyDescent="0.45">
      <c r="A28" s="7" t="s">
        <v>55</v>
      </c>
      <c r="B28" s="7" t="s">
        <v>56</v>
      </c>
      <c r="C28" s="7" t="s">
        <v>57</v>
      </c>
      <c r="D28" s="8">
        <v>677</v>
      </c>
      <c r="E28" s="9">
        <v>112.9913</v>
      </c>
      <c r="F28" s="10">
        <v>1.79</v>
      </c>
      <c r="G28" s="11"/>
    </row>
    <row r="29" spans="1:7" x14ac:dyDescent="0.45">
      <c r="A29" s="7" t="s">
        <v>58</v>
      </c>
      <c r="B29" s="7" t="s">
        <v>59</v>
      </c>
      <c r="C29" s="7" t="s">
        <v>60</v>
      </c>
      <c r="D29" s="8">
        <v>200073</v>
      </c>
      <c r="E29" s="9">
        <v>112.9012</v>
      </c>
      <c r="F29" s="10">
        <v>1.79</v>
      </c>
      <c r="G29" s="11"/>
    </row>
    <row r="30" spans="1:7" x14ac:dyDescent="0.45">
      <c r="A30" s="7" t="s">
        <v>61</v>
      </c>
      <c r="B30" s="7" t="s">
        <v>62</v>
      </c>
      <c r="C30" s="7" t="s">
        <v>22</v>
      </c>
      <c r="D30" s="8">
        <v>33690</v>
      </c>
      <c r="E30" s="9">
        <v>103.8326</v>
      </c>
      <c r="F30" s="10">
        <v>1.65</v>
      </c>
      <c r="G30" s="11"/>
    </row>
    <row r="31" spans="1:7" x14ac:dyDescent="0.45">
      <c r="A31" s="7" t="s">
        <v>63</v>
      </c>
      <c r="B31" s="7" t="s">
        <v>64</v>
      </c>
      <c r="C31" s="7" t="s">
        <v>22</v>
      </c>
      <c r="D31" s="8">
        <v>64942</v>
      </c>
      <c r="E31" s="9">
        <v>88.723799999999997</v>
      </c>
      <c r="F31" s="10">
        <v>1.41</v>
      </c>
      <c r="G31" s="11"/>
    </row>
    <row r="32" spans="1:7" x14ac:dyDescent="0.45">
      <c r="A32" s="7" t="s">
        <v>65</v>
      </c>
      <c r="B32" s="7" t="s">
        <v>66</v>
      </c>
      <c r="C32" s="7" t="s">
        <v>67</v>
      </c>
      <c r="D32" s="8">
        <v>2270</v>
      </c>
      <c r="E32" s="9">
        <v>86.854699999999994</v>
      </c>
      <c r="F32" s="10">
        <v>1.38</v>
      </c>
      <c r="G32" s="11"/>
    </row>
    <row r="33" spans="1:7" x14ac:dyDescent="0.45">
      <c r="A33" s="7" t="s">
        <v>68</v>
      </c>
      <c r="B33" s="7" t="s">
        <v>69</v>
      </c>
      <c r="C33" s="7" t="s">
        <v>70</v>
      </c>
      <c r="D33" s="8">
        <v>2684</v>
      </c>
      <c r="E33" s="9">
        <v>81.870099999999994</v>
      </c>
      <c r="F33" s="10">
        <v>1.3</v>
      </c>
      <c r="G33" s="11"/>
    </row>
    <row r="34" spans="1:7" x14ac:dyDescent="0.45">
      <c r="A34" s="7" t="s">
        <v>71</v>
      </c>
      <c r="B34" s="7" t="s">
        <v>72</v>
      </c>
      <c r="C34" s="7" t="s">
        <v>19</v>
      </c>
      <c r="D34" s="8">
        <v>4203</v>
      </c>
      <c r="E34" s="9">
        <v>79.642600000000002</v>
      </c>
      <c r="F34" s="10">
        <v>1.26</v>
      </c>
      <c r="G34" s="11"/>
    </row>
    <row r="35" spans="1:7" x14ac:dyDescent="0.45">
      <c r="A35" s="7" t="s">
        <v>73</v>
      </c>
      <c r="B35" s="7" t="s">
        <v>74</v>
      </c>
      <c r="C35" s="7" t="s">
        <v>60</v>
      </c>
      <c r="D35" s="8">
        <v>10761</v>
      </c>
      <c r="E35" s="9">
        <v>74.7136</v>
      </c>
      <c r="F35" s="10">
        <v>1.18</v>
      </c>
      <c r="G35" s="11"/>
    </row>
    <row r="36" spans="1:7" x14ac:dyDescent="0.45">
      <c r="A36" s="7" t="s">
        <v>75</v>
      </c>
      <c r="B36" s="7" t="s">
        <v>76</v>
      </c>
      <c r="C36" s="7" t="s">
        <v>77</v>
      </c>
      <c r="D36" s="8">
        <v>76871</v>
      </c>
      <c r="E36" s="9">
        <v>71.297899999999998</v>
      </c>
      <c r="F36" s="10">
        <v>1.1299999999999999</v>
      </c>
      <c r="G36" s="11"/>
    </row>
    <row r="37" spans="1:7" x14ac:dyDescent="0.45">
      <c r="A37" s="7" t="s">
        <v>78</v>
      </c>
      <c r="B37" s="7" t="s">
        <v>79</v>
      </c>
      <c r="C37" s="7" t="s">
        <v>70</v>
      </c>
      <c r="D37" s="8">
        <v>2522</v>
      </c>
      <c r="E37" s="9">
        <v>71.534000000000006</v>
      </c>
      <c r="F37" s="10">
        <v>1.1299999999999999</v>
      </c>
      <c r="G37" s="11"/>
    </row>
    <row r="38" spans="1:7" x14ac:dyDescent="0.45">
      <c r="A38" s="7" t="s">
        <v>80</v>
      </c>
      <c r="B38" s="7" t="s">
        <v>81</v>
      </c>
      <c r="C38" s="7" t="s">
        <v>57</v>
      </c>
      <c r="D38" s="8">
        <v>4387</v>
      </c>
      <c r="E38" s="9">
        <v>66.928100000000001</v>
      </c>
      <c r="F38" s="10">
        <v>1.06</v>
      </c>
      <c r="G38" s="11"/>
    </row>
    <row r="39" spans="1:7" x14ac:dyDescent="0.45">
      <c r="A39" s="7" t="s">
        <v>82</v>
      </c>
      <c r="B39" s="7" t="s">
        <v>83</v>
      </c>
      <c r="C39" s="7" t="s">
        <v>19</v>
      </c>
      <c r="D39" s="8">
        <v>1818</v>
      </c>
      <c r="E39" s="9">
        <v>64.717200000000005</v>
      </c>
      <c r="F39" s="10">
        <v>1.03</v>
      </c>
      <c r="G39" s="11"/>
    </row>
    <row r="40" spans="1:7" x14ac:dyDescent="0.45">
      <c r="A40" s="7" t="s">
        <v>84</v>
      </c>
      <c r="B40" s="7" t="s">
        <v>85</v>
      </c>
      <c r="C40" s="7" t="s">
        <v>86</v>
      </c>
      <c r="D40" s="8">
        <v>8796</v>
      </c>
      <c r="E40" s="9">
        <v>62.9574</v>
      </c>
      <c r="F40" s="10">
        <v>1</v>
      </c>
      <c r="G40" s="11"/>
    </row>
    <row r="41" spans="1:7" ht="26.25" x14ac:dyDescent="0.45">
      <c r="A41" s="7" t="s">
        <v>87</v>
      </c>
      <c r="B41" s="7" t="s">
        <v>88</v>
      </c>
      <c r="C41" s="7" t="s">
        <v>89</v>
      </c>
      <c r="D41" s="8">
        <v>48057</v>
      </c>
      <c r="E41" s="9">
        <v>61.022799999999997</v>
      </c>
      <c r="F41" s="10">
        <v>0.97</v>
      </c>
      <c r="G41" s="11"/>
    </row>
    <row r="42" spans="1:7" x14ac:dyDescent="0.45">
      <c r="A42" s="7" t="s">
        <v>90</v>
      </c>
      <c r="B42" s="7" t="s">
        <v>91</v>
      </c>
      <c r="C42" s="7" t="s">
        <v>14</v>
      </c>
      <c r="D42" s="8">
        <v>2478</v>
      </c>
      <c r="E42" s="9">
        <v>60.968699999999998</v>
      </c>
      <c r="F42" s="10">
        <v>0.97</v>
      </c>
      <c r="G42" s="11"/>
    </row>
    <row r="43" spans="1:7" x14ac:dyDescent="0.45">
      <c r="A43" s="7" t="s">
        <v>92</v>
      </c>
      <c r="B43" s="7" t="s">
        <v>93</v>
      </c>
      <c r="C43" s="7" t="s">
        <v>77</v>
      </c>
      <c r="D43" s="8">
        <v>151</v>
      </c>
      <c r="E43" s="9">
        <v>60.339599999999997</v>
      </c>
      <c r="F43" s="10">
        <v>0.96</v>
      </c>
      <c r="G43" s="11"/>
    </row>
    <row r="44" spans="1:7" x14ac:dyDescent="0.45">
      <c r="A44" s="7" t="s">
        <v>94</v>
      </c>
      <c r="B44" s="7" t="s">
        <v>95</v>
      </c>
      <c r="C44" s="7" t="s">
        <v>30</v>
      </c>
      <c r="D44" s="8">
        <v>6421</v>
      </c>
      <c r="E44" s="9">
        <v>60.729799999999997</v>
      </c>
      <c r="F44" s="10">
        <v>0.96</v>
      </c>
      <c r="G44" s="11"/>
    </row>
    <row r="45" spans="1:7" x14ac:dyDescent="0.45">
      <c r="A45" s="7" t="s">
        <v>96</v>
      </c>
      <c r="B45" s="7" t="s">
        <v>97</v>
      </c>
      <c r="C45" s="7" t="s">
        <v>67</v>
      </c>
      <c r="D45" s="8">
        <v>847</v>
      </c>
      <c r="E45" s="9">
        <v>60.0608</v>
      </c>
      <c r="F45" s="10">
        <v>0.95</v>
      </c>
      <c r="G45" s="11"/>
    </row>
    <row r="46" spans="1:7" x14ac:dyDescent="0.45">
      <c r="A46" s="7" t="s">
        <v>98</v>
      </c>
      <c r="B46" s="7" t="s">
        <v>99</v>
      </c>
      <c r="C46" s="7" t="s">
        <v>70</v>
      </c>
      <c r="D46" s="8">
        <v>423</v>
      </c>
      <c r="E46" s="9">
        <v>58.352899999999998</v>
      </c>
      <c r="F46" s="10">
        <v>0.92</v>
      </c>
      <c r="G46" s="11"/>
    </row>
    <row r="47" spans="1:7" x14ac:dyDescent="0.45">
      <c r="A47" s="7" t="s">
        <v>100</v>
      </c>
      <c r="B47" s="7" t="s">
        <v>101</v>
      </c>
      <c r="C47" s="7" t="s">
        <v>77</v>
      </c>
      <c r="D47" s="8">
        <v>1856</v>
      </c>
      <c r="E47" s="9">
        <v>54.967300000000002</v>
      </c>
      <c r="F47" s="10">
        <v>0.87</v>
      </c>
      <c r="G47" s="11"/>
    </row>
    <row r="48" spans="1:7" x14ac:dyDescent="0.45">
      <c r="A48" s="7" t="s">
        <v>102</v>
      </c>
      <c r="B48" s="7" t="s">
        <v>103</v>
      </c>
      <c r="C48" s="7" t="s">
        <v>57</v>
      </c>
      <c r="D48" s="8">
        <v>3957</v>
      </c>
      <c r="E48" s="9">
        <v>54.369199999999999</v>
      </c>
      <c r="F48" s="10">
        <v>0.86</v>
      </c>
      <c r="G48" s="11"/>
    </row>
    <row r="49" spans="1:7" x14ac:dyDescent="0.45">
      <c r="A49" s="7" t="s">
        <v>104</v>
      </c>
      <c r="B49" s="7" t="s">
        <v>105</v>
      </c>
      <c r="C49" s="7" t="s">
        <v>86</v>
      </c>
      <c r="D49" s="8">
        <v>1408</v>
      </c>
      <c r="E49" s="9">
        <v>52.022799999999997</v>
      </c>
      <c r="F49" s="10">
        <v>0.82</v>
      </c>
      <c r="G49" s="11"/>
    </row>
    <row r="50" spans="1:7" x14ac:dyDescent="0.45">
      <c r="A50" s="7" t="s">
        <v>106</v>
      </c>
      <c r="B50" s="7" t="s">
        <v>107</v>
      </c>
      <c r="C50" s="7" t="s">
        <v>77</v>
      </c>
      <c r="D50" s="8">
        <v>4634</v>
      </c>
      <c r="E50" s="9">
        <v>51.284500000000001</v>
      </c>
      <c r="F50" s="10">
        <v>0.81</v>
      </c>
      <c r="G50" s="11"/>
    </row>
    <row r="51" spans="1:7" x14ac:dyDescent="0.45">
      <c r="A51" s="7" t="s">
        <v>108</v>
      </c>
      <c r="B51" s="7" t="s">
        <v>109</v>
      </c>
      <c r="C51" s="7" t="s">
        <v>19</v>
      </c>
      <c r="D51" s="8">
        <v>935</v>
      </c>
      <c r="E51" s="9">
        <v>49.587699999999998</v>
      </c>
      <c r="F51" s="10">
        <v>0.79</v>
      </c>
      <c r="G51" s="11"/>
    </row>
    <row r="52" spans="1:7" x14ac:dyDescent="0.45">
      <c r="A52" s="7" t="s">
        <v>110</v>
      </c>
      <c r="B52" s="7" t="s">
        <v>111</v>
      </c>
      <c r="C52" s="7" t="s">
        <v>19</v>
      </c>
      <c r="D52" s="8">
        <v>4861</v>
      </c>
      <c r="E52" s="9">
        <v>49.966200000000001</v>
      </c>
      <c r="F52" s="10">
        <v>0.79</v>
      </c>
      <c r="G52" s="11"/>
    </row>
    <row r="53" spans="1:7" x14ac:dyDescent="0.45">
      <c r="A53" s="7" t="s">
        <v>112</v>
      </c>
      <c r="B53" s="7" t="s">
        <v>113</v>
      </c>
      <c r="C53" s="7" t="s">
        <v>77</v>
      </c>
      <c r="D53" s="8">
        <v>35</v>
      </c>
      <c r="E53" s="9">
        <v>49.334299999999999</v>
      </c>
      <c r="F53" s="10">
        <v>0.78</v>
      </c>
      <c r="G53" s="11"/>
    </row>
    <row r="54" spans="1:7" x14ac:dyDescent="0.45">
      <c r="A54" s="7" t="s">
        <v>114</v>
      </c>
      <c r="B54" s="7" t="s">
        <v>115</v>
      </c>
      <c r="C54" s="7" t="s">
        <v>67</v>
      </c>
      <c r="D54" s="8">
        <v>3043</v>
      </c>
      <c r="E54" s="9">
        <v>48.831000000000003</v>
      </c>
      <c r="F54" s="10">
        <v>0.77</v>
      </c>
      <c r="G54" s="11"/>
    </row>
    <row r="55" spans="1:7" x14ac:dyDescent="0.45">
      <c r="A55" s="7" t="s">
        <v>116</v>
      </c>
      <c r="B55" s="7" t="s">
        <v>117</v>
      </c>
      <c r="C55" s="7" t="s">
        <v>118</v>
      </c>
      <c r="D55" s="8">
        <v>110</v>
      </c>
      <c r="E55" s="9">
        <v>48.768500000000003</v>
      </c>
      <c r="F55" s="10">
        <v>0.77</v>
      </c>
      <c r="G55" s="11"/>
    </row>
    <row r="56" spans="1:7" x14ac:dyDescent="0.45">
      <c r="A56" s="7" t="s">
        <v>119</v>
      </c>
      <c r="B56" s="7" t="s">
        <v>120</v>
      </c>
      <c r="C56" s="7" t="s">
        <v>67</v>
      </c>
      <c r="D56" s="8">
        <v>1086</v>
      </c>
      <c r="E56" s="9">
        <v>48.557200000000002</v>
      </c>
      <c r="F56" s="10">
        <v>0.77</v>
      </c>
      <c r="G56" s="11"/>
    </row>
    <row r="57" spans="1:7" x14ac:dyDescent="0.45">
      <c r="A57" s="7" t="s">
        <v>121</v>
      </c>
      <c r="B57" s="7" t="s">
        <v>122</v>
      </c>
      <c r="C57" s="7" t="s">
        <v>86</v>
      </c>
      <c r="D57" s="8">
        <v>2056</v>
      </c>
      <c r="E57" s="9">
        <v>47.475099999999998</v>
      </c>
      <c r="F57" s="10">
        <v>0.75</v>
      </c>
      <c r="G57" s="11"/>
    </row>
    <row r="58" spans="1:7" x14ac:dyDescent="0.45">
      <c r="A58" s="7" t="s">
        <v>123</v>
      </c>
      <c r="B58" s="7" t="s">
        <v>124</v>
      </c>
      <c r="C58" s="7" t="s">
        <v>60</v>
      </c>
      <c r="D58" s="8">
        <v>1485</v>
      </c>
      <c r="E58" s="9">
        <v>45.495899999999999</v>
      </c>
      <c r="F58" s="10">
        <v>0.72</v>
      </c>
      <c r="G58" s="11"/>
    </row>
    <row r="59" spans="1:7" x14ac:dyDescent="0.45">
      <c r="A59" s="7" t="s">
        <v>125</v>
      </c>
      <c r="B59" s="7" t="s">
        <v>126</v>
      </c>
      <c r="C59" s="7" t="s">
        <v>60</v>
      </c>
      <c r="D59" s="8">
        <v>21591</v>
      </c>
      <c r="E59" s="9">
        <v>44.9114</v>
      </c>
      <c r="F59" s="10">
        <v>0.71</v>
      </c>
      <c r="G59" s="11"/>
    </row>
    <row r="60" spans="1:7" x14ac:dyDescent="0.45">
      <c r="A60" s="7" t="s">
        <v>127</v>
      </c>
      <c r="B60" s="7" t="s">
        <v>128</v>
      </c>
      <c r="C60" s="7" t="s">
        <v>60</v>
      </c>
      <c r="D60" s="8">
        <v>881</v>
      </c>
      <c r="E60" s="9">
        <v>44.041200000000003</v>
      </c>
      <c r="F60" s="10">
        <v>0.7</v>
      </c>
      <c r="G60" s="11"/>
    </row>
    <row r="61" spans="1:7" x14ac:dyDescent="0.45">
      <c r="A61" s="7" t="s">
        <v>129</v>
      </c>
      <c r="B61" s="7" t="s">
        <v>130</v>
      </c>
      <c r="C61" s="7" t="s">
        <v>57</v>
      </c>
      <c r="D61" s="8">
        <v>2256</v>
      </c>
      <c r="E61" s="9">
        <v>42.4512</v>
      </c>
      <c r="F61" s="10">
        <v>0.67</v>
      </c>
      <c r="G61" s="11"/>
    </row>
    <row r="62" spans="1:7" x14ac:dyDescent="0.45">
      <c r="A62" s="7" t="s">
        <v>131</v>
      </c>
      <c r="B62" s="7" t="s">
        <v>132</v>
      </c>
      <c r="C62" s="7" t="s">
        <v>19</v>
      </c>
      <c r="D62" s="8">
        <v>4340</v>
      </c>
      <c r="E62" s="9">
        <v>42.577599999999997</v>
      </c>
      <c r="F62" s="10">
        <v>0.67</v>
      </c>
      <c r="G62" s="11"/>
    </row>
    <row r="63" spans="1:7" x14ac:dyDescent="0.45">
      <c r="A63" s="7" t="s">
        <v>133</v>
      </c>
      <c r="B63" s="7" t="s">
        <v>134</v>
      </c>
      <c r="C63" s="7" t="s">
        <v>67</v>
      </c>
      <c r="D63" s="8">
        <v>1036</v>
      </c>
      <c r="E63" s="9">
        <v>39.477800000000002</v>
      </c>
      <c r="F63" s="10">
        <v>0.63</v>
      </c>
      <c r="G63" s="11"/>
    </row>
    <row r="64" spans="1:7" x14ac:dyDescent="0.45">
      <c r="A64" s="7" t="s">
        <v>135</v>
      </c>
      <c r="B64" s="7" t="s">
        <v>136</v>
      </c>
      <c r="C64" s="7" t="s">
        <v>57</v>
      </c>
      <c r="D64" s="8">
        <v>11170</v>
      </c>
      <c r="E64" s="9">
        <v>36.860999999999997</v>
      </c>
      <c r="F64" s="10">
        <v>0.57999999999999996</v>
      </c>
      <c r="G64" s="11"/>
    </row>
    <row r="65" spans="1:7" x14ac:dyDescent="0.45">
      <c r="A65" s="7" t="s">
        <v>137</v>
      </c>
      <c r="B65" s="7" t="s">
        <v>138</v>
      </c>
      <c r="C65" s="7" t="s">
        <v>77</v>
      </c>
      <c r="D65" s="8">
        <v>7789</v>
      </c>
      <c r="E65" s="9">
        <v>34.5092</v>
      </c>
      <c r="F65" s="10">
        <v>0.55000000000000004</v>
      </c>
      <c r="G65" s="11"/>
    </row>
    <row r="66" spans="1:7" x14ac:dyDescent="0.45">
      <c r="A66" s="7" t="s">
        <v>139</v>
      </c>
      <c r="B66" s="7" t="s">
        <v>140</v>
      </c>
      <c r="C66" s="7" t="s">
        <v>141</v>
      </c>
      <c r="D66" s="8">
        <v>1276</v>
      </c>
      <c r="E66" s="9">
        <v>33.215600000000002</v>
      </c>
      <c r="F66" s="10">
        <v>0.53</v>
      </c>
      <c r="G66" s="11"/>
    </row>
    <row r="67" spans="1:7" x14ac:dyDescent="0.45">
      <c r="A67" s="7" t="s">
        <v>142</v>
      </c>
      <c r="B67" s="7" t="s">
        <v>143</v>
      </c>
      <c r="C67" s="7" t="s">
        <v>77</v>
      </c>
      <c r="D67" s="8">
        <v>1392</v>
      </c>
      <c r="E67" s="9">
        <v>31.868400000000001</v>
      </c>
      <c r="F67" s="10">
        <v>0.5</v>
      </c>
      <c r="G67" s="11"/>
    </row>
    <row r="68" spans="1:7" x14ac:dyDescent="0.45">
      <c r="A68" s="7" t="s">
        <v>144</v>
      </c>
      <c r="B68" s="7" t="s">
        <v>145</v>
      </c>
      <c r="C68" s="7" t="s">
        <v>77</v>
      </c>
      <c r="D68" s="8">
        <v>7910</v>
      </c>
      <c r="E68" s="9">
        <v>31.343399999999999</v>
      </c>
      <c r="F68" s="10">
        <v>0.5</v>
      </c>
      <c r="G68" s="11"/>
    </row>
    <row r="69" spans="1:7" x14ac:dyDescent="0.45">
      <c r="A69" s="7" t="s">
        <v>146</v>
      </c>
      <c r="B69" s="7" t="s">
        <v>147</v>
      </c>
      <c r="C69" s="7" t="s">
        <v>67</v>
      </c>
      <c r="D69" s="8">
        <v>2070</v>
      </c>
      <c r="E69" s="9">
        <v>28.1479</v>
      </c>
      <c r="F69" s="10">
        <v>0.45</v>
      </c>
      <c r="G69" s="11"/>
    </row>
    <row r="70" spans="1:7" x14ac:dyDescent="0.45">
      <c r="A70" s="7" t="s">
        <v>148</v>
      </c>
      <c r="B70" s="7" t="s">
        <v>149</v>
      </c>
      <c r="C70" s="7" t="s">
        <v>141</v>
      </c>
      <c r="D70" s="8">
        <v>456</v>
      </c>
      <c r="E70" s="9">
        <v>27.9209</v>
      </c>
      <c r="F70" s="10">
        <v>0.44</v>
      </c>
      <c r="G70" s="11"/>
    </row>
    <row r="71" spans="1:7" x14ac:dyDescent="0.45">
      <c r="A71" s="7" t="s">
        <v>150</v>
      </c>
      <c r="B71" s="7" t="s">
        <v>151</v>
      </c>
      <c r="C71" s="7" t="s">
        <v>33</v>
      </c>
      <c r="D71" s="8">
        <v>6372</v>
      </c>
      <c r="E71" s="9">
        <v>26.714600000000001</v>
      </c>
      <c r="F71" s="10">
        <v>0.42</v>
      </c>
      <c r="G71" s="11"/>
    </row>
    <row r="72" spans="1:7" x14ac:dyDescent="0.45">
      <c r="A72" s="7" t="s">
        <v>152</v>
      </c>
      <c r="B72" s="7" t="s">
        <v>153</v>
      </c>
      <c r="C72" s="7" t="s">
        <v>70</v>
      </c>
      <c r="D72" s="8">
        <v>2719</v>
      </c>
      <c r="E72" s="9">
        <v>25.033799999999999</v>
      </c>
      <c r="F72" s="10">
        <v>0.4</v>
      </c>
      <c r="G72" s="11"/>
    </row>
    <row r="73" spans="1:7" x14ac:dyDescent="0.45">
      <c r="A73" s="7" t="s">
        <v>154</v>
      </c>
      <c r="B73" s="7" t="s">
        <v>155</v>
      </c>
      <c r="C73" s="7" t="s">
        <v>70</v>
      </c>
      <c r="D73" s="8">
        <v>710</v>
      </c>
      <c r="E73" s="9">
        <v>24.240100000000002</v>
      </c>
      <c r="F73" s="10">
        <v>0.38</v>
      </c>
      <c r="G73" s="11"/>
    </row>
    <row r="74" spans="1:7" x14ac:dyDescent="0.45">
      <c r="A74" s="7" t="s">
        <v>156</v>
      </c>
      <c r="B74" s="7" t="s">
        <v>157</v>
      </c>
      <c r="C74" s="7" t="s">
        <v>70</v>
      </c>
      <c r="D74" s="8">
        <v>366</v>
      </c>
      <c r="E74" s="9">
        <v>23.345300000000002</v>
      </c>
      <c r="F74" s="10">
        <v>0.37</v>
      </c>
      <c r="G74" s="11"/>
    </row>
    <row r="75" spans="1:7" x14ac:dyDescent="0.45">
      <c r="A75" s="7" t="s">
        <v>158</v>
      </c>
      <c r="B75" s="7" t="s">
        <v>159</v>
      </c>
      <c r="C75" s="7" t="s">
        <v>141</v>
      </c>
      <c r="D75" s="8">
        <v>1422</v>
      </c>
      <c r="E75" s="9">
        <v>22.868600000000001</v>
      </c>
      <c r="F75" s="10">
        <v>0.36</v>
      </c>
      <c r="G75" s="11"/>
    </row>
    <row r="76" spans="1:7" x14ac:dyDescent="0.45">
      <c r="A76" s="7" t="s">
        <v>160</v>
      </c>
      <c r="B76" s="7" t="s">
        <v>161</v>
      </c>
      <c r="C76" s="7" t="s">
        <v>70</v>
      </c>
      <c r="D76" s="8">
        <v>1194</v>
      </c>
      <c r="E76" s="9">
        <v>21.3475</v>
      </c>
      <c r="F76" s="10">
        <v>0.34</v>
      </c>
      <c r="G76" s="11"/>
    </row>
    <row r="77" spans="1:7" x14ac:dyDescent="0.45">
      <c r="A77" s="7" t="s">
        <v>162</v>
      </c>
      <c r="B77" s="7" t="s">
        <v>163</v>
      </c>
      <c r="C77" s="7" t="s">
        <v>67</v>
      </c>
      <c r="D77" s="8">
        <v>652</v>
      </c>
      <c r="E77" s="9">
        <v>19.927099999999999</v>
      </c>
      <c r="F77" s="10">
        <v>0.32</v>
      </c>
      <c r="G77" s="11"/>
    </row>
    <row r="78" spans="1:7" ht="26.25" x14ac:dyDescent="0.45">
      <c r="A78" s="7" t="s">
        <v>164</v>
      </c>
      <c r="B78" s="7" t="s">
        <v>165</v>
      </c>
      <c r="C78" s="7" t="s">
        <v>89</v>
      </c>
      <c r="D78" s="8">
        <v>557</v>
      </c>
      <c r="E78" s="9">
        <v>19.872599999999998</v>
      </c>
      <c r="F78" s="10">
        <v>0.31</v>
      </c>
      <c r="G78" s="11"/>
    </row>
    <row r="79" spans="1:7" x14ac:dyDescent="0.45">
      <c r="A79" s="7" t="s">
        <v>166</v>
      </c>
      <c r="B79" s="7" t="s">
        <v>167</v>
      </c>
      <c r="C79" s="7" t="s">
        <v>70</v>
      </c>
      <c r="D79" s="8">
        <v>4077</v>
      </c>
      <c r="E79" s="9">
        <v>18.179300000000001</v>
      </c>
      <c r="F79" s="10">
        <v>0.28999999999999998</v>
      </c>
      <c r="G79" s="11"/>
    </row>
    <row r="80" spans="1:7" x14ac:dyDescent="0.45">
      <c r="A80" s="7" t="s">
        <v>168</v>
      </c>
      <c r="B80" s="7" t="s">
        <v>169</v>
      </c>
      <c r="C80" s="7" t="s">
        <v>118</v>
      </c>
      <c r="D80" s="8">
        <v>1745</v>
      </c>
      <c r="E80" s="9">
        <v>17.212700000000002</v>
      </c>
      <c r="F80" s="10">
        <v>0.27</v>
      </c>
      <c r="G80" s="11"/>
    </row>
    <row r="81" spans="1:7" x14ac:dyDescent="0.45">
      <c r="A81" s="7" t="s">
        <v>170</v>
      </c>
      <c r="B81" s="7" t="s">
        <v>171</v>
      </c>
      <c r="C81" s="7" t="s">
        <v>22</v>
      </c>
      <c r="D81" s="8">
        <v>8410</v>
      </c>
      <c r="E81" s="9">
        <v>16.587</v>
      </c>
      <c r="F81" s="10">
        <v>0.26</v>
      </c>
      <c r="G81" s="11"/>
    </row>
    <row r="82" spans="1:7" x14ac:dyDescent="0.45">
      <c r="A82" s="7" t="s">
        <v>172</v>
      </c>
      <c r="B82" s="7" t="s">
        <v>173</v>
      </c>
      <c r="C82" s="7" t="s">
        <v>174</v>
      </c>
      <c r="D82" s="8">
        <v>909</v>
      </c>
      <c r="E82" s="9">
        <v>15.9093</v>
      </c>
      <c r="F82" s="10">
        <v>0.25</v>
      </c>
      <c r="G82" s="11"/>
    </row>
    <row r="83" spans="1:7" x14ac:dyDescent="0.45">
      <c r="A83" s="7" t="s">
        <v>175</v>
      </c>
      <c r="B83" s="7" t="s">
        <v>176</v>
      </c>
      <c r="C83" s="7" t="s">
        <v>141</v>
      </c>
      <c r="D83" s="8">
        <v>37</v>
      </c>
      <c r="E83" s="9">
        <v>14.3338</v>
      </c>
      <c r="F83" s="10">
        <v>0.23</v>
      </c>
      <c r="G83" s="11"/>
    </row>
    <row r="84" spans="1:7" x14ac:dyDescent="0.45">
      <c r="A84" s="7" t="s">
        <v>177</v>
      </c>
      <c r="B84" s="7" t="s">
        <v>178</v>
      </c>
      <c r="C84" s="7" t="s">
        <v>33</v>
      </c>
      <c r="D84" s="8">
        <v>5704</v>
      </c>
      <c r="E84" s="9">
        <v>13.1135</v>
      </c>
      <c r="F84" s="10">
        <v>0.21</v>
      </c>
      <c r="G84" s="11"/>
    </row>
    <row r="85" spans="1:7" x14ac:dyDescent="0.45">
      <c r="A85" s="7" t="s">
        <v>179</v>
      </c>
      <c r="B85" s="7" t="s">
        <v>180</v>
      </c>
      <c r="C85" s="7" t="s">
        <v>181</v>
      </c>
      <c r="D85" s="8">
        <v>1394</v>
      </c>
      <c r="E85" s="9">
        <v>8.1347000000000005</v>
      </c>
      <c r="F85" s="10">
        <v>0.13</v>
      </c>
      <c r="G85" s="11"/>
    </row>
    <row r="86" spans="1:7" x14ac:dyDescent="0.45">
      <c r="A86" s="7" t="s">
        <v>84</v>
      </c>
      <c r="B86" s="7" t="s">
        <v>182</v>
      </c>
      <c r="C86" s="7" t="s">
        <v>86</v>
      </c>
      <c r="D86" s="8">
        <v>898</v>
      </c>
      <c r="E86" s="9">
        <v>4.8109999999999999</v>
      </c>
      <c r="F86" s="10">
        <v>0.08</v>
      </c>
      <c r="G86" s="11"/>
    </row>
    <row r="87" spans="1:7" x14ac:dyDescent="0.45">
      <c r="A87" s="12" t="s">
        <v>183</v>
      </c>
      <c r="B87" s="13"/>
      <c r="C87" s="13"/>
      <c r="D87" s="13"/>
      <c r="E87" s="14">
        <v>6295.7056000000002</v>
      </c>
      <c r="F87" s="15">
        <v>99.74</v>
      </c>
      <c r="G87" s="13"/>
    </row>
    <row r="88" spans="1:7" x14ac:dyDescent="0.45">
      <c r="A88" s="6"/>
      <c r="B88" s="6"/>
      <c r="C88" s="6"/>
      <c r="D88" s="6"/>
      <c r="E88" s="6"/>
      <c r="F88" s="6"/>
      <c r="G88" s="6"/>
    </row>
    <row r="89" spans="1:7" x14ac:dyDescent="0.45">
      <c r="A89" s="12" t="s">
        <v>184</v>
      </c>
      <c r="B89" s="13"/>
      <c r="C89" s="13"/>
      <c r="D89" s="13"/>
      <c r="E89" s="13"/>
      <c r="F89" s="13"/>
      <c r="G89" s="13"/>
    </row>
    <row r="90" spans="1:7" x14ac:dyDescent="0.45">
      <c r="A90" s="12" t="s">
        <v>183</v>
      </c>
      <c r="B90" s="13"/>
      <c r="C90" s="13"/>
      <c r="D90" s="13"/>
      <c r="E90" s="14">
        <v>0</v>
      </c>
      <c r="F90" s="15">
        <v>0</v>
      </c>
      <c r="G90" s="13"/>
    </row>
    <row r="91" spans="1:7" x14ac:dyDescent="0.45">
      <c r="A91" s="23" t="s">
        <v>188</v>
      </c>
      <c r="B91" s="6"/>
      <c r="C91" s="6"/>
      <c r="D91" s="6"/>
      <c r="E91" s="6"/>
      <c r="F91" s="6"/>
      <c r="G91" s="6"/>
    </row>
    <row r="92" spans="1:7" x14ac:dyDescent="0.45">
      <c r="A92" s="6" t="s">
        <v>189</v>
      </c>
      <c r="B92" s="6"/>
      <c r="C92" s="6"/>
      <c r="D92" s="6"/>
      <c r="E92" s="9">
        <v>1.6292</v>
      </c>
      <c r="F92" s="10">
        <v>2.5812000000000002E-2</v>
      </c>
      <c r="G92" s="6"/>
    </row>
    <row r="93" spans="1:7" x14ac:dyDescent="0.45">
      <c r="A93" s="23" t="s">
        <v>183</v>
      </c>
      <c r="B93" s="6"/>
      <c r="C93" s="6"/>
      <c r="D93" s="6"/>
      <c r="E93" s="9">
        <v>1.6292</v>
      </c>
      <c r="F93" s="10">
        <v>2.5812000000000002E-2</v>
      </c>
      <c r="G93" s="6"/>
    </row>
    <row r="94" spans="1:7" x14ac:dyDescent="0.45">
      <c r="A94" s="16" t="s">
        <v>185</v>
      </c>
      <c r="B94" s="17"/>
      <c r="C94" s="17"/>
      <c r="D94" s="17"/>
      <c r="E94" s="18">
        <f>E87+E93</f>
        <v>6297.3348000000005</v>
      </c>
      <c r="F94" s="19">
        <f>F87+F93</f>
        <v>99.765811999999997</v>
      </c>
      <c r="G94" s="17"/>
    </row>
    <row r="95" spans="1:7" x14ac:dyDescent="0.45">
      <c r="A95" s="11"/>
      <c r="B95" s="6"/>
      <c r="C95" s="6"/>
      <c r="D95" s="6"/>
      <c r="E95" s="6"/>
      <c r="F95" s="6"/>
      <c r="G95" s="6"/>
    </row>
    <row r="96" spans="1:7" x14ac:dyDescent="0.45">
      <c r="A96" s="7" t="s">
        <v>186</v>
      </c>
      <c r="B96" s="6"/>
      <c r="C96" s="6"/>
      <c r="D96" s="6"/>
      <c r="E96" s="20">
        <v>14.518314300000002</v>
      </c>
      <c r="F96" s="21">
        <v>0.230016</v>
      </c>
      <c r="G96" s="6"/>
    </row>
    <row r="97" spans="1:7" x14ac:dyDescent="0.45">
      <c r="A97" s="6"/>
      <c r="B97" s="6"/>
      <c r="C97" s="6"/>
      <c r="D97" s="6"/>
      <c r="E97" s="6"/>
      <c r="F97" s="6"/>
      <c r="G97" s="6"/>
    </row>
    <row r="98" spans="1:7" x14ac:dyDescent="0.45">
      <c r="A98" s="22" t="s">
        <v>187</v>
      </c>
      <c r="B98" s="17"/>
      <c r="C98" s="17"/>
      <c r="D98" s="17"/>
      <c r="E98" s="18">
        <v>6311.8531999999996</v>
      </c>
      <c r="F98" s="19">
        <v>100</v>
      </c>
      <c r="G98" s="17"/>
    </row>
    <row r="99" spans="1:7" x14ac:dyDescent="0.45">
      <c r="A99" s="6"/>
      <c r="B99" s="6"/>
      <c r="C99" s="6"/>
      <c r="D99" s="6"/>
      <c r="E99" s="6"/>
      <c r="F99" s="6"/>
      <c r="G99" s="6"/>
    </row>
    <row r="100" spans="1:7" x14ac:dyDescent="0.45">
      <c r="A100" s="24"/>
      <c r="B100" s="25"/>
      <c r="C100" s="25"/>
      <c r="D100" s="25"/>
      <c r="E100" s="25"/>
      <c r="F100" s="26"/>
      <c r="G100" s="6"/>
    </row>
    <row r="101" spans="1:7" x14ac:dyDescent="0.45">
      <c r="A101" s="24"/>
      <c r="B101" s="25"/>
      <c r="C101" s="25"/>
      <c r="D101" s="25"/>
      <c r="E101" s="25"/>
      <c r="F101" s="26"/>
      <c r="G101" s="6"/>
    </row>
    <row r="102" spans="1:7" x14ac:dyDescent="0.45">
      <c r="A102" s="24"/>
      <c r="B102" s="25"/>
      <c r="C102" s="25"/>
      <c r="D102" s="25"/>
      <c r="E102" s="25"/>
      <c r="F102" s="26"/>
      <c r="G102" s="6"/>
    </row>
    <row r="103" spans="1:7" x14ac:dyDescent="0.45">
      <c r="A103" s="1"/>
    </row>
    <row r="104" spans="1:7" x14ac:dyDescent="0.45">
      <c r="A104" s="1"/>
    </row>
    <row r="105" spans="1:7" x14ac:dyDescent="0.45">
      <c r="A105" s="30" t="s">
        <v>190</v>
      </c>
    </row>
    <row r="106" spans="1:7" x14ac:dyDescent="0.45">
      <c r="A106" s="31" t="s">
        <v>191</v>
      </c>
    </row>
    <row r="107" spans="1:7" x14ac:dyDescent="0.45">
      <c r="A107" s="32"/>
    </row>
    <row r="108" spans="1:7" x14ac:dyDescent="0.45">
      <c r="A108" s="33" t="s">
        <v>192</v>
      </c>
    </row>
    <row r="109" spans="1:7" x14ac:dyDescent="0.45">
      <c r="A109" s="32"/>
    </row>
    <row r="110" spans="1:7" x14ac:dyDescent="0.45">
      <c r="A110" s="34" t="s">
        <v>193</v>
      </c>
    </row>
    <row r="111" spans="1:7" ht="14.65" thickBot="1" x14ac:dyDescent="0.5">
      <c r="A111" s="35" t="s">
        <v>194</v>
      </c>
    </row>
    <row r="122" spans="1:2" x14ac:dyDescent="0.45">
      <c r="A122" s="36" t="s">
        <v>195</v>
      </c>
      <c r="B122" s="36" t="s">
        <v>196</v>
      </c>
    </row>
  </sheetData>
  <mergeCells count="6">
    <mergeCell ref="A102:F102"/>
    <mergeCell ref="A4:G4"/>
    <mergeCell ref="A5:G5"/>
    <mergeCell ref="A6:G6"/>
    <mergeCell ref="A100:F100"/>
    <mergeCell ref="A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2025-09-03T11:07:43Z</dcterms:created>
  <dcterms:modified xsi:type="dcterms:W3CDTF">2025-09-08T06:30:11Z</dcterms:modified>
</cp:coreProperties>
</file>