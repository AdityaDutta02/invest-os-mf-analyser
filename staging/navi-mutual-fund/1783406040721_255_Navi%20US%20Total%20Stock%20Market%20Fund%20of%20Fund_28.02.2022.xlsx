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D6FC2A1A-C892-4318-B72C-3E0C8E40E3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U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3" i="13" l="1"/>
  <c r="F15" i="13" s="1"/>
  <c r="E13" i="13"/>
  <c r="E15" i="13"/>
  <c r="F11" i="13"/>
  <c r="E11" i="13"/>
</calcChain>
</file>

<file path=xl/sharedStrings.xml><?xml version="1.0" encoding="utf-8"?>
<sst xmlns="http://schemas.openxmlformats.org/spreadsheetml/2006/main" count="29" uniqueCount="27">
  <si>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</si>
  <si>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</si>
  <si>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</si>
  <si>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</si>
  <si>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</si>
  <si>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</si>
  <si>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</si>
  <si>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</si>
  <si>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>Sub Total</t>
  </si>
  <si>
    <t>Total</t>
  </si>
  <si>
    <t>TREPS/Reverse Repo/Net Current Assets/Cash/Cash Equivalent</t>
  </si>
  <si>
    <t>Grand Total</t>
  </si>
  <si>
    <t/>
  </si>
  <si>
    <t xml:space="preserve"> Others</t>
  </si>
  <si>
    <t>(a)Fixed Deposit</t>
  </si>
  <si>
    <t>(b)Exchange Traded Funds</t>
  </si>
  <si>
    <t>Navi US Total Stock Market Fund of Fund</t>
  </si>
  <si>
    <t>VANGUARD ETF</t>
  </si>
  <si>
    <t>US9229087690</t>
  </si>
  <si>
    <t>Navi Mutual Fund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</si>
  <si>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</si>
  <si>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</si>
  <si>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</si>
  <si>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</si>
  <si>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 xml:space="preserve"> 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</si>
  <si>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Ideal for equity investors who want
exposure to Vanguard Total Stock Market
ETF (VTI) or in the Schwab Total Stock
Market Index Fund(SWTSX)</t>
    </r>
  </si>
  <si>
    <t>Benchmark Riskometer - CRSP US Total Market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</si>
</sst>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%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5" fontId="3" fillId="3" borderId="1" xfId="0" applyNumberFormat="1" applyFont="1" applyFill="1" applyBorder="1" applyAlignment="1">
      <alignment horizontal="right" vertical="top" wrapText="1"/>
    </xf>
    <xf numFmtId="164" fontId="3" fillId="3" borderId="1" xfId="0" applyNumberFormat="1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4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left" vertical="top" wrapText="1"/>
    </xf>
    <xf numFmtId="1" fontId="0" fillId="3" borderId="1" xfId="0" applyNumberFormat="1" applyFill="1" applyBorder="1" applyAlignment="1">
      <alignment horizontal="left" vertical="top" wrapText="1"/>
    </xf>
    <xf numFmtId="10" fontId="0" fillId="0" borderId="0" xfId="1" applyNumberFormat="1" applyFont="1"/>
    <xf numFmtId="166" fontId="0" fillId="0" borderId="0" xfId="1" applyNumberFormat="1" applyFont="1"/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8" fillId="0" borderId="7" xfId="0" applyFont="1" applyBorder="1"/>
    <xf numFmtId="0" fontId="0" fillId="0" borderId="8" xfId="0" applyBorder="1"/>
    <xf numFmtId="0" fontId="9" fillId="0" borderId="9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10" xfId="0" applyFont="1" applyBorder="1" applyAlignment="1">
      <alignment horizontal="justify" vertical="top" wrapText="1"/>
    </xf>
    <xf numFmtId="0" fontId="9" fillId="0" borderId="10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11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left"/>
    </xf>
    <xf numFmtId="0" fontId="7" fillId="0" borderId="12" xfId="0" applyFont="1" applyBorder="1"/>
    <xf numFmtId="0" fontId="8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1981200</xdr:colOff>
      <xdr:row>21</xdr:row>
      <xdr:rowOff>123824</xdr:rowOff>
    </xdr:from>
    <xdr:to>
      <xdr:col>6</xdr:col>
      <xdr:colOff>552450</xdr:colOff>
      <xdr:row>29</xdr:row>
      <xdr:rowOff>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E235A9FC-FC7D-4F18-8F7E-6960DE484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56120" y="5975984"/>
          <a:ext cx="4110990" cy="15068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82550</xdr:rowOff>
    </xdr:from>
    <xdr:to>
      <xdr:col>1</xdr:col>
      <xdr:colOff>266700</xdr:colOff>
      <xdr:row>37</xdr:row>
      <xdr:rowOff>142876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635BA5E2-1073-4C40-AD5F-5DE3B06A2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7755890"/>
          <a:ext cx="4137660" cy="13404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showGridLines="0" tabSelected="1" workbookViewId="0">
      <selection activeCell="K16" sqref="K16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9.109375" customWidth="1"/>
  </cols>
  <sheetData>
    <row r="1" spans="1:9" x14ac:dyDescent="0.3">
      <c r="A1" s="25" t="s">
        <v>19</v>
      </c>
      <c r="B1" s="26"/>
      <c r="C1" s="26"/>
      <c r="D1" s="26"/>
      <c r="E1" s="26"/>
      <c r="F1" s="26"/>
      <c r="G1" s="26"/>
    </row>
    <row r="2" spans="1:9" x14ac:dyDescent="0.3">
      <c r="A2" s="28" t="s">
        <v>16</v>
      </c>
      <c r="B2" s="29"/>
      <c r="C2" s="29"/>
      <c r="D2" s="29"/>
      <c r="E2" s="29"/>
      <c r="F2" s="29"/>
      <c r="G2" s="30"/>
    </row>
    <row r="3" spans="1:9" x14ac:dyDescent="0.3">
      <c r="A3" s="28" t="s">
        <v>0</v>
      </c>
      <c r="B3" s="29"/>
      <c r="C3" s="29"/>
      <c r="D3" s="29"/>
      <c r="E3" s="29"/>
      <c r="F3" s="29"/>
      <c r="G3" s="30"/>
    </row>
    <row r="4" spans="1:9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9" x14ac:dyDescent="0.3">
      <c r="A5" s="17" t="s">
        <v>13</v>
      </c>
      <c r="B5" s="18"/>
      <c r="C5" s="18"/>
      <c r="D5" s="18"/>
      <c r="E5" s="18"/>
      <c r="F5" s="18"/>
      <c r="G5" s="18"/>
    </row>
    <row r="6" spans="1:9" x14ac:dyDescent="0.3">
      <c r="A6" s="2" t="s">
        <v>14</v>
      </c>
      <c r="B6" s="3"/>
      <c r="C6" s="3"/>
      <c r="D6" s="3"/>
      <c r="E6" s="3"/>
      <c r="F6" s="3"/>
      <c r="G6" s="3"/>
    </row>
    <row r="7" spans="1:9" x14ac:dyDescent="0.3">
      <c r="A7" s="9" t="s">
        <v>8</v>
      </c>
      <c r="B7" s="10"/>
      <c r="C7" s="10"/>
      <c r="D7" s="10"/>
      <c r="E7" s="11">
        <v>0</v>
      </c>
      <c r="F7" s="12">
        <v>0</v>
      </c>
      <c r="G7" s="10"/>
    </row>
    <row r="8" spans="1:9" x14ac:dyDescent="0.3">
      <c r="A8" s="3"/>
      <c r="B8" s="3"/>
      <c r="C8" s="3"/>
      <c r="D8" s="3"/>
      <c r="E8" s="3"/>
      <c r="F8" s="3"/>
      <c r="G8" s="3"/>
    </row>
    <row r="9" spans="1:9" x14ac:dyDescent="0.3">
      <c r="A9" s="2" t="s">
        <v>15</v>
      </c>
      <c r="B9" s="3"/>
      <c r="C9" s="3"/>
      <c r="D9" s="3"/>
      <c r="E9" s="3"/>
      <c r="F9" s="3"/>
      <c r="G9" s="3"/>
    </row>
    <row r="10" spans="1:9" x14ac:dyDescent="0.3">
      <c r="A10" s="4" t="s">
        <v>17</v>
      </c>
      <c r="B10" s="4" t="s">
        <v>18</v>
      </c>
      <c r="C10" s="8"/>
      <c r="D10" s="5">
        <v>31995.991999999998</v>
      </c>
      <c r="E10" s="6">
        <v>5331.7443536000001</v>
      </c>
      <c r="F10" s="7">
        <v>99.846391999999994</v>
      </c>
      <c r="G10" s="8"/>
      <c r="H10" s="24"/>
    </row>
    <row r="11" spans="1:9" x14ac:dyDescent="0.3">
      <c r="A11" s="9" t="s">
        <v>8</v>
      </c>
      <c r="B11" s="10"/>
      <c r="C11" s="10"/>
      <c r="D11" s="22"/>
      <c r="E11" s="11">
        <f>SUM(E10)</f>
        <v>5331.7443536000001</v>
      </c>
      <c r="F11" s="12">
        <f>SUM(F10)</f>
        <v>99.846391999999994</v>
      </c>
      <c r="G11" s="10"/>
    </row>
    <row r="12" spans="1:9" x14ac:dyDescent="0.3">
      <c r="A12" s="3"/>
      <c r="B12" s="3"/>
      <c r="C12" s="3"/>
      <c r="D12" s="3"/>
      <c r="E12" s="3"/>
      <c r="F12" s="3"/>
      <c r="G12" s="3"/>
    </row>
    <row r="13" spans="1:9" x14ac:dyDescent="0.3">
      <c r="A13" s="13" t="s">
        <v>9</v>
      </c>
      <c r="B13" s="14"/>
      <c r="C13" s="14"/>
      <c r="D13" s="14"/>
      <c r="E13" s="15">
        <f>E11</f>
        <v>5331.7443536000001</v>
      </c>
      <c r="F13" s="16">
        <f>F11</f>
        <v>99.846391999999994</v>
      </c>
      <c r="G13" s="14"/>
    </row>
    <row r="14" spans="1:9" x14ac:dyDescent="0.3">
      <c r="A14" s="8"/>
      <c r="B14" s="3"/>
      <c r="C14" s="3"/>
      <c r="D14" s="3"/>
      <c r="E14" s="3"/>
      <c r="F14" s="3"/>
      <c r="G14" s="3"/>
    </row>
    <row r="15" spans="1:9" x14ac:dyDescent="0.3">
      <c r="A15" s="4" t="s">
        <v>10</v>
      </c>
      <c r="B15" s="3"/>
      <c r="C15" s="3"/>
      <c r="D15" s="3"/>
      <c r="E15" s="19">
        <f>E17-E11</f>
        <v>7.9798463999995874</v>
      </c>
      <c r="F15" s="20">
        <f>F17-F13</f>
        <v>0.15360800000000552</v>
      </c>
      <c r="G15" s="3"/>
      <c r="I15" s="23"/>
    </row>
    <row r="16" spans="1:9" x14ac:dyDescent="0.3">
      <c r="A16" s="3"/>
      <c r="B16" s="3"/>
      <c r="C16" s="3"/>
      <c r="D16" s="3"/>
      <c r="E16" s="3"/>
      <c r="F16" s="3"/>
      <c r="G16" s="3"/>
    </row>
    <row r="17" spans="1:8" x14ac:dyDescent="0.3">
      <c r="A17" s="21" t="s">
        <v>11</v>
      </c>
      <c r="B17" s="14"/>
      <c r="C17" s="14"/>
      <c r="D17" s="14"/>
      <c r="E17" s="15">
        <v>5339.7241999999997</v>
      </c>
      <c r="F17" s="16">
        <v>100</v>
      </c>
      <c r="G17" s="14"/>
    </row>
    <row r="18" spans="1:8" x14ac:dyDescent="0.3">
      <c r="A18" s="3"/>
      <c r="B18" s="3"/>
      <c r="C18" s="3"/>
      <c r="D18" s="3"/>
      <c r="E18" s="3"/>
      <c r="F18" s="3"/>
      <c r="G18" s="3"/>
    </row>
    <row r="19" spans="1:8" x14ac:dyDescent="0.3">
      <c r="A19" s="31"/>
      <c r="B19" s="32"/>
      <c r="C19" s="32"/>
      <c r="D19" s="32"/>
      <c r="E19" s="32"/>
      <c r="F19" s="33"/>
      <c r="G19" s="3"/>
    </row>
    <row r="20" spans="1:8" x14ac:dyDescent="0.3">
      <c r="A20" s="31"/>
      <c r="B20" s="32"/>
      <c r="C20" s="32"/>
      <c r="D20" s="32"/>
      <c r="E20" s="32"/>
      <c r="F20" s="33"/>
      <c r="G20" s="3"/>
    </row>
    <row r="21" spans="1:8" x14ac:dyDescent="0.3">
      <c r="A21" s="27" t="s">
        <v>12</v>
      </c>
      <c r="B21" s="27"/>
      <c r="C21" s="27"/>
      <c r="D21" s="27"/>
      <c r="E21" s="27"/>
      <c r="F21" s="27"/>
      <c r="G21" s="27"/>
      <c r="H21" s="27"/>
    </row>
    <row r="22" spans="1:8" x14ac:dyDescent="0.3">
      <c r="A22" s="27" t="s">
        <v>12</v>
      </c>
      <c r="B22" s="27"/>
      <c r="C22" s="27"/>
      <c r="D22" s="27"/>
      <c r="E22" s="27"/>
      <c r="F22" s="27"/>
      <c r="G22" s="27"/>
      <c r="H22" s="27"/>
    </row>
    <row r="23" spans="1:8" x14ac:dyDescent="0.3">
      <c r="A23" s="34" t="s">
        <v>20</v>
      </c>
      <c r="G23" s="35"/>
    </row>
    <row r="24" spans="1:8" x14ac:dyDescent="0.3">
      <c r="A24" s="36" t="s">
        <v>21</v>
      </c>
      <c r="B24" s="37"/>
      <c r="G24" s="35"/>
    </row>
    <row r="25" spans="1:8" x14ac:dyDescent="0.3">
      <c r="A25" s="38"/>
      <c r="B25" s="37"/>
      <c r="G25" s="35"/>
    </row>
    <row r="26" spans="1:8" ht="55.2" x14ac:dyDescent="0.3">
      <c r="A26" s="39" t="s">
        <v>25</v>
      </c>
      <c r="B26" s="40"/>
      <c r="G26" s="35"/>
    </row>
    <row r="27" spans="1:8" x14ac:dyDescent="0.3">
      <c r="A27" s="38"/>
      <c r="B27" s="40"/>
      <c r="G27" s="35"/>
    </row>
    <row r="28" spans="1:8" x14ac:dyDescent="0.3">
      <c r="A28" s="41" t="s">
        <v>22</v>
      </c>
      <c r="B28" s="40"/>
      <c r="G28" s="35"/>
    </row>
    <row r="29" spans="1:8" x14ac:dyDescent="0.3">
      <c r="A29" s="42" t="s">
        <v>23</v>
      </c>
      <c r="G29" s="35"/>
    </row>
    <row r="30" spans="1:8" ht="15" thickBot="1" x14ac:dyDescent="0.35">
      <c r="A30" s="43" t="s">
        <v>26</v>
      </c>
    </row>
    <row r="31" spans="1:8" x14ac:dyDescent="0.3">
      <c r="A31" s="44" t="s">
        <v>24</v>
      </c>
    </row>
    <row r="32" spans="1:8" x14ac:dyDescent="0.3">
      <c r="A32" s="44"/>
    </row>
    <row r="33" spans="1:1" x14ac:dyDescent="0.3">
      <c r="A33" s="44"/>
    </row>
    <row r="34" spans="1:1" x14ac:dyDescent="0.3">
      <c r="A34" s="44"/>
    </row>
    <row r="35" spans="1:1" x14ac:dyDescent="0.3">
      <c r="A35" s="44"/>
    </row>
    <row r="36" spans="1:1" x14ac:dyDescent="0.3">
      <c r="A36" s="44"/>
    </row>
    <row r="37" spans="1:1" x14ac:dyDescent="0.3">
      <c r="A37" s="44"/>
    </row>
    <row r="38" spans="1:1" x14ac:dyDescent="0.3">
      <c r="A38" s="44"/>
    </row>
  </sheetData>
  <mergeCells count="7">
    <mergeCell ref="A1:G1"/>
    <mergeCell ref="A21:H21"/>
    <mergeCell ref="A22:H22"/>
    <mergeCell ref="A2:G2"/>
    <mergeCell ref="A3:G3"/>
    <mergeCell ref="A19:F19"/>
    <mergeCell ref="A20:F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2022-03-08T16:16:33Z</dcterms:modified>
</cp:coreProperties>
</file>