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62D88444-83D5-4246-AD01-793BD9B4DDB0}" xr6:coauthVersionLast="47" xr6:coauthVersionMax="47" xr10:uidLastSave="{00000000-0000-0000-0000-000000000000}"/>
  <bookViews>
    <workbookView xWindow="-98" yWindow="-98" windowWidth="19396" windowHeight="11475" xr2:uid="{BC0333C9-2E16-4D2B-A7A3-671247D6F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8" i="1" l="1"/>
  <c r="F73" i="1"/>
  <c r="F75" i="1" s="1"/>
  <c r="F79" i="1" s="1"/>
  <c r="G66" i="1" l="1"/>
  <c r="G60" i="1"/>
  <c r="G77" i="1"/>
  <c r="G72" i="1"/>
  <c r="G73" i="1" s="1"/>
  <c r="G68" i="1" l="1"/>
  <c r="G75" i="1"/>
  <c r="G79" i="1" s="1"/>
</calcChain>
</file>

<file path=xl/sharedStrings.xml><?xml version="1.0" encoding="utf-8"?>
<sst xmlns="http://schemas.openxmlformats.org/spreadsheetml/2006/main" count="208" uniqueCount="178">
  <si>
    <t>NAVI MUTUAL FUND</t>
  </si>
  <si>
    <t>Navi Nifty Next 50 Index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</si>
  <si>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</si>
  <si>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</si>
  <si>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</si>
  <si>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</si>
  <si>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</si>
  <si>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</si>
  <si>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</si>
  <si>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</si>
  <si>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</si>
  <si>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</si>
  <si>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ADANI POWER LIMITED</t>
  </si>
  <si>
    <t>INE814H01029</t>
  </si>
  <si>
    <t>POWER</t>
  </si>
  <si>
    <t>DIVI'S LABORATORIES LIMITED</t>
  </si>
  <si>
    <t>INE361B01024</t>
  </si>
  <si>
    <t>PHARMACEUTICALS &amp; BIOTECHNOLOGY</t>
  </si>
  <si>
    <t>HINDUSTAN AERONAUTICS LIMITED</t>
  </si>
  <si>
    <t>INE066F01020</t>
  </si>
  <si>
    <t>AEROSPACE &amp; DEFENSE</t>
  </si>
  <si>
    <t>CUMMINS INDIA LIMITED</t>
  </si>
  <si>
    <t>INE298A01020</t>
  </si>
  <si>
    <t>INDUSTRIAL PRODUCTS</t>
  </si>
  <si>
    <t>TATA MOTORS LIMITED</t>
  </si>
  <si>
    <t>INE1TAE01010</t>
  </si>
  <si>
    <t>AUTOMOBILES</t>
  </si>
  <si>
    <t>TVS MOTOR COMPANY LIMITED</t>
  </si>
  <si>
    <t>INE494B01023</t>
  </si>
  <si>
    <t>VARUN BEVERAGES LIMITED</t>
  </si>
  <si>
    <t>INE200M01039</t>
  </si>
  <si>
    <t>BEVERAGES</t>
  </si>
  <si>
    <t>THE TATA POWER COMPANY LIMITED</t>
  </si>
  <si>
    <t>INE245A01021</t>
  </si>
  <si>
    <t>CHOLAMANDALAM INVEST &amp; FINANCE CO LTD</t>
  </si>
  <si>
    <t>INE121A01024</t>
  </si>
  <si>
    <t>FINANCE</t>
  </si>
  <si>
    <t>SAMVARDHANA MOTHERSON INTERNATIONAL LTD</t>
  </si>
  <si>
    <t>INE775A01035</t>
  </si>
  <si>
    <t>AUTO COMPONENTS</t>
  </si>
  <si>
    <t>CG POWER AND INDUSTRIAL SOLUTIONS LTD</t>
  </si>
  <si>
    <t>INE067A01029</t>
  </si>
  <si>
    <t>ELECTRICAL EQUIPMENT</t>
  </si>
  <si>
    <t>POWER FINANCE CORPORATION LIMITED</t>
  </si>
  <si>
    <t>INE134E01011</t>
  </si>
  <si>
    <t>BRITANNIA INDUSTRIES LIMITED</t>
  </si>
  <si>
    <t>INE216A01030</t>
  </si>
  <si>
    <t>FOOD PRODUCTS</t>
  </si>
  <si>
    <t>BHARAT PETROLEUM CORPORATION LIMITED</t>
  </si>
  <si>
    <t>INE029A01011</t>
  </si>
  <si>
    <t>PETROLEUM PRODUCTS</t>
  </si>
  <si>
    <t>VEDANTA LIMITED</t>
  </si>
  <si>
    <t>INE205A01025</t>
  </si>
  <si>
    <t>DIVERSIFIED METALS</t>
  </si>
  <si>
    <t>AVENUE SUPERMARTS LIMITED</t>
  </si>
  <si>
    <t>INE192R01011</t>
  </si>
  <si>
    <t>RETAILING</t>
  </si>
  <si>
    <t>THE INDIAN HOTELS COMPANY LIMITED</t>
  </si>
  <si>
    <t>INE053A01029</t>
  </si>
  <si>
    <t>LEISURE SERVICES</t>
  </si>
  <si>
    <t>HDFC ASSET MANAGEMENT COMPANY LIMITED</t>
  </si>
  <si>
    <t>INE127D01025</t>
  </si>
  <si>
    <t>CAPITAL MARKETS</t>
  </si>
  <si>
    <t>ADANI ENERGY SOLUTIONS LIMITED</t>
  </si>
  <si>
    <t>INE931S01010</t>
  </si>
  <si>
    <t>INDIAN OIL CORPORATION LIMITED</t>
  </si>
  <si>
    <t>INE242A01010</t>
  </si>
  <si>
    <t>BANK OF BARODA</t>
  </si>
  <si>
    <t>INE028A01039</t>
  </si>
  <si>
    <t>BANKS</t>
  </si>
  <si>
    <t>ADANI GREEN ENERGY LIMITED</t>
  </si>
  <si>
    <t>INE364U01010</t>
  </si>
  <si>
    <t>PIDILITE INDUSTRIES LIMITED</t>
  </si>
  <si>
    <t>INE318A01026</t>
  </si>
  <si>
    <t>CHEMICALS &amp; PETROCHEMICALS</t>
  </si>
  <si>
    <t>TORRENT PHARMACEUTICALS LIMITED</t>
  </si>
  <si>
    <t>INE685A01028</t>
  </si>
  <si>
    <t>BAJAJ HOLDINGS &amp; INVESTMENT.LTD</t>
  </si>
  <si>
    <t>INE118A01012</t>
  </si>
  <si>
    <t>JINDAL STEEL LIMITED</t>
  </si>
  <si>
    <t>INE749A01030</t>
  </si>
  <si>
    <t>FERROUS METALS</t>
  </si>
  <si>
    <t>SOLAR INDUSTRIES INDIA LIMITED</t>
  </si>
  <si>
    <t>INE343H01029</t>
  </si>
  <si>
    <t>GAIL (INDIA) LIMITED</t>
  </si>
  <si>
    <t>INE129A01019</t>
  </si>
  <si>
    <t>GAS</t>
  </si>
  <si>
    <t>CANARA BANK</t>
  </si>
  <si>
    <t>INE476A01022</t>
  </si>
  <si>
    <t>REC LIMITED</t>
  </si>
  <si>
    <t>INE020B01018</t>
  </si>
  <si>
    <t>GODREJ CONSUMER PRODUCTS LIMITED</t>
  </si>
  <si>
    <t>INE102D01028</t>
  </si>
  <si>
    <t>PERSONAL PRODUCTS</t>
  </si>
  <si>
    <t>ABB INDIA LIMITED</t>
  </si>
  <si>
    <t>INE117A01022</t>
  </si>
  <si>
    <t>DLF LIMITED</t>
  </si>
  <si>
    <t>INE271C01023</t>
  </si>
  <si>
    <t>REALTY</t>
  </si>
  <si>
    <t>LTIMINDTREE LTD</t>
  </si>
  <si>
    <t>INE214T01019</t>
  </si>
  <si>
    <t>IT - SOFTWARE</t>
  </si>
  <si>
    <t>UNITED SPIRITS LIMITED</t>
  </si>
  <si>
    <t>INE854D01024</t>
  </si>
  <si>
    <t>PUNJAB NATIONAL BANK</t>
  </si>
  <si>
    <t>INE160A01022</t>
  </si>
  <si>
    <t>MUTHOOT FINANCE LIMITED</t>
  </si>
  <si>
    <t>INE414G01012</t>
  </si>
  <si>
    <t>SIEMENS ENERGY INDIA LIMITED</t>
  </si>
  <si>
    <t>INE1NPP01017</t>
  </si>
  <si>
    <t>SIEMENS LIMITED</t>
  </si>
  <si>
    <t>INE003A01024</t>
  </si>
  <si>
    <t>SHREE CEMENT LIMITED</t>
  </si>
  <si>
    <t>INE070A01015</t>
  </si>
  <si>
    <t>CEMENT &amp; CEMENT PRODUCTS</t>
  </si>
  <si>
    <t>UNION BANK OF INDIA</t>
  </si>
  <si>
    <t>INE692A01016</t>
  </si>
  <si>
    <t>BOSCH LIMITED</t>
  </si>
  <si>
    <t>INE323A01026</t>
  </si>
  <si>
    <t>AMBUJA CEMENTS LIMITED</t>
  </si>
  <si>
    <t>INE079A01024</t>
  </si>
  <si>
    <t>HINDUSTAN ZINC LIMITED</t>
  </si>
  <si>
    <t>INE267A01025</t>
  </si>
  <si>
    <t>NON - FERROUS METALS</t>
  </si>
  <si>
    <t>HYUNDAI MOTOR INDIA LIMITED</t>
  </si>
  <si>
    <t>INE0V6F01027</t>
  </si>
  <si>
    <t>ZYDUS LIFESCIENCES LIMITED</t>
  </si>
  <si>
    <t>INE010B01027</t>
  </si>
  <si>
    <t>LODHA DEVELOPERS LIMITED</t>
  </si>
  <si>
    <t>INE670K01029</t>
  </si>
  <si>
    <t>INDIAN RAILWAY FINANCE CORPORATION LTD</t>
  </si>
  <si>
    <t>INE053F01010</t>
  </si>
  <si>
    <t>MAZAGON DOCK SHIPBUILDERS LIMITED</t>
  </si>
  <si>
    <t>INE249Z01020</t>
  </si>
  <si>
    <t>INDUSTRIAL MANUFACTURING</t>
  </si>
  <si>
    <t>TATA CAPITAL LTD</t>
  </si>
  <si>
    <t>INE976I01016</t>
  </si>
  <si>
    <t>Sub Total</t>
  </si>
  <si>
    <t>(b)Unlisted</t>
  </si>
  <si>
    <t>MALCO ENERGY LIMITED</t>
  </si>
  <si>
    <t>INE704J01044</t>
  </si>
  <si>
    <t>TALWANDI SABO POWER LIMITED</t>
  </si>
  <si>
    <t>INE694L01019</t>
  </si>
  <si>
    <t>OIL</t>
  </si>
  <si>
    <t>VEDANTA ALUMINIUM METAL LIMITED</t>
  </si>
  <si>
    <t>INE1CDF01017</t>
  </si>
  <si>
    <t>VEDANTA IRON AND STEEL LIMITED</t>
  </si>
  <si>
    <t>INE1CLE01013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</si>
  <si>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</si>
  <si>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</si>
  <si>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</si>
  <si>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</si>
  <si>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</si>
  <si>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</si>
  <si>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</si>
  <si>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</si>
  <si>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</si>
  <si>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</si>
  <si>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</si>
  <si>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</si>
  <si>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</si>
  <si>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</si>
  <si>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</si>
  <si>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</si>
  <si>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</si>
  <si>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</si>
  <si>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</si>
  <si>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</si>
  <si>
    <t>As on May 29, 2026</t>
  </si>
  <si>
    <t>The Portfolio Turnover Ratio of the Portfolio is 0.26 times</t>
  </si>
  <si>
    <t>Debt Instruments</t>
  </si>
  <si>
    <t>Non convertible Preference Shares/Bonds</t>
  </si>
  <si>
    <t>6.00% TVS Motor Company Ltd (Preference Shares) 01-Sep-2026</t>
  </si>
  <si>
    <t>Subtotal</t>
  </si>
  <si>
    <t>The provision made for investment in security below investment grade As on May 31, 2026 is Rs NIL and its percentage to Net Asset Value is NIL.</t>
  </si>
  <si>
    <t>Details of Dividend declared per unit (in Rs.) during the Month of May 2026 : Nil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</si>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</sst>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%"/>
    <numFmt numFmtId="165" formatCode="###,##0.00"/>
    <numFmt numFmtId="166" formatCode="0.0000"/>
    <numFmt numFmtId="167" formatCode="#,##0.000000"/>
  </numFmts>
  <fonts count="1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8" fillId="0" borderId="7" xfId="0" applyFont="1" applyBorder="1"/>
    <xf numFmtId="4" fontId="0" fillId="0" borderId="0" xfId="0" applyNumberFormat="1"/>
    <xf numFmtId="167" fontId="0" fillId="0" borderId="0" xfId="0" applyNumberFormat="1"/>
    <xf numFmtId="4" fontId="0" fillId="0" borderId="4" xfId="0" applyNumberFormat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2" fillId="0" borderId="8" xfId="0" applyFont="1" applyBorder="1"/>
    <xf numFmtId="0" fontId="1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14288</xdr:colOff>
      <xdr:row>112</xdr:row>
      <xdr:rowOff>109537</xdr:rowOff>
    </xdr:from>
    <xdr:to>
      <xdr:col>1</xdr:col>
      <xdr:colOff>3754438</xdr:colOff>
      <xdr:row>120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36368CE-439E-46A0-9C79-5A5BD920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5316200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3690938</xdr:colOff>
      <xdr:row>112</xdr:row>
      <xdr:rowOff>33337</xdr:rowOff>
    </xdr:from>
    <xdr:to>
      <xdr:col>3</xdr:col>
      <xdr:colOff>2328863</xdr:colOff>
      <xdr:row>120</xdr:row>
      <xdr:rowOff>157162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A63E98-B021-4EFB-ADB8-5E823DA24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8" y="15240000"/>
          <a:ext cx="3967163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4115-FAAD-44A9-9F75-DB62224EDAA3}">
  <dimension ref="A1:I122"/>
  <sheetViews>
    <sheetView tabSelected="1" zoomScale="90" zoomScaleNormal="90" workbookViewId="0">
      <pane ySplit="7" topLeftCell="A104" activePane="bottomLeft" state="frozen"/>
      <selection pane="bottomLeft" activeCell="B126" sqref="B126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40"/>
      <c r="C1" s="40"/>
      <c r="D1" s="40"/>
      <c r="E1" s="40"/>
      <c r="F1" s="40"/>
      <c r="G1" s="40"/>
      <c r="H1" s="40"/>
      <c r="I1" s="40"/>
    </row>
    <row r="2" spans="2:9" x14ac:dyDescent="0.45">
      <c r="B2" s="40"/>
      <c r="C2" s="40"/>
      <c r="D2" s="40"/>
      <c r="E2" s="40"/>
      <c r="F2" s="40"/>
      <c r="G2" s="40"/>
      <c r="H2" s="40"/>
      <c r="I2" s="40"/>
    </row>
    <row r="3" spans="2:9" x14ac:dyDescent="0.45">
      <c r="B3" s="40"/>
      <c r="C3" s="40"/>
      <c r="D3" s="40"/>
      <c r="E3" s="40"/>
      <c r="F3" s="40"/>
      <c r="G3" s="40"/>
      <c r="H3" s="40"/>
      <c r="I3" s="40"/>
    </row>
    <row r="4" spans="2:9" x14ac:dyDescent="0.45">
      <c r="B4" s="37" t="s">
        <v>0</v>
      </c>
      <c r="C4" s="38"/>
      <c r="D4" s="38"/>
      <c r="E4" s="38"/>
      <c r="F4" s="38"/>
      <c r="G4" s="38"/>
      <c r="H4" s="39"/>
    </row>
    <row r="5" spans="2:9" x14ac:dyDescent="0.45">
      <c r="B5" s="37" t="s">
        <v>1</v>
      </c>
      <c r="C5" s="38"/>
      <c r="D5" s="38"/>
      <c r="E5" s="38"/>
      <c r="F5" s="38"/>
      <c r="G5" s="38"/>
      <c r="H5" s="39"/>
    </row>
    <row r="6" spans="2:9" x14ac:dyDescent="0.45">
      <c r="B6" s="37" t="s">
        <v>2</v>
      </c>
      <c r="C6" s="38"/>
      <c r="D6" s="38"/>
      <c r="E6" s="38"/>
      <c r="F6" s="38"/>
      <c r="G6" s="38"/>
      <c r="H6" s="39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2027658</v>
      </c>
      <c r="F10" s="8">
        <v>4934.7112999999999</v>
      </c>
      <c r="G10" s="9">
        <v>4</v>
      </c>
      <c r="H10" s="10"/>
    </row>
    <row r="11" spans="2:9" x14ac:dyDescent="0.45">
      <c r="B11" s="6" t="s">
        <v>15</v>
      </c>
      <c r="C11" s="6" t="s">
        <v>16</v>
      </c>
      <c r="D11" s="6" t="s">
        <v>17</v>
      </c>
      <c r="E11" s="7">
        <v>62298</v>
      </c>
      <c r="F11" s="8">
        <v>4153.4076999999997</v>
      </c>
      <c r="G11" s="9">
        <v>3.37</v>
      </c>
      <c r="H11" s="10"/>
    </row>
    <row r="12" spans="2:9" x14ac:dyDescent="0.45">
      <c r="B12" s="6" t="s">
        <v>18</v>
      </c>
      <c r="C12" s="6" t="s">
        <v>19</v>
      </c>
      <c r="D12" s="6" t="s">
        <v>20</v>
      </c>
      <c r="E12" s="7">
        <v>93009</v>
      </c>
      <c r="F12" s="8">
        <v>4002.9213</v>
      </c>
      <c r="G12" s="9">
        <v>3.25</v>
      </c>
      <c r="H12" s="10"/>
    </row>
    <row r="13" spans="2:9" x14ac:dyDescent="0.45">
      <c r="B13" s="6" t="s">
        <v>21</v>
      </c>
      <c r="C13" s="6" t="s">
        <v>22</v>
      </c>
      <c r="D13" s="6" t="s">
        <v>23</v>
      </c>
      <c r="E13" s="7">
        <v>66220</v>
      </c>
      <c r="F13" s="8">
        <v>3894.3982000000001</v>
      </c>
      <c r="G13" s="9">
        <v>3.16</v>
      </c>
      <c r="H13" s="10"/>
    </row>
    <row r="14" spans="2:9" x14ac:dyDescent="0.45">
      <c r="B14" s="6" t="s">
        <v>24</v>
      </c>
      <c r="C14" s="6" t="s">
        <v>25</v>
      </c>
      <c r="D14" s="6" t="s">
        <v>26</v>
      </c>
      <c r="E14" s="7">
        <v>1024563</v>
      </c>
      <c r="F14" s="8">
        <v>3888.2166000000002</v>
      </c>
      <c r="G14" s="9">
        <v>3.15</v>
      </c>
      <c r="H14" s="10"/>
    </row>
    <row r="15" spans="2:9" x14ac:dyDescent="0.45">
      <c r="B15" s="6" t="s">
        <v>27</v>
      </c>
      <c r="C15" s="6" t="s">
        <v>28</v>
      </c>
      <c r="D15" s="6" t="s">
        <v>26</v>
      </c>
      <c r="E15" s="7">
        <v>115130</v>
      </c>
      <c r="F15" s="8">
        <v>3863.4173999999998</v>
      </c>
      <c r="G15" s="9">
        <v>3.13</v>
      </c>
      <c r="H15" s="10"/>
    </row>
    <row r="16" spans="2:9" x14ac:dyDescent="0.45">
      <c r="B16" s="6" t="s">
        <v>29</v>
      </c>
      <c r="C16" s="6" t="s">
        <v>30</v>
      </c>
      <c r="D16" s="6" t="s">
        <v>31</v>
      </c>
      <c r="E16" s="7">
        <v>670930</v>
      </c>
      <c r="F16" s="8">
        <v>3542.5104000000001</v>
      </c>
      <c r="G16" s="9">
        <v>2.87</v>
      </c>
      <c r="H16" s="10"/>
    </row>
    <row r="17" spans="2:8" x14ac:dyDescent="0.45">
      <c r="B17" s="6" t="s">
        <v>32</v>
      </c>
      <c r="C17" s="6" t="s">
        <v>33</v>
      </c>
      <c r="D17" s="6" t="s">
        <v>14</v>
      </c>
      <c r="E17" s="7">
        <v>820692</v>
      </c>
      <c r="F17" s="8">
        <v>3453.0616</v>
      </c>
      <c r="G17" s="9">
        <v>2.8</v>
      </c>
      <c r="H17" s="10"/>
    </row>
    <row r="18" spans="2:8" x14ac:dyDescent="0.45">
      <c r="B18" s="6" t="s">
        <v>34</v>
      </c>
      <c r="C18" s="6" t="s">
        <v>35</v>
      </c>
      <c r="D18" s="6" t="s">
        <v>36</v>
      </c>
      <c r="E18" s="7">
        <v>209950</v>
      </c>
      <c r="F18" s="8">
        <v>3228.4011999999998</v>
      </c>
      <c r="G18" s="9">
        <v>2.62</v>
      </c>
      <c r="H18" s="10"/>
    </row>
    <row r="19" spans="2:8" x14ac:dyDescent="0.45">
      <c r="B19" s="6" t="s">
        <v>37</v>
      </c>
      <c r="C19" s="6" t="s">
        <v>38</v>
      </c>
      <c r="D19" s="6" t="s">
        <v>39</v>
      </c>
      <c r="E19" s="7">
        <v>2169644</v>
      </c>
      <c r="F19" s="8">
        <v>3162.0392000000002</v>
      </c>
      <c r="G19" s="9">
        <v>2.56</v>
      </c>
      <c r="H19" s="10"/>
    </row>
    <row r="20" spans="2:8" x14ac:dyDescent="0.45">
      <c r="B20" s="6" t="s">
        <v>40</v>
      </c>
      <c r="C20" s="6" t="s">
        <v>41</v>
      </c>
      <c r="D20" s="6" t="s">
        <v>42</v>
      </c>
      <c r="E20" s="7">
        <v>336340</v>
      </c>
      <c r="F20" s="8">
        <v>3085.7512999999999</v>
      </c>
      <c r="G20" s="9">
        <v>2.5</v>
      </c>
      <c r="H20" s="10"/>
    </row>
    <row r="21" spans="2:8" x14ac:dyDescent="0.45">
      <c r="B21" s="6" t="s">
        <v>43</v>
      </c>
      <c r="C21" s="6" t="s">
        <v>44</v>
      </c>
      <c r="D21" s="6" t="s">
        <v>36</v>
      </c>
      <c r="E21" s="7">
        <v>713822</v>
      </c>
      <c r="F21" s="8">
        <v>3059.4411</v>
      </c>
      <c r="G21" s="9">
        <v>2.48</v>
      </c>
      <c r="H21" s="10"/>
    </row>
    <row r="22" spans="2:8" x14ac:dyDescent="0.45">
      <c r="B22" s="6" t="s">
        <v>45</v>
      </c>
      <c r="C22" s="6" t="s">
        <v>46</v>
      </c>
      <c r="D22" s="6" t="s">
        <v>47</v>
      </c>
      <c r="E22" s="7">
        <v>57757</v>
      </c>
      <c r="F22" s="8">
        <v>3005.9630999999999</v>
      </c>
      <c r="G22" s="9">
        <v>2.44</v>
      </c>
      <c r="H22" s="10"/>
    </row>
    <row r="23" spans="2:8" x14ac:dyDescent="0.45">
      <c r="B23" s="6" t="s">
        <v>48</v>
      </c>
      <c r="C23" s="6" t="s">
        <v>49</v>
      </c>
      <c r="D23" s="6" t="s">
        <v>50</v>
      </c>
      <c r="E23" s="7">
        <v>993544</v>
      </c>
      <c r="F23" s="8">
        <v>2961.7547</v>
      </c>
      <c r="G23" s="9">
        <v>2.4</v>
      </c>
      <c r="H23" s="10"/>
    </row>
    <row r="24" spans="2:8" x14ac:dyDescent="0.45">
      <c r="B24" s="6" t="s">
        <v>51</v>
      </c>
      <c r="C24" s="6" t="s">
        <v>52</v>
      </c>
      <c r="D24" s="6" t="s">
        <v>53</v>
      </c>
      <c r="E24" s="7">
        <v>832991</v>
      </c>
      <c r="F24" s="8">
        <v>2937.1262999999999</v>
      </c>
      <c r="G24" s="9">
        <v>2.38</v>
      </c>
      <c r="H24" s="10"/>
    </row>
    <row r="25" spans="2:8" x14ac:dyDescent="0.45">
      <c r="B25" s="6" t="s">
        <v>54</v>
      </c>
      <c r="C25" s="6" t="s">
        <v>55</v>
      </c>
      <c r="D25" s="6" t="s">
        <v>56</v>
      </c>
      <c r="E25" s="7">
        <v>72176</v>
      </c>
      <c r="F25" s="8">
        <v>2926.3759</v>
      </c>
      <c r="G25" s="9">
        <v>2.37</v>
      </c>
      <c r="H25" s="10"/>
    </row>
    <row r="26" spans="2:8" x14ac:dyDescent="0.45">
      <c r="B26" s="6" t="s">
        <v>57</v>
      </c>
      <c r="C26" s="6" t="s">
        <v>58</v>
      </c>
      <c r="D26" s="6" t="s">
        <v>59</v>
      </c>
      <c r="E26" s="7">
        <v>430476</v>
      </c>
      <c r="F26" s="8">
        <v>2816.3892000000001</v>
      </c>
      <c r="G26" s="9">
        <v>2.2799999999999998</v>
      </c>
      <c r="H26" s="10"/>
    </row>
    <row r="27" spans="2:8" x14ac:dyDescent="0.45">
      <c r="B27" s="6" t="s">
        <v>60</v>
      </c>
      <c r="C27" s="6" t="s">
        <v>61</v>
      </c>
      <c r="D27" s="6" t="s">
        <v>62</v>
      </c>
      <c r="E27" s="7">
        <v>99877</v>
      </c>
      <c r="F27" s="8">
        <v>2671.0106000000001</v>
      </c>
      <c r="G27" s="9">
        <v>2.17</v>
      </c>
      <c r="H27" s="10"/>
    </row>
    <row r="28" spans="2:8" x14ac:dyDescent="0.45">
      <c r="B28" s="6" t="s">
        <v>63</v>
      </c>
      <c r="C28" s="6" t="s">
        <v>64</v>
      </c>
      <c r="D28" s="6" t="s">
        <v>14</v>
      </c>
      <c r="E28" s="7">
        <v>170068</v>
      </c>
      <c r="F28" s="8">
        <v>2573.6390000000001</v>
      </c>
      <c r="G28" s="9">
        <v>2.09</v>
      </c>
      <c r="H28" s="10"/>
    </row>
    <row r="29" spans="2:8" x14ac:dyDescent="0.45">
      <c r="B29" s="6" t="s">
        <v>65</v>
      </c>
      <c r="C29" s="6" t="s">
        <v>66</v>
      </c>
      <c r="D29" s="6" t="s">
        <v>50</v>
      </c>
      <c r="E29" s="7">
        <v>1831638</v>
      </c>
      <c r="F29" s="8">
        <v>2568.6891000000001</v>
      </c>
      <c r="G29" s="9">
        <v>2.08</v>
      </c>
      <c r="H29" s="10"/>
    </row>
    <row r="30" spans="2:8" x14ac:dyDescent="0.45">
      <c r="B30" s="6" t="s">
        <v>67</v>
      </c>
      <c r="C30" s="6" t="s">
        <v>68</v>
      </c>
      <c r="D30" s="6" t="s">
        <v>69</v>
      </c>
      <c r="E30" s="7">
        <v>909492</v>
      </c>
      <c r="F30" s="8">
        <v>2441.9859999999999</v>
      </c>
      <c r="G30" s="9">
        <v>1.98</v>
      </c>
      <c r="H30" s="10"/>
    </row>
    <row r="31" spans="2:8" x14ac:dyDescent="0.45">
      <c r="B31" s="6" t="s">
        <v>70</v>
      </c>
      <c r="C31" s="6" t="s">
        <v>71</v>
      </c>
      <c r="D31" s="6" t="s">
        <v>14</v>
      </c>
      <c r="E31" s="7">
        <v>164356</v>
      </c>
      <c r="F31" s="8">
        <v>2424.9083999999998</v>
      </c>
      <c r="G31" s="9">
        <v>1.97</v>
      </c>
      <c r="H31" s="10"/>
    </row>
    <row r="32" spans="2:8" x14ac:dyDescent="0.45">
      <c r="B32" s="6" t="s">
        <v>72</v>
      </c>
      <c r="C32" s="6" t="s">
        <v>73</v>
      </c>
      <c r="D32" s="6" t="s">
        <v>74</v>
      </c>
      <c r="E32" s="7">
        <v>152042</v>
      </c>
      <c r="F32" s="8">
        <v>2254.4787999999999</v>
      </c>
      <c r="G32" s="9">
        <v>1.83</v>
      </c>
      <c r="H32" s="10"/>
    </row>
    <row r="33" spans="2:8" x14ac:dyDescent="0.45">
      <c r="B33" s="6" t="s">
        <v>75</v>
      </c>
      <c r="C33" s="6" t="s">
        <v>76</v>
      </c>
      <c r="D33" s="6" t="s">
        <v>17</v>
      </c>
      <c r="E33" s="7">
        <v>51276</v>
      </c>
      <c r="F33" s="8">
        <v>2261.6817999999998</v>
      </c>
      <c r="G33" s="9">
        <v>1.83</v>
      </c>
      <c r="H33" s="10"/>
    </row>
    <row r="34" spans="2:8" x14ac:dyDescent="0.45">
      <c r="B34" s="6" t="s">
        <v>77</v>
      </c>
      <c r="C34" s="6" t="s">
        <v>78</v>
      </c>
      <c r="D34" s="6" t="s">
        <v>36</v>
      </c>
      <c r="E34" s="7">
        <v>21224</v>
      </c>
      <c r="F34" s="8">
        <v>2199.0185999999999</v>
      </c>
      <c r="G34" s="9">
        <v>1.78</v>
      </c>
      <c r="H34" s="10"/>
    </row>
    <row r="35" spans="2:8" x14ac:dyDescent="0.45">
      <c r="B35" s="6" t="s">
        <v>79</v>
      </c>
      <c r="C35" s="6" t="s">
        <v>80</v>
      </c>
      <c r="D35" s="6" t="s">
        <v>81</v>
      </c>
      <c r="E35" s="7">
        <v>181559</v>
      </c>
      <c r="F35" s="8">
        <v>2191.7802000000001</v>
      </c>
      <c r="G35" s="9">
        <v>1.78</v>
      </c>
      <c r="H35" s="10"/>
    </row>
    <row r="36" spans="2:8" x14ac:dyDescent="0.45">
      <c r="B36" s="6" t="s">
        <v>82</v>
      </c>
      <c r="C36" s="6" t="s">
        <v>83</v>
      </c>
      <c r="D36" s="6" t="s">
        <v>74</v>
      </c>
      <c r="E36" s="7">
        <v>11942</v>
      </c>
      <c r="F36" s="8">
        <v>2179.0567000000001</v>
      </c>
      <c r="G36" s="9">
        <v>1.77</v>
      </c>
      <c r="H36" s="10"/>
    </row>
    <row r="37" spans="2:8" x14ac:dyDescent="0.45">
      <c r="B37" s="6" t="s">
        <v>84</v>
      </c>
      <c r="C37" s="6" t="s">
        <v>85</v>
      </c>
      <c r="D37" s="6" t="s">
        <v>86</v>
      </c>
      <c r="E37" s="7">
        <v>1322348</v>
      </c>
      <c r="F37" s="8">
        <v>2175.3946999999998</v>
      </c>
      <c r="G37" s="9">
        <v>1.76</v>
      </c>
      <c r="H37" s="10"/>
    </row>
    <row r="38" spans="2:8" x14ac:dyDescent="0.45">
      <c r="B38" s="6" t="s">
        <v>87</v>
      </c>
      <c r="C38" s="6" t="s">
        <v>88</v>
      </c>
      <c r="D38" s="6" t="s">
        <v>69</v>
      </c>
      <c r="E38" s="7">
        <v>1652795</v>
      </c>
      <c r="F38" s="8">
        <v>2161.8559</v>
      </c>
      <c r="G38" s="9">
        <v>1.75</v>
      </c>
      <c r="H38" s="10"/>
    </row>
    <row r="39" spans="2:8" x14ac:dyDescent="0.45">
      <c r="B39" s="6" t="s">
        <v>89</v>
      </c>
      <c r="C39" s="6" t="s">
        <v>90</v>
      </c>
      <c r="D39" s="6" t="s">
        <v>36</v>
      </c>
      <c r="E39" s="7">
        <v>612317</v>
      </c>
      <c r="F39" s="8">
        <v>2067.4884000000002</v>
      </c>
      <c r="G39" s="9">
        <v>1.68</v>
      </c>
      <c r="H39" s="10"/>
    </row>
    <row r="40" spans="2:8" x14ac:dyDescent="0.45">
      <c r="B40" s="6" t="s">
        <v>91</v>
      </c>
      <c r="C40" s="6" t="s">
        <v>92</v>
      </c>
      <c r="D40" s="6" t="s">
        <v>93</v>
      </c>
      <c r="E40" s="7">
        <v>197202</v>
      </c>
      <c r="F40" s="8">
        <v>2029.8001999999999</v>
      </c>
      <c r="G40" s="9">
        <v>1.65</v>
      </c>
      <c r="H40" s="10"/>
    </row>
    <row r="41" spans="2:8" x14ac:dyDescent="0.45">
      <c r="B41" s="6" t="s">
        <v>94</v>
      </c>
      <c r="C41" s="6" t="s">
        <v>95</v>
      </c>
      <c r="D41" s="6" t="s">
        <v>42</v>
      </c>
      <c r="E41" s="7">
        <v>25713</v>
      </c>
      <c r="F41" s="8">
        <v>1864.9639</v>
      </c>
      <c r="G41" s="9">
        <v>1.51</v>
      </c>
      <c r="H41" s="10"/>
    </row>
    <row r="42" spans="2:8" x14ac:dyDescent="0.45">
      <c r="B42" s="6" t="s">
        <v>96</v>
      </c>
      <c r="C42" s="6" t="s">
        <v>97</v>
      </c>
      <c r="D42" s="6" t="s">
        <v>98</v>
      </c>
      <c r="E42" s="7">
        <v>314481</v>
      </c>
      <c r="F42" s="8">
        <v>1857.3248000000001</v>
      </c>
      <c r="G42" s="9">
        <v>1.51</v>
      </c>
      <c r="H42" s="10"/>
    </row>
    <row r="43" spans="2:8" x14ac:dyDescent="0.45">
      <c r="B43" s="6" t="s">
        <v>99</v>
      </c>
      <c r="C43" s="6" t="s">
        <v>100</v>
      </c>
      <c r="D43" s="6" t="s">
        <v>101</v>
      </c>
      <c r="E43" s="7">
        <v>45488</v>
      </c>
      <c r="F43" s="8">
        <v>1847.5406</v>
      </c>
      <c r="G43" s="9">
        <v>1.5</v>
      </c>
      <c r="H43" s="10"/>
    </row>
    <row r="44" spans="2:8" x14ac:dyDescent="0.45">
      <c r="B44" s="6" t="s">
        <v>102</v>
      </c>
      <c r="C44" s="6" t="s">
        <v>103</v>
      </c>
      <c r="D44" s="6" t="s">
        <v>31</v>
      </c>
      <c r="E44" s="7">
        <v>144801</v>
      </c>
      <c r="F44" s="8">
        <v>1838.9727</v>
      </c>
      <c r="G44" s="9">
        <v>1.49</v>
      </c>
      <c r="H44" s="10"/>
    </row>
    <row r="45" spans="2:8" x14ac:dyDescent="0.45">
      <c r="B45" s="6" t="s">
        <v>104</v>
      </c>
      <c r="C45" s="6" t="s">
        <v>105</v>
      </c>
      <c r="D45" s="6" t="s">
        <v>69</v>
      </c>
      <c r="E45" s="7">
        <v>1690337</v>
      </c>
      <c r="F45" s="8">
        <v>1792.6024</v>
      </c>
      <c r="G45" s="9">
        <v>1.45</v>
      </c>
      <c r="H45" s="10"/>
    </row>
    <row r="46" spans="2:8" x14ac:dyDescent="0.45">
      <c r="B46" s="6" t="s">
        <v>106</v>
      </c>
      <c r="C46" s="6" t="s">
        <v>107</v>
      </c>
      <c r="D46" s="6" t="s">
        <v>36</v>
      </c>
      <c r="E46" s="7">
        <v>52573</v>
      </c>
      <c r="F46" s="8">
        <v>1757.4628</v>
      </c>
      <c r="G46" s="9">
        <v>1.42</v>
      </c>
      <c r="H46" s="10"/>
    </row>
    <row r="47" spans="2:8" x14ac:dyDescent="0.45">
      <c r="B47" s="6" t="s">
        <v>108</v>
      </c>
      <c r="C47" s="6" t="s">
        <v>109</v>
      </c>
      <c r="D47" s="6" t="s">
        <v>42</v>
      </c>
      <c r="E47" s="7">
        <v>43358</v>
      </c>
      <c r="F47" s="8">
        <v>1678.8651</v>
      </c>
      <c r="G47" s="9">
        <v>1.36</v>
      </c>
      <c r="H47" s="10"/>
    </row>
    <row r="48" spans="2:8" x14ac:dyDescent="0.45">
      <c r="B48" s="6" t="s">
        <v>110</v>
      </c>
      <c r="C48" s="6" t="s">
        <v>111</v>
      </c>
      <c r="D48" s="6" t="s">
        <v>42</v>
      </c>
      <c r="E48" s="7">
        <v>43328</v>
      </c>
      <c r="F48" s="8">
        <v>1665.5282999999999</v>
      </c>
      <c r="G48" s="9">
        <v>1.35</v>
      </c>
      <c r="H48" s="10"/>
    </row>
    <row r="49" spans="2:8" x14ac:dyDescent="0.45">
      <c r="B49" s="6" t="s">
        <v>112</v>
      </c>
      <c r="C49" s="6" t="s">
        <v>113</v>
      </c>
      <c r="D49" s="6" t="s">
        <v>114</v>
      </c>
      <c r="E49" s="7">
        <v>6556</v>
      </c>
      <c r="F49" s="8">
        <v>1657.029</v>
      </c>
      <c r="G49" s="9">
        <v>1.34</v>
      </c>
      <c r="H49" s="10"/>
    </row>
    <row r="50" spans="2:8" x14ac:dyDescent="0.45">
      <c r="B50" s="6" t="s">
        <v>115</v>
      </c>
      <c r="C50" s="6" t="s">
        <v>116</v>
      </c>
      <c r="D50" s="6" t="s">
        <v>69</v>
      </c>
      <c r="E50" s="7">
        <v>947287</v>
      </c>
      <c r="F50" s="8">
        <v>1590.3054</v>
      </c>
      <c r="G50" s="9">
        <v>1.29</v>
      </c>
      <c r="H50" s="10"/>
    </row>
    <row r="51" spans="2:8" x14ac:dyDescent="0.45">
      <c r="B51" s="6" t="s">
        <v>117</v>
      </c>
      <c r="C51" s="6" t="s">
        <v>118</v>
      </c>
      <c r="D51" s="6" t="s">
        <v>39</v>
      </c>
      <c r="E51" s="7">
        <v>4252</v>
      </c>
      <c r="F51" s="8">
        <v>1557.2950000000001</v>
      </c>
      <c r="G51" s="9">
        <v>1.26</v>
      </c>
      <c r="H51" s="10"/>
    </row>
    <row r="52" spans="2:8" x14ac:dyDescent="0.45">
      <c r="B52" s="6" t="s">
        <v>119</v>
      </c>
      <c r="C52" s="6" t="s">
        <v>120</v>
      </c>
      <c r="D52" s="6" t="s">
        <v>114</v>
      </c>
      <c r="E52" s="7">
        <v>298975</v>
      </c>
      <c r="F52" s="8">
        <v>1338.9594999999999</v>
      </c>
      <c r="G52" s="9">
        <v>1.0900000000000001</v>
      </c>
      <c r="H52" s="10"/>
    </row>
    <row r="53" spans="2:8" x14ac:dyDescent="0.45">
      <c r="B53" s="6" t="s">
        <v>121</v>
      </c>
      <c r="C53" s="6" t="s">
        <v>122</v>
      </c>
      <c r="D53" s="6" t="s">
        <v>123</v>
      </c>
      <c r="E53" s="7">
        <v>212520</v>
      </c>
      <c r="F53" s="8">
        <v>1345.1452999999999</v>
      </c>
      <c r="G53" s="9">
        <v>1.0900000000000001</v>
      </c>
      <c r="H53" s="10"/>
    </row>
    <row r="54" spans="2:8" x14ac:dyDescent="0.45">
      <c r="B54" s="6" t="s">
        <v>124</v>
      </c>
      <c r="C54" s="6" t="s">
        <v>125</v>
      </c>
      <c r="D54" s="6" t="s">
        <v>26</v>
      </c>
      <c r="E54" s="7">
        <v>69902</v>
      </c>
      <c r="F54" s="8">
        <v>1344.9145000000001</v>
      </c>
      <c r="G54" s="9">
        <v>1.0900000000000001</v>
      </c>
      <c r="H54" s="10"/>
    </row>
    <row r="55" spans="2:8" x14ac:dyDescent="0.45">
      <c r="B55" s="6" t="s">
        <v>126</v>
      </c>
      <c r="C55" s="6" t="s">
        <v>127</v>
      </c>
      <c r="D55" s="6" t="s">
        <v>17</v>
      </c>
      <c r="E55" s="7">
        <v>122636</v>
      </c>
      <c r="F55" s="8">
        <v>1321.6482000000001</v>
      </c>
      <c r="G55" s="9">
        <v>1.07</v>
      </c>
      <c r="H55" s="10"/>
    </row>
    <row r="56" spans="2:8" x14ac:dyDescent="0.45">
      <c r="B56" s="6" t="s">
        <v>128</v>
      </c>
      <c r="C56" s="6" t="s">
        <v>129</v>
      </c>
      <c r="D56" s="6" t="s">
        <v>98</v>
      </c>
      <c r="E56" s="7">
        <v>138029</v>
      </c>
      <c r="F56" s="8">
        <v>1294.8499999999999</v>
      </c>
      <c r="G56" s="9">
        <v>1.05</v>
      </c>
      <c r="H56" s="10"/>
    </row>
    <row r="57" spans="2:8" x14ac:dyDescent="0.45">
      <c r="B57" s="6" t="s">
        <v>130</v>
      </c>
      <c r="C57" s="6" t="s">
        <v>131</v>
      </c>
      <c r="D57" s="6" t="s">
        <v>36</v>
      </c>
      <c r="E57" s="7">
        <v>986098</v>
      </c>
      <c r="F57" s="8">
        <v>961.54420000000005</v>
      </c>
      <c r="G57" s="9">
        <v>0.78</v>
      </c>
      <c r="H57" s="10"/>
    </row>
    <row r="58" spans="2:8" x14ac:dyDescent="0.45">
      <c r="B58" s="6" t="s">
        <v>132</v>
      </c>
      <c r="C58" s="6" t="s">
        <v>133</v>
      </c>
      <c r="D58" s="6" t="s">
        <v>134</v>
      </c>
      <c r="E58" s="7">
        <v>37244</v>
      </c>
      <c r="F58" s="8">
        <v>914.89890000000003</v>
      </c>
      <c r="G58" s="9">
        <v>0.74</v>
      </c>
      <c r="H58" s="10"/>
    </row>
    <row r="59" spans="2:8" x14ac:dyDescent="0.45">
      <c r="B59" s="6" t="s">
        <v>135</v>
      </c>
      <c r="C59" s="6" t="s">
        <v>136</v>
      </c>
      <c r="D59" s="6" t="s">
        <v>36</v>
      </c>
      <c r="E59" s="7">
        <v>211762</v>
      </c>
      <c r="F59" s="8">
        <v>647.78</v>
      </c>
      <c r="G59" s="9">
        <v>0.53</v>
      </c>
      <c r="H59" s="10"/>
    </row>
    <row r="60" spans="2:8" x14ac:dyDescent="0.45">
      <c r="B60" s="11" t="s">
        <v>137</v>
      </c>
      <c r="C60" s="12"/>
      <c r="D60" s="12"/>
      <c r="E60" s="12"/>
      <c r="F60" s="13">
        <v>119394.30549999997</v>
      </c>
      <c r="G60" s="14">
        <f>+F60/F79*100</f>
        <v>96.789184412835922</v>
      </c>
      <c r="H60" s="12"/>
    </row>
    <row r="61" spans="2:8" x14ac:dyDescent="0.45">
      <c r="B61" s="11" t="s">
        <v>138</v>
      </c>
      <c r="C61" s="12"/>
      <c r="D61" s="12"/>
      <c r="E61" s="12"/>
      <c r="F61" s="12"/>
      <c r="G61" s="12"/>
      <c r="H61" s="12"/>
    </row>
    <row r="62" spans="2:8" x14ac:dyDescent="0.45">
      <c r="B62" s="6" t="s">
        <v>139</v>
      </c>
      <c r="C62" s="6" t="s">
        <v>140</v>
      </c>
      <c r="D62" s="6" t="s">
        <v>81</v>
      </c>
      <c r="E62" s="7">
        <v>821282</v>
      </c>
      <c r="F62" s="8">
        <v>993.95650000000001</v>
      </c>
      <c r="G62" s="9">
        <v>0.81</v>
      </c>
      <c r="H62" s="10"/>
    </row>
    <row r="63" spans="2:8" x14ac:dyDescent="0.45">
      <c r="B63" s="6" t="s">
        <v>141</v>
      </c>
      <c r="C63" s="6" t="s">
        <v>142</v>
      </c>
      <c r="D63" s="6" t="s">
        <v>143</v>
      </c>
      <c r="E63" s="7">
        <v>821282</v>
      </c>
      <c r="F63" s="8">
        <v>993.95650000000001</v>
      </c>
      <c r="G63" s="9">
        <v>0.81</v>
      </c>
      <c r="H63" s="10"/>
    </row>
    <row r="64" spans="2:8" x14ac:dyDescent="0.45">
      <c r="B64" s="6" t="s">
        <v>144</v>
      </c>
      <c r="C64" s="6" t="s">
        <v>145</v>
      </c>
      <c r="D64" s="6" t="s">
        <v>123</v>
      </c>
      <c r="E64" s="7">
        <v>821282</v>
      </c>
      <c r="F64" s="8">
        <v>993.95650000000001</v>
      </c>
      <c r="G64" s="9">
        <v>0.81</v>
      </c>
      <c r="H64" s="10"/>
    </row>
    <row r="65" spans="2:9" x14ac:dyDescent="0.45">
      <c r="B65" s="6" t="s">
        <v>146</v>
      </c>
      <c r="C65" s="6" t="s">
        <v>147</v>
      </c>
      <c r="D65" s="6" t="s">
        <v>14</v>
      </c>
      <c r="E65" s="7">
        <v>821282</v>
      </c>
      <c r="F65" s="8">
        <v>993.95650000000001</v>
      </c>
      <c r="G65" s="9">
        <v>0.81</v>
      </c>
      <c r="H65" s="10"/>
    </row>
    <row r="66" spans="2:9" x14ac:dyDescent="0.45">
      <c r="B66" s="11" t="s">
        <v>137</v>
      </c>
      <c r="C66" s="12"/>
      <c r="D66" s="12"/>
      <c r="E66" s="12"/>
      <c r="F66" s="13">
        <v>3975.826</v>
      </c>
      <c r="G66" s="14">
        <f>+F66/F79*100</f>
        <v>3.2230762957731507</v>
      </c>
      <c r="H66" s="12"/>
    </row>
    <row r="67" spans="2:9" x14ac:dyDescent="0.45">
      <c r="B67" s="11"/>
      <c r="C67" s="12"/>
      <c r="D67" s="12"/>
      <c r="E67" s="12"/>
      <c r="F67" s="13"/>
      <c r="G67" s="14"/>
      <c r="H67" s="12"/>
    </row>
    <row r="68" spans="2:9" x14ac:dyDescent="0.45">
      <c r="B68" s="15" t="s">
        <v>148</v>
      </c>
      <c r="C68" s="16"/>
      <c r="D68" s="16"/>
      <c r="E68" s="16"/>
      <c r="F68" s="17">
        <f>+F66+F60</f>
        <v>123370.13149999997</v>
      </c>
      <c r="G68" s="18">
        <f>+G66+G60</f>
        <v>100.01226070860908</v>
      </c>
      <c r="H68" s="16"/>
    </row>
    <row r="69" spans="2:9" x14ac:dyDescent="0.45">
      <c r="B69" s="11"/>
      <c r="C69" s="12"/>
      <c r="D69" s="12"/>
      <c r="E69" s="12"/>
      <c r="F69" s="13"/>
      <c r="G69" s="14"/>
      <c r="H69" s="12"/>
    </row>
    <row r="70" spans="2:9" x14ac:dyDescent="0.45">
      <c r="B70" s="11" t="s">
        <v>170</v>
      </c>
      <c r="C70" s="12"/>
      <c r="D70" s="12"/>
      <c r="E70" s="12"/>
      <c r="F70" s="13"/>
      <c r="G70" s="14"/>
      <c r="H70" s="12"/>
    </row>
    <row r="71" spans="2:9" x14ac:dyDescent="0.45">
      <c r="B71" s="11" t="s">
        <v>171</v>
      </c>
      <c r="C71" s="12"/>
      <c r="D71" s="12"/>
      <c r="E71" s="12"/>
      <c r="F71" s="13"/>
      <c r="G71" s="14"/>
      <c r="H71" s="12"/>
    </row>
    <row r="72" spans="2:9" x14ac:dyDescent="0.45">
      <c r="B72" s="6" t="s">
        <v>172</v>
      </c>
      <c r="C72" s="6"/>
      <c r="D72" s="6"/>
      <c r="E72" s="7">
        <v>385004</v>
      </c>
      <c r="F72" s="8">
        <v>39.847913999999996</v>
      </c>
      <c r="G72" s="9">
        <f>F72/F79*100</f>
        <v>3.2303442617812511E-2</v>
      </c>
      <c r="H72" s="10"/>
    </row>
    <row r="73" spans="2:9" x14ac:dyDescent="0.45">
      <c r="B73" s="11" t="s">
        <v>173</v>
      </c>
      <c r="C73" s="12"/>
      <c r="D73" s="12"/>
      <c r="E73" s="12"/>
      <c r="F73" s="13">
        <f>SUM(F72)</f>
        <v>39.847913999999996</v>
      </c>
      <c r="G73" s="14">
        <f>SUM(G72)</f>
        <v>3.2303442617812511E-2</v>
      </c>
      <c r="H73" s="12"/>
    </row>
    <row r="74" spans="2:9" x14ac:dyDescent="0.45">
      <c r="B74" s="5"/>
      <c r="C74" s="5"/>
      <c r="D74" s="5"/>
      <c r="E74" s="5"/>
      <c r="F74" s="5"/>
      <c r="G74" s="5"/>
      <c r="H74" s="5"/>
    </row>
    <row r="75" spans="2:9" x14ac:dyDescent="0.45">
      <c r="B75" s="15" t="s">
        <v>148</v>
      </c>
      <c r="C75" s="16"/>
      <c r="D75" s="16"/>
      <c r="E75" s="16"/>
      <c r="F75" s="17">
        <f>+F73</f>
        <v>39.847913999999996</v>
      </c>
      <c r="G75" s="18">
        <f>+G73</f>
        <v>3.2303442617812511E-2</v>
      </c>
      <c r="H75" s="16"/>
    </row>
    <row r="76" spans="2:9" x14ac:dyDescent="0.45">
      <c r="B76" s="10"/>
      <c r="C76" s="5"/>
      <c r="D76" s="5"/>
      <c r="E76" s="5"/>
      <c r="F76" s="5"/>
      <c r="G76" s="5"/>
      <c r="H76" s="5"/>
    </row>
    <row r="77" spans="2:9" x14ac:dyDescent="0.45">
      <c r="B77" s="6" t="s">
        <v>149</v>
      </c>
      <c r="C77" s="5"/>
      <c r="D77" s="5"/>
      <c r="E77" s="5"/>
      <c r="F77" s="19">
        <v>-54.972112000000003</v>
      </c>
      <c r="G77" s="20">
        <f>+F77/F79*100</f>
        <v>-4.4564151226886381E-2</v>
      </c>
      <c r="H77" s="5"/>
      <c r="I77" s="35"/>
    </row>
    <row r="78" spans="2:9" x14ac:dyDescent="0.45">
      <c r="B78" s="5"/>
      <c r="C78" s="5"/>
      <c r="D78" s="5"/>
      <c r="E78" s="5"/>
      <c r="F78" s="5"/>
      <c r="G78" s="5"/>
      <c r="H78" s="5"/>
    </row>
    <row r="79" spans="2:9" x14ac:dyDescent="0.45">
      <c r="B79" s="21" t="s">
        <v>150</v>
      </c>
      <c r="C79" s="16"/>
      <c r="D79" s="16"/>
      <c r="E79" s="16"/>
      <c r="F79" s="17">
        <f>+F77+F75+F68</f>
        <v>123355.00730199997</v>
      </c>
      <c r="G79" s="18">
        <f>+G77+G75+G68</f>
        <v>100</v>
      </c>
      <c r="H79" s="16"/>
    </row>
    <row r="80" spans="2:9" x14ac:dyDescent="0.45">
      <c r="B80" s="5"/>
      <c r="C80" s="5"/>
      <c r="D80" s="5"/>
      <c r="E80" s="5"/>
      <c r="F80" s="36"/>
      <c r="G80" s="5"/>
      <c r="H80" s="5"/>
    </row>
    <row r="81" spans="1:6" x14ac:dyDescent="0.45">
      <c r="B81" s="22" t="s">
        <v>151</v>
      </c>
      <c r="E81" s="23"/>
      <c r="F81" s="34"/>
    </row>
    <row r="82" spans="1:6" x14ac:dyDescent="0.45">
      <c r="A82">
        <v>1</v>
      </c>
      <c r="B82" s="24" t="s">
        <v>174</v>
      </c>
      <c r="E82" s="23"/>
    </row>
    <row r="83" spans="1:6" x14ac:dyDescent="0.45">
      <c r="E83" s="23"/>
    </row>
    <row r="84" spans="1:6" x14ac:dyDescent="0.45">
      <c r="A84">
        <v>2</v>
      </c>
      <c r="B84" t="s">
        <v>152</v>
      </c>
      <c r="E84" s="23"/>
    </row>
    <row r="85" spans="1:6" x14ac:dyDescent="0.45">
      <c r="E85" s="23"/>
    </row>
    <row r="86" spans="1:6" x14ac:dyDescent="0.45">
      <c r="A86">
        <v>3</v>
      </c>
      <c r="B86" t="s">
        <v>153</v>
      </c>
      <c r="E86" s="23"/>
    </row>
    <row r="87" spans="1:6" x14ac:dyDescent="0.45">
      <c r="B87" s="22" t="s">
        <v>154</v>
      </c>
      <c r="C87" s="25" t="s">
        <v>168</v>
      </c>
      <c r="D87" s="25" t="s">
        <v>155</v>
      </c>
      <c r="E87" s="23"/>
    </row>
    <row r="88" spans="1:6" x14ac:dyDescent="0.45">
      <c r="A88" s="26">
        <v>149448</v>
      </c>
      <c r="B88" t="s">
        <v>156</v>
      </c>
      <c r="C88" s="27">
        <v>16.5029</v>
      </c>
      <c r="D88" s="27">
        <v>16.180499999999999</v>
      </c>
      <c r="E88" s="23"/>
    </row>
    <row r="89" spans="1:6" x14ac:dyDescent="0.45">
      <c r="A89" s="26">
        <v>149447</v>
      </c>
      <c r="B89" t="s">
        <v>157</v>
      </c>
      <c r="C89" s="27">
        <v>16.9055</v>
      </c>
      <c r="D89" s="27">
        <v>16.563600000000001</v>
      </c>
      <c r="E89" s="23"/>
    </row>
    <row r="90" spans="1:6" x14ac:dyDescent="0.45">
      <c r="C90" s="27"/>
      <c r="D90" s="27"/>
      <c r="E90" s="23"/>
    </row>
    <row r="91" spans="1:6" x14ac:dyDescent="0.45">
      <c r="A91">
        <v>4</v>
      </c>
      <c r="B91" s="24" t="s">
        <v>175</v>
      </c>
      <c r="E91" s="23"/>
    </row>
    <row r="92" spans="1:6" x14ac:dyDescent="0.45">
      <c r="E92" s="23"/>
    </row>
    <row r="93" spans="1:6" x14ac:dyDescent="0.45">
      <c r="A93">
        <v>5</v>
      </c>
      <c r="B93" s="24" t="s">
        <v>176</v>
      </c>
      <c r="E93" s="23"/>
    </row>
    <row r="94" spans="1:6" x14ac:dyDescent="0.45">
      <c r="E94" s="23"/>
    </row>
    <row r="95" spans="1:6" x14ac:dyDescent="0.45">
      <c r="A95">
        <v>6</v>
      </c>
      <c r="B95" s="24" t="s">
        <v>177</v>
      </c>
      <c r="E95" s="23"/>
    </row>
    <row r="96" spans="1:6" x14ac:dyDescent="0.45">
      <c r="E96" s="23"/>
    </row>
    <row r="97" spans="1:5" x14ac:dyDescent="0.45">
      <c r="A97">
        <v>7</v>
      </c>
      <c r="B97" s="28" t="s">
        <v>169</v>
      </c>
      <c r="E97" s="23"/>
    </row>
    <row r="98" spans="1:5" x14ac:dyDescent="0.45">
      <c r="E98" s="23"/>
    </row>
    <row r="99" spans="1:5" x14ac:dyDescent="0.45">
      <c r="A99">
        <v>8</v>
      </c>
      <c r="B99" t="s">
        <v>158</v>
      </c>
      <c r="E99" s="23"/>
    </row>
    <row r="100" spans="1:5" x14ac:dyDescent="0.45">
      <c r="E100" s="23"/>
    </row>
    <row r="101" spans="1:5" x14ac:dyDescent="0.45">
      <c r="A101">
        <v>9</v>
      </c>
      <c r="B101" t="s">
        <v>159</v>
      </c>
      <c r="E101" s="23"/>
    </row>
    <row r="102" spans="1:5" x14ac:dyDescent="0.45">
      <c r="E102" s="23"/>
    </row>
    <row r="103" spans="1:5" x14ac:dyDescent="0.45">
      <c r="A103">
        <v>10</v>
      </c>
      <c r="B103" t="s">
        <v>160</v>
      </c>
      <c r="E103" s="23"/>
    </row>
    <row r="105" spans="1:5" x14ac:dyDescent="0.45">
      <c r="A105" s="29"/>
    </row>
    <row r="106" spans="1:5" x14ac:dyDescent="0.45">
      <c r="B106" s="41" t="s">
        <v>161</v>
      </c>
    </row>
    <row r="107" spans="1:5" x14ac:dyDescent="0.45">
      <c r="B107" s="30" t="s">
        <v>162</v>
      </c>
    </row>
    <row r="108" spans="1:5" x14ac:dyDescent="0.45">
      <c r="B108" s="31"/>
    </row>
    <row r="109" spans="1:5" x14ac:dyDescent="0.45">
      <c r="B109" s="32" t="s">
        <v>163</v>
      </c>
    </row>
    <row r="110" spans="1:5" x14ac:dyDescent="0.45">
      <c r="B110" s="31"/>
    </row>
    <row r="111" spans="1:5" x14ac:dyDescent="0.45">
      <c r="B111" s="42" t="s">
        <v>164</v>
      </c>
    </row>
    <row r="112" spans="1:5" ht="14.65" thickBot="1" x14ac:dyDescent="0.5">
      <c r="B112" s="33" t="s">
        <v>165</v>
      </c>
    </row>
    <row r="122" spans="2:3" x14ac:dyDescent="0.45">
      <c r="B122" s="24" t="s">
        <v>166</v>
      </c>
      <c r="C122" s="24" t="s">
        <v>167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2026-05-30T13:14:11Z</dcterms:created>
  <dcterms:modified xsi:type="dcterms:W3CDTF">2026-06-09T11:56:32Z</dcterms:modified>
</cp:coreProperties>
</file>