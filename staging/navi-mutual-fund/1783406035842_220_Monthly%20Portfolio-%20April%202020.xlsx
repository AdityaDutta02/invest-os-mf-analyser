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L:\COMPLIANCE\SEBI Reports\Monthly Portfolio\2020-2021\1. April 2020\"/>
    </mc:Choice>
  </mc:AlternateContent>
  <bookViews>
    <workbookView xWindow="0" yWindow="0" windowWidth="20490" windowHeight="7755"/>
  </bookViews>
  <sheets>
    <sheet name="EAF" sheetId="1" r:id="rId1"/>
    <sheet name="EEHF" sheetId="2" r:id="rId2"/>
    <sheet name="EMF" sheetId="3" r:id="rId3"/>
    <sheet name="PCPF" sheetId="4" r:id="rId4"/>
    <sheet name="PEF" sheetId="5" r:id="rId5"/>
    <sheet name="PIPF" sheetId="6" r:id="rId6"/>
    <sheet name="PLF" sheetId="7" r:id="rId7"/>
    <sheet name="PLTAF" sheetId="8" r:id="rId8"/>
    <sheet name="PMCF" sheetId="9" r:id="rId9"/>
    <sheet name="PUS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6" i="6" l="1"/>
  <c r="F77" i="6" s="1"/>
  <c r="E76" i="6"/>
  <c r="E77" i="6" s="1"/>
  <c r="F47" i="6"/>
  <c r="F51" i="6" s="1"/>
  <c r="E47" i="6"/>
  <c r="E51" i="6" s="1"/>
  <c r="F76" i="4"/>
  <c r="F77" i="4" s="1"/>
  <c r="E76" i="4"/>
  <c r="E77" i="4" s="1"/>
  <c r="F47" i="4"/>
  <c r="F51" i="4" s="1"/>
  <c r="E47" i="4"/>
  <c r="E51" i="4" s="1"/>
</calcChain>
</file>

<file path=xl/sharedStrings.xml><?xml version="1.0" encoding="utf-8"?>
<sst xmlns="http://schemas.openxmlformats.org/spreadsheetml/2006/main" count="1499" uniqueCount="289">
  <si>
    <t>Essel Arbitrage Fund</t>
  </si>
  <si>
    <t>Monthly Portfolio Statement for the month ended 30 Apr 2020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</si>
  <si>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</si>
  <si>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</si>
  <si>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</si>
  <si>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</si>
  <si>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</si>
  <si>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</si>
  <si>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(A)Equity &amp; Equity related</t>
  </si>
  <si>
    <t>(a)Listed / awaiting listing on Stock Exchanges</t>
  </si>
  <si>
    <t>DLF LTD</t>
  </si>
  <si>
    <t>INE271C01023</t>
  </si>
  <si>
    <t>CONSTRUCTION</t>
  </si>
  <si>
    <t>GLENMARK PHARMACEUTICALS LTD</t>
  </si>
  <si>
    <t>INE935A01035</t>
  </si>
  <si>
    <t>PHARMACEUTICALS</t>
  </si>
  <si>
    <t>HERO MOTOCORP LTD</t>
  </si>
  <si>
    <t>INE158A01026</t>
  </si>
  <si>
    <t>AUTO</t>
  </si>
  <si>
    <t>AMBUJA CEMENTS LTD</t>
  </si>
  <si>
    <t>INE079A01024</t>
  </si>
  <si>
    <t>CEMENT</t>
  </si>
  <si>
    <t>UPL LTD</t>
  </si>
  <si>
    <t>INE628A01036</t>
  </si>
  <si>
    <t>PESTICIDES</t>
  </si>
  <si>
    <t>MARICO LTD</t>
  </si>
  <si>
    <t>INE196A01026</t>
  </si>
  <si>
    <t>CONSUMER NON DURABLES</t>
  </si>
  <si>
    <t>MAHINDRA &amp; MAHINDRA LTD</t>
  </si>
  <si>
    <t>INE101A01026</t>
  </si>
  <si>
    <t>LARSEN &amp; TOUBRO LTD</t>
  </si>
  <si>
    <t>INE018A01030</t>
  </si>
  <si>
    <t>CONSTRUCTION PROJECT</t>
  </si>
  <si>
    <t>BANK OF BARODA</t>
  </si>
  <si>
    <t>INE028A01039</t>
  </si>
  <si>
    <t>BANKS</t>
  </si>
  <si>
    <t>CENTURY TEXTILES &amp; INDUSTRIES LTD</t>
  </si>
  <si>
    <t>INE055A01016</t>
  </si>
  <si>
    <t>PAPER</t>
  </si>
  <si>
    <t>Sub Total</t>
  </si>
  <si>
    <t>(b)Unlisted</t>
  </si>
  <si>
    <t>Total</t>
  </si>
  <si>
    <t>(B)Derivatives</t>
  </si>
  <si>
    <t>CENTURY TEXTILES &amp; INDUSTRIES LTD (28/05/2020)</t>
  </si>
  <si>
    <t>Stock Future</t>
  </si>
  <si>
    <t>BANK OF BARODA (28/05/2020)</t>
  </si>
  <si>
    <t>LARSEN &amp; TOUBRO LTD (28/05/2020)</t>
  </si>
  <si>
    <t>MAHINDRA &amp; MAHINDRA LTD (28/05/2020)</t>
  </si>
  <si>
    <t>MARICO LTD (28/05/2020)</t>
  </si>
  <si>
    <t>UPL LTD (28/05/2020)</t>
  </si>
  <si>
    <t>AMBUJA CEMENTS LTD (28/05/2020)</t>
  </si>
  <si>
    <t>HERO MOTOCORP LTD (28/05/2020)</t>
  </si>
  <si>
    <t>GLENMARK PHARMACEUTICALS LTD (28/05/2020)</t>
  </si>
  <si>
    <t>DLF LTD (28/05/2020)</t>
  </si>
  <si>
    <t>TREPS (including TBILL held as Collateral)/Reverse Repo/Net Current Assets/Cash/Cash Equivalent</t>
  </si>
  <si>
    <t>Grand Total</t>
  </si>
  <si>
    <t>Essel Equity Hybrid Fund</t>
  </si>
  <si>
    <t>ICICI BANK LTD</t>
  </si>
  <si>
    <t>INE090A01021</t>
  </si>
  <si>
    <t>RELIANCE INDUSTRIES LTD</t>
  </si>
  <si>
    <t>INE002A01018</t>
  </si>
  <si>
    <t>PETROLEUM PRODUCTS</t>
  </si>
  <si>
    <t>HDFC BANK LTD</t>
  </si>
  <si>
    <t>INE040A01034</t>
  </si>
  <si>
    <t>KOTAK MAHINDRA BANK LTD</t>
  </si>
  <si>
    <t>INE237A01028</t>
  </si>
  <si>
    <t>TATA CONSULTANCY SERVICES LTD</t>
  </si>
  <si>
    <t>INE467B01029</t>
  </si>
  <si>
    <t>SOFTWARE</t>
  </si>
  <si>
    <t>ABBOTT INDIA LTD</t>
  </si>
  <si>
    <t>INE358A01014</t>
  </si>
  <si>
    <t>AXIS BANK LTD</t>
  </si>
  <si>
    <t>INE238A01034</t>
  </si>
  <si>
    <t>HINDUSTAN UNILEVER LTD</t>
  </si>
  <si>
    <t>INE030A01027</t>
  </si>
  <si>
    <t>INFOSYS LTD</t>
  </si>
  <si>
    <t>INE009A01021</t>
  </si>
  <si>
    <t>BHARTI AIRTEL LTD</t>
  </si>
  <si>
    <t>INE397D01024</t>
  </si>
  <si>
    <t>TELECOM - SERVICES</t>
  </si>
  <si>
    <t>HOUSING DEVELOPMENT FINANCE CORPORATION LTD</t>
  </si>
  <si>
    <t>INE001A01036</t>
  </si>
  <si>
    <t>FINANCE</t>
  </si>
  <si>
    <t>TORRENT PHARAMACEUTICALS LTD</t>
  </si>
  <si>
    <t>INE685A01028</t>
  </si>
  <si>
    <t>ULTRATECH CEMENT LTD</t>
  </si>
  <si>
    <t>INE481G01011</t>
  </si>
  <si>
    <t>SHREE CEMENTS LTD</t>
  </si>
  <si>
    <t>INE070A01015</t>
  </si>
  <si>
    <t>ICICI LOMBARD GENERAL INSURANCE COMPANY LTD</t>
  </si>
  <si>
    <t>INE765G01017</t>
  </si>
  <si>
    <t>CONTAINER CORPORATION OF INDIA LTD</t>
  </si>
  <si>
    <t>INE111A01025</t>
  </si>
  <si>
    <t>TRANSPORTATION</t>
  </si>
  <si>
    <t>AVENUE SUPERMARTS LTD</t>
  </si>
  <si>
    <t>INE192R01011</t>
  </si>
  <si>
    <t>RETAILING</t>
  </si>
  <si>
    <t>HDFC LIFE INSURANCE COMPANY LTD</t>
  </si>
  <si>
    <t>INE795G01014</t>
  </si>
  <si>
    <t>BAJAJ AUTO LTD</t>
  </si>
  <si>
    <t>INE917I01010</t>
  </si>
  <si>
    <t>BIRLA CORPORATION LTD</t>
  </si>
  <si>
    <t>INE340A01012</t>
  </si>
  <si>
    <t>NESTLE INDIA LTD</t>
  </si>
  <si>
    <t>INE239A01016</t>
  </si>
  <si>
    <t>BRITANNIA INDUSTRIES LTD</t>
  </si>
  <si>
    <t>INE216A01030</t>
  </si>
  <si>
    <t>ASIAN PAINTS LTD</t>
  </si>
  <si>
    <t>INE021A01026</t>
  </si>
  <si>
    <t>DABUR INDIA LTD</t>
  </si>
  <si>
    <t>INE016A01026</t>
  </si>
  <si>
    <t>BAJAJ FINANCE LTD</t>
  </si>
  <si>
    <t>INE296A01024</t>
  </si>
  <si>
    <t>HCL TECHNOLOGIES LTD</t>
  </si>
  <si>
    <t>INE860A01027</t>
  </si>
  <si>
    <t>CREDITACCESS GRAMEEN LTD</t>
  </si>
  <si>
    <t>INE741K01010</t>
  </si>
  <si>
    <t>PI INDUSTRIES LTD</t>
  </si>
  <si>
    <t>INE603J01030</t>
  </si>
  <si>
    <t>WHIRLPOOL OF INDIA LTD</t>
  </si>
  <si>
    <t>INE716A01013</t>
  </si>
  <si>
    <t>CONSUMER DURABLES</t>
  </si>
  <si>
    <t>COROMANDEL INTERNTL. LTD</t>
  </si>
  <si>
    <t>INE169A01031</t>
  </si>
  <si>
    <t>FERTILISERS</t>
  </si>
  <si>
    <t>ALKEM LABORATORIES LTD</t>
  </si>
  <si>
    <t>INE540L01014</t>
  </si>
  <si>
    <t>BAYER CROPSCIENCE LTD</t>
  </si>
  <si>
    <t>INE462A01022</t>
  </si>
  <si>
    <t>DIXON TECHNOLOGIES (INDIA) LTD</t>
  </si>
  <si>
    <t>INE935N01012</t>
  </si>
  <si>
    <t>ESCORTS  LTD</t>
  </si>
  <si>
    <t>INE042A01014</t>
  </si>
  <si>
    <t>DR. REDDY'S LABORATORIES LTD</t>
  </si>
  <si>
    <t>INE089A01023</t>
  </si>
  <si>
    <t>DIVIS LABORATORIES LTD</t>
  </si>
  <si>
    <t>INE361B01024</t>
  </si>
  <si>
    <t>JUBILANT FOODWORKS LTD</t>
  </si>
  <si>
    <t>INE797F01012</t>
  </si>
  <si>
    <t>PETRONET LNG LTD</t>
  </si>
  <si>
    <t>INE347G01014</t>
  </si>
  <si>
    <t>GAS</t>
  </si>
  <si>
    <t>RELAXO FOOTWEARS LTD</t>
  </si>
  <si>
    <t>INE131B01039</t>
  </si>
  <si>
    <t>RALLIS INDIA LTD</t>
  </si>
  <si>
    <t>INE613A01020</t>
  </si>
  <si>
    <t>CIPLA</t>
  </si>
  <si>
    <t>INE059A01026</t>
  </si>
  <si>
    <t>TATA GLOBAL BEVERAGES LTD (EX- TATA TEA LTD)</t>
  </si>
  <si>
    <t>INE192A01025</t>
  </si>
  <si>
    <t>SUN PHARMACEUTICALS INDUSTRIES LTD</t>
  </si>
  <si>
    <t>INE044A01036</t>
  </si>
  <si>
    <t>MAX FINANCIAL SERVICES LTD</t>
  </si>
  <si>
    <t>INE180A01020</t>
  </si>
  <si>
    <t>UNITED SPIRITS LTD</t>
  </si>
  <si>
    <t>INE854D01024</t>
  </si>
  <si>
    <t>BHARAT PETROLEUM CORPORATION LTD</t>
  </si>
  <si>
    <t>INE029A01011</t>
  </si>
  <si>
    <t>J B CHEMICALS &amp; PHARMACEUTICALS LTD</t>
  </si>
  <si>
    <t>INE572A01028</t>
  </si>
  <si>
    <t>JSW STEEL LTD</t>
  </si>
  <si>
    <t>INE019A01038</t>
  </si>
  <si>
    <t>FERROUS METALS</t>
  </si>
  <si>
    <t>INDRAPRASTHA GAS LTD</t>
  </si>
  <si>
    <t>INE203G01027</t>
  </si>
  <si>
    <t>SBI LIFE INSURANCE COMPANY LTD</t>
  </si>
  <si>
    <t>INE123W01016</t>
  </si>
  <si>
    <t>MARUTI SUZUKI INDIA LTD</t>
  </si>
  <si>
    <t>INE585B01010</t>
  </si>
  <si>
    <t>MUTHOOT FINANCE LTD</t>
  </si>
  <si>
    <t>INE414G01012</t>
  </si>
  <si>
    <t>TATA STEEL LTD</t>
  </si>
  <si>
    <t>INE081A01012</t>
  </si>
  <si>
    <t>SANOFI INDIA LTD</t>
  </si>
  <si>
    <t>INE058A01010</t>
  </si>
  <si>
    <t>AUROBINDO PHARMA LTD</t>
  </si>
  <si>
    <t>INE406A01037</t>
  </si>
  <si>
    <t>(B)Debt Instruments</t>
  </si>
  <si>
    <t>7.48 %LIC HOUSING FINANCE LTD (10/06/2022) **</t>
  </si>
  <si>
    <t>INE115A07LZ9</t>
  </si>
  <si>
    <t>CRISIL AAA</t>
  </si>
  <si>
    <t>7.40 %POWER FINANCE CORPORATION LTD (30/09/2021)</t>
  </si>
  <si>
    <t>INE134E08IM4</t>
  </si>
  <si>
    <t>CARE AAA</t>
  </si>
  <si>
    <t>(b)Privately Placed/ Unlisted</t>
  </si>
  <si>
    <t>(C)Money Market Instruments</t>
  </si>
  <si>
    <t>(a)CERTIFICATES OF DEPOSIT</t>
  </si>
  <si>
    <t>CANARA BANK (15/05/2020) #</t>
  </si>
  <si>
    <t>INE667A16GW7</t>
  </si>
  <si>
    <t>FITCH A1+</t>
  </si>
  <si>
    <t>SMALL INDUSTRIES DEVELOPMENT BANK OF INDIA (15/05/2020) ** #</t>
  </si>
  <si>
    <t>INE556F16630</t>
  </si>
  <si>
    <t>CRISIL A1+</t>
  </si>
  <si>
    <t>ICICI BANK LTD (18/12/2020) ** #</t>
  </si>
  <si>
    <t>INE090A161W7</t>
  </si>
  <si>
    <t>ICRA A1+</t>
  </si>
  <si>
    <t>INE261F16405</t>
  </si>
  <si>
    <t>(b)COMMERCIAL PAPERS</t>
  </si>
  <si>
    <t>RELIANCE INDUSTRIES LTD (18/05/2020)</t>
  </si>
  <si>
    <t>INE002A14DU3</t>
  </si>
  <si>
    <t>**   Non Traded Security</t>
  </si>
  <si>
    <t>#  Unlisted Security</t>
  </si>
  <si>
    <t>Essel Multicap Fund</t>
  </si>
  <si>
    <t>CHOLAMANDALAM INVESTMENT AND FINANCE CO. LTD</t>
  </si>
  <si>
    <t>INE121A01024</t>
  </si>
  <si>
    <t>CARBORUNDUM UNIVERSAL LTD</t>
  </si>
  <si>
    <t>INE120A01034</t>
  </si>
  <si>
    <t>INDUSTRIAL PRODUCTS</t>
  </si>
  <si>
    <t>ASTRAL POLY TECHNIK LTD</t>
  </si>
  <si>
    <t>INE006I01046</t>
  </si>
  <si>
    <t>PVR LTD</t>
  </si>
  <si>
    <t>INE191H01014</t>
  </si>
  <si>
    <t>MEDIA &amp; ENTERTAINMENT</t>
  </si>
  <si>
    <t>Essel 3 in 1 Fund</t>
  </si>
  <si>
    <t>AIA ENGINEERING LTD</t>
  </si>
  <si>
    <t>INE212H01026</t>
  </si>
  <si>
    <t>THE FEDERAL BANK LTD</t>
  </si>
  <si>
    <t>INE171A01029</t>
  </si>
  <si>
    <t>CADILA HEALTHCARE LTD</t>
  </si>
  <si>
    <t>INE010B01027</t>
  </si>
  <si>
    <t>V-MART RETAIL LTD</t>
  </si>
  <si>
    <t>INE665J01013</t>
  </si>
  <si>
    <t>H.G.INFRA ENGINEERING LTD</t>
  </si>
  <si>
    <t>INE926X01010</t>
  </si>
  <si>
    <t>RATNAMANI METALS &amp; TUBES LTD</t>
  </si>
  <si>
    <t>INE703B01027</t>
  </si>
  <si>
    <t>TECH MAHINDRA LTD</t>
  </si>
  <si>
    <t>INE669C01036</t>
  </si>
  <si>
    <t>BAJAJ CONSUMER CARE LTD</t>
  </si>
  <si>
    <t>INE933K01021</t>
  </si>
  <si>
    <t>CUMMINS INDIA LTD</t>
  </si>
  <si>
    <t>INE298A01020</t>
  </si>
  <si>
    <t>GULF OIL LUBRICANTS INDIA LTD</t>
  </si>
  <si>
    <t>INE635Q01029</t>
  </si>
  <si>
    <t>SIEMENS LTD</t>
  </si>
  <si>
    <t>INE003A01024</t>
  </si>
  <si>
    <t>INDUSTRIAL CAPITAL GOODS</t>
  </si>
  <si>
    <t>SUPREME INDUSTRIES LTD</t>
  </si>
  <si>
    <t>INE195A01028</t>
  </si>
  <si>
    <t>MAHINDRA &amp; MAHINDRA FIN SER LTD</t>
  </si>
  <si>
    <t>INE774D01024</t>
  </si>
  <si>
    <t>8.00 %BRITANNIA INDUSTRIES LTD (28/08/2022)  **</t>
  </si>
  <si>
    <t>INE216A07052</t>
  </si>
  <si>
    <t>(D)Others</t>
  </si>
  <si>
    <t>(a)Exchange Traded Funds</t>
  </si>
  <si>
    <t>NIPPON INDIA MUTUAL FUND</t>
  </si>
  <si>
    <t>INF204KB17I5</t>
  </si>
  <si>
    <t>(E) INVIT</t>
  </si>
  <si>
    <t>INDIA GRID TRUST</t>
  </si>
  <si>
    <t>INE219X23014</t>
  </si>
  <si>
    <t>POWER UTILITIES</t>
  </si>
  <si>
    <t>**  Non Traded Security</t>
  </si>
  <si>
    <t>Essel Large Cap Equity Fund</t>
  </si>
  <si>
    <t>STATE BANK OF INDIA</t>
  </si>
  <si>
    <t>INE062A01020</t>
  </si>
  <si>
    <t>LUPIN LTD</t>
  </si>
  <si>
    <t>INE326A01037</t>
  </si>
  <si>
    <t>TATA MOTORS LTD</t>
  </si>
  <si>
    <t>INE155A01022</t>
  </si>
  <si>
    <t>Essel Regular Savings Fund</t>
  </si>
  <si>
    <t>8.36 %RURAL ELECTRIFICATION CORPN LTD (22/09/2020)  **</t>
  </si>
  <si>
    <t>INE020B08955</t>
  </si>
  <si>
    <t>8.70 %HOUSING DEVELOPMENT FINANCE CORPORATION LTD (15/12/2020)  **</t>
  </si>
  <si>
    <t>INE001A07RN4</t>
  </si>
  <si>
    <t>ICICI BANK LTD (18/12/2020) **#</t>
  </si>
  <si>
    <t>EXIM BANK (27/05/2020) **</t>
  </si>
  <si>
    <t>INE514E14OJ9</t>
  </si>
  <si>
    <t>Essel Liquid Fund</t>
  </si>
  <si>
    <t>(A)Money Market Instruments</t>
  </si>
  <si>
    <t>** Non Traded Security</t>
  </si>
  <si>
    <t>Essel Long Term Advantage Fund</t>
  </si>
  <si>
    <t>NAVIN FLUORINE INTERNATIONAL LTD</t>
  </si>
  <si>
    <t>INE048G01026</t>
  </si>
  <si>
    <t>CHEMICALS</t>
  </si>
  <si>
    <t>Essel Large &amp; Midcap Fund</t>
  </si>
  <si>
    <t>SUNDARAM FINANCE LTD</t>
  </si>
  <si>
    <t>INE660A01013</t>
  </si>
  <si>
    <t>MINDTREE LTD</t>
  </si>
  <si>
    <t>INE018I01017</t>
  </si>
  <si>
    <t>IPCA LABORATORIES LTD</t>
  </si>
  <si>
    <t>INE571A01020</t>
  </si>
  <si>
    <t>L&amp;T TECHNOLOGY SERVICES LTD</t>
  </si>
  <si>
    <t>INE010V01017</t>
  </si>
  <si>
    <t>NATCO PHARMA LTD</t>
  </si>
  <si>
    <t>INE987B01026</t>
  </si>
  <si>
    <t>Essel Ultra Short Term Fund</t>
  </si>
  <si>
    <t>(A)Debt Instruments</t>
  </si>
  <si>
    <t>(B)Money Market Instruments</t>
  </si>
  <si>
    <t>NATIONAL BANK FOR AGRICULTURE &amp; RURAL DEVELOPMENT (15/05/2020)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</si>
</sst>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%"/>
  </numFmts>
  <fonts count="21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10" applyNumberFormat="0" applyFont="0" applyFill="0" applyProtection="0">
      <alignment wrapText="1"/>
    </xf>
    <xf numFmtId="0" fontId="20" fillId="0" borderId="0" applyNumberFormat="0" applyFont="0" applyFill="0" applyBorder="0" applyAlignment="0" applyProtection="0"/>
  </cellStyleXfs>
  <cellXfs count="11">
    <xf numFmtId="0" fontId="0" fillId="0" borderId="0" xfId="0"/>
    <xf numFmtId="0" fontId="18" fillId="0" borderId="10" xfId="42" applyFont="1" applyFill="1" applyAlignment="1">
      <alignment horizontal="left" wrapText="1"/>
    </xf>
    <xf numFmtId="0" fontId="18" fillId="0" borderId="10" xfId="42" applyFont="1" applyFill="1" applyAlignment="1">
      <alignment horizontal="center" vertical="center" wrapText="1"/>
    </xf>
    <xf numFmtId="0" fontId="0" fillId="0" borderId="10" xfId="42" applyFill="1" applyBorder="1" applyAlignment="1">
      <alignment wrapText="1"/>
    </xf>
    <xf numFmtId="4" fontId="19" fillId="0" borderId="10" xfId="42" applyNumberFormat="1" applyFont="1" applyFill="1" applyBorder="1" applyAlignment="1">
      <alignment horizontal="right"/>
    </xf>
    <xf numFmtId="164" fontId="19" fillId="0" borderId="10" xfId="42" applyNumberFormat="1" applyFont="1" applyFill="1" applyBorder="1" applyAlignment="1">
      <alignment horizontal="right"/>
    </xf>
    <xf numFmtId="4" fontId="18" fillId="0" borderId="10" xfId="42" applyNumberFormat="1" applyFont="1" applyFill="1" applyBorder="1" applyAlignment="1">
      <alignment horizontal="right"/>
    </xf>
    <xf numFmtId="164" fontId="18" fillId="0" borderId="10" xfId="42" applyNumberFormat="1" applyFont="1" applyFill="1" applyBorder="1" applyAlignment="1">
      <alignment horizontal="right"/>
    </xf>
    <xf numFmtId="0" fontId="0" fillId="0" borderId="0" xfId="43"/>
    <xf numFmtId="0" fontId="0" fillId="0" borderId="0" xfId="0" applyFill="1"/>
    <xf numFmtId="0" fontId="18" fillId="0" borderId="10" xfId="42" applyFont="1" applyFill="1" applyAlignment="1">
      <alignment horizontal="left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_Sheet1" xfId="42"/>
    <cellStyle name="Normal_Sheet2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sqref="A1:F1"/>
    </sheetView>
  </sheetViews>
  <sheetFormatPr defaultRowHeight="15" customHeight="1" x14ac:dyDescent="0.25"/>
  <cols>
    <col min="1" max="1" width="57.140625" bestFit="1" customWidth="1"/>
    <col min="2" max="2" width="19" bestFit="1" customWidth="1"/>
    <col min="3" max="3" width="34.28515625" bestFit="1" customWidth="1"/>
    <col min="4" max="6" width="15.28515625" bestFit="1" customWidth="1"/>
  </cols>
  <sheetData>
    <row r="1" spans="1:6" ht="15" customHeight="1" x14ac:dyDescent="0.25">
      <c r="A1" s="10" t="s">
        <v>0</v>
      </c>
      <c r="B1" s="10"/>
      <c r="C1" s="10"/>
      <c r="D1" s="10"/>
      <c r="E1" s="10"/>
      <c r="F1" s="10"/>
    </row>
    <row r="2" spans="1:6" ht="15" customHeight="1" x14ac:dyDescent="0.25">
      <c r="A2" s="10" t="s">
        <v>1</v>
      </c>
      <c r="B2" s="10"/>
      <c r="C2" s="10"/>
      <c r="D2" s="10"/>
      <c r="E2" s="10"/>
      <c r="F2" s="10"/>
    </row>
    <row r="3" spans="1:6" ht="36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15" customHeight="1" x14ac:dyDescent="0.25">
      <c r="A4" s="1" t="s">
        <v>8</v>
      </c>
      <c r="B4" s="3"/>
      <c r="C4" s="3"/>
      <c r="D4" s="3"/>
      <c r="E4" s="3"/>
      <c r="F4" s="3"/>
    </row>
    <row r="5" spans="1:6" ht="15" customHeight="1" x14ac:dyDescent="0.25">
      <c r="A5" s="1" t="s">
        <v>9</v>
      </c>
      <c r="B5" s="3"/>
      <c r="C5" s="3"/>
      <c r="D5" s="3"/>
      <c r="E5" s="3"/>
      <c r="F5" s="3"/>
    </row>
    <row r="6" spans="1:6" ht="15" customHeight="1" x14ac:dyDescent="0.25">
      <c r="A6" s="3" t="s">
        <v>10</v>
      </c>
      <c r="B6" s="3" t="s">
        <v>11</v>
      </c>
      <c r="C6" s="3" t="s">
        <v>12</v>
      </c>
      <c r="D6" s="3">
        <v>3300</v>
      </c>
      <c r="E6" s="4">
        <v>4.84605</v>
      </c>
      <c r="F6" s="5">
        <v>9.6315000000000008</v>
      </c>
    </row>
    <row r="7" spans="1:6" ht="15" customHeight="1" x14ac:dyDescent="0.25">
      <c r="A7" s="3" t="s">
        <v>13</v>
      </c>
      <c r="B7" s="3" t="s">
        <v>14</v>
      </c>
      <c r="C7" s="3" t="s">
        <v>15</v>
      </c>
      <c r="D7" s="3">
        <v>1400</v>
      </c>
      <c r="E7" s="4">
        <v>4.7187000000000001</v>
      </c>
      <c r="F7" s="5">
        <v>9.3783999999999992</v>
      </c>
    </row>
    <row r="8" spans="1:6" ht="15" customHeight="1" x14ac:dyDescent="0.25">
      <c r="A8" s="3" t="s">
        <v>16</v>
      </c>
      <c r="B8" s="3" t="s">
        <v>17</v>
      </c>
      <c r="C8" s="3" t="s">
        <v>18</v>
      </c>
      <c r="D8" s="3">
        <v>200</v>
      </c>
      <c r="E8" s="4">
        <v>4.3334000000000001</v>
      </c>
      <c r="F8" s="5">
        <v>8.6126000000000005</v>
      </c>
    </row>
    <row r="9" spans="1:6" ht="15" customHeight="1" x14ac:dyDescent="0.25">
      <c r="A9" s="3" t="s">
        <v>19</v>
      </c>
      <c r="B9" s="3" t="s">
        <v>20</v>
      </c>
      <c r="C9" s="3" t="s">
        <v>21</v>
      </c>
      <c r="D9" s="3">
        <v>2500</v>
      </c>
      <c r="E9" s="4">
        <v>4.2912499999999998</v>
      </c>
      <c r="F9" s="5">
        <v>8.5289000000000001</v>
      </c>
    </row>
    <row r="10" spans="1:6" ht="15" customHeight="1" x14ac:dyDescent="0.25">
      <c r="A10" s="3" t="s">
        <v>22</v>
      </c>
      <c r="B10" s="3" t="s">
        <v>23</v>
      </c>
      <c r="C10" s="3" t="s">
        <v>24</v>
      </c>
      <c r="D10" s="3">
        <v>900</v>
      </c>
      <c r="E10" s="4">
        <v>3.7804500000000001</v>
      </c>
      <c r="F10" s="5">
        <v>7.5136000000000003</v>
      </c>
    </row>
    <row r="11" spans="1:6" ht="15" customHeight="1" x14ac:dyDescent="0.25">
      <c r="A11" s="3" t="s">
        <v>25</v>
      </c>
      <c r="B11" s="3" t="s">
        <v>26</v>
      </c>
      <c r="C11" s="3" t="s">
        <v>27</v>
      </c>
      <c r="D11" s="3">
        <v>1300</v>
      </c>
      <c r="E11" s="4">
        <v>3.7309999999999999</v>
      </c>
      <c r="F11" s="5">
        <v>7.4154</v>
      </c>
    </row>
    <row r="12" spans="1:6" ht="15" customHeight="1" x14ac:dyDescent="0.25">
      <c r="A12" s="3" t="s">
        <v>28</v>
      </c>
      <c r="B12" s="3" t="s">
        <v>29</v>
      </c>
      <c r="C12" s="3" t="s">
        <v>18</v>
      </c>
      <c r="D12" s="3">
        <v>1000</v>
      </c>
      <c r="E12" s="4">
        <v>3.6665000000000001</v>
      </c>
      <c r="F12" s="5">
        <v>7.2872000000000003</v>
      </c>
    </row>
    <row r="13" spans="1:6" ht="15" customHeight="1" x14ac:dyDescent="0.25">
      <c r="A13" s="3" t="s">
        <v>30</v>
      </c>
      <c r="B13" s="3" t="s">
        <v>31</v>
      </c>
      <c r="C13" s="3" t="s">
        <v>32</v>
      </c>
      <c r="D13" s="3">
        <v>375</v>
      </c>
      <c r="E13" s="4">
        <v>3.3658125000000001</v>
      </c>
      <c r="F13" s="5">
        <v>6.6894999999999998</v>
      </c>
    </row>
    <row r="14" spans="1:6" ht="15" customHeight="1" x14ac:dyDescent="0.25">
      <c r="A14" s="3" t="s">
        <v>33</v>
      </c>
      <c r="B14" s="3" t="s">
        <v>34</v>
      </c>
      <c r="C14" s="3" t="s">
        <v>35</v>
      </c>
      <c r="D14" s="3">
        <v>5400</v>
      </c>
      <c r="E14" s="4">
        <v>2.6568000000000001</v>
      </c>
      <c r="F14" s="5">
        <v>5.2804000000000002</v>
      </c>
    </row>
    <row r="15" spans="1:6" ht="15" customHeight="1" x14ac:dyDescent="0.25">
      <c r="A15" s="3" t="s">
        <v>36</v>
      </c>
      <c r="B15" s="3" t="s">
        <v>37</v>
      </c>
      <c r="C15" s="3" t="s">
        <v>38</v>
      </c>
      <c r="D15" s="3">
        <v>600</v>
      </c>
      <c r="E15" s="4">
        <v>1.7523</v>
      </c>
      <c r="F15" s="5">
        <v>3.4826999999999999</v>
      </c>
    </row>
    <row r="16" spans="1:6" ht="15" customHeight="1" x14ac:dyDescent="0.25">
      <c r="A16" s="1" t="s">
        <v>39</v>
      </c>
      <c r="B16" s="3"/>
      <c r="C16" s="3"/>
      <c r="D16" s="3"/>
      <c r="E16" s="6">
        <v>37.142262500000001</v>
      </c>
      <c r="F16" s="7">
        <v>73.8202</v>
      </c>
    </row>
    <row r="17" spans="1:6" ht="15" customHeight="1" x14ac:dyDescent="0.25">
      <c r="A17" s="3"/>
      <c r="B17" s="3"/>
      <c r="C17" s="3"/>
      <c r="D17" s="3"/>
      <c r="E17" s="3"/>
      <c r="F17" s="3"/>
    </row>
    <row r="18" spans="1:6" ht="15" customHeight="1" x14ac:dyDescent="0.25">
      <c r="A18" s="1" t="s">
        <v>40</v>
      </c>
      <c r="B18" s="3"/>
      <c r="C18" s="3"/>
      <c r="D18" s="3"/>
      <c r="E18" s="4">
        <v>0</v>
      </c>
      <c r="F18" s="5">
        <v>0</v>
      </c>
    </row>
    <row r="19" spans="1:6" ht="15" customHeight="1" x14ac:dyDescent="0.25">
      <c r="A19" s="1" t="s">
        <v>39</v>
      </c>
      <c r="B19" s="3"/>
      <c r="C19" s="3"/>
      <c r="D19" s="3"/>
      <c r="E19" s="6">
        <v>0</v>
      </c>
      <c r="F19" s="7">
        <v>0</v>
      </c>
    </row>
    <row r="20" spans="1:6" ht="15" customHeight="1" x14ac:dyDescent="0.25">
      <c r="A20" s="1" t="s">
        <v>41</v>
      </c>
      <c r="B20" s="3"/>
      <c r="C20" s="3"/>
      <c r="D20" s="3"/>
      <c r="E20" s="6">
        <v>37.142262500000001</v>
      </c>
      <c r="F20" s="7">
        <v>73.8202</v>
      </c>
    </row>
    <row r="21" spans="1:6" ht="15" customHeight="1" x14ac:dyDescent="0.25">
      <c r="A21" s="1" t="s">
        <v>42</v>
      </c>
      <c r="B21" s="3"/>
      <c r="C21" s="3"/>
      <c r="D21" s="3"/>
      <c r="E21" s="3"/>
      <c r="F21" s="3"/>
    </row>
    <row r="22" spans="1:6" ht="15" customHeight="1" x14ac:dyDescent="0.25">
      <c r="A22" s="3"/>
      <c r="B22" s="3"/>
      <c r="C22" s="3"/>
      <c r="D22" s="3"/>
      <c r="E22" s="3"/>
      <c r="F22" s="3"/>
    </row>
    <row r="23" spans="1:6" ht="15" customHeight="1" x14ac:dyDescent="0.25">
      <c r="A23" s="3" t="s">
        <v>43</v>
      </c>
      <c r="B23" s="3"/>
      <c r="C23" s="3" t="s">
        <v>44</v>
      </c>
      <c r="D23" s="3">
        <v>-600</v>
      </c>
      <c r="E23" s="4">
        <v>-1.7609999999999999</v>
      </c>
      <c r="F23" s="5">
        <v>-3.5</v>
      </c>
    </row>
    <row r="24" spans="1:6" ht="15" customHeight="1" x14ac:dyDescent="0.25">
      <c r="A24" s="3" t="s">
        <v>45</v>
      </c>
      <c r="B24" s="3"/>
      <c r="C24" s="3" t="s">
        <v>44</v>
      </c>
      <c r="D24" s="3">
        <v>-5400</v>
      </c>
      <c r="E24" s="4">
        <v>-2.6676000000000002</v>
      </c>
      <c r="F24" s="5">
        <v>-5.3018000000000001</v>
      </c>
    </row>
    <row r="25" spans="1:6" ht="15" customHeight="1" x14ac:dyDescent="0.25">
      <c r="A25" s="3" t="s">
        <v>46</v>
      </c>
      <c r="B25" s="3"/>
      <c r="C25" s="3" t="s">
        <v>44</v>
      </c>
      <c r="D25" s="3">
        <v>-375</v>
      </c>
      <c r="E25" s="4">
        <v>-3.3607499999999999</v>
      </c>
      <c r="F25" s="5">
        <v>-6.6795</v>
      </c>
    </row>
    <row r="26" spans="1:6" ht="15" customHeight="1" x14ac:dyDescent="0.25">
      <c r="A26" s="3" t="s">
        <v>47</v>
      </c>
      <c r="B26" s="3"/>
      <c r="C26" s="3" t="s">
        <v>44</v>
      </c>
      <c r="D26" s="3">
        <v>-1000</v>
      </c>
      <c r="E26" s="4">
        <v>-3.6659999999999999</v>
      </c>
      <c r="F26" s="5">
        <v>-7.2862</v>
      </c>
    </row>
    <row r="27" spans="1:6" ht="15" customHeight="1" x14ac:dyDescent="0.25">
      <c r="A27" s="3" t="s">
        <v>48</v>
      </c>
      <c r="B27" s="3"/>
      <c r="C27" s="3" t="s">
        <v>44</v>
      </c>
      <c r="D27" s="3">
        <v>-1300</v>
      </c>
      <c r="E27" s="4">
        <v>-3.7355499999999999</v>
      </c>
      <c r="F27" s="5">
        <v>-7.4244000000000003</v>
      </c>
    </row>
    <row r="28" spans="1:6" ht="15" customHeight="1" x14ac:dyDescent="0.25">
      <c r="A28" s="3" t="s">
        <v>49</v>
      </c>
      <c r="B28" s="3"/>
      <c r="C28" s="3" t="s">
        <v>44</v>
      </c>
      <c r="D28" s="3">
        <v>-900</v>
      </c>
      <c r="E28" s="4">
        <v>-3.7728000000000002</v>
      </c>
      <c r="F28" s="5">
        <v>-7.4984000000000002</v>
      </c>
    </row>
    <row r="29" spans="1:6" ht="15" customHeight="1" x14ac:dyDescent="0.25">
      <c r="A29" s="3" t="s">
        <v>50</v>
      </c>
      <c r="B29" s="3"/>
      <c r="C29" s="3" t="s">
        <v>44</v>
      </c>
      <c r="D29" s="3">
        <v>-2500</v>
      </c>
      <c r="E29" s="4">
        <v>-4.3087499999999999</v>
      </c>
      <c r="F29" s="5">
        <v>-8.5635999999999992</v>
      </c>
    </row>
    <row r="30" spans="1:6" ht="15" customHeight="1" x14ac:dyDescent="0.25">
      <c r="A30" s="3" t="s">
        <v>51</v>
      </c>
      <c r="B30" s="3"/>
      <c r="C30" s="3" t="s">
        <v>44</v>
      </c>
      <c r="D30" s="3">
        <v>-200</v>
      </c>
      <c r="E30" s="4">
        <v>-4.3312999999999997</v>
      </c>
      <c r="F30" s="5">
        <v>-8.6084999999999994</v>
      </c>
    </row>
    <row r="31" spans="1:6" ht="15" customHeight="1" x14ac:dyDescent="0.25">
      <c r="A31" s="3" t="s">
        <v>52</v>
      </c>
      <c r="B31" s="3"/>
      <c r="C31" s="3" t="s">
        <v>44</v>
      </c>
      <c r="D31" s="3">
        <v>-1400</v>
      </c>
      <c r="E31" s="4">
        <v>-4.7333999999999996</v>
      </c>
      <c r="F31" s="5">
        <v>-9.4076000000000004</v>
      </c>
    </row>
    <row r="32" spans="1:6" ht="15" customHeight="1" x14ac:dyDescent="0.25">
      <c r="A32" s="3" t="s">
        <v>53</v>
      </c>
      <c r="B32" s="3"/>
      <c r="C32" s="3" t="s">
        <v>44</v>
      </c>
      <c r="D32" s="3">
        <v>-3300</v>
      </c>
      <c r="E32" s="4">
        <v>-4.8444000000000003</v>
      </c>
      <c r="F32" s="5">
        <v>-9.6281999999999996</v>
      </c>
    </row>
    <row r="33" spans="1:6" ht="15" customHeight="1" x14ac:dyDescent="0.25">
      <c r="A33" s="3"/>
      <c r="B33" s="3"/>
      <c r="C33" s="3"/>
      <c r="D33" s="3"/>
      <c r="E33" s="3"/>
      <c r="F33" s="3"/>
    </row>
    <row r="34" spans="1:6" ht="15" customHeight="1" x14ac:dyDescent="0.25">
      <c r="A34" s="1" t="s">
        <v>41</v>
      </c>
      <c r="B34" s="3"/>
      <c r="C34" s="3"/>
      <c r="D34" s="3"/>
      <c r="E34" s="6">
        <v>-37.181550000000001</v>
      </c>
      <c r="F34" s="7">
        <v>-73.898200000000003</v>
      </c>
    </row>
    <row r="35" spans="1:6" ht="15" customHeight="1" x14ac:dyDescent="0.25">
      <c r="A35" s="3"/>
      <c r="B35" s="3"/>
      <c r="C35" s="3"/>
      <c r="D35" s="3"/>
      <c r="E35" s="3"/>
      <c r="F35" s="3"/>
    </row>
    <row r="36" spans="1:6" ht="15" customHeight="1" x14ac:dyDescent="0.25">
      <c r="A36" s="3"/>
      <c r="B36" s="3"/>
      <c r="C36" s="3"/>
      <c r="D36" s="3"/>
      <c r="E36" s="3"/>
      <c r="F36" s="3"/>
    </row>
    <row r="37" spans="1:6" ht="30" customHeight="1" x14ac:dyDescent="0.25">
      <c r="A37" s="3" t="s">
        <v>54</v>
      </c>
      <c r="B37" s="3"/>
      <c r="C37" s="3"/>
      <c r="D37" s="3"/>
      <c r="E37" s="4">
        <v>50.353473880000003</v>
      </c>
      <c r="F37" s="5">
        <v>100.078</v>
      </c>
    </row>
    <row r="38" spans="1:6" ht="15" customHeight="1" x14ac:dyDescent="0.25">
      <c r="A38" s="3"/>
      <c r="B38" s="3"/>
      <c r="C38" s="3"/>
      <c r="D38" s="3"/>
      <c r="E38" s="3"/>
      <c r="F38" s="3"/>
    </row>
    <row r="39" spans="1:6" ht="15" customHeight="1" x14ac:dyDescent="0.25">
      <c r="A39" s="3"/>
      <c r="B39" s="3"/>
      <c r="C39" s="3"/>
      <c r="D39" s="3"/>
      <c r="E39" s="3"/>
      <c r="F39" s="3"/>
    </row>
    <row r="40" spans="1:6" ht="15" customHeight="1" x14ac:dyDescent="0.25">
      <c r="A40" s="1" t="s">
        <v>55</v>
      </c>
      <c r="B40" s="3"/>
      <c r="C40" s="3"/>
      <c r="D40" s="3"/>
      <c r="E40" s="6">
        <v>50.314186380000002</v>
      </c>
      <c r="F40" s="7">
        <v>100</v>
      </c>
    </row>
    <row r="43" spans="1:6" ht="15" customHeight="1" x14ac:dyDescent="0.25">
      <c r="A43" s="8"/>
    </row>
    <row r="44" spans="1:6" ht="15" customHeight="1" x14ac:dyDescent="0.25">
      <c r="A44" s="8"/>
    </row>
  </sheetData>
  <mergeCells count="2">
    <mergeCell ref="A1:F1"/>
    <mergeCell ref="A2:F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opLeftCell="A82" workbookViewId="0">
      <selection activeCell="A83" sqref="A83"/>
    </sheetView>
  </sheetViews>
  <sheetFormatPr defaultRowHeight="15" customHeight="1" x14ac:dyDescent="0.25"/>
  <cols>
    <col min="1" max="1" width="57.140625" bestFit="1" customWidth="1"/>
    <col min="2" max="2" width="19" bestFit="1" customWidth="1"/>
    <col min="3" max="3" width="34.28515625" bestFit="1" customWidth="1"/>
    <col min="4" max="6" width="15.28515625" bestFit="1" customWidth="1"/>
  </cols>
  <sheetData>
    <row r="1" spans="1:6" ht="15" customHeight="1" x14ac:dyDescent="0.25">
      <c r="A1" s="10" t="s">
        <v>56</v>
      </c>
      <c r="B1" s="10"/>
      <c r="C1" s="10"/>
      <c r="D1" s="10"/>
      <c r="E1" s="10"/>
      <c r="F1" s="10"/>
    </row>
    <row r="2" spans="1:6" ht="15" customHeight="1" x14ac:dyDescent="0.25">
      <c r="A2" s="10" t="s">
        <v>1</v>
      </c>
      <c r="B2" s="10"/>
      <c r="C2" s="10"/>
      <c r="D2" s="10"/>
      <c r="E2" s="10"/>
      <c r="F2" s="10"/>
    </row>
    <row r="3" spans="1:6" ht="36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15" customHeight="1" x14ac:dyDescent="0.25">
      <c r="A4" s="1" t="s">
        <v>8</v>
      </c>
      <c r="B4" s="3"/>
      <c r="C4" s="3"/>
      <c r="D4" s="3"/>
      <c r="E4" s="3"/>
      <c r="F4" s="3"/>
    </row>
    <row r="5" spans="1:6" ht="15" customHeight="1" x14ac:dyDescent="0.25">
      <c r="A5" s="1" t="s">
        <v>9</v>
      </c>
      <c r="B5" s="3"/>
      <c r="C5" s="3"/>
      <c r="D5" s="3"/>
      <c r="E5" s="3"/>
      <c r="F5" s="3"/>
    </row>
    <row r="6" spans="1:6" ht="15" customHeight="1" x14ac:dyDescent="0.25">
      <c r="A6" s="3" t="s">
        <v>57</v>
      </c>
      <c r="B6" s="3" t="s">
        <v>58</v>
      </c>
      <c r="C6" s="3" t="s">
        <v>35</v>
      </c>
      <c r="D6" s="3">
        <v>298893</v>
      </c>
      <c r="E6" s="4">
        <v>1136.2417395</v>
      </c>
      <c r="F6" s="5">
        <v>6.9748000000000001</v>
      </c>
    </row>
    <row r="7" spans="1:6" ht="15" customHeight="1" x14ac:dyDescent="0.25">
      <c r="A7" s="3" t="s">
        <v>59</v>
      </c>
      <c r="B7" s="3" t="s">
        <v>60</v>
      </c>
      <c r="C7" s="3" t="s">
        <v>61</v>
      </c>
      <c r="D7" s="3">
        <v>60117</v>
      </c>
      <c r="E7" s="4">
        <v>881.31521999999995</v>
      </c>
      <c r="F7" s="5">
        <v>5.4099000000000004</v>
      </c>
    </row>
    <row r="8" spans="1:6" ht="15" customHeight="1" x14ac:dyDescent="0.25">
      <c r="A8" s="3" t="s">
        <v>62</v>
      </c>
      <c r="B8" s="3" t="s">
        <v>63</v>
      </c>
      <c r="C8" s="3" t="s">
        <v>35</v>
      </c>
      <c r="D8" s="3">
        <v>83705</v>
      </c>
      <c r="E8" s="4">
        <v>838.55669</v>
      </c>
      <c r="F8" s="5">
        <v>5.1475</v>
      </c>
    </row>
    <row r="9" spans="1:6" ht="15" customHeight="1" x14ac:dyDescent="0.25">
      <c r="A9" s="3" t="s">
        <v>64</v>
      </c>
      <c r="B9" s="3" t="s">
        <v>65</v>
      </c>
      <c r="C9" s="3" t="s">
        <v>35</v>
      </c>
      <c r="D9" s="3">
        <v>58179</v>
      </c>
      <c r="E9" s="4">
        <v>789.60538799999995</v>
      </c>
      <c r="F9" s="5">
        <v>4.8470000000000004</v>
      </c>
    </row>
    <row r="10" spans="1:6" ht="15" customHeight="1" x14ac:dyDescent="0.25">
      <c r="A10" s="3" t="s">
        <v>66</v>
      </c>
      <c r="B10" s="3" t="s">
        <v>67</v>
      </c>
      <c r="C10" s="3" t="s">
        <v>68</v>
      </c>
      <c r="D10" s="3">
        <v>37513</v>
      </c>
      <c r="E10" s="4">
        <v>755.68062850000001</v>
      </c>
      <c r="F10" s="5">
        <v>4.6387</v>
      </c>
    </row>
    <row r="11" spans="1:6" ht="15" customHeight="1" x14ac:dyDescent="0.25">
      <c r="A11" s="3" t="s">
        <v>69</v>
      </c>
      <c r="B11" s="3" t="s">
        <v>70</v>
      </c>
      <c r="C11" s="3" t="s">
        <v>15</v>
      </c>
      <c r="D11" s="3">
        <v>4112</v>
      </c>
      <c r="E11" s="4">
        <v>729.08843999999999</v>
      </c>
      <c r="F11" s="5">
        <v>4.4755000000000003</v>
      </c>
    </row>
    <row r="12" spans="1:6" ht="15" customHeight="1" x14ac:dyDescent="0.25">
      <c r="A12" s="3" t="s">
        <v>71</v>
      </c>
      <c r="B12" s="3" t="s">
        <v>72</v>
      </c>
      <c r="C12" s="3" t="s">
        <v>35</v>
      </c>
      <c r="D12" s="3">
        <v>126186</v>
      </c>
      <c r="E12" s="4">
        <v>561.40151400000002</v>
      </c>
      <c r="F12" s="5">
        <v>3.4460999999999999</v>
      </c>
    </row>
    <row r="13" spans="1:6" ht="15" customHeight="1" x14ac:dyDescent="0.25">
      <c r="A13" s="3" t="s">
        <v>73</v>
      </c>
      <c r="B13" s="3" t="s">
        <v>74</v>
      </c>
      <c r="C13" s="3" t="s">
        <v>27</v>
      </c>
      <c r="D13" s="3">
        <v>22513</v>
      </c>
      <c r="E13" s="4">
        <v>494.16034999999999</v>
      </c>
      <c r="F13" s="5">
        <v>3.0333999999999999</v>
      </c>
    </row>
    <row r="14" spans="1:6" ht="15" customHeight="1" x14ac:dyDescent="0.25">
      <c r="A14" s="3" t="s">
        <v>75</v>
      </c>
      <c r="B14" s="3" t="s">
        <v>76</v>
      </c>
      <c r="C14" s="3" t="s">
        <v>68</v>
      </c>
      <c r="D14" s="3">
        <v>67600</v>
      </c>
      <c r="E14" s="4">
        <v>483.678</v>
      </c>
      <c r="F14" s="5">
        <v>2.9689999999999999</v>
      </c>
    </row>
    <row r="15" spans="1:6" ht="15" customHeight="1" x14ac:dyDescent="0.25">
      <c r="A15" s="3" t="s">
        <v>77</v>
      </c>
      <c r="B15" s="3" t="s">
        <v>78</v>
      </c>
      <c r="C15" s="3" t="s">
        <v>79</v>
      </c>
      <c r="D15" s="3">
        <v>85998</v>
      </c>
      <c r="E15" s="4">
        <v>442.28771399999999</v>
      </c>
      <c r="F15" s="5">
        <v>2.7149999999999999</v>
      </c>
    </row>
    <row r="16" spans="1:6" ht="15" customHeight="1" x14ac:dyDescent="0.25">
      <c r="A16" s="3" t="s">
        <v>80</v>
      </c>
      <c r="B16" s="3" t="s">
        <v>81</v>
      </c>
      <c r="C16" s="3" t="s">
        <v>82</v>
      </c>
      <c r="D16" s="3">
        <v>19850</v>
      </c>
      <c r="E16" s="4">
        <v>380.32600000000002</v>
      </c>
      <c r="F16" s="5">
        <v>2.3346</v>
      </c>
    </row>
    <row r="17" spans="1:6" ht="15" customHeight="1" x14ac:dyDescent="0.25">
      <c r="A17" s="3" t="s">
        <v>83</v>
      </c>
      <c r="B17" s="3" t="s">
        <v>84</v>
      </c>
      <c r="C17" s="3" t="s">
        <v>15</v>
      </c>
      <c r="D17" s="3">
        <v>14192</v>
      </c>
      <c r="E17" s="4">
        <v>332.85916800000001</v>
      </c>
      <c r="F17" s="5">
        <v>2.0432000000000001</v>
      </c>
    </row>
    <row r="18" spans="1:6" ht="15" customHeight="1" x14ac:dyDescent="0.25">
      <c r="A18" s="3" t="s">
        <v>85</v>
      </c>
      <c r="B18" s="3" t="s">
        <v>86</v>
      </c>
      <c r="C18" s="3" t="s">
        <v>21</v>
      </c>
      <c r="D18" s="3">
        <v>8615</v>
      </c>
      <c r="E18" s="4">
        <v>304.47994499999999</v>
      </c>
      <c r="F18" s="5">
        <v>1.869</v>
      </c>
    </row>
    <row r="19" spans="1:6" ht="15" customHeight="1" x14ac:dyDescent="0.25">
      <c r="A19" s="3" t="s">
        <v>87</v>
      </c>
      <c r="B19" s="3" t="s">
        <v>88</v>
      </c>
      <c r="C19" s="3" t="s">
        <v>21</v>
      </c>
      <c r="D19" s="3">
        <v>1510</v>
      </c>
      <c r="E19" s="4">
        <v>298.49529000000001</v>
      </c>
      <c r="F19" s="5">
        <v>1.8323</v>
      </c>
    </row>
    <row r="20" spans="1:6" ht="15" customHeight="1" x14ac:dyDescent="0.25">
      <c r="A20" s="3" t="s">
        <v>89</v>
      </c>
      <c r="B20" s="3" t="s">
        <v>90</v>
      </c>
      <c r="C20" s="3" t="s">
        <v>82</v>
      </c>
      <c r="D20" s="3">
        <v>18638</v>
      </c>
      <c r="E20" s="4">
        <v>240.54202799999999</v>
      </c>
      <c r="F20" s="5">
        <v>1.4764999999999999</v>
      </c>
    </row>
    <row r="21" spans="1:6" ht="15" customHeight="1" x14ac:dyDescent="0.25">
      <c r="A21" s="3" t="s">
        <v>91</v>
      </c>
      <c r="B21" s="3" t="s">
        <v>92</v>
      </c>
      <c r="C21" s="3" t="s">
        <v>93</v>
      </c>
      <c r="D21" s="3">
        <v>60525</v>
      </c>
      <c r="E21" s="4">
        <v>225.7885125</v>
      </c>
      <c r="F21" s="5">
        <v>1.3859999999999999</v>
      </c>
    </row>
    <row r="22" spans="1:6" ht="15" customHeight="1" x14ac:dyDescent="0.25">
      <c r="A22" s="3" t="s">
        <v>94</v>
      </c>
      <c r="B22" s="3" t="s">
        <v>95</v>
      </c>
      <c r="C22" s="3" t="s">
        <v>96</v>
      </c>
      <c r="D22" s="3">
        <v>7553</v>
      </c>
      <c r="E22" s="4">
        <v>180.03708449999999</v>
      </c>
      <c r="F22" s="5">
        <v>1.1051</v>
      </c>
    </row>
    <row r="23" spans="1:6" ht="15" customHeight="1" x14ac:dyDescent="0.25">
      <c r="A23" s="3" t="s">
        <v>97</v>
      </c>
      <c r="B23" s="3" t="s">
        <v>98</v>
      </c>
      <c r="C23" s="3" t="s">
        <v>82</v>
      </c>
      <c r="D23" s="3">
        <v>35200</v>
      </c>
      <c r="E23" s="4">
        <v>176.36959999999999</v>
      </c>
      <c r="F23" s="5">
        <v>1.0826</v>
      </c>
    </row>
    <row r="24" spans="1:6" ht="15" customHeight="1" x14ac:dyDescent="0.25">
      <c r="A24" s="3" t="s">
        <v>22</v>
      </c>
      <c r="B24" s="3" t="s">
        <v>23</v>
      </c>
      <c r="C24" s="3" t="s">
        <v>24</v>
      </c>
      <c r="D24" s="3">
        <v>39575</v>
      </c>
      <c r="E24" s="4">
        <v>166.23478750000001</v>
      </c>
      <c r="F24" s="5">
        <v>1.0204</v>
      </c>
    </row>
    <row r="25" spans="1:6" ht="15" customHeight="1" x14ac:dyDescent="0.25">
      <c r="A25" s="3" t="s">
        <v>99</v>
      </c>
      <c r="B25" s="3" t="s">
        <v>100</v>
      </c>
      <c r="C25" s="3" t="s">
        <v>18</v>
      </c>
      <c r="D25" s="3">
        <v>6130</v>
      </c>
      <c r="E25" s="4">
        <v>160.80829</v>
      </c>
      <c r="F25" s="5">
        <v>0.98709999999999998</v>
      </c>
    </row>
    <row r="26" spans="1:6" ht="15" customHeight="1" x14ac:dyDescent="0.25">
      <c r="A26" s="3" t="s">
        <v>101</v>
      </c>
      <c r="B26" s="3" t="s">
        <v>102</v>
      </c>
      <c r="C26" s="3" t="s">
        <v>21</v>
      </c>
      <c r="D26" s="3">
        <v>38494</v>
      </c>
      <c r="E26" s="4">
        <v>157.63292999999999</v>
      </c>
      <c r="F26" s="5">
        <v>0.96760000000000002</v>
      </c>
    </row>
    <row r="27" spans="1:6" ht="15" customHeight="1" x14ac:dyDescent="0.25">
      <c r="A27" s="3" t="s">
        <v>103</v>
      </c>
      <c r="B27" s="3" t="s">
        <v>104</v>
      </c>
      <c r="C27" s="3" t="s">
        <v>27</v>
      </c>
      <c r="D27" s="3">
        <v>831</v>
      </c>
      <c r="E27" s="4">
        <v>148.95384150000001</v>
      </c>
      <c r="F27" s="5">
        <v>0.9143</v>
      </c>
    </row>
    <row r="28" spans="1:6" ht="15" customHeight="1" x14ac:dyDescent="0.25">
      <c r="A28" s="3" t="s">
        <v>105</v>
      </c>
      <c r="B28" s="3" t="s">
        <v>106</v>
      </c>
      <c r="C28" s="3" t="s">
        <v>27</v>
      </c>
      <c r="D28" s="3">
        <v>4639</v>
      </c>
      <c r="E28" s="4">
        <v>146.85914249999999</v>
      </c>
      <c r="F28" s="5">
        <v>0.90149999999999997</v>
      </c>
    </row>
    <row r="29" spans="1:6" ht="15" customHeight="1" x14ac:dyDescent="0.25">
      <c r="A29" s="3" t="s">
        <v>107</v>
      </c>
      <c r="B29" s="3" t="s">
        <v>108</v>
      </c>
      <c r="C29" s="3" t="s">
        <v>27</v>
      </c>
      <c r="D29" s="3">
        <v>8268</v>
      </c>
      <c r="E29" s="4">
        <v>145.40931599999999</v>
      </c>
      <c r="F29" s="5">
        <v>0.89259999999999995</v>
      </c>
    </row>
    <row r="30" spans="1:6" ht="15" customHeight="1" x14ac:dyDescent="0.25">
      <c r="A30" s="3" t="s">
        <v>109</v>
      </c>
      <c r="B30" s="3" t="s">
        <v>110</v>
      </c>
      <c r="C30" s="3" t="s">
        <v>27</v>
      </c>
      <c r="D30" s="3">
        <v>28221</v>
      </c>
      <c r="E30" s="4">
        <v>138.085353</v>
      </c>
      <c r="F30" s="5">
        <v>0.84760000000000002</v>
      </c>
    </row>
    <row r="31" spans="1:6" ht="15" customHeight="1" x14ac:dyDescent="0.25">
      <c r="A31" s="3" t="s">
        <v>111</v>
      </c>
      <c r="B31" s="3" t="s">
        <v>112</v>
      </c>
      <c r="C31" s="3" t="s">
        <v>82</v>
      </c>
      <c r="D31" s="3">
        <v>5565</v>
      </c>
      <c r="E31" s="4">
        <v>129.00226499999999</v>
      </c>
      <c r="F31" s="5">
        <v>0.79179999999999995</v>
      </c>
    </row>
    <row r="32" spans="1:6" ht="15" customHeight="1" x14ac:dyDescent="0.25">
      <c r="A32" s="3" t="s">
        <v>113</v>
      </c>
      <c r="B32" s="3" t="s">
        <v>114</v>
      </c>
      <c r="C32" s="3" t="s">
        <v>68</v>
      </c>
      <c r="D32" s="3">
        <v>22656</v>
      </c>
      <c r="E32" s="4">
        <v>123.146688</v>
      </c>
      <c r="F32" s="5">
        <v>0.75590000000000002</v>
      </c>
    </row>
    <row r="33" spans="1:6" ht="15" customHeight="1" x14ac:dyDescent="0.25">
      <c r="A33" s="3" t="s">
        <v>115</v>
      </c>
      <c r="B33" s="3" t="s">
        <v>116</v>
      </c>
      <c r="C33" s="3" t="s">
        <v>82</v>
      </c>
      <c r="D33" s="3">
        <v>23805</v>
      </c>
      <c r="E33" s="4">
        <v>117.1206</v>
      </c>
      <c r="F33" s="5">
        <v>0.71889999999999998</v>
      </c>
    </row>
    <row r="34" spans="1:6" ht="15" customHeight="1" x14ac:dyDescent="0.25">
      <c r="A34" s="3" t="s">
        <v>117</v>
      </c>
      <c r="B34" s="3" t="s">
        <v>118</v>
      </c>
      <c r="C34" s="3" t="s">
        <v>24</v>
      </c>
      <c r="D34" s="3">
        <v>7027</v>
      </c>
      <c r="E34" s="4">
        <v>111.69767849999999</v>
      </c>
      <c r="F34" s="5">
        <v>0.68559999999999999</v>
      </c>
    </row>
    <row r="35" spans="1:6" ht="15" customHeight="1" x14ac:dyDescent="0.25">
      <c r="A35" s="3" t="s">
        <v>119</v>
      </c>
      <c r="B35" s="3" t="s">
        <v>120</v>
      </c>
      <c r="C35" s="3" t="s">
        <v>121</v>
      </c>
      <c r="D35" s="3">
        <v>5000</v>
      </c>
      <c r="E35" s="4">
        <v>102.96250000000001</v>
      </c>
      <c r="F35" s="5">
        <v>0.63200000000000001</v>
      </c>
    </row>
    <row r="36" spans="1:6" ht="15" customHeight="1" x14ac:dyDescent="0.25">
      <c r="A36" s="3" t="s">
        <v>122</v>
      </c>
      <c r="B36" s="3" t="s">
        <v>123</v>
      </c>
      <c r="C36" s="3" t="s">
        <v>124</v>
      </c>
      <c r="D36" s="3">
        <v>16694</v>
      </c>
      <c r="E36" s="4">
        <v>99.204094999999995</v>
      </c>
      <c r="F36" s="5">
        <v>0.6089</v>
      </c>
    </row>
    <row r="37" spans="1:6" ht="15" customHeight="1" x14ac:dyDescent="0.25">
      <c r="A37" s="3" t="s">
        <v>125</v>
      </c>
      <c r="B37" s="3" t="s">
        <v>126</v>
      </c>
      <c r="C37" s="3" t="s">
        <v>15</v>
      </c>
      <c r="D37" s="3">
        <v>3740</v>
      </c>
      <c r="E37" s="4">
        <v>97.217560000000006</v>
      </c>
      <c r="F37" s="5">
        <v>0.59670000000000001</v>
      </c>
    </row>
    <row r="38" spans="1:6" ht="15" customHeight="1" x14ac:dyDescent="0.25">
      <c r="A38" s="3" t="s">
        <v>28</v>
      </c>
      <c r="B38" s="3" t="s">
        <v>29</v>
      </c>
      <c r="C38" s="3" t="s">
        <v>18</v>
      </c>
      <c r="D38" s="3">
        <v>26479</v>
      </c>
      <c r="E38" s="4">
        <v>97.085253499999993</v>
      </c>
      <c r="F38" s="5">
        <v>0.59589999999999999</v>
      </c>
    </row>
    <row r="39" spans="1:6" ht="15" customHeight="1" x14ac:dyDescent="0.25">
      <c r="A39" s="3" t="s">
        <v>127</v>
      </c>
      <c r="B39" s="3" t="s">
        <v>128</v>
      </c>
      <c r="C39" s="3" t="s">
        <v>24</v>
      </c>
      <c r="D39" s="3">
        <v>2226</v>
      </c>
      <c r="E39" s="4">
        <v>95.724677999999997</v>
      </c>
      <c r="F39" s="5">
        <v>0.58760000000000001</v>
      </c>
    </row>
    <row r="40" spans="1:6" ht="15" customHeight="1" x14ac:dyDescent="0.25">
      <c r="A40" s="3" t="s">
        <v>129</v>
      </c>
      <c r="B40" s="3" t="s">
        <v>130</v>
      </c>
      <c r="C40" s="3" t="s">
        <v>121</v>
      </c>
      <c r="D40" s="3">
        <v>2024</v>
      </c>
      <c r="E40" s="4">
        <v>92.525136000000003</v>
      </c>
      <c r="F40" s="5">
        <v>0.56789999999999996</v>
      </c>
    </row>
    <row r="41" spans="1:6" ht="15" customHeight="1" x14ac:dyDescent="0.25">
      <c r="A41" s="3" t="s">
        <v>131</v>
      </c>
      <c r="B41" s="3" t="s">
        <v>132</v>
      </c>
      <c r="C41" s="3" t="s">
        <v>18</v>
      </c>
      <c r="D41" s="3">
        <v>12291</v>
      </c>
      <c r="E41" s="4">
        <v>87.677848499999996</v>
      </c>
      <c r="F41" s="5">
        <v>0.53820000000000001</v>
      </c>
    </row>
    <row r="42" spans="1:6" ht="15" customHeight="1" x14ac:dyDescent="0.25">
      <c r="A42" s="3" t="s">
        <v>133</v>
      </c>
      <c r="B42" s="3" t="s">
        <v>134</v>
      </c>
      <c r="C42" s="3" t="s">
        <v>15</v>
      </c>
      <c r="D42" s="3">
        <v>2210</v>
      </c>
      <c r="E42" s="4">
        <v>86.992230000000006</v>
      </c>
      <c r="F42" s="5">
        <v>0.53400000000000003</v>
      </c>
    </row>
    <row r="43" spans="1:6" ht="15" customHeight="1" x14ac:dyDescent="0.25">
      <c r="A43" s="3" t="s">
        <v>135</v>
      </c>
      <c r="B43" s="3" t="s">
        <v>136</v>
      </c>
      <c r="C43" s="3" t="s">
        <v>15</v>
      </c>
      <c r="D43" s="3">
        <v>3614</v>
      </c>
      <c r="E43" s="4">
        <v>84.311006000000006</v>
      </c>
      <c r="F43" s="5">
        <v>0.51749999999999996</v>
      </c>
    </row>
    <row r="44" spans="1:6" ht="15" customHeight="1" x14ac:dyDescent="0.25">
      <c r="A44" s="3" t="s">
        <v>137</v>
      </c>
      <c r="B44" s="3" t="s">
        <v>138</v>
      </c>
      <c r="C44" s="3" t="s">
        <v>27</v>
      </c>
      <c r="D44" s="3">
        <v>5139</v>
      </c>
      <c r="E44" s="4">
        <v>82.660814999999999</v>
      </c>
      <c r="F44" s="5">
        <v>0.50739999999999996</v>
      </c>
    </row>
    <row r="45" spans="1:6" ht="15" customHeight="1" x14ac:dyDescent="0.25">
      <c r="A45" s="3" t="s">
        <v>139</v>
      </c>
      <c r="B45" s="3" t="s">
        <v>140</v>
      </c>
      <c r="C45" s="3" t="s">
        <v>141</v>
      </c>
      <c r="D45" s="3">
        <v>33250</v>
      </c>
      <c r="E45" s="4">
        <v>80.797499999999999</v>
      </c>
      <c r="F45" s="5">
        <v>0.49590000000000001</v>
      </c>
    </row>
    <row r="46" spans="1:6" ht="15" customHeight="1" x14ac:dyDescent="0.25">
      <c r="A46" s="3" t="s">
        <v>142</v>
      </c>
      <c r="B46" s="3" t="s">
        <v>143</v>
      </c>
      <c r="C46" s="3" t="s">
        <v>121</v>
      </c>
      <c r="D46" s="3">
        <v>12015</v>
      </c>
      <c r="E46" s="4">
        <v>76.391369999999995</v>
      </c>
      <c r="F46" s="5">
        <v>0.46889999999999998</v>
      </c>
    </row>
    <row r="47" spans="1:6" ht="15" customHeight="1" x14ac:dyDescent="0.25">
      <c r="A47" s="3" t="s">
        <v>144</v>
      </c>
      <c r="B47" s="3" t="s">
        <v>145</v>
      </c>
      <c r="C47" s="3" t="s">
        <v>24</v>
      </c>
      <c r="D47" s="3">
        <v>33400</v>
      </c>
      <c r="E47" s="4">
        <v>71.375799999999998</v>
      </c>
      <c r="F47" s="5">
        <v>0.43809999999999999</v>
      </c>
    </row>
    <row r="48" spans="1:6" ht="15" customHeight="1" x14ac:dyDescent="0.25">
      <c r="A48" s="3" t="s">
        <v>146</v>
      </c>
      <c r="B48" s="3" t="s">
        <v>147</v>
      </c>
      <c r="C48" s="3" t="s">
        <v>15</v>
      </c>
      <c r="D48" s="3">
        <v>10790</v>
      </c>
      <c r="E48" s="4">
        <v>63.617840000000001</v>
      </c>
      <c r="F48" s="5">
        <v>0.39050000000000001</v>
      </c>
    </row>
    <row r="49" spans="1:6" ht="15" customHeight="1" x14ac:dyDescent="0.25">
      <c r="A49" s="3" t="s">
        <v>148</v>
      </c>
      <c r="B49" s="3" t="s">
        <v>149</v>
      </c>
      <c r="C49" s="3" t="s">
        <v>27</v>
      </c>
      <c r="D49" s="3">
        <v>16957</v>
      </c>
      <c r="E49" s="4">
        <v>59.620812000000001</v>
      </c>
      <c r="F49" s="5">
        <v>0.3659</v>
      </c>
    </row>
    <row r="50" spans="1:6" ht="15" customHeight="1" x14ac:dyDescent="0.25">
      <c r="A50" s="3" t="s">
        <v>150</v>
      </c>
      <c r="B50" s="3" t="s">
        <v>151</v>
      </c>
      <c r="C50" s="3" t="s">
        <v>15</v>
      </c>
      <c r="D50" s="3">
        <v>11665</v>
      </c>
      <c r="E50" s="4">
        <v>54.178092499999998</v>
      </c>
      <c r="F50" s="5">
        <v>0.33250000000000002</v>
      </c>
    </row>
    <row r="51" spans="1:6" ht="15" customHeight="1" x14ac:dyDescent="0.25">
      <c r="A51" s="3" t="s">
        <v>152</v>
      </c>
      <c r="B51" s="3" t="s">
        <v>153</v>
      </c>
      <c r="C51" s="3" t="s">
        <v>82</v>
      </c>
      <c r="D51" s="3">
        <v>9100</v>
      </c>
      <c r="E51" s="4">
        <v>42.751800000000003</v>
      </c>
      <c r="F51" s="5">
        <v>0.26240000000000002</v>
      </c>
    </row>
    <row r="52" spans="1:6" ht="15" customHeight="1" x14ac:dyDescent="0.25">
      <c r="A52" s="3" t="s">
        <v>154</v>
      </c>
      <c r="B52" s="3" t="s">
        <v>155</v>
      </c>
      <c r="C52" s="3" t="s">
        <v>27</v>
      </c>
      <c r="D52" s="3">
        <v>7400</v>
      </c>
      <c r="E52" s="4">
        <v>39.7121</v>
      </c>
      <c r="F52" s="5">
        <v>0.2437</v>
      </c>
    </row>
    <row r="53" spans="1:6" ht="15" customHeight="1" x14ac:dyDescent="0.25">
      <c r="A53" s="3" t="s">
        <v>16</v>
      </c>
      <c r="B53" s="3" t="s">
        <v>17</v>
      </c>
      <c r="C53" s="3" t="s">
        <v>18</v>
      </c>
      <c r="D53" s="3">
        <v>1693</v>
      </c>
      <c r="E53" s="4">
        <v>36.682231000000002</v>
      </c>
      <c r="F53" s="5">
        <v>0.22509999999999999</v>
      </c>
    </row>
    <row r="54" spans="1:6" ht="15" customHeight="1" x14ac:dyDescent="0.25">
      <c r="A54" s="3" t="s">
        <v>156</v>
      </c>
      <c r="B54" s="3" t="s">
        <v>157</v>
      </c>
      <c r="C54" s="3" t="s">
        <v>61</v>
      </c>
      <c r="D54" s="3">
        <v>9300</v>
      </c>
      <c r="E54" s="4">
        <v>34.409999999999997</v>
      </c>
      <c r="F54" s="5">
        <v>0.2112</v>
      </c>
    </row>
    <row r="55" spans="1:6" ht="15" customHeight="1" x14ac:dyDescent="0.25">
      <c r="A55" s="3" t="s">
        <v>158</v>
      </c>
      <c r="B55" s="3" t="s">
        <v>159</v>
      </c>
      <c r="C55" s="3" t="s">
        <v>15</v>
      </c>
      <c r="D55" s="3">
        <v>5790</v>
      </c>
      <c r="E55" s="4">
        <v>32.302410000000002</v>
      </c>
      <c r="F55" s="5">
        <v>0.19819999999999999</v>
      </c>
    </row>
    <row r="56" spans="1:6" ht="15" customHeight="1" x14ac:dyDescent="0.25">
      <c r="A56" s="3" t="s">
        <v>160</v>
      </c>
      <c r="B56" s="3" t="s">
        <v>161</v>
      </c>
      <c r="C56" s="3" t="s">
        <v>162</v>
      </c>
      <c r="D56" s="3">
        <v>14700</v>
      </c>
      <c r="E56" s="4">
        <v>26.55555</v>
      </c>
      <c r="F56" s="5">
        <v>0.16300000000000001</v>
      </c>
    </row>
    <row r="57" spans="1:6" ht="15" customHeight="1" x14ac:dyDescent="0.25">
      <c r="A57" s="3" t="s">
        <v>163</v>
      </c>
      <c r="B57" s="3" t="s">
        <v>164</v>
      </c>
      <c r="C57" s="3" t="s">
        <v>141</v>
      </c>
      <c r="D57" s="3">
        <v>5520</v>
      </c>
      <c r="E57" s="4">
        <v>26.31108</v>
      </c>
      <c r="F57" s="5">
        <v>0.1615</v>
      </c>
    </row>
    <row r="58" spans="1:6" ht="15" customHeight="1" x14ac:dyDescent="0.25">
      <c r="A58" s="3" t="s">
        <v>165</v>
      </c>
      <c r="B58" s="3" t="s">
        <v>166</v>
      </c>
      <c r="C58" s="3" t="s">
        <v>82</v>
      </c>
      <c r="D58" s="3">
        <v>3500</v>
      </c>
      <c r="E58" s="4">
        <v>25.43975</v>
      </c>
      <c r="F58" s="5">
        <v>0.15609999999999999</v>
      </c>
    </row>
    <row r="59" spans="1:6" ht="15" customHeight="1" x14ac:dyDescent="0.25">
      <c r="A59" s="3" t="s">
        <v>167</v>
      </c>
      <c r="B59" s="3" t="s">
        <v>168</v>
      </c>
      <c r="C59" s="3" t="s">
        <v>18</v>
      </c>
      <c r="D59" s="3">
        <v>469</v>
      </c>
      <c r="E59" s="4">
        <v>25.132771999999999</v>
      </c>
      <c r="F59" s="5">
        <v>0.1542</v>
      </c>
    </row>
    <row r="60" spans="1:6" ht="15" customHeight="1" x14ac:dyDescent="0.25">
      <c r="A60" s="3" t="s">
        <v>169</v>
      </c>
      <c r="B60" s="3" t="s">
        <v>170</v>
      </c>
      <c r="C60" s="3" t="s">
        <v>82</v>
      </c>
      <c r="D60" s="3">
        <v>1400</v>
      </c>
      <c r="E60" s="4">
        <v>12.0778</v>
      </c>
      <c r="F60" s="5">
        <v>7.4099999999999999E-2</v>
      </c>
    </row>
    <row r="61" spans="1:6" ht="15" customHeight="1" x14ac:dyDescent="0.25">
      <c r="A61" s="3" t="s">
        <v>171</v>
      </c>
      <c r="B61" s="3" t="s">
        <v>172</v>
      </c>
      <c r="C61" s="3" t="s">
        <v>162</v>
      </c>
      <c r="D61" s="3">
        <v>3400</v>
      </c>
      <c r="E61" s="4">
        <v>10.142200000000001</v>
      </c>
      <c r="F61" s="5">
        <v>6.2199999999999998E-2</v>
      </c>
    </row>
    <row r="62" spans="1:6" ht="15" customHeight="1" x14ac:dyDescent="0.25">
      <c r="A62" s="3" t="s">
        <v>173</v>
      </c>
      <c r="B62" s="3" t="s">
        <v>174</v>
      </c>
      <c r="C62" s="3" t="s">
        <v>15</v>
      </c>
      <c r="D62" s="3">
        <v>130</v>
      </c>
      <c r="E62" s="4">
        <v>10.111789999999999</v>
      </c>
      <c r="F62" s="5">
        <v>6.2E-2</v>
      </c>
    </row>
    <row r="63" spans="1:6" ht="15" customHeight="1" x14ac:dyDescent="0.25">
      <c r="A63" s="3" t="s">
        <v>175</v>
      </c>
      <c r="B63" s="3" t="s">
        <v>176</v>
      </c>
      <c r="C63" s="3" t="s">
        <v>15</v>
      </c>
      <c r="D63" s="3">
        <v>1000</v>
      </c>
      <c r="E63" s="4">
        <v>6.2584999999999997</v>
      </c>
      <c r="F63" s="5">
        <v>3.8399999999999997E-2</v>
      </c>
    </row>
    <row r="64" spans="1:6" ht="15" customHeight="1" x14ac:dyDescent="0.25">
      <c r="A64" s="1" t="s">
        <v>39</v>
      </c>
      <c r="B64" s="3"/>
      <c r="C64" s="3"/>
      <c r="D64" s="3"/>
      <c r="E64" s="6">
        <v>12456.0947235</v>
      </c>
      <c r="F64" s="7">
        <v>76.459500000000006</v>
      </c>
    </row>
    <row r="65" spans="1:6" ht="15" customHeight="1" x14ac:dyDescent="0.25">
      <c r="A65" s="3"/>
      <c r="B65" s="3"/>
      <c r="C65" s="3"/>
      <c r="D65" s="3"/>
      <c r="E65" s="3"/>
      <c r="F65" s="3"/>
    </row>
    <row r="66" spans="1:6" ht="15" customHeight="1" x14ac:dyDescent="0.25">
      <c r="A66" s="1" t="s">
        <v>40</v>
      </c>
      <c r="B66" s="3"/>
      <c r="C66" s="3"/>
      <c r="D66" s="3"/>
      <c r="E66" s="4">
        <v>0</v>
      </c>
      <c r="F66" s="5">
        <v>0</v>
      </c>
    </row>
    <row r="67" spans="1:6" ht="15" customHeight="1" x14ac:dyDescent="0.25">
      <c r="A67" s="1" t="s">
        <v>39</v>
      </c>
      <c r="B67" s="3"/>
      <c r="C67" s="3"/>
      <c r="D67" s="3"/>
      <c r="E67" s="6">
        <v>0</v>
      </c>
      <c r="F67" s="7">
        <v>0</v>
      </c>
    </row>
    <row r="68" spans="1:6" ht="15" customHeight="1" x14ac:dyDescent="0.25">
      <c r="A68" s="1" t="s">
        <v>41</v>
      </c>
      <c r="B68" s="3"/>
      <c r="C68" s="3"/>
      <c r="D68" s="3"/>
      <c r="E68" s="6">
        <v>12456.0947235</v>
      </c>
      <c r="F68" s="7">
        <v>76.459500000000006</v>
      </c>
    </row>
    <row r="69" spans="1:6" ht="15" customHeight="1" x14ac:dyDescent="0.25">
      <c r="A69" s="1" t="s">
        <v>177</v>
      </c>
      <c r="B69" s="3"/>
      <c r="C69" s="3"/>
      <c r="D69" s="3"/>
      <c r="E69" s="3"/>
      <c r="F69" s="3"/>
    </row>
    <row r="70" spans="1:6" ht="15" customHeight="1" x14ac:dyDescent="0.25">
      <c r="A70" s="1" t="s">
        <v>9</v>
      </c>
      <c r="B70" s="3"/>
      <c r="C70" s="3"/>
      <c r="D70" s="3"/>
      <c r="E70" s="3"/>
      <c r="F70" s="3"/>
    </row>
    <row r="71" spans="1:6" ht="15" customHeight="1" x14ac:dyDescent="0.25">
      <c r="A71" s="3" t="s">
        <v>178</v>
      </c>
      <c r="B71" s="3" t="s">
        <v>179</v>
      </c>
      <c r="C71" s="3" t="s">
        <v>180</v>
      </c>
      <c r="D71" s="3">
        <v>300000</v>
      </c>
      <c r="E71" s="4">
        <v>299.24160000000001</v>
      </c>
      <c r="F71" s="5">
        <v>1.8369</v>
      </c>
    </row>
    <row r="72" spans="1:6" ht="15" customHeight="1" x14ac:dyDescent="0.25">
      <c r="A72" s="3" t="s">
        <v>181</v>
      </c>
      <c r="B72" s="3" t="s">
        <v>182</v>
      </c>
      <c r="C72" s="3" t="s">
        <v>183</v>
      </c>
      <c r="D72" s="3">
        <v>100000</v>
      </c>
      <c r="E72" s="4">
        <v>100.5269</v>
      </c>
      <c r="F72" s="5">
        <v>0.61699999999999999</v>
      </c>
    </row>
    <row r="73" spans="1:6" ht="15" customHeight="1" x14ac:dyDescent="0.25">
      <c r="A73" s="1" t="s">
        <v>39</v>
      </c>
      <c r="B73" s="3"/>
      <c r="C73" s="3"/>
      <c r="D73" s="3"/>
      <c r="E73" s="6">
        <v>399.76850000000002</v>
      </c>
      <c r="F73" s="7">
        <v>2.4539</v>
      </c>
    </row>
    <row r="74" spans="1:6" ht="15" customHeight="1" x14ac:dyDescent="0.25">
      <c r="A74" s="3"/>
      <c r="B74" s="3"/>
      <c r="C74" s="3"/>
      <c r="D74" s="3"/>
      <c r="E74" s="3"/>
      <c r="F74" s="3"/>
    </row>
    <row r="75" spans="1:6" ht="15" customHeight="1" x14ac:dyDescent="0.25">
      <c r="A75" s="1" t="s">
        <v>184</v>
      </c>
      <c r="B75" s="3"/>
      <c r="C75" s="3"/>
      <c r="D75" s="3"/>
      <c r="E75" s="4">
        <v>0</v>
      </c>
      <c r="F75" s="5">
        <v>0</v>
      </c>
    </row>
    <row r="76" spans="1:6" ht="15" customHeight="1" x14ac:dyDescent="0.25">
      <c r="A76" s="1" t="s">
        <v>39</v>
      </c>
      <c r="B76" s="3"/>
      <c r="C76" s="3"/>
      <c r="D76" s="3"/>
      <c r="E76" s="6">
        <v>0</v>
      </c>
      <c r="F76" s="7">
        <v>0</v>
      </c>
    </row>
    <row r="77" spans="1:6" ht="15" customHeight="1" x14ac:dyDescent="0.25">
      <c r="A77" s="1" t="s">
        <v>41</v>
      </c>
      <c r="B77" s="3"/>
      <c r="C77" s="3"/>
      <c r="D77" s="3"/>
      <c r="E77" s="6">
        <v>399.76850000000002</v>
      </c>
      <c r="F77" s="7">
        <v>2.4539</v>
      </c>
    </row>
    <row r="78" spans="1:6" ht="15" customHeight="1" x14ac:dyDescent="0.25">
      <c r="A78" s="1" t="s">
        <v>185</v>
      </c>
      <c r="B78" s="3"/>
      <c r="C78" s="3"/>
      <c r="D78" s="3"/>
      <c r="E78" s="3"/>
      <c r="F78" s="3"/>
    </row>
    <row r="79" spans="1:6" ht="15" customHeight="1" x14ac:dyDescent="0.25">
      <c r="A79" s="1" t="s">
        <v>186</v>
      </c>
      <c r="B79" s="3"/>
      <c r="C79" s="3"/>
      <c r="D79" s="3"/>
      <c r="E79" s="3"/>
      <c r="F79" s="3"/>
    </row>
    <row r="80" spans="1:6" ht="15" customHeight="1" x14ac:dyDescent="0.25">
      <c r="A80" s="3" t="s">
        <v>187</v>
      </c>
      <c r="B80" s="3" t="s">
        <v>188</v>
      </c>
      <c r="C80" s="3" t="s">
        <v>189</v>
      </c>
      <c r="D80" s="3">
        <v>1448000</v>
      </c>
      <c r="E80" s="4">
        <v>1445.7782978</v>
      </c>
      <c r="F80" s="5">
        <v>8.8749000000000002</v>
      </c>
    </row>
    <row r="81" spans="1:6" ht="30" customHeight="1" x14ac:dyDescent="0.25">
      <c r="A81" s="3" t="s">
        <v>190</v>
      </c>
      <c r="B81" s="3" t="s">
        <v>191</v>
      </c>
      <c r="C81" s="3" t="s">
        <v>192</v>
      </c>
      <c r="D81" s="3">
        <v>1025000</v>
      </c>
      <c r="E81" s="4">
        <v>1023.409555</v>
      </c>
      <c r="F81" s="5">
        <v>6.2821999999999996</v>
      </c>
    </row>
    <row r="82" spans="1:6" ht="15" customHeight="1" x14ac:dyDescent="0.25">
      <c r="A82" s="3" t="s">
        <v>193</v>
      </c>
      <c r="B82" s="3" t="s">
        <v>194</v>
      </c>
      <c r="C82" s="3" t="s">
        <v>195</v>
      </c>
      <c r="D82" s="3">
        <v>200000</v>
      </c>
      <c r="E82" s="4">
        <v>193.74639999999999</v>
      </c>
      <c r="F82" s="5">
        <v>1.1893</v>
      </c>
    </row>
    <row r="83" spans="1:6" ht="30" customHeight="1" x14ac:dyDescent="0.25">
      <c r="A83" s="3" t="s">
        <v>288</v>
      </c>
      <c r="B83" s="3" t="s">
        <v>196</v>
      </c>
      <c r="C83" s="3" t="s">
        <v>192</v>
      </c>
      <c r="D83" s="3">
        <v>40000</v>
      </c>
      <c r="E83" s="4">
        <v>39.937454000000002</v>
      </c>
      <c r="F83" s="5">
        <v>0.24510000000000001</v>
      </c>
    </row>
    <row r="84" spans="1:6" ht="15" customHeight="1" x14ac:dyDescent="0.25">
      <c r="A84" s="1" t="s">
        <v>39</v>
      </c>
      <c r="B84" s="3"/>
      <c r="C84" s="3"/>
      <c r="D84" s="3"/>
      <c r="E84" s="6">
        <v>2702.8717068000001</v>
      </c>
      <c r="F84" s="7">
        <v>16.5915</v>
      </c>
    </row>
    <row r="85" spans="1:6" ht="15" customHeight="1" x14ac:dyDescent="0.25">
      <c r="A85" s="1" t="s">
        <v>197</v>
      </c>
      <c r="B85" s="3"/>
      <c r="C85" s="3"/>
      <c r="D85" s="3"/>
      <c r="E85" s="3"/>
      <c r="F85" s="3"/>
    </row>
    <row r="86" spans="1:6" ht="15" customHeight="1" x14ac:dyDescent="0.25">
      <c r="A86" s="3" t="s">
        <v>198</v>
      </c>
      <c r="B86" s="3" t="s">
        <v>199</v>
      </c>
      <c r="C86" s="3" t="s">
        <v>192</v>
      </c>
      <c r="D86" s="3">
        <v>90000</v>
      </c>
      <c r="E86" s="4">
        <v>89.803672800000001</v>
      </c>
      <c r="F86" s="5">
        <v>0.55120000000000002</v>
      </c>
    </row>
    <row r="87" spans="1:6" ht="15" customHeight="1" x14ac:dyDescent="0.25">
      <c r="A87" s="1" t="s">
        <v>39</v>
      </c>
      <c r="B87" s="3"/>
      <c r="C87" s="3"/>
      <c r="D87" s="3"/>
      <c r="E87" s="6">
        <v>89.803672800000001</v>
      </c>
      <c r="F87" s="7">
        <v>0.55120000000000002</v>
      </c>
    </row>
    <row r="88" spans="1:6" ht="15" customHeight="1" x14ac:dyDescent="0.25">
      <c r="A88" s="1" t="s">
        <v>41</v>
      </c>
      <c r="B88" s="3"/>
      <c r="C88" s="3"/>
      <c r="D88" s="3"/>
      <c r="E88" s="6">
        <v>2792.6753795999998</v>
      </c>
      <c r="F88" s="7">
        <v>17.142700000000001</v>
      </c>
    </row>
    <row r="89" spans="1:6" ht="15" customHeight="1" x14ac:dyDescent="0.25">
      <c r="A89" s="3"/>
      <c r="B89" s="3"/>
      <c r="C89" s="3"/>
      <c r="D89" s="3"/>
      <c r="E89" s="3"/>
      <c r="F89" s="3"/>
    </row>
    <row r="90" spans="1:6" ht="15" customHeight="1" x14ac:dyDescent="0.25">
      <c r="A90" s="3"/>
      <c r="B90" s="3"/>
      <c r="C90" s="3"/>
      <c r="D90" s="3"/>
      <c r="E90" s="3"/>
      <c r="F90" s="3"/>
    </row>
    <row r="91" spans="1:6" ht="30" customHeight="1" x14ac:dyDescent="0.25">
      <c r="A91" s="3" t="s">
        <v>54</v>
      </c>
      <c r="B91" s="3"/>
      <c r="C91" s="3"/>
      <c r="D91" s="3"/>
      <c r="E91" s="4">
        <v>641.95823675999998</v>
      </c>
      <c r="F91" s="5">
        <v>3.9405999999999999</v>
      </c>
    </row>
    <row r="92" spans="1:6" ht="15" customHeight="1" x14ac:dyDescent="0.25">
      <c r="A92" s="3"/>
      <c r="B92" s="3"/>
      <c r="C92" s="3"/>
      <c r="D92" s="3"/>
      <c r="E92" s="3"/>
      <c r="F92" s="3"/>
    </row>
    <row r="93" spans="1:6" ht="15" customHeight="1" x14ac:dyDescent="0.25">
      <c r="A93" s="3"/>
      <c r="B93" s="3"/>
      <c r="C93" s="3"/>
      <c r="D93" s="3"/>
      <c r="E93" s="3"/>
      <c r="F93" s="3"/>
    </row>
    <row r="94" spans="1:6" ht="15" customHeight="1" x14ac:dyDescent="0.25">
      <c r="A94" s="1" t="s">
        <v>55</v>
      </c>
      <c r="B94" s="3"/>
      <c r="C94" s="3"/>
      <c r="D94" s="3"/>
      <c r="E94" s="6">
        <v>16290.496839859999</v>
      </c>
      <c r="F94" s="7">
        <v>100</v>
      </c>
    </row>
    <row r="97" spans="1:1" ht="15" customHeight="1" x14ac:dyDescent="0.25">
      <c r="A97" s="8" t="s">
        <v>200</v>
      </c>
    </row>
    <row r="98" spans="1:1" ht="15" customHeight="1" x14ac:dyDescent="0.25">
      <c r="A98" s="8" t="s">
        <v>201</v>
      </c>
    </row>
  </sheetData>
  <mergeCells count="2">
    <mergeCell ref="A1:F1"/>
    <mergeCell ref="A2:F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topLeftCell="A59" workbookViewId="0">
      <selection activeCell="A82" sqref="A82"/>
    </sheetView>
  </sheetViews>
  <sheetFormatPr defaultRowHeight="15" customHeight="1" x14ac:dyDescent="0.25"/>
  <cols>
    <col min="1" max="1" width="57.140625" bestFit="1" customWidth="1"/>
    <col min="2" max="2" width="19" bestFit="1" customWidth="1"/>
    <col min="3" max="3" width="34.28515625" bestFit="1" customWidth="1"/>
    <col min="4" max="6" width="15.28515625" bestFit="1" customWidth="1"/>
  </cols>
  <sheetData>
    <row r="1" spans="1:6" ht="15" customHeight="1" x14ac:dyDescent="0.25">
      <c r="A1" s="10" t="s">
        <v>202</v>
      </c>
      <c r="B1" s="10"/>
      <c r="C1" s="10"/>
      <c r="D1" s="10"/>
      <c r="E1" s="10"/>
      <c r="F1" s="10"/>
    </row>
    <row r="2" spans="1:6" ht="15" customHeight="1" x14ac:dyDescent="0.25">
      <c r="A2" s="10" t="s">
        <v>1</v>
      </c>
      <c r="B2" s="10"/>
      <c r="C2" s="10"/>
      <c r="D2" s="10"/>
      <c r="E2" s="10"/>
      <c r="F2" s="10"/>
    </row>
    <row r="3" spans="1:6" ht="36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15" customHeight="1" x14ac:dyDescent="0.25">
      <c r="A4" s="1" t="s">
        <v>8</v>
      </c>
      <c r="B4" s="3"/>
      <c r="C4" s="3"/>
      <c r="D4" s="3"/>
      <c r="E4" s="3"/>
      <c r="F4" s="3"/>
    </row>
    <row r="5" spans="1:6" ht="15" customHeight="1" x14ac:dyDescent="0.25">
      <c r="A5" s="1" t="s">
        <v>9</v>
      </c>
      <c r="B5" s="3"/>
      <c r="C5" s="3"/>
      <c r="D5" s="3"/>
      <c r="E5" s="3"/>
      <c r="F5" s="3"/>
    </row>
    <row r="6" spans="1:6" ht="15" customHeight="1" x14ac:dyDescent="0.25">
      <c r="A6" s="3" t="s">
        <v>57</v>
      </c>
      <c r="B6" s="3" t="s">
        <v>58</v>
      </c>
      <c r="C6" s="3" t="s">
        <v>35</v>
      </c>
      <c r="D6" s="3">
        <v>321803</v>
      </c>
      <c r="E6" s="4">
        <v>1223.3341045</v>
      </c>
      <c r="F6" s="5">
        <v>7.2858999999999998</v>
      </c>
    </row>
    <row r="7" spans="1:6" ht="15" customHeight="1" x14ac:dyDescent="0.25">
      <c r="A7" s="3" t="s">
        <v>64</v>
      </c>
      <c r="B7" s="3" t="s">
        <v>65</v>
      </c>
      <c r="C7" s="3" t="s">
        <v>35</v>
      </c>
      <c r="D7" s="3">
        <v>78459</v>
      </c>
      <c r="E7" s="4">
        <v>1064.845548</v>
      </c>
      <c r="F7" s="5">
        <v>6.3419999999999996</v>
      </c>
    </row>
    <row r="8" spans="1:6" ht="15" customHeight="1" x14ac:dyDescent="0.25">
      <c r="A8" s="3" t="s">
        <v>62</v>
      </c>
      <c r="B8" s="3" t="s">
        <v>63</v>
      </c>
      <c r="C8" s="3" t="s">
        <v>35</v>
      </c>
      <c r="D8" s="3">
        <v>94735</v>
      </c>
      <c r="E8" s="4">
        <v>949.05523000000005</v>
      </c>
      <c r="F8" s="5">
        <v>5.6523000000000003</v>
      </c>
    </row>
    <row r="9" spans="1:6" ht="15" customHeight="1" x14ac:dyDescent="0.25">
      <c r="A9" s="3" t="s">
        <v>59</v>
      </c>
      <c r="B9" s="3" t="s">
        <v>60</v>
      </c>
      <c r="C9" s="3" t="s">
        <v>61</v>
      </c>
      <c r="D9" s="3">
        <v>64135</v>
      </c>
      <c r="E9" s="4">
        <v>940.21910000000003</v>
      </c>
      <c r="F9" s="5">
        <v>5.5997000000000003</v>
      </c>
    </row>
    <row r="10" spans="1:6" ht="15" customHeight="1" x14ac:dyDescent="0.25">
      <c r="A10" s="3" t="s">
        <v>66</v>
      </c>
      <c r="B10" s="3" t="s">
        <v>67</v>
      </c>
      <c r="C10" s="3" t="s">
        <v>68</v>
      </c>
      <c r="D10" s="3">
        <v>35388</v>
      </c>
      <c r="E10" s="4">
        <v>712.87356599999998</v>
      </c>
      <c r="F10" s="5">
        <v>4.2457000000000003</v>
      </c>
    </row>
    <row r="11" spans="1:6" ht="15" customHeight="1" x14ac:dyDescent="0.25">
      <c r="A11" s="3" t="s">
        <v>77</v>
      </c>
      <c r="B11" s="3" t="s">
        <v>78</v>
      </c>
      <c r="C11" s="3" t="s">
        <v>79</v>
      </c>
      <c r="D11" s="3">
        <v>136138</v>
      </c>
      <c r="E11" s="4">
        <v>700.157734</v>
      </c>
      <c r="F11" s="5">
        <v>4.1699000000000002</v>
      </c>
    </row>
    <row r="12" spans="1:6" ht="15" customHeight="1" x14ac:dyDescent="0.25">
      <c r="A12" s="3" t="s">
        <v>69</v>
      </c>
      <c r="B12" s="3" t="s">
        <v>70</v>
      </c>
      <c r="C12" s="3" t="s">
        <v>15</v>
      </c>
      <c r="D12" s="3">
        <v>3747</v>
      </c>
      <c r="E12" s="4">
        <v>664.37120249999998</v>
      </c>
      <c r="F12" s="5">
        <v>3.9567999999999999</v>
      </c>
    </row>
    <row r="13" spans="1:6" ht="15" customHeight="1" x14ac:dyDescent="0.25">
      <c r="A13" s="3" t="s">
        <v>73</v>
      </c>
      <c r="B13" s="3" t="s">
        <v>74</v>
      </c>
      <c r="C13" s="3" t="s">
        <v>27</v>
      </c>
      <c r="D13" s="3">
        <v>26641</v>
      </c>
      <c r="E13" s="4">
        <v>584.76994999999999</v>
      </c>
      <c r="F13" s="5">
        <v>3.4826999999999999</v>
      </c>
    </row>
    <row r="14" spans="1:6" ht="15" customHeight="1" x14ac:dyDescent="0.25">
      <c r="A14" s="3" t="s">
        <v>80</v>
      </c>
      <c r="B14" s="3" t="s">
        <v>81</v>
      </c>
      <c r="C14" s="3" t="s">
        <v>82</v>
      </c>
      <c r="D14" s="3">
        <v>27630</v>
      </c>
      <c r="E14" s="4">
        <v>529.39080000000001</v>
      </c>
      <c r="F14" s="5">
        <v>3.1528999999999998</v>
      </c>
    </row>
    <row r="15" spans="1:6" ht="15" customHeight="1" x14ac:dyDescent="0.25">
      <c r="A15" s="3" t="s">
        <v>71</v>
      </c>
      <c r="B15" s="3" t="s">
        <v>72</v>
      </c>
      <c r="C15" s="3" t="s">
        <v>35</v>
      </c>
      <c r="D15" s="3">
        <v>109276</v>
      </c>
      <c r="E15" s="4">
        <v>486.168924</v>
      </c>
      <c r="F15" s="5">
        <v>2.8955000000000002</v>
      </c>
    </row>
    <row r="16" spans="1:6" ht="15" customHeight="1" x14ac:dyDescent="0.25">
      <c r="A16" s="3" t="s">
        <v>75</v>
      </c>
      <c r="B16" s="3" t="s">
        <v>76</v>
      </c>
      <c r="C16" s="3" t="s">
        <v>68</v>
      </c>
      <c r="D16" s="3">
        <v>57800</v>
      </c>
      <c r="E16" s="4">
        <v>413.55900000000003</v>
      </c>
      <c r="F16" s="5">
        <v>2.4630000000000001</v>
      </c>
    </row>
    <row r="17" spans="1:6" ht="15" customHeight="1" x14ac:dyDescent="0.25">
      <c r="A17" s="3" t="s">
        <v>135</v>
      </c>
      <c r="B17" s="3" t="s">
        <v>136</v>
      </c>
      <c r="C17" s="3" t="s">
        <v>15</v>
      </c>
      <c r="D17" s="3">
        <v>17514</v>
      </c>
      <c r="E17" s="4">
        <v>408.58410600000002</v>
      </c>
      <c r="F17" s="5">
        <v>2.4333999999999998</v>
      </c>
    </row>
    <row r="18" spans="1:6" ht="15" customHeight="1" x14ac:dyDescent="0.25">
      <c r="A18" s="3" t="s">
        <v>22</v>
      </c>
      <c r="B18" s="3" t="s">
        <v>23</v>
      </c>
      <c r="C18" s="3" t="s">
        <v>24</v>
      </c>
      <c r="D18" s="3">
        <v>81340</v>
      </c>
      <c r="E18" s="4">
        <v>341.66867000000002</v>
      </c>
      <c r="F18" s="5">
        <v>2.0348999999999999</v>
      </c>
    </row>
    <row r="19" spans="1:6" ht="15" customHeight="1" x14ac:dyDescent="0.25">
      <c r="A19" s="3" t="s">
        <v>111</v>
      </c>
      <c r="B19" s="3" t="s">
        <v>112</v>
      </c>
      <c r="C19" s="3" t="s">
        <v>82</v>
      </c>
      <c r="D19" s="3">
        <v>13770</v>
      </c>
      <c r="E19" s="4">
        <v>319.20236999999997</v>
      </c>
      <c r="F19" s="5">
        <v>1.9011</v>
      </c>
    </row>
    <row r="20" spans="1:6" ht="15" customHeight="1" x14ac:dyDescent="0.25">
      <c r="A20" s="3" t="s">
        <v>101</v>
      </c>
      <c r="B20" s="3" t="s">
        <v>102</v>
      </c>
      <c r="C20" s="3" t="s">
        <v>21</v>
      </c>
      <c r="D20" s="3">
        <v>70780</v>
      </c>
      <c r="E20" s="4">
        <v>289.84410000000003</v>
      </c>
      <c r="F20" s="5">
        <v>1.7262</v>
      </c>
    </row>
    <row r="21" spans="1:6" ht="15" customHeight="1" x14ac:dyDescent="0.25">
      <c r="A21" s="3" t="s">
        <v>119</v>
      </c>
      <c r="B21" s="3" t="s">
        <v>120</v>
      </c>
      <c r="C21" s="3" t="s">
        <v>121</v>
      </c>
      <c r="D21" s="3">
        <v>13690</v>
      </c>
      <c r="E21" s="4">
        <v>281.91132499999998</v>
      </c>
      <c r="F21" s="5">
        <v>1.679</v>
      </c>
    </row>
    <row r="22" spans="1:6" ht="15" customHeight="1" x14ac:dyDescent="0.25">
      <c r="A22" s="3" t="s">
        <v>85</v>
      </c>
      <c r="B22" s="3" t="s">
        <v>86</v>
      </c>
      <c r="C22" s="3" t="s">
        <v>21</v>
      </c>
      <c r="D22" s="3">
        <v>7795</v>
      </c>
      <c r="E22" s="4">
        <v>275.49868500000002</v>
      </c>
      <c r="F22" s="5">
        <v>1.6408</v>
      </c>
    </row>
    <row r="23" spans="1:6" ht="15" customHeight="1" x14ac:dyDescent="0.25">
      <c r="A23" s="3" t="s">
        <v>99</v>
      </c>
      <c r="B23" s="3" t="s">
        <v>100</v>
      </c>
      <c r="C23" s="3" t="s">
        <v>18</v>
      </c>
      <c r="D23" s="3">
        <v>10455</v>
      </c>
      <c r="E23" s="4">
        <v>274.26601499999998</v>
      </c>
      <c r="F23" s="5">
        <v>1.6334</v>
      </c>
    </row>
    <row r="24" spans="1:6" ht="15" customHeight="1" x14ac:dyDescent="0.25">
      <c r="A24" s="3" t="s">
        <v>107</v>
      </c>
      <c r="B24" s="3" t="s">
        <v>108</v>
      </c>
      <c r="C24" s="3" t="s">
        <v>27</v>
      </c>
      <c r="D24" s="3">
        <v>15288</v>
      </c>
      <c r="E24" s="4">
        <v>268.87005599999998</v>
      </c>
      <c r="F24" s="5">
        <v>1.6012999999999999</v>
      </c>
    </row>
    <row r="25" spans="1:6" ht="15" customHeight="1" x14ac:dyDescent="0.25">
      <c r="A25" s="3" t="s">
        <v>83</v>
      </c>
      <c r="B25" s="3" t="s">
        <v>84</v>
      </c>
      <c r="C25" s="3" t="s">
        <v>15</v>
      </c>
      <c r="D25" s="3">
        <v>10628</v>
      </c>
      <c r="E25" s="4">
        <v>249.26911200000001</v>
      </c>
      <c r="F25" s="5">
        <v>1.4844999999999999</v>
      </c>
    </row>
    <row r="26" spans="1:6" ht="15" customHeight="1" x14ac:dyDescent="0.25">
      <c r="A26" s="3" t="s">
        <v>115</v>
      </c>
      <c r="B26" s="3" t="s">
        <v>116</v>
      </c>
      <c r="C26" s="3" t="s">
        <v>82</v>
      </c>
      <c r="D26" s="3">
        <v>50325</v>
      </c>
      <c r="E26" s="4">
        <v>247.59899999999999</v>
      </c>
      <c r="F26" s="5">
        <v>1.4745999999999999</v>
      </c>
    </row>
    <row r="27" spans="1:6" ht="15" customHeight="1" x14ac:dyDescent="0.25">
      <c r="A27" s="3" t="s">
        <v>94</v>
      </c>
      <c r="B27" s="3" t="s">
        <v>95</v>
      </c>
      <c r="C27" s="3" t="s">
        <v>96</v>
      </c>
      <c r="D27" s="3">
        <v>10350</v>
      </c>
      <c r="E27" s="4">
        <v>246.707775</v>
      </c>
      <c r="F27" s="5">
        <v>1.4693000000000001</v>
      </c>
    </row>
    <row r="28" spans="1:6" ht="15" customHeight="1" x14ac:dyDescent="0.25">
      <c r="A28" s="3" t="s">
        <v>89</v>
      </c>
      <c r="B28" s="3" t="s">
        <v>90</v>
      </c>
      <c r="C28" s="3" t="s">
        <v>82</v>
      </c>
      <c r="D28" s="3">
        <v>19038</v>
      </c>
      <c r="E28" s="4">
        <v>245.70442800000001</v>
      </c>
      <c r="F28" s="5">
        <v>1.4633</v>
      </c>
    </row>
    <row r="29" spans="1:6" ht="15" customHeight="1" x14ac:dyDescent="0.25">
      <c r="A29" s="3" t="s">
        <v>165</v>
      </c>
      <c r="B29" s="3" t="s">
        <v>166</v>
      </c>
      <c r="C29" s="3" t="s">
        <v>82</v>
      </c>
      <c r="D29" s="3">
        <v>33460</v>
      </c>
      <c r="E29" s="4">
        <v>243.20401000000001</v>
      </c>
      <c r="F29" s="5">
        <v>1.4483999999999999</v>
      </c>
    </row>
    <row r="30" spans="1:6" ht="15" customHeight="1" x14ac:dyDescent="0.25">
      <c r="A30" s="3" t="s">
        <v>87</v>
      </c>
      <c r="B30" s="3" t="s">
        <v>88</v>
      </c>
      <c r="C30" s="3" t="s">
        <v>21</v>
      </c>
      <c r="D30" s="3">
        <v>1195</v>
      </c>
      <c r="E30" s="4">
        <v>236.226405</v>
      </c>
      <c r="F30" s="5">
        <v>1.4069</v>
      </c>
    </row>
    <row r="31" spans="1:6" ht="15" customHeight="1" x14ac:dyDescent="0.25">
      <c r="A31" s="3" t="s">
        <v>144</v>
      </c>
      <c r="B31" s="3" t="s">
        <v>145</v>
      </c>
      <c r="C31" s="3" t="s">
        <v>24</v>
      </c>
      <c r="D31" s="3">
        <v>102000</v>
      </c>
      <c r="E31" s="4">
        <v>217.97399999999999</v>
      </c>
      <c r="F31" s="5">
        <v>1.2982</v>
      </c>
    </row>
    <row r="32" spans="1:6" ht="15" customHeight="1" x14ac:dyDescent="0.25">
      <c r="A32" s="3" t="s">
        <v>109</v>
      </c>
      <c r="B32" s="3" t="s">
        <v>110</v>
      </c>
      <c r="C32" s="3" t="s">
        <v>27</v>
      </c>
      <c r="D32" s="3">
        <v>42161</v>
      </c>
      <c r="E32" s="4">
        <v>206.29377299999999</v>
      </c>
      <c r="F32" s="5">
        <v>1.2285999999999999</v>
      </c>
    </row>
    <row r="33" spans="1:6" ht="15" customHeight="1" x14ac:dyDescent="0.25">
      <c r="A33" s="3" t="s">
        <v>105</v>
      </c>
      <c r="B33" s="3" t="s">
        <v>106</v>
      </c>
      <c r="C33" s="3" t="s">
        <v>27</v>
      </c>
      <c r="D33" s="3">
        <v>6391</v>
      </c>
      <c r="E33" s="4">
        <v>202.3230825</v>
      </c>
      <c r="F33" s="5">
        <v>1.2049000000000001</v>
      </c>
    </row>
    <row r="34" spans="1:6" ht="15" customHeight="1" x14ac:dyDescent="0.25">
      <c r="A34" s="3" t="s">
        <v>91</v>
      </c>
      <c r="B34" s="3" t="s">
        <v>92</v>
      </c>
      <c r="C34" s="3" t="s">
        <v>93</v>
      </c>
      <c r="D34" s="3">
        <v>52650</v>
      </c>
      <c r="E34" s="4">
        <v>196.41082499999999</v>
      </c>
      <c r="F34" s="5">
        <v>1.1697</v>
      </c>
    </row>
    <row r="35" spans="1:6" ht="15" customHeight="1" x14ac:dyDescent="0.25">
      <c r="A35" s="3" t="s">
        <v>142</v>
      </c>
      <c r="B35" s="3" t="s">
        <v>143</v>
      </c>
      <c r="C35" s="3" t="s">
        <v>121</v>
      </c>
      <c r="D35" s="3">
        <v>30335</v>
      </c>
      <c r="E35" s="4">
        <v>192.86993000000001</v>
      </c>
      <c r="F35" s="5">
        <v>1.1486000000000001</v>
      </c>
    </row>
    <row r="36" spans="1:6" ht="15" customHeight="1" x14ac:dyDescent="0.25">
      <c r="A36" s="3" t="s">
        <v>203</v>
      </c>
      <c r="B36" s="3" t="s">
        <v>204</v>
      </c>
      <c r="C36" s="3" t="s">
        <v>82</v>
      </c>
      <c r="D36" s="3">
        <v>115232</v>
      </c>
      <c r="E36" s="4">
        <v>183.737424</v>
      </c>
      <c r="F36" s="5">
        <v>1.0943000000000001</v>
      </c>
    </row>
    <row r="37" spans="1:6" ht="15" customHeight="1" x14ac:dyDescent="0.25">
      <c r="A37" s="3" t="s">
        <v>28</v>
      </c>
      <c r="B37" s="3" t="s">
        <v>29</v>
      </c>
      <c r="C37" s="3" t="s">
        <v>18</v>
      </c>
      <c r="D37" s="3">
        <v>50095</v>
      </c>
      <c r="E37" s="4">
        <v>183.6733175</v>
      </c>
      <c r="F37" s="5">
        <v>1.0939000000000001</v>
      </c>
    </row>
    <row r="38" spans="1:6" ht="15" customHeight="1" x14ac:dyDescent="0.25">
      <c r="A38" s="3" t="s">
        <v>103</v>
      </c>
      <c r="B38" s="3" t="s">
        <v>104</v>
      </c>
      <c r="C38" s="3" t="s">
        <v>27</v>
      </c>
      <c r="D38" s="3">
        <v>971</v>
      </c>
      <c r="E38" s="4">
        <v>174.0483515</v>
      </c>
      <c r="F38" s="5">
        <v>1.0365</v>
      </c>
    </row>
    <row r="39" spans="1:6" ht="15" customHeight="1" x14ac:dyDescent="0.25">
      <c r="A39" s="3" t="s">
        <v>205</v>
      </c>
      <c r="B39" s="3" t="s">
        <v>206</v>
      </c>
      <c r="C39" s="3" t="s">
        <v>207</v>
      </c>
      <c r="D39" s="3">
        <v>70538</v>
      </c>
      <c r="E39" s="4">
        <v>156.065325</v>
      </c>
      <c r="F39" s="5">
        <v>0.9294</v>
      </c>
    </row>
    <row r="40" spans="1:6" ht="15" customHeight="1" x14ac:dyDescent="0.25">
      <c r="A40" s="3" t="s">
        <v>125</v>
      </c>
      <c r="B40" s="3" t="s">
        <v>126</v>
      </c>
      <c r="C40" s="3" t="s">
        <v>15</v>
      </c>
      <c r="D40" s="3">
        <v>5500</v>
      </c>
      <c r="E40" s="4">
        <v>142.96700000000001</v>
      </c>
      <c r="F40" s="5">
        <v>0.85140000000000005</v>
      </c>
    </row>
    <row r="41" spans="1:6" ht="15" customHeight="1" x14ac:dyDescent="0.25">
      <c r="A41" s="3" t="s">
        <v>139</v>
      </c>
      <c r="B41" s="3" t="s">
        <v>140</v>
      </c>
      <c r="C41" s="3" t="s">
        <v>141</v>
      </c>
      <c r="D41" s="3">
        <v>55350</v>
      </c>
      <c r="E41" s="4">
        <v>134.50049999999999</v>
      </c>
      <c r="F41" s="5">
        <v>0.80100000000000005</v>
      </c>
    </row>
    <row r="42" spans="1:6" ht="15" customHeight="1" x14ac:dyDescent="0.25">
      <c r="A42" s="3" t="s">
        <v>117</v>
      </c>
      <c r="B42" s="3" t="s">
        <v>118</v>
      </c>
      <c r="C42" s="3" t="s">
        <v>24</v>
      </c>
      <c r="D42" s="3">
        <v>8327</v>
      </c>
      <c r="E42" s="4">
        <v>132.3618285</v>
      </c>
      <c r="F42" s="5">
        <v>0.7883</v>
      </c>
    </row>
    <row r="43" spans="1:6" ht="15" customHeight="1" x14ac:dyDescent="0.25">
      <c r="A43" s="3" t="s">
        <v>137</v>
      </c>
      <c r="B43" s="3" t="s">
        <v>138</v>
      </c>
      <c r="C43" s="3" t="s">
        <v>27</v>
      </c>
      <c r="D43" s="3">
        <v>8112</v>
      </c>
      <c r="E43" s="4">
        <v>130.48151999999999</v>
      </c>
      <c r="F43" s="5">
        <v>0.77710000000000001</v>
      </c>
    </row>
    <row r="44" spans="1:6" ht="15" customHeight="1" x14ac:dyDescent="0.25">
      <c r="A44" s="3" t="s">
        <v>131</v>
      </c>
      <c r="B44" s="3" t="s">
        <v>132</v>
      </c>
      <c r="C44" s="3" t="s">
        <v>18</v>
      </c>
      <c r="D44" s="3">
        <v>17771</v>
      </c>
      <c r="E44" s="4">
        <v>126.7694285</v>
      </c>
      <c r="F44" s="5">
        <v>0.755</v>
      </c>
    </row>
    <row r="45" spans="1:6" ht="15" customHeight="1" x14ac:dyDescent="0.25">
      <c r="A45" s="3" t="s">
        <v>113</v>
      </c>
      <c r="B45" s="3" t="s">
        <v>114</v>
      </c>
      <c r="C45" s="3" t="s">
        <v>68</v>
      </c>
      <c r="D45" s="3">
        <v>22656</v>
      </c>
      <c r="E45" s="4">
        <v>123.146688</v>
      </c>
      <c r="F45" s="5">
        <v>0.73340000000000005</v>
      </c>
    </row>
    <row r="46" spans="1:6" ht="15" customHeight="1" x14ac:dyDescent="0.25">
      <c r="A46" s="3" t="s">
        <v>208</v>
      </c>
      <c r="B46" s="3" t="s">
        <v>209</v>
      </c>
      <c r="C46" s="3" t="s">
        <v>207</v>
      </c>
      <c r="D46" s="3">
        <v>12655</v>
      </c>
      <c r="E46" s="4">
        <v>118.969655</v>
      </c>
      <c r="F46" s="5">
        <v>0.70850000000000002</v>
      </c>
    </row>
    <row r="47" spans="1:6" ht="15" customHeight="1" x14ac:dyDescent="0.25">
      <c r="A47" s="3" t="s">
        <v>122</v>
      </c>
      <c r="B47" s="3" t="s">
        <v>123</v>
      </c>
      <c r="C47" s="3" t="s">
        <v>124</v>
      </c>
      <c r="D47" s="3">
        <v>19513</v>
      </c>
      <c r="E47" s="4">
        <v>115.9560025</v>
      </c>
      <c r="F47" s="5">
        <v>0.69059999999999999</v>
      </c>
    </row>
    <row r="48" spans="1:6" ht="15" customHeight="1" x14ac:dyDescent="0.25">
      <c r="A48" s="3" t="s">
        <v>129</v>
      </c>
      <c r="B48" s="3" t="s">
        <v>130</v>
      </c>
      <c r="C48" s="3" t="s">
        <v>121</v>
      </c>
      <c r="D48" s="3">
        <v>2523</v>
      </c>
      <c r="E48" s="4">
        <v>115.336422</v>
      </c>
      <c r="F48" s="5">
        <v>0.68689999999999996</v>
      </c>
    </row>
    <row r="49" spans="1:6" ht="15" customHeight="1" x14ac:dyDescent="0.25">
      <c r="A49" s="3" t="s">
        <v>133</v>
      </c>
      <c r="B49" s="3" t="s">
        <v>134</v>
      </c>
      <c r="C49" s="3" t="s">
        <v>15</v>
      </c>
      <c r="D49" s="3">
        <v>2830</v>
      </c>
      <c r="E49" s="4">
        <v>111.39729</v>
      </c>
      <c r="F49" s="5">
        <v>0.66339999999999999</v>
      </c>
    </row>
    <row r="50" spans="1:6" ht="15" customHeight="1" x14ac:dyDescent="0.25">
      <c r="A50" s="3" t="s">
        <v>154</v>
      </c>
      <c r="B50" s="3" t="s">
        <v>155</v>
      </c>
      <c r="C50" s="3" t="s">
        <v>27</v>
      </c>
      <c r="D50" s="3">
        <v>18500</v>
      </c>
      <c r="E50" s="4">
        <v>99.280249999999995</v>
      </c>
      <c r="F50" s="5">
        <v>0.59119999999999995</v>
      </c>
    </row>
    <row r="51" spans="1:6" ht="15" customHeight="1" x14ac:dyDescent="0.25">
      <c r="A51" s="3" t="s">
        <v>127</v>
      </c>
      <c r="B51" s="3" t="s">
        <v>128</v>
      </c>
      <c r="C51" s="3" t="s">
        <v>24</v>
      </c>
      <c r="D51" s="3">
        <v>2226</v>
      </c>
      <c r="E51" s="4">
        <v>95.724677999999997</v>
      </c>
      <c r="F51" s="5">
        <v>0.57010000000000005</v>
      </c>
    </row>
    <row r="52" spans="1:6" ht="15" customHeight="1" x14ac:dyDescent="0.25">
      <c r="A52" s="3" t="s">
        <v>97</v>
      </c>
      <c r="B52" s="3" t="s">
        <v>98</v>
      </c>
      <c r="C52" s="3" t="s">
        <v>82</v>
      </c>
      <c r="D52" s="3">
        <v>16090</v>
      </c>
      <c r="E52" s="4">
        <v>80.618944999999997</v>
      </c>
      <c r="F52" s="5">
        <v>0.48010000000000003</v>
      </c>
    </row>
    <row r="53" spans="1:6" ht="15" customHeight="1" x14ac:dyDescent="0.25">
      <c r="A53" s="3" t="s">
        <v>16</v>
      </c>
      <c r="B53" s="3" t="s">
        <v>17</v>
      </c>
      <c r="C53" s="3" t="s">
        <v>18</v>
      </c>
      <c r="D53" s="3">
        <v>3606</v>
      </c>
      <c r="E53" s="4">
        <v>78.131202000000002</v>
      </c>
      <c r="F53" s="5">
        <v>0.46529999999999999</v>
      </c>
    </row>
    <row r="54" spans="1:6" ht="15" customHeight="1" x14ac:dyDescent="0.25">
      <c r="A54" s="3" t="s">
        <v>146</v>
      </c>
      <c r="B54" s="3" t="s">
        <v>147</v>
      </c>
      <c r="C54" s="3" t="s">
        <v>15</v>
      </c>
      <c r="D54" s="3">
        <v>12810</v>
      </c>
      <c r="E54" s="4">
        <v>75.527760000000001</v>
      </c>
      <c r="F54" s="5">
        <v>0.44979999999999998</v>
      </c>
    </row>
    <row r="55" spans="1:6" ht="15" customHeight="1" x14ac:dyDescent="0.25">
      <c r="A55" s="3" t="s">
        <v>148</v>
      </c>
      <c r="B55" s="3" t="s">
        <v>149</v>
      </c>
      <c r="C55" s="3" t="s">
        <v>27</v>
      </c>
      <c r="D55" s="3">
        <v>20132</v>
      </c>
      <c r="E55" s="4">
        <v>70.784111999999993</v>
      </c>
      <c r="F55" s="5">
        <v>0.42149999999999999</v>
      </c>
    </row>
    <row r="56" spans="1:6" ht="15" customHeight="1" x14ac:dyDescent="0.25">
      <c r="A56" s="3" t="s">
        <v>156</v>
      </c>
      <c r="B56" s="3" t="s">
        <v>157</v>
      </c>
      <c r="C56" s="3" t="s">
        <v>61</v>
      </c>
      <c r="D56" s="3">
        <v>18600</v>
      </c>
      <c r="E56" s="4">
        <v>68.819999999999993</v>
      </c>
      <c r="F56" s="5">
        <v>0.4098</v>
      </c>
    </row>
    <row r="57" spans="1:6" ht="15" customHeight="1" x14ac:dyDescent="0.25">
      <c r="A57" s="3" t="s">
        <v>150</v>
      </c>
      <c r="B57" s="3" t="s">
        <v>151</v>
      </c>
      <c r="C57" s="3" t="s">
        <v>15</v>
      </c>
      <c r="D57" s="3">
        <v>13990</v>
      </c>
      <c r="E57" s="4">
        <v>64.976555000000005</v>
      </c>
      <c r="F57" s="5">
        <v>0.38690000000000002</v>
      </c>
    </row>
    <row r="58" spans="1:6" ht="15" customHeight="1" x14ac:dyDescent="0.25">
      <c r="A58" s="3" t="s">
        <v>152</v>
      </c>
      <c r="B58" s="3" t="s">
        <v>153</v>
      </c>
      <c r="C58" s="3" t="s">
        <v>82</v>
      </c>
      <c r="D58" s="3">
        <v>13700</v>
      </c>
      <c r="E58" s="4">
        <v>64.3626</v>
      </c>
      <c r="F58" s="5">
        <v>0.38329999999999997</v>
      </c>
    </row>
    <row r="59" spans="1:6" ht="15" customHeight="1" x14ac:dyDescent="0.25">
      <c r="A59" s="3" t="s">
        <v>160</v>
      </c>
      <c r="B59" s="3" t="s">
        <v>161</v>
      </c>
      <c r="C59" s="3" t="s">
        <v>162</v>
      </c>
      <c r="D59" s="3">
        <v>29400</v>
      </c>
      <c r="E59" s="4">
        <v>53.1111</v>
      </c>
      <c r="F59" s="5">
        <v>0.31630000000000003</v>
      </c>
    </row>
    <row r="60" spans="1:6" ht="15" customHeight="1" x14ac:dyDescent="0.25">
      <c r="A60" s="3" t="s">
        <v>163</v>
      </c>
      <c r="B60" s="3" t="s">
        <v>164</v>
      </c>
      <c r="C60" s="3" t="s">
        <v>141</v>
      </c>
      <c r="D60" s="3">
        <v>11040</v>
      </c>
      <c r="E60" s="4">
        <v>52.622160000000001</v>
      </c>
      <c r="F60" s="5">
        <v>0.31340000000000001</v>
      </c>
    </row>
    <row r="61" spans="1:6" ht="15" customHeight="1" x14ac:dyDescent="0.25">
      <c r="A61" s="3" t="s">
        <v>167</v>
      </c>
      <c r="B61" s="3" t="s">
        <v>168</v>
      </c>
      <c r="C61" s="3" t="s">
        <v>18</v>
      </c>
      <c r="D61" s="3">
        <v>935</v>
      </c>
      <c r="E61" s="4">
        <v>50.104779999999998</v>
      </c>
      <c r="F61" s="5">
        <v>0.2984</v>
      </c>
    </row>
    <row r="62" spans="1:6" ht="15" customHeight="1" x14ac:dyDescent="0.25">
      <c r="A62" s="3" t="s">
        <v>175</v>
      </c>
      <c r="B62" s="3" t="s">
        <v>176</v>
      </c>
      <c r="C62" s="3" t="s">
        <v>15</v>
      </c>
      <c r="D62" s="3">
        <v>6300</v>
      </c>
      <c r="E62" s="4">
        <v>39.428550000000001</v>
      </c>
      <c r="F62" s="5">
        <v>0.23480000000000001</v>
      </c>
    </row>
    <row r="63" spans="1:6" ht="15" customHeight="1" x14ac:dyDescent="0.25">
      <c r="A63" s="3" t="s">
        <v>158</v>
      </c>
      <c r="B63" s="3" t="s">
        <v>159</v>
      </c>
      <c r="C63" s="3" t="s">
        <v>15</v>
      </c>
      <c r="D63" s="3">
        <v>5790</v>
      </c>
      <c r="E63" s="4">
        <v>32.302410000000002</v>
      </c>
      <c r="F63" s="5">
        <v>0.1923</v>
      </c>
    </row>
    <row r="64" spans="1:6" ht="15" customHeight="1" x14ac:dyDescent="0.25">
      <c r="A64" s="3" t="s">
        <v>169</v>
      </c>
      <c r="B64" s="3" t="s">
        <v>170</v>
      </c>
      <c r="C64" s="3" t="s">
        <v>82</v>
      </c>
      <c r="D64" s="3">
        <v>3520</v>
      </c>
      <c r="E64" s="4">
        <v>30.367039999999999</v>
      </c>
      <c r="F64" s="5">
        <v>0.18079999999999999</v>
      </c>
    </row>
    <row r="65" spans="1:6" ht="15" customHeight="1" x14ac:dyDescent="0.25">
      <c r="A65" s="3" t="s">
        <v>171</v>
      </c>
      <c r="B65" s="3" t="s">
        <v>172</v>
      </c>
      <c r="C65" s="3" t="s">
        <v>162</v>
      </c>
      <c r="D65" s="3">
        <v>8579</v>
      </c>
      <c r="E65" s="4">
        <v>25.591156999999999</v>
      </c>
      <c r="F65" s="5">
        <v>0.15240000000000001</v>
      </c>
    </row>
    <row r="66" spans="1:6" ht="15" customHeight="1" x14ac:dyDescent="0.25">
      <c r="A66" s="3" t="s">
        <v>210</v>
      </c>
      <c r="B66" s="3" t="s">
        <v>211</v>
      </c>
      <c r="C66" s="3" t="s">
        <v>212</v>
      </c>
      <c r="D66" s="3">
        <v>2400</v>
      </c>
      <c r="E66" s="4">
        <v>24.308399999999999</v>
      </c>
      <c r="F66" s="5">
        <v>0.1447</v>
      </c>
    </row>
    <row r="67" spans="1:6" ht="15" customHeight="1" x14ac:dyDescent="0.25">
      <c r="A67" s="3" t="s">
        <v>173</v>
      </c>
      <c r="B67" s="3" t="s">
        <v>174</v>
      </c>
      <c r="C67" s="3" t="s">
        <v>15</v>
      </c>
      <c r="D67" s="3">
        <v>130</v>
      </c>
      <c r="E67" s="4">
        <v>10.111789999999999</v>
      </c>
      <c r="F67" s="5">
        <v>6.0199999999999997E-2</v>
      </c>
    </row>
    <row r="68" spans="1:6" ht="15" customHeight="1" x14ac:dyDescent="0.25">
      <c r="A68" s="1" t="s">
        <v>39</v>
      </c>
      <c r="B68" s="3"/>
      <c r="C68" s="3"/>
      <c r="D68" s="3"/>
      <c r="E68" s="6">
        <v>16178.757068000001</v>
      </c>
      <c r="F68" s="7">
        <v>96.354500000000002</v>
      </c>
    </row>
    <row r="69" spans="1:6" ht="15" customHeight="1" x14ac:dyDescent="0.25">
      <c r="A69" s="3"/>
      <c r="B69" s="3"/>
      <c r="C69" s="3"/>
      <c r="D69" s="3"/>
      <c r="E69" s="3"/>
      <c r="F69" s="3"/>
    </row>
    <row r="70" spans="1:6" ht="15" customHeight="1" x14ac:dyDescent="0.25">
      <c r="A70" s="1" t="s">
        <v>40</v>
      </c>
      <c r="B70" s="3"/>
      <c r="C70" s="3"/>
      <c r="D70" s="3"/>
      <c r="E70" s="4">
        <v>0</v>
      </c>
      <c r="F70" s="5">
        <v>0</v>
      </c>
    </row>
    <row r="71" spans="1:6" ht="15" customHeight="1" x14ac:dyDescent="0.25">
      <c r="A71" s="1" t="s">
        <v>39</v>
      </c>
      <c r="B71" s="3"/>
      <c r="C71" s="3"/>
      <c r="D71" s="3"/>
      <c r="E71" s="6">
        <v>0</v>
      </c>
      <c r="F71" s="7">
        <v>0</v>
      </c>
    </row>
    <row r="72" spans="1:6" ht="15" customHeight="1" x14ac:dyDescent="0.25">
      <c r="A72" s="1" t="s">
        <v>41</v>
      </c>
      <c r="B72" s="3"/>
      <c r="C72" s="3"/>
      <c r="D72" s="3"/>
      <c r="E72" s="6">
        <v>16178.757068000001</v>
      </c>
      <c r="F72" s="7">
        <v>96.354500000000002</v>
      </c>
    </row>
    <row r="73" spans="1:6" ht="15" customHeight="1" x14ac:dyDescent="0.25">
      <c r="A73" s="3"/>
      <c r="B73" s="3"/>
      <c r="C73" s="3"/>
      <c r="D73" s="3"/>
      <c r="E73" s="3"/>
      <c r="F73" s="3"/>
    </row>
    <row r="74" spans="1:6" ht="15" customHeight="1" x14ac:dyDescent="0.25">
      <c r="A74" s="3"/>
      <c r="B74" s="3"/>
      <c r="C74" s="3"/>
      <c r="D74" s="3"/>
      <c r="E74" s="3"/>
      <c r="F74" s="3"/>
    </row>
    <row r="75" spans="1:6" ht="30" customHeight="1" x14ac:dyDescent="0.25">
      <c r="A75" s="3" t="s">
        <v>54</v>
      </c>
      <c r="B75" s="3"/>
      <c r="C75" s="3"/>
      <c r="D75" s="3"/>
      <c r="E75" s="4">
        <v>611.60492618000001</v>
      </c>
      <c r="F75" s="5">
        <v>3.6425000000000001</v>
      </c>
    </row>
    <row r="76" spans="1:6" ht="15" customHeight="1" x14ac:dyDescent="0.25">
      <c r="A76" s="3"/>
      <c r="B76" s="3"/>
      <c r="C76" s="3"/>
      <c r="D76" s="3"/>
      <c r="E76" s="3"/>
      <c r="F76" s="3"/>
    </row>
    <row r="77" spans="1:6" ht="15" customHeight="1" x14ac:dyDescent="0.25">
      <c r="A77" s="3"/>
      <c r="B77" s="3"/>
      <c r="C77" s="3"/>
      <c r="D77" s="3"/>
      <c r="E77" s="3"/>
      <c r="F77" s="3"/>
    </row>
    <row r="78" spans="1:6" ht="15" customHeight="1" x14ac:dyDescent="0.25">
      <c r="A78" s="1" t="s">
        <v>55</v>
      </c>
      <c r="B78" s="3"/>
      <c r="C78" s="3"/>
      <c r="D78" s="3"/>
      <c r="E78" s="6">
        <v>16790.361994179999</v>
      </c>
      <c r="F78" s="7">
        <v>100</v>
      </c>
    </row>
    <row r="81" spans="1:1" ht="15" customHeight="1" x14ac:dyDescent="0.25">
      <c r="A81" s="8"/>
    </row>
    <row r="82" spans="1:1" ht="15" customHeight="1" x14ac:dyDescent="0.25">
      <c r="A82" s="8"/>
    </row>
  </sheetData>
  <mergeCells count="2">
    <mergeCell ref="A1:F1"/>
    <mergeCell ref="A2:F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topLeftCell="A57" workbookViewId="0">
      <selection activeCell="A62" sqref="A62"/>
    </sheetView>
  </sheetViews>
  <sheetFormatPr defaultRowHeight="15" customHeight="1" x14ac:dyDescent="0.25"/>
  <cols>
    <col min="1" max="1" width="57.140625" bestFit="1" customWidth="1"/>
    <col min="2" max="2" width="19" bestFit="1" customWidth="1"/>
    <col min="3" max="3" width="34.28515625" bestFit="1" customWidth="1"/>
    <col min="4" max="6" width="15.28515625" bestFit="1" customWidth="1"/>
  </cols>
  <sheetData>
    <row r="1" spans="1:6" ht="15" customHeight="1" x14ac:dyDescent="0.25">
      <c r="A1" s="10" t="s">
        <v>213</v>
      </c>
      <c r="B1" s="10"/>
      <c r="C1" s="10"/>
      <c r="D1" s="10"/>
      <c r="E1" s="10"/>
      <c r="F1" s="10"/>
    </row>
    <row r="2" spans="1:6" ht="15" customHeight="1" x14ac:dyDescent="0.25">
      <c r="A2" s="10" t="s">
        <v>1</v>
      </c>
      <c r="B2" s="10"/>
      <c r="C2" s="10"/>
      <c r="D2" s="10"/>
      <c r="E2" s="10"/>
      <c r="F2" s="10"/>
    </row>
    <row r="3" spans="1:6" ht="36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15" customHeight="1" x14ac:dyDescent="0.25">
      <c r="A4" s="1" t="s">
        <v>8</v>
      </c>
      <c r="B4" s="3"/>
      <c r="C4" s="3"/>
      <c r="D4" s="3"/>
      <c r="E4" s="3"/>
      <c r="F4" s="3"/>
    </row>
    <row r="5" spans="1:6" ht="15" customHeight="1" x14ac:dyDescent="0.25">
      <c r="A5" s="1" t="s">
        <v>9</v>
      </c>
      <c r="B5" s="3"/>
      <c r="C5" s="3"/>
      <c r="D5" s="3"/>
      <c r="E5" s="3"/>
      <c r="F5" s="3"/>
    </row>
    <row r="6" spans="1:6" ht="15" customHeight="1" x14ac:dyDescent="0.25">
      <c r="A6" s="3" t="s">
        <v>59</v>
      </c>
      <c r="B6" s="3" t="s">
        <v>60</v>
      </c>
      <c r="C6" s="3" t="s">
        <v>61</v>
      </c>
      <c r="D6" s="3">
        <v>7780</v>
      </c>
      <c r="E6" s="4">
        <v>114.0548</v>
      </c>
      <c r="F6" s="5">
        <v>7.2225999999999999</v>
      </c>
    </row>
    <row r="7" spans="1:6" ht="15" customHeight="1" x14ac:dyDescent="0.25">
      <c r="A7" s="3" t="s">
        <v>62</v>
      </c>
      <c r="B7" s="3" t="s">
        <v>63</v>
      </c>
      <c r="C7" s="3" t="s">
        <v>35</v>
      </c>
      <c r="D7" s="3">
        <v>7639</v>
      </c>
      <c r="E7" s="4">
        <v>76.527501999999998</v>
      </c>
      <c r="F7" s="5">
        <v>4.8461999999999996</v>
      </c>
    </row>
    <row r="8" spans="1:6" ht="15" customHeight="1" x14ac:dyDescent="0.25">
      <c r="A8" s="3" t="s">
        <v>57</v>
      </c>
      <c r="B8" s="3" t="s">
        <v>58</v>
      </c>
      <c r="C8" s="3" t="s">
        <v>35</v>
      </c>
      <c r="D8" s="3">
        <v>18160</v>
      </c>
      <c r="E8" s="4">
        <v>69.035240000000002</v>
      </c>
      <c r="F8" s="5">
        <v>4.3716999999999997</v>
      </c>
    </row>
    <row r="9" spans="1:6" ht="15" customHeight="1" x14ac:dyDescent="0.25">
      <c r="A9" s="3" t="s">
        <v>64</v>
      </c>
      <c r="B9" s="3" t="s">
        <v>65</v>
      </c>
      <c r="C9" s="3" t="s">
        <v>35</v>
      </c>
      <c r="D9" s="3">
        <v>3820</v>
      </c>
      <c r="E9" s="4">
        <v>51.845039999999997</v>
      </c>
      <c r="F9" s="5">
        <v>3.2831000000000001</v>
      </c>
    </row>
    <row r="10" spans="1:6" ht="15" customHeight="1" x14ac:dyDescent="0.25">
      <c r="A10" s="3" t="s">
        <v>77</v>
      </c>
      <c r="B10" s="3" t="s">
        <v>78</v>
      </c>
      <c r="C10" s="3" t="s">
        <v>79</v>
      </c>
      <c r="D10" s="3">
        <v>8020</v>
      </c>
      <c r="E10" s="4">
        <v>41.246859999999998</v>
      </c>
      <c r="F10" s="5">
        <v>2.6120000000000001</v>
      </c>
    </row>
    <row r="11" spans="1:6" ht="15" customHeight="1" x14ac:dyDescent="0.25">
      <c r="A11" s="3" t="s">
        <v>71</v>
      </c>
      <c r="B11" s="3" t="s">
        <v>72</v>
      </c>
      <c r="C11" s="3" t="s">
        <v>35</v>
      </c>
      <c r="D11" s="3">
        <v>8683</v>
      </c>
      <c r="E11" s="4">
        <v>38.630667000000003</v>
      </c>
      <c r="F11" s="5">
        <v>2.4462999999999999</v>
      </c>
    </row>
    <row r="12" spans="1:6" ht="15" customHeight="1" x14ac:dyDescent="0.25">
      <c r="A12" s="3" t="s">
        <v>73</v>
      </c>
      <c r="B12" s="3" t="s">
        <v>74</v>
      </c>
      <c r="C12" s="3" t="s">
        <v>27</v>
      </c>
      <c r="D12" s="3">
        <v>1747</v>
      </c>
      <c r="E12" s="4">
        <v>38.346649999999997</v>
      </c>
      <c r="F12" s="5">
        <v>2.4283000000000001</v>
      </c>
    </row>
    <row r="13" spans="1:6" ht="15" customHeight="1" x14ac:dyDescent="0.25">
      <c r="A13" s="3" t="s">
        <v>214</v>
      </c>
      <c r="B13" s="3" t="s">
        <v>215</v>
      </c>
      <c r="C13" s="3" t="s">
        <v>207</v>
      </c>
      <c r="D13" s="3">
        <v>2309</v>
      </c>
      <c r="E13" s="4">
        <v>37.132183499999996</v>
      </c>
      <c r="F13" s="5">
        <v>2.3513999999999999</v>
      </c>
    </row>
    <row r="14" spans="1:6" ht="15" customHeight="1" x14ac:dyDescent="0.25">
      <c r="A14" s="3" t="s">
        <v>146</v>
      </c>
      <c r="B14" s="3" t="s">
        <v>147</v>
      </c>
      <c r="C14" s="3" t="s">
        <v>15</v>
      </c>
      <c r="D14" s="3">
        <v>5520</v>
      </c>
      <c r="E14" s="4">
        <v>32.545920000000002</v>
      </c>
      <c r="F14" s="5">
        <v>2.0609999999999999</v>
      </c>
    </row>
    <row r="15" spans="1:6" ht="15" customHeight="1" x14ac:dyDescent="0.25">
      <c r="A15" s="3" t="s">
        <v>113</v>
      </c>
      <c r="B15" s="3" t="s">
        <v>114</v>
      </c>
      <c r="C15" s="3" t="s">
        <v>68</v>
      </c>
      <c r="D15" s="3">
        <v>5492</v>
      </c>
      <c r="E15" s="4">
        <v>29.851766000000001</v>
      </c>
      <c r="F15" s="5">
        <v>1.8904000000000001</v>
      </c>
    </row>
    <row r="16" spans="1:6" ht="15" customHeight="1" x14ac:dyDescent="0.25">
      <c r="A16" s="3" t="s">
        <v>75</v>
      </c>
      <c r="B16" s="3" t="s">
        <v>76</v>
      </c>
      <c r="C16" s="3" t="s">
        <v>68</v>
      </c>
      <c r="D16" s="3">
        <v>3895</v>
      </c>
      <c r="E16" s="4">
        <v>27.868725000000001</v>
      </c>
      <c r="F16" s="5">
        <v>1.7647999999999999</v>
      </c>
    </row>
    <row r="17" spans="1:6" ht="15" customHeight="1" x14ac:dyDescent="0.25">
      <c r="A17" s="3" t="s">
        <v>216</v>
      </c>
      <c r="B17" s="3" t="s">
        <v>217</v>
      </c>
      <c r="C17" s="3" t="s">
        <v>35</v>
      </c>
      <c r="D17" s="3">
        <v>56510</v>
      </c>
      <c r="E17" s="4">
        <v>27.576879999999999</v>
      </c>
      <c r="F17" s="5">
        <v>1.7463</v>
      </c>
    </row>
    <row r="18" spans="1:6" ht="15" customHeight="1" x14ac:dyDescent="0.25">
      <c r="A18" s="3" t="s">
        <v>135</v>
      </c>
      <c r="B18" s="3" t="s">
        <v>136</v>
      </c>
      <c r="C18" s="3" t="s">
        <v>15</v>
      </c>
      <c r="D18" s="3">
        <v>1168</v>
      </c>
      <c r="E18" s="4">
        <v>27.248272</v>
      </c>
      <c r="F18" s="5">
        <v>1.7255</v>
      </c>
    </row>
    <row r="19" spans="1:6" ht="15" customHeight="1" x14ac:dyDescent="0.25">
      <c r="A19" s="3" t="s">
        <v>175</v>
      </c>
      <c r="B19" s="3" t="s">
        <v>176</v>
      </c>
      <c r="C19" s="3" t="s">
        <v>15</v>
      </c>
      <c r="D19" s="3">
        <v>4102</v>
      </c>
      <c r="E19" s="4">
        <v>25.672367000000001</v>
      </c>
      <c r="F19" s="5">
        <v>1.6256999999999999</v>
      </c>
    </row>
    <row r="20" spans="1:6" ht="15" customHeight="1" x14ac:dyDescent="0.25">
      <c r="A20" s="3" t="s">
        <v>218</v>
      </c>
      <c r="B20" s="3" t="s">
        <v>219</v>
      </c>
      <c r="C20" s="3" t="s">
        <v>15</v>
      </c>
      <c r="D20" s="3">
        <v>7920</v>
      </c>
      <c r="E20" s="4">
        <v>25.656839999999999</v>
      </c>
      <c r="F20" s="5">
        <v>1.6247</v>
      </c>
    </row>
    <row r="21" spans="1:6" ht="15" customHeight="1" x14ac:dyDescent="0.25">
      <c r="A21" s="3" t="s">
        <v>131</v>
      </c>
      <c r="B21" s="3" t="s">
        <v>132</v>
      </c>
      <c r="C21" s="3" t="s">
        <v>18</v>
      </c>
      <c r="D21" s="3">
        <v>3500</v>
      </c>
      <c r="E21" s="4">
        <v>24.96725</v>
      </c>
      <c r="F21" s="5">
        <v>1.581</v>
      </c>
    </row>
    <row r="22" spans="1:6" ht="15" customHeight="1" x14ac:dyDescent="0.25">
      <c r="A22" s="3" t="s">
        <v>220</v>
      </c>
      <c r="B22" s="3" t="s">
        <v>221</v>
      </c>
      <c r="C22" s="3" t="s">
        <v>96</v>
      </c>
      <c r="D22" s="3">
        <v>1402</v>
      </c>
      <c r="E22" s="4">
        <v>24.170480000000001</v>
      </c>
      <c r="F22" s="5">
        <v>1.5306</v>
      </c>
    </row>
    <row r="23" spans="1:6" ht="15" customHeight="1" x14ac:dyDescent="0.25">
      <c r="A23" s="3" t="s">
        <v>139</v>
      </c>
      <c r="B23" s="3" t="s">
        <v>140</v>
      </c>
      <c r="C23" s="3" t="s">
        <v>141</v>
      </c>
      <c r="D23" s="3">
        <v>8830</v>
      </c>
      <c r="E23" s="4">
        <v>21.456900000000001</v>
      </c>
      <c r="F23" s="5">
        <v>1.3587</v>
      </c>
    </row>
    <row r="24" spans="1:6" ht="15" customHeight="1" x14ac:dyDescent="0.25">
      <c r="A24" s="3" t="s">
        <v>167</v>
      </c>
      <c r="B24" s="3" t="s">
        <v>168</v>
      </c>
      <c r="C24" s="3" t="s">
        <v>18</v>
      </c>
      <c r="D24" s="3">
        <v>395</v>
      </c>
      <c r="E24" s="4">
        <v>21.167259999999999</v>
      </c>
      <c r="F24" s="5">
        <v>1.3404</v>
      </c>
    </row>
    <row r="25" spans="1:6" ht="15" customHeight="1" x14ac:dyDescent="0.25">
      <c r="A25" s="3" t="s">
        <v>222</v>
      </c>
      <c r="B25" s="3" t="s">
        <v>223</v>
      </c>
      <c r="C25" s="3" t="s">
        <v>32</v>
      </c>
      <c r="D25" s="3">
        <v>11102</v>
      </c>
      <c r="E25" s="4">
        <v>20.188987000000001</v>
      </c>
      <c r="F25" s="5">
        <v>1.2784</v>
      </c>
    </row>
    <row r="26" spans="1:6" ht="15" customHeight="1" x14ac:dyDescent="0.25">
      <c r="A26" s="3" t="s">
        <v>224</v>
      </c>
      <c r="B26" s="3" t="s">
        <v>225</v>
      </c>
      <c r="C26" s="3" t="s">
        <v>162</v>
      </c>
      <c r="D26" s="3">
        <v>2194</v>
      </c>
      <c r="E26" s="4">
        <v>19.935780999999999</v>
      </c>
      <c r="F26" s="5">
        <v>1.2624</v>
      </c>
    </row>
    <row r="27" spans="1:6" ht="15" customHeight="1" x14ac:dyDescent="0.25">
      <c r="A27" s="3" t="s">
        <v>152</v>
      </c>
      <c r="B27" s="3" t="s">
        <v>153</v>
      </c>
      <c r="C27" s="3" t="s">
        <v>82</v>
      </c>
      <c r="D27" s="3">
        <v>4210</v>
      </c>
      <c r="E27" s="4">
        <v>19.778580000000002</v>
      </c>
      <c r="F27" s="5">
        <v>1.2524999999999999</v>
      </c>
    </row>
    <row r="28" spans="1:6" ht="15" customHeight="1" x14ac:dyDescent="0.25">
      <c r="A28" s="3" t="s">
        <v>91</v>
      </c>
      <c r="B28" s="3" t="s">
        <v>92</v>
      </c>
      <c r="C28" s="3" t="s">
        <v>93</v>
      </c>
      <c r="D28" s="3">
        <v>5220</v>
      </c>
      <c r="E28" s="4">
        <v>19.473210000000002</v>
      </c>
      <c r="F28" s="5">
        <v>1.2331000000000001</v>
      </c>
    </row>
    <row r="29" spans="1:6" ht="15" customHeight="1" x14ac:dyDescent="0.25">
      <c r="A29" s="3" t="s">
        <v>226</v>
      </c>
      <c r="B29" s="3" t="s">
        <v>227</v>
      </c>
      <c r="C29" s="3" t="s">
        <v>68</v>
      </c>
      <c r="D29" s="3">
        <v>3540</v>
      </c>
      <c r="E29" s="4">
        <v>19.337250000000001</v>
      </c>
      <c r="F29" s="5">
        <v>1.2244999999999999</v>
      </c>
    </row>
    <row r="30" spans="1:6" ht="15" customHeight="1" x14ac:dyDescent="0.25">
      <c r="A30" s="3" t="s">
        <v>101</v>
      </c>
      <c r="B30" s="3" t="s">
        <v>102</v>
      </c>
      <c r="C30" s="3" t="s">
        <v>21</v>
      </c>
      <c r="D30" s="3">
        <v>4270</v>
      </c>
      <c r="E30" s="4">
        <v>17.48565</v>
      </c>
      <c r="F30" s="5">
        <v>1.1073</v>
      </c>
    </row>
    <row r="31" spans="1:6" ht="15" customHeight="1" x14ac:dyDescent="0.25">
      <c r="A31" s="3" t="s">
        <v>142</v>
      </c>
      <c r="B31" s="3" t="s">
        <v>143</v>
      </c>
      <c r="C31" s="3" t="s">
        <v>121</v>
      </c>
      <c r="D31" s="3">
        <v>2700</v>
      </c>
      <c r="E31" s="4">
        <v>17.166599999999999</v>
      </c>
      <c r="F31" s="5">
        <v>1.0871</v>
      </c>
    </row>
    <row r="32" spans="1:6" ht="15" customHeight="1" x14ac:dyDescent="0.25">
      <c r="A32" s="3" t="s">
        <v>97</v>
      </c>
      <c r="B32" s="3" t="s">
        <v>98</v>
      </c>
      <c r="C32" s="3" t="s">
        <v>82</v>
      </c>
      <c r="D32" s="3">
        <v>3370</v>
      </c>
      <c r="E32" s="4">
        <v>16.885384999999999</v>
      </c>
      <c r="F32" s="5">
        <v>1.0691999999999999</v>
      </c>
    </row>
    <row r="33" spans="1:6" ht="15" customHeight="1" x14ac:dyDescent="0.25">
      <c r="A33" s="3" t="s">
        <v>228</v>
      </c>
      <c r="B33" s="3" t="s">
        <v>229</v>
      </c>
      <c r="C33" s="3" t="s">
        <v>27</v>
      </c>
      <c r="D33" s="3">
        <v>11250</v>
      </c>
      <c r="E33" s="4">
        <v>16.306875000000002</v>
      </c>
      <c r="F33" s="5">
        <v>1.0326</v>
      </c>
    </row>
    <row r="34" spans="1:6" ht="15" customHeight="1" x14ac:dyDescent="0.25">
      <c r="A34" s="3" t="s">
        <v>230</v>
      </c>
      <c r="B34" s="3" t="s">
        <v>231</v>
      </c>
      <c r="C34" s="3" t="s">
        <v>207</v>
      </c>
      <c r="D34" s="3">
        <v>4167</v>
      </c>
      <c r="E34" s="4">
        <v>15.730425</v>
      </c>
      <c r="F34" s="5">
        <v>0.99609999999999999</v>
      </c>
    </row>
    <row r="35" spans="1:6" ht="15" customHeight="1" x14ac:dyDescent="0.25">
      <c r="A35" s="3" t="s">
        <v>232</v>
      </c>
      <c r="B35" s="3" t="s">
        <v>233</v>
      </c>
      <c r="C35" s="3" t="s">
        <v>61</v>
      </c>
      <c r="D35" s="3">
        <v>2473</v>
      </c>
      <c r="E35" s="4">
        <v>14.6611805</v>
      </c>
      <c r="F35" s="5">
        <v>0.9284</v>
      </c>
    </row>
    <row r="36" spans="1:6" ht="15" customHeight="1" x14ac:dyDescent="0.25">
      <c r="A36" s="3" t="s">
        <v>107</v>
      </c>
      <c r="B36" s="3" t="s">
        <v>108</v>
      </c>
      <c r="C36" s="3" t="s">
        <v>27</v>
      </c>
      <c r="D36" s="3">
        <v>797</v>
      </c>
      <c r="E36" s="4">
        <v>14.016838999999999</v>
      </c>
      <c r="F36" s="5">
        <v>0.88759999999999994</v>
      </c>
    </row>
    <row r="37" spans="1:6" ht="15" customHeight="1" x14ac:dyDescent="0.25">
      <c r="A37" s="3" t="s">
        <v>156</v>
      </c>
      <c r="B37" s="3" t="s">
        <v>157</v>
      </c>
      <c r="C37" s="3" t="s">
        <v>61</v>
      </c>
      <c r="D37" s="3">
        <v>3690</v>
      </c>
      <c r="E37" s="4">
        <v>13.653</v>
      </c>
      <c r="F37" s="5">
        <v>0.86450000000000005</v>
      </c>
    </row>
    <row r="38" spans="1:6" ht="15" customHeight="1" x14ac:dyDescent="0.25">
      <c r="A38" s="3" t="s">
        <v>234</v>
      </c>
      <c r="B38" s="3" t="s">
        <v>235</v>
      </c>
      <c r="C38" s="3" t="s">
        <v>236</v>
      </c>
      <c r="D38" s="3">
        <v>1149</v>
      </c>
      <c r="E38" s="4">
        <v>13.095727500000001</v>
      </c>
      <c r="F38" s="5">
        <v>0.82930000000000004</v>
      </c>
    </row>
    <row r="39" spans="1:6" ht="15" customHeight="1" x14ac:dyDescent="0.25">
      <c r="A39" s="3" t="s">
        <v>115</v>
      </c>
      <c r="B39" s="3" t="s">
        <v>116</v>
      </c>
      <c r="C39" s="3" t="s">
        <v>82</v>
      </c>
      <c r="D39" s="3">
        <v>2610</v>
      </c>
      <c r="E39" s="4">
        <v>12.841200000000001</v>
      </c>
      <c r="F39" s="5">
        <v>0.81310000000000004</v>
      </c>
    </row>
    <row r="40" spans="1:6" ht="15" customHeight="1" x14ac:dyDescent="0.25">
      <c r="A40" s="3" t="s">
        <v>237</v>
      </c>
      <c r="B40" s="3" t="s">
        <v>238</v>
      </c>
      <c r="C40" s="3" t="s">
        <v>207</v>
      </c>
      <c r="D40" s="3">
        <v>1138</v>
      </c>
      <c r="E40" s="4">
        <v>12.455978999999999</v>
      </c>
      <c r="F40" s="5">
        <v>0.78869999999999996</v>
      </c>
    </row>
    <row r="41" spans="1:6" ht="15" customHeight="1" x14ac:dyDescent="0.25">
      <c r="A41" s="3" t="s">
        <v>94</v>
      </c>
      <c r="B41" s="3" t="s">
        <v>95</v>
      </c>
      <c r="C41" s="3" t="s">
        <v>96</v>
      </c>
      <c r="D41" s="3">
        <v>495</v>
      </c>
      <c r="E41" s="4">
        <v>11.7990675</v>
      </c>
      <c r="F41" s="5">
        <v>0.74709999999999999</v>
      </c>
    </row>
    <row r="42" spans="1:6" ht="15" customHeight="1" x14ac:dyDescent="0.25">
      <c r="A42" s="3" t="s">
        <v>239</v>
      </c>
      <c r="B42" s="3" t="s">
        <v>240</v>
      </c>
      <c r="C42" s="3" t="s">
        <v>82</v>
      </c>
      <c r="D42" s="3">
        <v>6840</v>
      </c>
      <c r="E42" s="4">
        <v>11.35098</v>
      </c>
      <c r="F42" s="5">
        <v>0.71879999999999999</v>
      </c>
    </row>
    <row r="43" spans="1:6" ht="15" customHeight="1" x14ac:dyDescent="0.25">
      <c r="A43" s="3" t="s">
        <v>154</v>
      </c>
      <c r="B43" s="3" t="s">
        <v>155</v>
      </c>
      <c r="C43" s="3" t="s">
        <v>27</v>
      </c>
      <c r="D43" s="3">
        <v>2063</v>
      </c>
      <c r="E43" s="4">
        <v>11.071089499999999</v>
      </c>
      <c r="F43" s="5">
        <v>0.70099999999999996</v>
      </c>
    </row>
    <row r="44" spans="1:6" ht="15" customHeight="1" x14ac:dyDescent="0.25">
      <c r="A44" s="3" t="s">
        <v>85</v>
      </c>
      <c r="B44" s="3" t="s">
        <v>86</v>
      </c>
      <c r="C44" s="3" t="s">
        <v>21</v>
      </c>
      <c r="D44" s="3">
        <v>297</v>
      </c>
      <c r="E44" s="4">
        <v>10.496871000000001</v>
      </c>
      <c r="F44" s="5">
        <v>0.66469999999999996</v>
      </c>
    </row>
    <row r="45" spans="1:6" ht="15" customHeight="1" x14ac:dyDescent="0.25">
      <c r="A45" s="3" t="s">
        <v>99</v>
      </c>
      <c r="B45" s="3" t="s">
        <v>100</v>
      </c>
      <c r="C45" s="3" t="s">
        <v>18</v>
      </c>
      <c r="D45" s="3">
        <v>397</v>
      </c>
      <c r="E45" s="4">
        <v>10.414501</v>
      </c>
      <c r="F45" s="5">
        <v>0.65949999999999998</v>
      </c>
    </row>
    <row r="46" spans="1:6" ht="15" customHeight="1" x14ac:dyDescent="0.25">
      <c r="A46" s="3" t="s">
        <v>137</v>
      </c>
      <c r="B46" s="3" t="s">
        <v>138</v>
      </c>
      <c r="C46" s="3" t="s">
        <v>27</v>
      </c>
      <c r="D46" s="3">
        <v>400</v>
      </c>
      <c r="E46" s="4">
        <v>6.4340000000000002</v>
      </c>
      <c r="F46" s="5">
        <v>0.40739999999999998</v>
      </c>
    </row>
    <row r="47" spans="1:6" ht="15" customHeight="1" x14ac:dyDescent="0.25">
      <c r="A47" s="1" t="s">
        <v>39</v>
      </c>
      <c r="B47" s="3"/>
      <c r="C47" s="3"/>
      <c r="D47" s="3"/>
      <c r="E47" s="6">
        <f>SUM(E6:E46)</f>
        <v>1079.5807805000002</v>
      </c>
      <c r="F47" s="7">
        <f>SUM(F6:F46)</f>
        <v>68.36399999999999</v>
      </c>
    </row>
    <row r="48" spans="1:6" ht="15" customHeight="1" x14ac:dyDescent="0.25">
      <c r="A48" s="3"/>
      <c r="B48" s="3"/>
      <c r="C48" s="3"/>
      <c r="D48" s="3"/>
      <c r="E48" s="3"/>
      <c r="F48" s="3"/>
    </row>
    <row r="49" spans="1:6" ht="15" customHeight="1" x14ac:dyDescent="0.25">
      <c r="A49" s="1" t="s">
        <v>40</v>
      </c>
      <c r="B49" s="3"/>
      <c r="C49" s="3"/>
      <c r="D49" s="3"/>
      <c r="E49" s="4">
        <v>0</v>
      </c>
      <c r="F49" s="5">
        <v>0</v>
      </c>
    </row>
    <row r="50" spans="1:6" ht="15" customHeight="1" x14ac:dyDescent="0.25">
      <c r="A50" s="1" t="s">
        <v>39</v>
      </c>
      <c r="B50" s="3"/>
      <c r="C50" s="3"/>
      <c r="D50" s="3"/>
      <c r="E50" s="6">
        <v>0</v>
      </c>
      <c r="F50" s="7">
        <v>0</v>
      </c>
    </row>
    <row r="51" spans="1:6" ht="15" customHeight="1" x14ac:dyDescent="0.25">
      <c r="A51" s="1" t="s">
        <v>41</v>
      </c>
      <c r="B51" s="3"/>
      <c r="C51" s="3"/>
      <c r="D51" s="3"/>
      <c r="E51" s="6">
        <f>+E47</f>
        <v>1079.5807805000002</v>
      </c>
      <c r="F51" s="7">
        <f>+F47</f>
        <v>68.36399999999999</v>
      </c>
    </row>
    <row r="52" spans="1:6" ht="15" customHeight="1" x14ac:dyDescent="0.25">
      <c r="A52" s="1" t="s">
        <v>177</v>
      </c>
      <c r="B52" s="3"/>
      <c r="C52" s="3"/>
      <c r="D52" s="3"/>
      <c r="E52" s="3"/>
      <c r="F52" s="3"/>
    </row>
    <row r="53" spans="1:6" ht="15" customHeight="1" x14ac:dyDescent="0.25">
      <c r="A53" s="1" t="s">
        <v>9</v>
      </c>
      <c r="B53" s="3"/>
      <c r="C53" s="3"/>
      <c r="D53" s="3"/>
      <c r="E53" s="3"/>
      <c r="F53" s="3"/>
    </row>
    <row r="54" spans="1:6" ht="15" customHeight="1" x14ac:dyDescent="0.25">
      <c r="A54" s="3" t="s">
        <v>241</v>
      </c>
      <c r="B54" s="3" t="s">
        <v>242</v>
      </c>
      <c r="C54" s="3" t="s">
        <v>180</v>
      </c>
      <c r="D54" s="3">
        <v>490</v>
      </c>
      <c r="E54" s="4">
        <v>0.15097640000000001</v>
      </c>
      <c r="F54" s="5">
        <v>9.4999999999999998E-3</v>
      </c>
    </row>
    <row r="55" spans="1:6" ht="15" customHeight="1" x14ac:dyDescent="0.25">
      <c r="A55" s="1" t="s">
        <v>39</v>
      </c>
      <c r="B55" s="3"/>
      <c r="C55" s="3"/>
      <c r="D55" s="3"/>
      <c r="E55" s="6">
        <v>0.15097640000000001</v>
      </c>
      <c r="F55" s="7">
        <v>9.4999999999999998E-3</v>
      </c>
    </row>
    <row r="56" spans="1:6" ht="15" customHeight="1" x14ac:dyDescent="0.25">
      <c r="A56" s="3"/>
      <c r="B56" s="3"/>
      <c r="C56" s="3"/>
      <c r="D56" s="3"/>
      <c r="E56" s="3"/>
      <c r="F56" s="3"/>
    </row>
    <row r="57" spans="1:6" ht="15" customHeight="1" x14ac:dyDescent="0.25">
      <c r="A57" s="1" t="s">
        <v>184</v>
      </c>
      <c r="B57" s="3"/>
      <c r="C57" s="3"/>
      <c r="D57" s="3"/>
      <c r="E57" s="4">
        <v>0</v>
      </c>
      <c r="F57" s="5">
        <v>0</v>
      </c>
    </row>
    <row r="58" spans="1:6" ht="15" customHeight="1" x14ac:dyDescent="0.25">
      <c r="A58" s="1" t="s">
        <v>39</v>
      </c>
      <c r="B58" s="3"/>
      <c r="C58" s="3"/>
      <c r="D58" s="3"/>
      <c r="E58" s="6">
        <v>0</v>
      </c>
      <c r="F58" s="7">
        <v>0</v>
      </c>
    </row>
    <row r="59" spans="1:6" ht="15" customHeight="1" x14ac:dyDescent="0.25">
      <c r="A59" s="1" t="s">
        <v>41</v>
      </c>
      <c r="B59" s="3"/>
      <c r="C59" s="3"/>
      <c r="D59" s="3"/>
      <c r="E59" s="6">
        <v>0.15097640000000001</v>
      </c>
      <c r="F59" s="7">
        <v>9.4999999999999998E-3</v>
      </c>
    </row>
    <row r="60" spans="1:6" ht="15" customHeight="1" x14ac:dyDescent="0.25">
      <c r="A60" s="1" t="s">
        <v>185</v>
      </c>
      <c r="B60" s="3"/>
      <c r="C60" s="3"/>
      <c r="D60" s="3"/>
      <c r="E60" s="3"/>
      <c r="F60" s="3"/>
    </row>
    <row r="61" spans="1:6" ht="15" customHeight="1" x14ac:dyDescent="0.25">
      <c r="A61" s="1" t="s">
        <v>186</v>
      </c>
      <c r="B61" s="3"/>
      <c r="C61" s="3"/>
      <c r="D61" s="3"/>
      <c r="E61" s="3"/>
      <c r="F61" s="3"/>
    </row>
    <row r="62" spans="1:6" ht="30" customHeight="1" x14ac:dyDescent="0.25">
      <c r="A62" s="3" t="s">
        <v>288</v>
      </c>
      <c r="B62" s="3" t="s">
        <v>196</v>
      </c>
      <c r="C62" s="3" t="s">
        <v>192</v>
      </c>
      <c r="D62" s="3">
        <v>100000</v>
      </c>
      <c r="E62" s="4">
        <v>99.843634899999998</v>
      </c>
      <c r="F62" s="5">
        <v>6.3227000000000002</v>
      </c>
    </row>
    <row r="63" spans="1:6" ht="15" customHeight="1" x14ac:dyDescent="0.25">
      <c r="A63" s="1" t="s">
        <v>39</v>
      </c>
      <c r="B63" s="3"/>
      <c r="C63" s="3"/>
      <c r="D63" s="3"/>
      <c r="E63" s="6">
        <v>99.843634899999998</v>
      </c>
      <c r="F63" s="7">
        <v>6.3227000000000002</v>
      </c>
    </row>
    <row r="64" spans="1:6" ht="15" customHeight="1" x14ac:dyDescent="0.25">
      <c r="A64" s="1" t="s">
        <v>197</v>
      </c>
      <c r="B64" s="3"/>
      <c r="C64" s="3"/>
      <c r="D64" s="3"/>
      <c r="E64" s="3"/>
      <c r="F64" s="3"/>
    </row>
    <row r="65" spans="1:6" ht="15" customHeight="1" x14ac:dyDescent="0.25">
      <c r="A65" s="3" t="s">
        <v>198</v>
      </c>
      <c r="B65" s="3" t="s">
        <v>199</v>
      </c>
      <c r="C65" s="3" t="s">
        <v>192</v>
      </c>
      <c r="D65" s="3">
        <v>50000</v>
      </c>
      <c r="E65" s="4">
        <v>49.890929300000003</v>
      </c>
      <c r="F65" s="5">
        <v>3.1594000000000002</v>
      </c>
    </row>
    <row r="66" spans="1:6" ht="15" customHeight="1" x14ac:dyDescent="0.25">
      <c r="A66" s="1" t="s">
        <v>39</v>
      </c>
      <c r="B66" s="3"/>
      <c r="C66" s="3"/>
      <c r="D66" s="3"/>
      <c r="E66" s="6">
        <v>49.890929300000003</v>
      </c>
      <c r="F66" s="7">
        <v>3.1594000000000002</v>
      </c>
    </row>
    <row r="67" spans="1:6" ht="15" customHeight="1" x14ac:dyDescent="0.25">
      <c r="A67" s="1" t="s">
        <v>41</v>
      </c>
      <c r="B67" s="3"/>
      <c r="C67" s="3"/>
      <c r="D67" s="3"/>
      <c r="E67" s="6">
        <v>149.73456419999999</v>
      </c>
      <c r="F67" s="7">
        <v>9.4821000000000009</v>
      </c>
    </row>
    <row r="68" spans="1:6" ht="15" customHeight="1" x14ac:dyDescent="0.25">
      <c r="A68" s="1" t="s">
        <v>243</v>
      </c>
      <c r="B68" s="3"/>
      <c r="C68" s="3"/>
      <c r="D68" s="3"/>
      <c r="E68" s="3"/>
      <c r="F68" s="3"/>
    </row>
    <row r="69" spans="1:6" ht="15" customHeight="1" x14ac:dyDescent="0.25">
      <c r="A69" s="1" t="s">
        <v>244</v>
      </c>
      <c r="B69" s="3"/>
      <c r="C69" s="3"/>
      <c r="D69" s="3"/>
      <c r="E69" s="3"/>
      <c r="F69" s="3"/>
    </row>
    <row r="70" spans="1:6" ht="15" customHeight="1" x14ac:dyDescent="0.25">
      <c r="A70" s="3" t="s">
        <v>245</v>
      </c>
      <c r="B70" s="3" t="s">
        <v>246</v>
      </c>
      <c r="C70" s="3"/>
      <c r="D70" s="3">
        <v>477600</v>
      </c>
      <c r="E70" s="4">
        <v>203.31432000000001</v>
      </c>
      <c r="F70" s="5">
        <v>12.8751</v>
      </c>
    </row>
    <row r="71" spans="1:6" ht="15" customHeight="1" x14ac:dyDescent="0.25">
      <c r="A71" s="1" t="s">
        <v>39</v>
      </c>
      <c r="B71" s="3"/>
      <c r="C71" s="3"/>
      <c r="D71" s="3"/>
      <c r="E71" s="6">
        <v>203.31432000000001</v>
      </c>
      <c r="F71" s="7">
        <v>12.8751</v>
      </c>
    </row>
    <row r="72" spans="1:6" ht="15" customHeight="1" x14ac:dyDescent="0.25">
      <c r="A72" s="1" t="s">
        <v>41</v>
      </c>
      <c r="B72" s="3"/>
      <c r="C72" s="3"/>
      <c r="D72" s="3"/>
      <c r="E72" s="6">
        <v>203.31432000000001</v>
      </c>
      <c r="F72" s="7">
        <v>12.8751</v>
      </c>
    </row>
    <row r="73" spans="1:6" ht="15" customHeight="1" x14ac:dyDescent="0.25">
      <c r="A73" s="3"/>
      <c r="B73" s="3"/>
      <c r="C73" s="3"/>
      <c r="D73" s="3"/>
      <c r="E73" s="3"/>
      <c r="F73" s="3"/>
    </row>
    <row r="74" spans="1:6" s="9" customFormat="1" ht="15" customHeight="1" x14ac:dyDescent="0.25">
      <c r="A74" s="1" t="s">
        <v>247</v>
      </c>
      <c r="B74" s="3"/>
      <c r="C74" s="3"/>
      <c r="D74" s="3"/>
      <c r="E74" s="6"/>
      <c r="F74" s="7"/>
    </row>
    <row r="75" spans="1:6" s="9" customFormat="1" ht="15" customHeight="1" x14ac:dyDescent="0.25">
      <c r="A75" s="3" t="s">
        <v>248</v>
      </c>
      <c r="B75" s="3" t="s">
        <v>249</v>
      </c>
      <c r="C75" s="3" t="s">
        <v>250</v>
      </c>
      <c r="D75" s="3">
        <v>66339</v>
      </c>
      <c r="E75" s="4">
        <v>63.625734899999998</v>
      </c>
      <c r="F75" s="5">
        <v>4.0290999999999997</v>
      </c>
    </row>
    <row r="76" spans="1:6" s="9" customFormat="1" ht="15" customHeight="1" x14ac:dyDescent="0.25">
      <c r="A76" s="1" t="s">
        <v>39</v>
      </c>
      <c r="B76" s="3"/>
      <c r="C76" s="3"/>
      <c r="D76" s="3"/>
      <c r="E76" s="6">
        <f>+E75</f>
        <v>63.625734899999998</v>
      </c>
      <c r="F76" s="7">
        <f>+F75</f>
        <v>4.0290999999999997</v>
      </c>
    </row>
    <row r="77" spans="1:6" s="9" customFormat="1" ht="15" customHeight="1" x14ac:dyDescent="0.25">
      <c r="A77" s="1" t="s">
        <v>41</v>
      </c>
      <c r="B77" s="3"/>
      <c r="C77" s="3"/>
      <c r="D77" s="3"/>
      <c r="E77" s="6">
        <f>+E76</f>
        <v>63.625734899999998</v>
      </c>
      <c r="F77" s="7">
        <f>+F76</f>
        <v>4.0290999999999997</v>
      </c>
    </row>
    <row r="78" spans="1:6" ht="15" customHeight="1" x14ac:dyDescent="0.25">
      <c r="A78" s="3"/>
      <c r="B78" s="3"/>
      <c r="C78" s="3"/>
      <c r="D78" s="3"/>
      <c r="E78" s="3"/>
      <c r="F78" s="3"/>
    </row>
    <row r="79" spans="1:6" ht="30" customHeight="1" x14ac:dyDescent="0.25">
      <c r="A79" s="3" t="s">
        <v>54</v>
      </c>
      <c r="B79" s="3"/>
      <c r="C79" s="3"/>
      <c r="D79" s="3"/>
      <c r="E79" s="4">
        <v>82.70956529</v>
      </c>
      <c r="F79" s="5">
        <v>5.2377000000000002</v>
      </c>
    </row>
    <row r="80" spans="1:6" ht="15" customHeight="1" x14ac:dyDescent="0.25">
      <c r="A80" s="3"/>
      <c r="B80" s="3"/>
      <c r="C80" s="3"/>
      <c r="D80" s="3"/>
      <c r="E80" s="3"/>
      <c r="F80" s="3"/>
    </row>
    <row r="81" spans="1:6" ht="15" customHeight="1" x14ac:dyDescent="0.25">
      <c r="A81" s="3"/>
      <c r="B81" s="3"/>
      <c r="C81" s="3"/>
      <c r="D81" s="3"/>
      <c r="E81" s="3"/>
      <c r="F81" s="3"/>
    </row>
    <row r="82" spans="1:6" ht="15" customHeight="1" x14ac:dyDescent="0.25">
      <c r="A82" s="1" t="s">
        <v>55</v>
      </c>
      <c r="B82" s="3"/>
      <c r="C82" s="3"/>
      <c r="D82" s="3"/>
      <c r="E82" s="6">
        <v>1579.1159412899999</v>
      </c>
      <c r="F82" s="7">
        <v>100</v>
      </c>
    </row>
    <row r="85" spans="1:6" ht="15" customHeight="1" x14ac:dyDescent="0.25">
      <c r="A85" s="8" t="s">
        <v>251</v>
      </c>
    </row>
    <row r="86" spans="1:6" ht="15" customHeight="1" x14ac:dyDescent="0.25">
      <c r="A86" s="8" t="s">
        <v>201</v>
      </c>
    </row>
  </sheetData>
  <mergeCells count="2">
    <mergeCell ref="A1:F1"/>
    <mergeCell ref="A2:F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opLeftCell="A45" workbookViewId="0">
      <selection activeCell="A68" sqref="A68"/>
    </sheetView>
  </sheetViews>
  <sheetFormatPr defaultRowHeight="15" customHeight="1" x14ac:dyDescent="0.25"/>
  <cols>
    <col min="1" max="1" width="57.140625" bestFit="1" customWidth="1"/>
    <col min="2" max="2" width="19" bestFit="1" customWidth="1"/>
    <col min="3" max="3" width="34.28515625" bestFit="1" customWidth="1"/>
    <col min="4" max="6" width="15.28515625" bestFit="1" customWidth="1"/>
  </cols>
  <sheetData>
    <row r="1" spans="1:6" ht="15" customHeight="1" x14ac:dyDescent="0.25">
      <c r="A1" s="10" t="s">
        <v>252</v>
      </c>
      <c r="B1" s="10"/>
      <c r="C1" s="10"/>
      <c r="D1" s="10"/>
      <c r="E1" s="10"/>
      <c r="F1" s="10"/>
    </row>
    <row r="2" spans="1:6" ht="15" customHeight="1" x14ac:dyDescent="0.25">
      <c r="A2" s="10" t="s">
        <v>1</v>
      </c>
      <c r="B2" s="10"/>
      <c r="C2" s="10"/>
      <c r="D2" s="10"/>
      <c r="E2" s="10"/>
      <c r="F2" s="10"/>
    </row>
    <row r="3" spans="1:6" ht="36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15" customHeight="1" x14ac:dyDescent="0.25">
      <c r="A4" s="1" t="s">
        <v>8</v>
      </c>
      <c r="B4" s="3"/>
      <c r="C4" s="3"/>
      <c r="D4" s="3"/>
      <c r="E4" s="3"/>
      <c r="F4" s="3"/>
    </row>
    <row r="5" spans="1:6" ht="15" customHeight="1" x14ac:dyDescent="0.25">
      <c r="A5" s="1" t="s">
        <v>9</v>
      </c>
      <c r="B5" s="3"/>
      <c r="C5" s="3"/>
      <c r="D5" s="3"/>
      <c r="E5" s="3"/>
      <c r="F5" s="3"/>
    </row>
    <row r="6" spans="1:6" ht="15" customHeight="1" x14ac:dyDescent="0.25">
      <c r="A6" s="3" t="s">
        <v>59</v>
      </c>
      <c r="B6" s="3" t="s">
        <v>60</v>
      </c>
      <c r="C6" s="3" t="s">
        <v>61</v>
      </c>
      <c r="D6" s="3">
        <v>51665</v>
      </c>
      <c r="E6" s="4">
        <v>757.40890000000002</v>
      </c>
      <c r="F6" s="5">
        <v>9.9083000000000006</v>
      </c>
    </row>
    <row r="7" spans="1:6" ht="15" customHeight="1" x14ac:dyDescent="0.25">
      <c r="A7" s="3" t="s">
        <v>62</v>
      </c>
      <c r="B7" s="3" t="s">
        <v>63</v>
      </c>
      <c r="C7" s="3" t="s">
        <v>35</v>
      </c>
      <c r="D7" s="3">
        <v>67697</v>
      </c>
      <c r="E7" s="4">
        <v>678.18854599999997</v>
      </c>
      <c r="F7" s="5">
        <v>8.8719999999999999</v>
      </c>
    </row>
    <row r="8" spans="1:6" ht="15" customHeight="1" x14ac:dyDescent="0.25">
      <c r="A8" s="3" t="s">
        <v>57</v>
      </c>
      <c r="B8" s="3" t="s">
        <v>58</v>
      </c>
      <c r="C8" s="3" t="s">
        <v>35</v>
      </c>
      <c r="D8" s="3">
        <v>130410</v>
      </c>
      <c r="E8" s="4">
        <v>495.75361500000002</v>
      </c>
      <c r="F8" s="5">
        <v>6.4854000000000003</v>
      </c>
    </row>
    <row r="9" spans="1:6" ht="15" customHeight="1" x14ac:dyDescent="0.25">
      <c r="A9" s="3" t="s">
        <v>75</v>
      </c>
      <c r="B9" s="3" t="s">
        <v>76</v>
      </c>
      <c r="C9" s="3" t="s">
        <v>68</v>
      </c>
      <c r="D9" s="3">
        <v>67560</v>
      </c>
      <c r="E9" s="4">
        <v>483.39179999999999</v>
      </c>
      <c r="F9" s="5">
        <v>6.3236999999999997</v>
      </c>
    </row>
    <row r="10" spans="1:6" ht="15" customHeight="1" x14ac:dyDescent="0.25">
      <c r="A10" s="3" t="s">
        <v>64</v>
      </c>
      <c r="B10" s="3" t="s">
        <v>65</v>
      </c>
      <c r="C10" s="3" t="s">
        <v>35</v>
      </c>
      <c r="D10" s="3">
        <v>31950</v>
      </c>
      <c r="E10" s="4">
        <v>433.62540000000001</v>
      </c>
      <c r="F10" s="5">
        <v>5.6726000000000001</v>
      </c>
    </row>
    <row r="11" spans="1:6" ht="15" customHeight="1" x14ac:dyDescent="0.25">
      <c r="A11" s="3" t="s">
        <v>80</v>
      </c>
      <c r="B11" s="3" t="s">
        <v>81</v>
      </c>
      <c r="C11" s="3" t="s">
        <v>82</v>
      </c>
      <c r="D11" s="3">
        <v>22275</v>
      </c>
      <c r="E11" s="4">
        <v>426.78899999999999</v>
      </c>
      <c r="F11" s="5">
        <v>5.5831999999999997</v>
      </c>
    </row>
    <row r="12" spans="1:6" ht="15" customHeight="1" x14ac:dyDescent="0.25">
      <c r="A12" s="3" t="s">
        <v>77</v>
      </c>
      <c r="B12" s="3" t="s">
        <v>78</v>
      </c>
      <c r="C12" s="3" t="s">
        <v>79</v>
      </c>
      <c r="D12" s="3">
        <v>52940</v>
      </c>
      <c r="E12" s="4">
        <v>272.27042</v>
      </c>
      <c r="F12" s="5">
        <v>3.5617999999999999</v>
      </c>
    </row>
    <row r="13" spans="1:6" ht="15" customHeight="1" x14ac:dyDescent="0.25">
      <c r="A13" s="3" t="s">
        <v>66</v>
      </c>
      <c r="B13" s="3" t="s">
        <v>67</v>
      </c>
      <c r="C13" s="3" t="s">
        <v>68</v>
      </c>
      <c r="D13" s="3">
        <v>11880</v>
      </c>
      <c r="E13" s="4">
        <v>239.31666000000001</v>
      </c>
      <c r="F13" s="5">
        <v>3.1307</v>
      </c>
    </row>
    <row r="14" spans="1:6" ht="15" customHeight="1" x14ac:dyDescent="0.25">
      <c r="A14" s="3" t="s">
        <v>71</v>
      </c>
      <c r="B14" s="3" t="s">
        <v>72</v>
      </c>
      <c r="C14" s="3" t="s">
        <v>35</v>
      </c>
      <c r="D14" s="3">
        <v>49400</v>
      </c>
      <c r="E14" s="4">
        <v>219.78059999999999</v>
      </c>
      <c r="F14" s="5">
        <v>2.8751000000000002</v>
      </c>
    </row>
    <row r="15" spans="1:6" ht="15" customHeight="1" x14ac:dyDescent="0.25">
      <c r="A15" s="3" t="s">
        <v>73</v>
      </c>
      <c r="B15" s="3" t="s">
        <v>74</v>
      </c>
      <c r="C15" s="3" t="s">
        <v>27</v>
      </c>
      <c r="D15" s="3">
        <v>9872</v>
      </c>
      <c r="E15" s="4">
        <v>216.69040000000001</v>
      </c>
      <c r="F15" s="5">
        <v>2.8347000000000002</v>
      </c>
    </row>
    <row r="16" spans="1:6" ht="15" customHeight="1" x14ac:dyDescent="0.25">
      <c r="A16" s="3" t="s">
        <v>113</v>
      </c>
      <c r="B16" s="3" t="s">
        <v>114</v>
      </c>
      <c r="C16" s="3" t="s">
        <v>68</v>
      </c>
      <c r="D16" s="3">
        <v>39600</v>
      </c>
      <c r="E16" s="4">
        <v>215.2458</v>
      </c>
      <c r="F16" s="5">
        <v>2.8157999999999999</v>
      </c>
    </row>
    <row r="17" spans="1:6" ht="15" customHeight="1" x14ac:dyDescent="0.25">
      <c r="A17" s="3" t="s">
        <v>146</v>
      </c>
      <c r="B17" s="3" t="s">
        <v>147</v>
      </c>
      <c r="C17" s="3" t="s">
        <v>15</v>
      </c>
      <c r="D17" s="3">
        <v>35460</v>
      </c>
      <c r="E17" s="4">
        <v>209.07216</v>
      </c>
      <c r="F17" s="5">
        <v>2.7349999999999999</v>
      </c>
    </row>
    <row r="18" spans="1:6" ht="15" customHeight="1" x14ac:dyDescent="0.25">
      <c r="A18" s="3" t="s">
        <v>253</v>
      </c>
      <c r="B18" s="3" t="s">
        <v>254</v>
      </c>
      <c r="C18" s="3" t="s">
        <v>35</v>
      </c>
      <c r="D18" s="3">
        <v>85370</v>
      </c>
      <c r="E18" s="4">
        <v>162.62985</v>
      </c>
      <c r="F18" s="5">
        <v>2.1274999999999999</v>
      </c>
    </row>
    <row r="19" spans="1:6" ht="15" customHeight="1" x14ac:dyDescent="0.25">
      <c r="A19" s="3" t="s">
        <v>152</v>
      </c>
      <c r="B19" s="3" t="s">
        <v>153</v>
      </c>
      <c r="C19" s="3" t="s">
        <v>82</v>
      </c>
      <c r="D19" s="3">
        <v>31590</v>
      </c>
      <c r="E19" s="4">
        <v>148.40982</v>
      </c>
      <c r="F19" s="5">
        <v>1.9414</v>
      </c>
    </row>
    <row r="20" spans="1:6" ht="15" customHeight="1" x14ac:dyDescent="0.25">
      <c r="A20" s="3" t="s">
        <v>167</v>
      </c>
      <c r="B20" s="3" t="s">
        <v>168</v>
      </c>
      <c r="C20" s="3" t="s">
        <v>18</v>
      </c>
      <c r="D20" s="3">
        <v>2617</v>
      </c>
      <c r="E20" s="4">
        <v>140.23979600000001</v>
      </c>
      <c r="F20" s="5">
        <v>1.8346</v>
      </c>
    </row>
    <row r="21" spans="1:6" ht="15" customHeight="1" x14ac:dyDescent="0.25">
      <c r="A21" s="3" t="s">
        <v>131</v>
      </c>
      <c r="B21" s="3" t="s">
        <v>132</v>
      </c>
      <c r="C21" s="3" t="s">
        <v>18</v>
      </c>
      <c r="D21" s="3">
        <v>16940</v>
      </c>
      <c r="E21" s="4">
        <v>120.84148999999999</v>
      </c>
      <c r="F21" s="5">
        <v>1.5808</v>
      </c>
    </row>
    <row r="22" spans="1:6" ht="15" customHeight="1" x14ac:dyDescent="0.25">
      <c r="A22" s="3" t="s">
        <v>150</v>
      </c>
      <c r="B22" s="3" t="s">
        <v>151</v>
      </c>
      <c r="C22" s="3" t="s">
        <v>15</v>
      </c>
      <c r="D22" s="3">
        <v>25480</v>
      </c>
      <c r="E22" s="4">
        <v>118.34186</v>
      </c>
      <c r="F22" s="5">
        <v>1.5481</v>
      </c>
    </row>
    <row r="23" spans="1:6" ht="15" customHeight="1" x14ac:dyDescent="0.25">
      <c r="A23" s="3" t="s">
        <v>218</v>
      </c>
      <c r="B23" s="3" t="s">
        <v>219</v>
      </c>
      <c r="C23" s="3" t="s">
        <v>15</v>
      </c>
      <c r="D23" s="3">
        <v>34200</v>
      </c>
      <c r="E23" s="4">
        <v>110.79089999999999</v>
      </c>
      <c r="F23" s="5">
        <v>1.4493</v>
      </c>
    </row>
    <row r="24" spans="1:6" ht="15" customHeight="1" x14ac:dyDescent="0.25">
      <c r="A24" s="3" t="s">
        <v>85</v>
      </c>
      <c r="B24" s="3" t="s">
        <v>86</v>
      </c>
      <c r="C24" s="3" t="s">
        <v>21</v>
      </c>
      <c r="D24" s="3">
        <v>2943</v>
      </c>
      <c r="E24" s="4">
        <v>104.014449</v>
      </c>
      <c r="F24" s="5">
        <v>1.3607</v>
      </c>
    </row>
    <row r="25" spans="1:6" ht="15" customHeight="1" x14ac:dyDescent="0.25">
      <c r="A25" s="3" t="s">
        <v>216</v>
      </c>
      <c r="B25" s="3" t="s">
        <v>217</v>
      </c>
      <c r="C25" s="3" t="s">
        <v>35</v>
      </c>
      <c r="D25" s="3">
        <v>210580</v>
      </c>
      <c r="E25" s="4">
        <v>102.76304</v>
      </c>
      <c r="F25" s="5">
        <v>1.3443000000000001</v>
      </c>
    </row>
    <row r="26" spans="1:6" ht="15" customHeight="1" x14ac:dyDescent="0.25">
      <c r="A26" s="3" t="s">
        <v>91</v>
      </c>
      <c r="B26" s="3" t="s">
        <v>92</v>
      </c>
      <c r="C26" s="3" t="s">
        <v>93</v>
      </c>
      <c r="D26" s="3">
        <v>26100</v>
      </c>
      <c r="E26" s="4">
        <v>97.366050000000001</v>
      </c>
      <c r="F26" s="5">
        <v>1.2737000000000001</v>
      </c>
    </row>
    <row r="27" spans="1:6" ht="15" customHeight="1" x14ac:dyDescent="0.25">
      <c r="A27" s="3" t="s">
        <v>97</v>
      </c>
      <c r="B27" s="3" t="s">
        <v>98</v>
      </c>
      <c r="C27" s="3" t="s">
        <v>82</v>
      </c>
      <c r="D27" s="3">
        <v>18981</v>
      </c>
      <c r="E27" s="4">
        <v>95.104300499999994</v>
      </c>
      <c r="F27" s="5">
        <v>1.2441</v>
      </c>
    </row>
    <row r="28" spans="1:6" ht="15" customHeight="1" x14ac:dyDescent="0.25">
      <c r="A28" s="3" t="s">
        <v>107</v>
      </c>
      <c r="B28" s="3" t="s">
        <v>108</v>
      </c>
      <c r="C28" s="3" t="s">
        <v>27</v>
      </c>
      <c r="D28" s="3">
        <v>5350</v>
      </c>
      <c r="E28" s="4">
        <v>94.090450000000004</v>
      </c>
      <c r="F28" s="5">
        <v>1.2307999999999999</v>
      </c>
    </row>
    <row r="29" spans="1:6" ht="15" customHeight="1" x14ac:dyDescent="0.25">
      <c r="A29" s="3" t="s">
        <v>156</v>
      </c>
      <c r="B29" s="3" t="s">
        <v>157</v>
      </c>
      <c r="C29" s="3" t="s">
        <v>61</v>
      </c>
      <c r="D29" s="3">
        <v>24210</v>
      </c>
      <c r="E29" s="4">
        <v>89.576999999999998</v>
      </c>
      <c r="F29" s="5">
        <v>1.1718</v>
      </c>
    </row>
    <row r="30" spans="1:6" ht="15" customHeight="1" x14ac:dyDescent="0.25">
      <c r="A30" s="3" t="s">
        <v>94</v>
      </c>
      <c r="B30" s="3" t="s">
        <v>95</v>
      </c>
      <c r="C30" s="3" t="s">
        <v>96</v>
      </c>
      <c r="D30" s="3">
        <v>3596</v>
      </c>
      <c r="E30" s="4">
        <v>85.716054</v>
      </c>
      <c r="F30" s="5">
        <v>1.1213</v>
      </c>
    </row>
    <row r="31" spans="1:6" ht="15" customHeight="1" x14ac:dyDescent="0.25">
      <c r="A31" s="3" t="s">
        <v>99</v>
      </c>
      <c r="B31" s="3" t="s">
        <v>100</v>
      </c>
      <c r="C31" s="3" t="s">
        <v>18</v>
      </c>
      <c r="D31" s="3">
        <v>3141</v>
      </c>
      <c r="E31" s="4">
        <v>82.397852999999998</v>
      </c>
      <c r="F31" s="5">
        <v>1.0779000000000001</v>
      </c>
    </row>
    <row r="32" spans="1:6" ht="15" customHeight="1" x14ac:dyDescent="0.25">
      <c r="A32" s="3" t="s">
        <v>139</v>
      </c>
      <c r="B32" s="3" t="s">
        <v>140</v>
      </c>
      <c r="C32" s="3" t="s">
        <v>141</v>
      </c>
      <c r="D32" s="3">
        <v>33600</v>
      </c>
      <c r="E32" s="4">
        <v>81.647999999999996</v>
      </c>
      <c r="F32" s="5">
        <v>1.0681</v>
      </c>
    </row>
    <row r="33" spans="1:6" ht="15" customHeight="1" x14ac:dyDescent="0.25">
      <c r="A33" s="3" t="s">
        <v>214</v>
      </c>
      <c r="B33" s="3" t="s">
        <v>215</v>
      </c>
      <c r="C33" s="3" t="s">
        <v>207</v>
      </c>
      <c r="D33" s="3">
        <v>4896</v>
      </c>
      <c r="E33" s="4">
        <v>78.735023999999996</v>
      </c>
      <c r="F33" s="5">
        <v>1.03</v>
      </c>
    </row>
    <row r="34" spans="1:6" ht="15" customHeight="1" x14ac:dyDescent="0.25">
      <c r="A34" s="3" t="s">
        <v>111</v>
      </c>
      <c r="B34" s="3" t="s">
        <v>112</v>
      </c>
      <c r="C34" s="3" t="s">
        <v>82</v>
      </c>
      <c r="D34" s="3">
        <v>3195</v>
      </c>
      <c r="E34" s="4">
        <v>74.063294999999997</v>
      </c>
      <c r="F34" s="5">
        <v>0.96879999999999999</v>
      </c>
    </row>
    <row r="35" spans="1:6" ht="15" customHeight="1" x14ac:dyDescent="0.25">
      <c r="A35" s="3" t="s">
        <v>154</v>
      </c>
      <c r="B35" s="3" t="s">
        <v>155</v>
      </c>
      <c r="C35" s="3" t="s">
        <v>27</v>
      </c>
      <c r="D35" s="3">
        <v>13770</v>
      </c>
      <c r="E35" s="4">
        <v>73.896704999999997</v>
      </c>
      <c r="F35" s="5">
        <v>0.9667</v>
      </c>
    </row>
    <row r="36" spans="1:6" ht="15" customHeight="1" x14ac:dyDescent="0.25">
      <c r="A36" s="3" t="s">
        <v>255</v>
      </c>
      <c r="B36" s="3" t="s">
        <v>256</v>
      </c>
      <c r="C36" s="3" t="s">
        <v>15</v>
      </c>
      <c r="D36" s="3">
        <v>8757</v>
      </c>
      <c r="E36" s="4">
        <v>73.147221000000002</v>
      </c>
      <c r="F36" s="5">
        <v>0.95689999999999997</v>
      </c>
    </row>
    <row r="37" spans="1:6" ht="15" customHeight="1" x14ac:dyDescent="0.25">
      <c r="A37" s="3" t="s">
        <v>30</v>
      </c>
      <c r="B37" s="3" t="s">
        <v>31</v>
      </c>
      <c r="C37" s="3" t="s">
        <v>32</v>
      </c>
      <c r="D37" s="3">
        <v>8100</v>
      </c>
      <c r="E37" s="4">
        <v>72.701549999999997</v>
      </c>
      <c r="F37" s="5">
        <v>0.95099999999999996</v>
      </c>
    </row>
    <row r="38" spans="1:6" ht="15" customHeight="1" x14ac:dyDescent="0.25">
      <c r="A38" s="3" t="s">
        <v>230</v>
      </c>
      <c r="B38" s="3" t="s">
        <v>231</v>
      </c>
      <c r="C38" s="3" t="s">
        <v>207</v>
      </c>
      <c r="D38" s="3">
        <v>18270</v>
      </c>
      <c r="E38" s="4">
        <v>68.969250000000002</v>
      </c>
      <c r="F38" s="5">
        <v>0.9022</v>
      </c>
    </row>
    <row r="39" spans="1:6" ht="15" customHeight="1" x14ac:dyDescent="0.25">
      <c r="A39" s="3" t="s">
        <v>226</v>
      </c>
      <c r="B39" s="3" t="s">
        <v>227</v>
      </c>
      <c r="C39" s="3" t="s">
        <v>68</v>
      </c>
      <c r="D39" s="3">
        <v>11970</v>
      </c>
      <c r="E39" s="4">
        <v>65.386125000000007</v>
      </c>
      <c r="F39" s="5">
        <v>0.85529999999999995</v>
      </c>
    </row>
    <row r="40" spans="1:6" ht="15" customHeight="1" x14ac:dyDescent="0.25">
      <c r="A40" s="3" t="s">
        <v>101</v>
      </c>
      <c r="B40" s="3" t="s">
        <v>102</v>
      </c>
      <c r="C40" s="3" t="s">
        <v>21</v>
      </c>
      <c r="D40" s="3">
        <v>15546</v>
      </c>
      <c r="E40" s="4">
        <v>63.660870000000003</v>
      </c>
      <c r="F40" s="5">
        <v>0.83279999999999998</v>
      </c>
    </row>
    <row r="41" spans="1:6" ht="15" customHeight="1" x14ac:dyDescent="0.25">
      <c r="A41" s="3" t="s">
        <v>28</v>
      </c>
      <c r="B41" s="3" t="s">
        <v>29</v>
      </c>
      <c r="C41" s="3" t="s">
        <v>18</v>
      </c>
      <c r="D41" s="3">
        <v>16200</v>
      </c>
      <c r="E41" s="4">
        <v>59.397300000000001</v>
      </c>
      <c r="F41" s="5">
        <v>0.77700000000000002</v>
      </c>
    </row>
    <row r="42" spans="1:6" ht="15" customHeight="1" x14ac:dyDescent="0.25">
      <c r="A42" s="3" t="s">
        <v>257</v>
      </c>
      <c r="B42" s="3" t="s">
        <v>258</v>
      </c>
      <c r="C42" s="3" t="s">
        <v>18</v>
      </c>
      <c r="D42" s="3">
        <v>42560</v>
      </c>
      <c r="E42" s="4">
        <v>39.687199999999997</v>
      </c>
      <c r="F42" s="5">
        <v>0.51910000000000001</v>
      </c>
    </row>
    <row r="43" spans="1:6" ht="15" customHeight="1" x14ac:dyDescent="0.25">
      <c r="A43" s="3" t="s">
        <v>22</v>
      </c>
      <c r="B43" s="3" t="s">
        <v>23</v>
      </c>
      <c r="C43" s="3" t="s">
        <v>24</v>
      </c>
      <c r="D43" s="3">
        <v>9000</v>
      </c>
      <c r="E43" s="4">
        <v>37.804499999999997</v>
      </c>
      <c r="F43" s="5">
        <v>0.4945</v>
      </c>
    </row>
    <row r="44" spans="1:6" ht="15" customHeight="1" x14ac:dyDescent="0.25">
      <c r="A44" s="3" t="s">
        <v>117</v>
      </c>
      <c r="B44" s="3" t="s">
        <v>118</v>
      </c>
      <c r="C44" s="3" t="s">
        <v>24</v>
      </c>
      <c r="D44" s="3">
        <v>2340</v>
      </c>
      <c r="E44" s="4">
        <v>37.19547</v>
      </c>
      <c r="F44" s="5">
        <v>0.48649999999999999</v>
      </c>
    </row>
    <row r="45" spans="1:6" ht="15" customHeight="1" x14ac:dyDescent="0.25">
      <c r="A45" s="3" t="s">
        <v>16</v>
      </c>
      <c r="B45" s="3" t="s">
        <v>17</v>
      </c>
      <c r="C45" s="3" t="s">
        <v>18</v>
      </c>
      <c r="D45" s="3">
        <v>1566</v>
      </c>
      <c r="E45" s="4">
        <v>33.930522000000003</v>
      </c>
      <c r="F45" s="5">
        <v>0.44379999999999997</v>
      </c>
    </row>
    <row r="46" spans="1:6" ht="15" customHeight="1" x14ac:dyDescent="0.25">
      <c r="A46" s="1" t="s">
        <v>39</v>
      </c>
      <c r="B46" s="3"/>
      <c r="C46" s="3"/>
      <c r="D46" s="3"/>
      <c r="E46" s="6">
        <v>7060.0392455000001</v>
      </c>
      <c r="F46" s="7">
        <v>92.357299999999995</v>
      </c>
    </row>
    <row r="47" spans="1:6" ht="15" customHeight="1" x14ac:dyDescent="0.25">
      <c r="A47" s="3"/>
      <c r="B47" s="3"/>
      <c r="C47" s="3"/>
      <c r="D47" s="3"/>
      <c r="E47" s="3"/>
      <c r="F47" s="3"/>
    </row>
    <row r="48" spans="1:6" ht="15" customHeight="1" x14ac:dyDescent="0.25">
      <c r="A48" s="1" t="s">
        <v>40</v>
      </c>
      <c r="B48" s="3"/>
      <c r="C48" s="3"/>
      <c r="D48" s="3"/>
      <c r="E48" s="4">
        <v>0</v>
      </c>
      <c r="F48" s="5">
        <v>0</v>
      </c>
    </row>
    <row r="49" spans="1:6" ht="15" customHeight="1" x14ac:dyDescent="0.25">
      <c r="A49" s="1" t="s">
        <v>39</v>
      </c>
      <c r="B49" s="3"/>
      <c r="C49" s="3"/>
      <c r="D49" s="3"/>
      <c r="E49" s="6">
        <v>0</v>
      </c>
      <c r="F49" s="7">
        <v>0</v>
      </c>
    </row>
    <row r="50" spans="1:6" ht="15" customHeight="1" x14ac:dyDescent="0.25">
      <c r="A50" s="1" t="s">
        <v>41</v>
      </c>
      <c r="B50" s="3"/>
      <c r="C50" s="3"/>
      <c r="D50" s="3"/>
      <c r="E50" s="6">
        <v>7060.0392455000001</v>
      </c>
      <c r="F50" s="7">
        <v>92.357299999999995</v>
      </c>
    </row>
    <row r="51" spans="1:6" ht="15" customHeight="1" x14ac:dyDescent="0.25">
      <c r="A51" s="1" t="s">
        <v>177</v>
      </c>
      <c r="B51" s="3"/>
      <c r="C51" s="3"/>
      <c r="D51" s="3"/>
      <c r="E51" s="3"/>
      <c r="F51" s="3"/>
    </row>
    <row r="52" spans="1:6" ht="15" customHeight="1" x14ac:dyDescent="0.25">
      <c r="A52" s="1" t="s">
        <v>9</v>
      </c>
      <c r="B52" s="3"/>
      <c r="C52" s="3"/>
      <c r="D52" s="3"/>
      <c r="E52" s="3"/>
      <c r="F52" s="3"/>
    </row>
    <row r="53" spans="1:6" ht="15" customHeight="1" x14ac:dyDescent="0.25">
      <c r="A53" s="3" t="s">
        <v>241</v>
      </c>
      <c r="B53" s="3" t="s">
        <v>242</v>
      </c>
      <c r="C53" s="3" t="s">
        <v>180</v>
      </c>
      <c r="D53" s="3">
        <v>4320</v>
      </c>
      <c r="E53" s="4">
        <v>1.3310568</v>
      </c>
      <c r="F53" s="5">
        <v>1.7399999999999999E-2</v>
      </c>
    </row>
    <row r="54" spans="1:6" ht="15" customHeight="1" x14ac:dyDescent="0.25">
      <c r="A54" s="1" t="s">
        <v>39</v>
      </c>
      <c r="B54" s="3"/>
      <c r="C54" s="3"/>
      <c r="D54" s="3"/>
      <c r="E54" s="6">
        <v>1.3310568</v>
      </c>
      <c r="F54" s="7">
        <v>1.7399999999999999E-2</v>
      </c>
    </row>
    <row r="55" spans="1:6" ht="15" customHeight="1" x14ac:dyDescent="0.25">
      <c r="A55" s="3"/>
      <c r="B55" s="3"/>
      <c r="C55" s="3"/>
      <c r="D55" s="3"/>
      <c r="E55" s="3"/>
      <c r="F55" s="3"/>
    </row>
    <row r="56" spans="1:6" ht="15" customHeight="1" x14ac:dyDescent="0.25">
      <c r="A56" s="1" t="s">
        <v>184</v>
      </c>
      <c r="B56" s="3"/>
      <c r="C56" s="3"/>
      <c r="D56" s="3"/>
      <c r="E56" s="4">
        <v>0</v>
      </c>
      <c r="F56" s="5">
        <v>0</v>
      </c>
    </row>
    <row r="57" spans="1:6" ht="15" customHeight="1" x14ac:dyDescent="0.25">
      <c r="A57" s="1" t="s">
        <v>39</v>
      </c>
      <c r="B57" s="3"/>
      <c r="C57" s="3"/>
      <c r="D57" s="3"/>
      <c r="E57" s="6">
        <v>0</v>
      </c>
      <c r="F57" s="7">
        <v>0</v>
      </c>
    </row>
    <row r="58" spans="1:6" ht="15" customHeight="1" x14ac:dyDescent="0.25">
      <c r="A58" s="1" t="s">
        <v>41</v>
      </c>
      <c r="B58" s="3"/>
      <c r="C58" s="3"/>
      <c r="D58" s="3"/>
      <c r="E58" s="6">
        <v>1.3310568</v>
      </c>
      <c r="F58" s="7">
        <v>1.7399999999999999E-2</v>
      </c>
    </row>
    <row r="59" spans="1:6" ht="15" customHeight="1" x14ac:dyDescent="0.25">
      <c r="A59" s="3"/>
      <c r="B59" s="3"/>
      <c r="C59" s="3"/>
      <c r="D59" s="3"/>
      <c r="E59" s="3"/>
      <c r="F59" s="3"/>
    </row>
    <row r="60" spans="1:6" ht="15" customHeight="1" x14ac:dyDescent="0.25">
      <c r="A60" s="3"/>
      <c r="B60" s="3"/>
      <c r="C60" s="3"/>
      <c r="D60" s="3"/>
      <c r="E60" s="3"/>
      <c r="F60" s="3"/>
    </row>
    <row r="61" spans="1:6" ht="30" customHeight="1" x14ac:dyDescent="0.25">
      <c r="A61" s="3" t="s">
        <v>54</v>
      </c>
      <c r="B61" s="3"/>
      <c r="C61" s="3"/>
      <c r="D61" s="3"/>
      <c r="E61" s="4">
        <v>582.74813912000002</v>
      </c>
      <c r="F61" s="5">
        <v>7.6234000000000002</v>
      </c>
    </row>
    <row r="62" spans="1:6" ht="15" customHeight="1" x14ac:dyDescent="0.25">
      <c r="A62" s="3"/>
      <c r="B62" s="3"/>
      <c r="C62" s="3"/>
      <c r="D62" s="3"/>
      <c r="E62" s="3"/>
      <c r="F62" s="3"/>
    </row>
    <row r="63" spans="1:6" ht="15" customHeight="1" x14ac:dyDescent="0.25">
      <c r="A63" s="3"/>
      <c r="B63" s="3"/>
      <c r="C63" s="3"/>
      <c r="D63" s="3"/>
      <c r="E63" s="3"/>
      <c r="F63" s="3"/>
    </row>
    <row r="64" spans="1:6" ht="15" customHeight="1" x14ac:dyDescent="0.25">
      <c r="A64" s="1" t="s">
        <v>55</v>
      </c>
      <c r="B64" s="3"/>
      <c r="C64" s="3"/>
      <c r="D64" s="3"/>
      <c r="E64" s="6">
        <v>7644.1184414199997</v>
      </c>
      <c r="F64" s="7">
        <v>100</v>
      </c>
    </row>
    <row r="67" spans="1:1" ht="15" customHeight="1" x14ac:dyDescent="0.25">
      <c r="A67" s="8" t="s">
        <v>200</v>
      </c>
    </row>
    <row r="68" spans="1:1" ht="15" customHeight="1" x14ac:dyDescent="0.25">
      <c r="A68" s="8" t="s">
        <v>201</v>
      </c>
    </row>
  </sheetData>
  <mergeCells count="2">
    <mergeCell ref="A1:F1"/>
    <mergeCell ref="A2:F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topLeftCell="A64" workbookViewId="0">
      <selection activeCell="A86" sqref="A86"/>
    </sheetView>
  </sheetViews>
  <sheetFormatPr defaultRowHeight="15" customHeight="1" x14ac:dyDescent="0.25"/>
  <cols>
    <col min="1" max="1" width="57.140625" bestFit="1" customWidth="1"/>
    <col min="2" max="2" width="19" bestFit="1" customWidth="1"/>
    <col min="3" max="3" width="34.28515625" bestFit="1" customWidth="1"/>
    <col min="4" max="6" width="15.28515625" bestFit="1" customWidth="1"/>
  </cols>
  <sheetData>
    <row r="1" spans="1:6" ht="15" customHeight="1" x14ac:dyDescent="0.25">
      <c r="A1" s="10" t="s">
        <v>259</v>
      </c>
      <c r="B1" s="10"/>
      <c r="C1" s="10"/>
      <c r="D1" s="10"/>
      <c r="E1" s="10"/>
      <c r="F1" s="10"/>
    </row>
    <row r="2" spans="1:6" ht="15" customHeight="1" x14ac:dyDescent="0.25">
      <c r="A2" s="10" t="s">
        <v>1</v>
      </c>
      <c r="B2" s="10"/>
      <c r="C2" s="10"/>
      <c r="D2" s="10"/>
      <c r="E2" s="10"/>
      <c r="F2" s="10"/>
    </row>
    <row r="3" spans="1:6" ht="36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15" customHeight="1" x14ac:dyDescent="0.25">
      <c r="A4" s="1" t="s">
        <v>8</v>
      </c>
      <c r="B4" s="3"/>
      <c r="C4" s="3"/>
      <c r="D4" s="3"/>
      <c r="E4" s="3"/>
      <c r="F4" s="3"/>
    </row>
    <row r="5" spans="1:6" ht="15" customHeight="1" x14ac:dyDescent="0.25">
      <c r="A5" s="1" t="s">
        <v>9</v>
      </c>
      <c r="B5" s="3"/>
      <c r="C5" s="3"/>
      <c r="D5" s="3"/>
      <c r="E5" s="3"/>
      <c r="F5" s="3"/>
    </row>
    <row r="6" spans="1:6" ht="15" customHeight="1" x14ac:dyDescent="0.25">
      <c r="A6" s="3" t="s">
        <v>59</v>
      </c>
      <c r="B6" s="3" t="s">
        <v>60</v>
      </c>
      <c r="C6" s="3" t="s">
        <v>61</v>
      </c>
      <c r="D6" s="3">
        <v>4509</v>
      </c>
      <c r="E6" s="4">
        <v>66.101939999999999</v>
      </c>
      <c r="F6" s="5">
        <v>1.9319999999999999</v>
      </c>
    </row>
    <row r="7" spans="1:6" ht="15" customHeight="1" x14ac:dyDescent="0.25">
      <c r="A7" s="3" t="s">
        <v>62</v>
      </c>
      <c r="B7" s="3" t="s">
        <v>63</v>
      </c>
      <c r="C7" s="3" t="s">
        <v>35</v>
      </c>
      <c r="D7" s="3">
        <v>5794</v>
      </c>
      <c r="E7" s="4">
        <v>58.044291999999999</v>
      </c>
      <c r="F7" s="5">
        <v>1.6964999999999999</v>
      </c>
    </row>
    <row r="8" spans="1:6" ht="15" customHeight="1" x14ac:dyDescent="0.25">
      <c r="A8" s="3" t="s">
        <v>57</v>
      </c>
      <c r="B8" s="3" t="s">
        <v>58</v>
      </c>
      <c r="C8" s="3" t="s">
        <v>35</v>
      </c>
      <c r="D8" s="3">
        <v>12110</v>
      </c>
      <c r="E8" s="4">
        <v>46.036164999999997</v>
      </c>
      <c r="F8" s="5">
        <v>1.3454999999999999</v>
      </c>
    </row>
    <row r="9" spans="1:6" ht="15" customHeight="1" x14ac:dyDescent="0.25">
      <c r="A9" s="3" t="s">
        <v>64</v>
      </c>
      <c r="B9" s="3" t="s">
        <v>65</v>
      </c>
      <c r="C9" s="3" t="s">
        <v>35</v>
      </c>
      <c r="D9" s="3">
        <v>1823</v>
      </c>
      <c r="E9" s="4">
        <v>24.741755999999999</v>
      </c>
      <c r="F9" s="5">
        <v>0.72309999999999997</v>
      </c>
    </row>
    <row r="10" spans="1:6" ht="15" customHeight="1" x14ac:dyDescent="0.25">
      <c r="A10" s="3" t="s">
        <v>77</v>
      </c>
      <c r="B10" s="3" t="s">
        <v>78</v>
      </c>
      <c r="C10" s="3" t="s">
        <v>79</v>
      </c>
      <c r="D10" s="3">
        <v>4491</v>
      </c>
      <c r="E10" s="4">
        <v>23.097213</v>
      </c>
      <c r="F10" s="5">
        <v>0.67500000000000004</v>
      </c>
    </row>
    <row r="11" spans="1:6" ht="15" customHeight="1" x14ac:dyDescent="0.25">
      <c r="A11" s="3" t="s">
        <v>146</v>
      </c>
      <c r="B11" s="3" t="s">
        <v>147</v>
      </c>
      <c r="C11" s="3" t="s">
        <v>15</v>
      </c>
      <c r="D11" s="3">
        <v>3403</v>
      </c>
      <c r="E11" s="4">
        <v>20.064088000000002</v>
      </c>
      <c r="F11" s="5">
        <v>0.58640000000000003</v>
      </c>
    </row>
    <row r="12" spans="1:6" ht="15" customHeight="1" x14ac:dyDescent="0.25">
      <c r="A12" s="3" t="s">
        <v>71</v>
      </c>
      <c r="B12" s="3" t="s">
        <v>72</v>
      </c>
      <c r="C12" s="3" t="s">
        <v>35</v>
      </c>
      <c r="D12" s="3">
        <v>4330</v>
      </c>
      <c r="E12" s="4">
        <v>19.26417</v>
      </c>
      <c r="F12" s="5">
        <v>0.56299999999999994</v>
      </c>
    </row>
    <row r="13" spans="1:6" ht="15" customHeight="1" x14ac:dyDescent="0.25">
      <c r="A13" s="3" t="s">
        <v>214</v>
      </c>
      <c r="B13" s="3" t="s">
        <v>215</v>
      </c>
      <c r="C13" s="3" t="s">
        <v>207</v>
      </c>
      <c r="D13" s="3">
        <v>1150</v>
      </c>
      <c r="E13" s="4">
        <v>18.493725000000001</v>
      </c>
      <c r="F13" s="5">
        <v>0.54049999999999998</v>
      </c>
    </row>
    <row r="14" spans="1:6" ht="15" customHeight="1" x14ac:dyDescent="0.25">
      <c r="A14" s="3" t="s">
        <v>113</v>
      </c>
      <c r="B14" s="3" t="s">
        <v>114</v>
      </c>
      <c r="C14" s="3" t="s">
        <v>68</v>
      </c>
      <c r="D14" s="3">
        <v>2814</v>
      </c>
      <c r="E14" s="4">
        <v>15.295496999999999</v>
      </c>
      <c r="F14" s="5">
        <v>0.44700000000000001</v>
      </c>
    </row>
    <row r="15" spans="1:6" ht="15" customHeight="1" x14ac:dyDescent="0.25">
      <c r="A15" s="3" t="s">
        <v>216</v>
      </c>
      <c r="B15" s="3" t="s">
        <v>217</v>
      </c>
      <c r="C15" s="3" t="s">
        <v>35</v>
      </c>
      <c r="D15" s="3">
        <v>30370</v>
      </c>
      <c r="E15" s="4">
        <v>14.82056</v>
      </c>
      <c r="F15" s="5">
        <v>0.43309999999999998</v>
      </c>
    </row>
    <row r="16" spans="1:6" ht="15" customHeight="1" x14ac:dyDescent="0.25">
      <c r="A16" s="3" t="s">
        <v>73</v>
      </c>
      <c r="B16" s="3" t="s">
        <v>74</v>
      </c>
      <c r="C16" s="3" t="s">
        <v>27</v>
      </c>
      <c r="D16" s="3">
        <v>658</v>
      </c>
      <c r="E16" s="4">
        <v>14.443099999999999</v>
      </c>
      <c r="F16" s="5">
        <v>0.42209999999999998</v>
      </c>
    </row>
    <row r="17" spans="1:6" ht="15" customHeight="1" x14ac:dyDescent="0.25">
      <c r="A17" s="3" t="s">
        <v>107</v>
      </c>
      <c r="B17" s="3" t="s">
        <v>108</v>
      </c>
      <c r="C17" s="3" t="s">
        <v>27</v>
      </c>
      <c r="D17" s="3">
        <v>796</v>
      </c>
      <c r="E17" s="4">
        <v>13.999252</v>
      </c>
      <c r="F17" s="5">
        <v>0.40910000000000002</v>
      </c>
    </row>
    <row r="18" spans="1:6" ht="15" customHeight="1" x14ac:dyDescent="0.25">
      <c r="A18" s="3" t="s">
        <v>135</v>
      </c>
      <c r="B18" s="3" t="s">
        <v>136</v>
      </c>
      <c r="C18" s="3" t="s">
        <v>15</v>
      </c>
      <c r="D18" s="3">
        <v>588</v>
      </c>
      <c r="E18" s="4">
        <v>13.717452</v>
      </c>
      <c r="F18" s="5">
        <v>0.40089999999999998</v>
      </c>
    </row>
    <row r="19" spans="1:6" ht="15" customHeight="1" x14ac:dyDescent="0.25">
      <c r="A19" s="3" t="s">
        <v>139</v>
      </c>
      <c r="B19" s="3" t="s">
        <v>140</v>
      </c>
      <c r="C19" s="3" t="s">
        <v>141</v>
      </c>
      <c r="D19" s="3">
        <v>5500</v>
      </c>
      <c r="E19" s="4">
        <v>13.365</v>
      </c>
      <c r="F19" s="5">
        <v>0.3906</v>
      </c>
    </row>
    <row r="20" spans="1:6" ht="15" customHeight="1" x14ac:dyDescent="0.25">
      <c r="A20" s="3" t="s">
        <v>75</v>
      </c>
      <c r="B20" s="3" t="s">
        <v>76</v>
      </c>
      <c r="C20" s="3" t="s">
        <v>68</v>
      </c>
      <c r="D20" s="3">
        <v>1860</v>
      </c>
      <c r="E20" s="4">
        <v>13.308299999999999</v>
      </c>
      <c r="F20" s="5">
        <v>0.38890000000000002</v>
      </c>
    </row>
    <row r="21" spans="1:6" ht="15" customHeight="1" x14ac:dyDescent="0.25">
      <c r="A21" s="3" t="s">
        <v>224</v>
      </c>
      <c r="B21" s="3" t="s">
        <v>225</v>
      </c>
      <c r="C21" s="3" t="s">
        <v>162</v>
      </c>
      <c r="D21" s="3">
        <v>1398</v>
      </c>
      <c r="E21" s="4">
        <v>12.702927000000001</v>
      </c>
      <c r="F21" s="5">
        <v>0.37119999999999997</v>
      </c>
    </row>
    <row r="22" spans="1:6" ht="15" customHeight="1" x14ac:dyDescent="0.25">
      <c r="A22" s="3" t="s">
        <v>218</v>
      </c>
      <c r="B22" s="3" t="s">
        <v>219</v>
      </c>
      <c r="C22" s="3" t="s">
        <v>15</v>
      </c>
      <c r="D22" s="3">
        <v>3780</v>
      </c>
      <c r="E22" s="4">
        <v>12.24531</v>
      </c>
      <c r="F22" s="5">
        <v>0.3579</v>
      </c>
    </row>
    <row r="23" spans="1:6" ht="15" customHeight="1" x14ac:dyDescent="0.25">
      <c r="A23" s="3" t="s">
        <v>131</v>
      </c>
      <c r="B23" s="3" t="s">
        <v>132</v>
      </c>
      <c r="C23" s="3" t="s">
        <v>18</v>
      </c>
      <c r="D23" s="3">
        <v>1696</v>
      </c>
      <c r="E23" s="4">
        <v>12.098416</v>
      </c>
      <c r="F23" s="5">
        <v>0.35360000000000003</v>
      </c>
    </row>
    <row r="24" spans="1:6" ht="15" customHeight="1" x14ac:dyDescent="0.25">
      <c r="A24" s="3" t="s">
        <v>97</v>
      </c>
      <c r="B24" s="3" t="s">
        <v>98</v>
      </c>
      <c r="C24" s="3" t="s">
        <v>82</v>
      </c>
      <c r="D24" s="3">
        <v>2380</v>
      </c>
      <c r="E24" s="4">
        <v>11.924989999999999</v>
      </c>
      <c r="F24" s="5">
        <v>0.34849999999999998</v>
      </c>
    </row>
    <row r="25" spans="1:6" ht="15" customHeight="1" x14ac:dyDescent="0.25">
      <c r="A25" s="3" t="s">
        <v>220</v>
      </c>
      <c r="B25" s="3" t="s">
        <v>221</v>
      </c>
      <c r="C25" s="3" t="s">
        <v>96</v>
      </c>
      <c r="D25" s="3">
        <v>648</v>
      </c>
      <c r="E25" s="4">
        <v>11.171519999999999</v>
      </c>
      <c r="F25" s="5">
        <v>0.32650000000000001</v>
      </c>
    </row>
    <row r="26" spans="1:6" ht="15" customHeight="1" x14ac:dyDescent="0.25">
      <c r="A26" s="3" t="s">
        <v>142</v>
      </c>
      <c r="B26" s="3" t="s">
        <v>143</v>
      </c>
      <c r="C26" s="3" t="s">
        <v>121</v>
      </c>
      <c r="D26" s="3">
        <v>1710</v>
      </c>
      <c r="E26" s="4">
        <v>10.87218</v>
      </c>
      <c r="F26" s="5">
        <v>0.31769999999999998</v>
      </c>
    </row>
    <row r="27" spans="1:6" ht="15" customHeight="1" x14ac:dyDescent="0.25">
      <c r="A27" s="3" t="s">
        <v>167</v>
      </c>
      <c r="B27" s="3" t="s">
        <v>168</v>
      </c>
      <c r="C27" s="3" t="s">
        <v>18</v>
      </c>
      <c r="D27" s="3">
        <v>197</v>
      </c>
      <c r="E27" s="4">
        <v>10.556836000000001</v>
      </c>
      <c r="F27" s="5">
        <v>0.3085</v>
      </c>
    </row>
    <row r="28" spans="1:6" ht="15" customHeight="1" x14ac:dyDescent="0.25">
      <c r="A28" s="3" t="s">
        <v>222</v>
      </c>
      <c r="B28" s="3" t="s">
        <v>223</v>
      </c>
      <c r="C28" s="3" t="s">
        <v>32</v>
      </c>
      <c r="D28" s="3">
        <v>5760</v>
      </c>
      <c r="E28" s="4">
        <v>10.47456</v>
      </c>
      <c r="F28" s="5">
        <v>0.30609999999999998</v>
      </c>
    </row>
    <row r="29" spans="1:6" ht="15" customHeight="1" x14ac:dyDescent="0.25">
      <c r="A29" s="3" t="s">
        <v>91</v>
      </c>
      <c r="B29" s="3" t="s">
        <v>92</v>
      </c>
      <c r="C29" s="3" t="s">
        <v>93</v>
      </c>
      <c r="D29" s="3">
        <v>2700</v>
      </c>
      <c r="E29" s="4">
        <v>10.07235</v>
      </c>
      <c r="F29" s="5">
        <v>0.29430000000000001</v>
      </c>
    </row>
    <row r="30" spans="1:6" ht="15" customHeight="1" x14ac:dyDescent="0.25">
      <c r="A30" s="3" t="s">
        <v>226</v>
      </c>
      <c r="B30" s="3" t="s">
        <v>227</v>
      </c>
      <c r="C30" s="3" t="s">
        <v>68</v>
      </c>
      <c r="D30" s="3">
        <v>1840</v>
      </c>
      <c r="E30" s="4">
        <v>10.051</v>
      </c>
      <c r="F30" s="5">
        <v>0.29370000000000002</v>
      </c>
    </row>
    <row r="31" spans="1:6" ht="15" customHeight="1" x14ac:dyDescent="0.25">
      <c r="A31" s="3" t="s">
        <v>152</v>
      </c>
      <c r="B31" s="3" t="s">
        <v>153</v>
      </c>
      <c r="C31" s="3" t="s">
        <v>82</v>
      </c>
      <c r="D31" s="3">
        <v>2100</v>
      </c>
      <c r="E31" s="4">
        <v>9.8658000000000001</v>
      </c>
      <c r="F31" s="5">
        <v>0.2883</v>
      </c>
    </row>
    <row r="32" spans="1:6" ht="15" customHeight="1" x14ac:dyDescent="0.25">
      <c r="A32" s="3" t="s">
        <v>101</v>
      </c>
      <c r="B32" s="3" t="s">
        <v>102</v>
      </c>
      <c r="C32" s="3" t="s">
        <v>21</v>
      </c>
      <c r="D32" s="3">
        <v>2397</v>
      </c>
      <c r="E32" s="4">
        <v>9.8157150000000009</v>
      </c>
      <c r="F32" s="5">
        <v>0.2868</v>
      </c>
    </row>
    <row r="33" spans="1:6" ht="15" customHeight="1" x14ac:dyDescent="0.25">
      <c r="A33" s="3" t="s">
        <v>234</v>
      </c>
      <c r="B33" s="3" t="s">
        <v>235</v>
      </c>
      <c r="C33" s="3" t="s">
        <v>236</v>
      </c>
      <c r="D33" s="3">
        <v>753</v>
      </c>
      <c r="E33" s="4">
        <v>8.5823175000000003</v>
      </c>
      <c r="F33" s="5">
        <v>0.25080000000000002</v>
      </c>
    </row>
    <row r="34" spans="1:6" ht="15" customHeight="1" x14ac:dyDescent="0.25">
      <c r="A34" s="3" t="s">
        <v>228</v>
      </c>
      <c r="B34" s="3" t="s">
        <v>229</v>
      </c>
      <c r="C34" s="3" t="s">
        <v>27</v>
      </c>
      <c r="D34" s="3">
        <v>5676</v>
      </c>
      <c r="E34" s="4">
        <v>8.2273619999999994</v>
      </c>
      <c r="F34" s="5">
        <v>0.2404</v>
      </c>
    </row>
    <row r="35" spans="1:6" ht="15" customHeight="1" x14ac:dyDescent="0.25">
      <c r="A35" s="3" t="s">
        <v>232</v>
      </c>
      <c r="B35" s="3" t="s">
        <v>233</v>
      </c>
      <c r="C35" s="3" t="s">
        <v>61</v>
      </c>
      <c r="D35" s="3">
        <v>1387</v>
      </c>
      <c r="E35" s="4">
        <v>8.2228294999999996</v>
      </c>
      <c r="F35" s="5">
        <v>0.24030000000000001</v>
      </c>
    </row>
    <row r="36" spans="1:6" ht="15" customHeight="1" x14ac:dyDescent="0.25">
      <c r="A36" s="3" t="s">
        <v>117</v>
      </c>
      <c r="B36" s="3" t="s">
        <v>118</v>
      </c>
      <c r="C36" s="3" t="s">
        <v>24</v>
      </c>
      <c r="D36" s="3">
        <v>504</v>
      </c>
      <c r="E36" s="4">
        <v>8.0113319999999995</v>
      </c>
      <c r="F36" s="5">
        <v>0.2341</v>
      </c>
    </row>
    <row r="37" spans="1:6" ht="15" customHeight="1" x14ac:dyDescent="0.25">
      <c r="A37" s="3" t="s">
        <v>115</v>
      </c>
      <c r="B37" s="3" t="s">
        <v>116</v>
      </c>
      <c r="C37" s="3" t="s">
        <v>82</v>
      </c>
      <c r="D37" s="3">
        <v>1620</v>
      </c>
      <c r="E37" s="4">
        <v>7.9703999999999997</v>
      </c>
      <c r="F37" s="5">
        <v>0.2329</v>
      </c>
    </row>
    <row r="38" spans="1:6" ht="15" customHeight="1" x14ac:dyDescent="0.25">
      <c r="A38" s="3" t="s">
        <v>237</v>
      </c>
      <c r="B38" s="3" t="s">
        <v>238</v>
      </c>
      <c r="C38" s="3" t="s">
        <v>207</v>
      </c>
      <c r="D38" s="3">
        <v>703</v>
      </c>
      <c r="E38" s="4">
        <v>7.6946865000000004</v>
      </c>
      <c r="F38" s="5">
        <v>0.22489999999999999</v>
      </c>
    </row>
    <row r="39" spans="1:6" ht="15" customHeight="1" x14ac:dyDescent="0.25">
      <c r="A39" s="3" t="s">
        <v>230</v>
      </c>
      <c r="B39" s="3" t="s">
        <v>231</v>
      </c>
      <c r="C39" s="3" t="s">
        <v>207</v>
      </c>
      <c r="D39" s="3">
        <v>1998</v>
      </c>
      <c r="E39" s="4">
        <v>7.5424499999999997</v>
      </c>
      <c r="F39" s="5">
        <v>0.22040000000000001</v>
      </c>
    </row>
    <row r="40" spans="1:6" ht="15" customHeight="1" x14ac:dyDescent="0.25">
      <c r="A40" s="3" t="s">
        <v>154</v>
      </c>
      <c r="B40" s="3" t="s">
        <v>155</v>
      </c>
      <c r="C40" s="3" t="s">
        <v>27</v>
      </c>
      <c r="D40" s="3">
        <v>1320</v>
      </c>
      <c r="E40" s="4">
        <v>7.08378</v>
      </c>
      <c r="F40" s="5">
        <v>0.20699999999999999</v>
      </c>
    </row>
    <row r="41" spans="1:6" ht="15" customHeight="1" x14ac:dyDescent="0.25">
      <c r="A41" s="3" t="s">
        <v>94</v>
      </c>
      <c r="B41" s="3" t="s">
        <v>95</v>
      </c>
      <c r="C41" s="3" t="s">
        <v>96</v>
      </c>
      <c r="D41" s="3">
        <v>297</v>
      </c>
      <c r="E41" s="4">
        <v>7.0794404999999996</v>
      </c>
      <c r="F41" s="5">
        <v>0.2069</v>
      </c>
    </row>
    <row r="42" spans="1:6" ht="15" customHeight="1" x14ac:dyDescent="0.25">
      <c r="A42" s="3" t="s">
        <v>85</v>
      </c>
      <c r="B42" s="3" t="s">
        <v>86</v>
      </c>
      <c r="C42" s="3" t="s">
        <v>21</v>
      </c>
      <c r="D42" s="3">
        <v>198</v>
      </c>
      <c r="E42" s="4">
        <v>6.9979139999999997</v>
      </c>
      <c r="F42" s="5">
        <v>0.20449999999999999</v>
      </c>
    </row>
    <row r="43" spans="1:6" ht="15" customHeight="1" x14ac:dyDescent="0.25">
      <c r="A43" s="3" t="s">
        <v>156</v>
      </c>
      <c r="B43" s="3" t="s">
        <v>157</v>
      </c>
      <c r="C43" s="3" t="s">
        <v>61</v>
      </c>
      <c r="D43" s="3">
        <v>1802</v>
      </c>
      <c r="E43" s="4">
        <v>6.6673999999999998</v>
      </c>
      <c r="F43" s="5">
        <v>0.1948</v>
      </c>
    </row>
    <row r="44" spans="1:6" ht="15" customHeight="1" x14ac:dyDescent="0.25">
      <c r="A44" s="3" t="s">
        <v>239</v>
      </c>
      <c r="B44" s="3" t="s">
        <v>240</v>
      </c>
      <c r="C44" s="3" t="s">
        <v>82</v>
      </c>
      <c r="D44" s="3">
        <v>3373</v>
      </c>
      <c r="E44" s="4">
        <v>5.5974934999999997</v>
      </c>
      <c r="F44" s="5">
        <v>0.1636</v>
      </c>
    </row>
    <row r="45" spans="1:6" ht="15" customHeight="1" x14ac:dyDescent="0.25">
      <c r="A45" s="3" t="s">
        <v>99</v>
      </c>
      <c r="B45" s="3" t="s">
        <v>100</v>
      </c>
      <c r="C45" s="3" t="s">
        <v>18</v>
      </c>
      <c r="D45" s="3">
        <v>199</v>
      </c>
      <c r="E45" s="4">
        <v>5.2203670000000004</v>
      </c>
      <c r="F45" s="5">
        <v>0.1525</v>
      </c>
    </row>
    <row r="46" spans="1:6" ht="15" customHeight="1" x14ac:dyDescent="0.25">
      <c r="A46" s="3" t="s">
        <v>137</v>
      </c>
      <c r="B46" s="3" t="s">
        <v>138</v>
      </c>
      <c r="C46" s="3" t="s">
        <v>27</v>
      </c>
      <c r="D46" s="3">
        <v>250</v>
      </c>
      <c r="E46" s="4">
        <v>4.0212500000000002</v>
      </c>
      <c r="F46" s="5">
        <v>0.11749999999999999</v>
      </c>
    </row>
    <row r="47" spans="1:6" ht="15" customHeight="1" x14ac:dyDescent="0.25">
      <c r="A47" s="1" t="s">
        <v>39</v>
      </c>
      <c r="B47" s="3"/>
      <c r="C47" s="3"/>
      <c r="D47" s="3"/>
      <c r="E47" s="6">
        <f>SUM(E6:E46)</f>
        <v>605.56313650000016</v>
      </c>
      <c r="F47" s="7">
        <f>SUM(F6:F46)</f>
        <v>17.697399999999998</v>
      </c>
    </row>
    <row r="48" spans="1:6" ht="15" customHeight="1" x14ac:dyDescent="0.25">
      <c r="A48" s="3"/>
      <c r="B48" s="3"/>
      <c r="C48" s="3"/>
      <c r="D48" s="3"/>
      <c r="E48" s="3"/>
      <c r="F48" s="3"/>
    </row>
    <row r="49" spans="1:6" ht="15" customHeight="1" x14ac:dyDescent="0.25">
      <c r="A49" s="1" t="s">
        <v>40</v>
      </c>
      <c r="B49" s="3"/>
      <c r="C49" s="3"/>
      <c r="D49" s="3"/>
      <c r="E49" s="4">
        <v>0</v>
      </c>
      <c r="F49" s="5">
        <v>0</v>
      </c>
    </row>
    <row r="50" spans="1:6" ht="15" customHeight="1" x14ac:dyDescent="0.25">
      <c r="A50" s="1" t="s">
        <v>39</v>
      </c>
      <c r="B50" s="3"/>
      <c r="C50" s="3"/>
      <c r="D50" s="3"/>
      <c r="E50" s="6">
        <v>0</v>
      </c>
      <c r="F50" s="7">
        <v>0</v>
      </c>
    </row>
    <row r="51" spans="1:6" ht="15" customHeight="1" x14ac:dyDescent="0.25">
      <c r="A51" s="1" t="s">
        <v>41</v>
      </c>
      <c r="B51" s="3"/>
      <c r="C51" s="3"/>
      <c r="D51" s="3"/>
      <c r="E51" s="6">
        <f>+E47</f>
        <v>605.56313650000016</v>
      </c>
      <c r="F51" s="7">
        <f>+F47</f>
        <v>17.697399999999998</v>
      </c>
    </row>
    <row r="52" spans="1:6" ht="15" customHeight="1" x14ac:dyDescent="0.25">
      <c r="A52" s="1" t="s">
        <v>177</v>
      </c>
      <c r="B52" s="3"/>
      <c r="C52" s="3"/>
      <c r="D52" s="3"/>
      <c r="E52" s="3"/>
      <c r="F52" s="3"/>
    </row>
    <row r="53" spans="1:6" ht="15" customHeight="1" x14ac:dyDescent="0.25">
      <c r="A53" s="1" t="s">
        <v>9</v>
      </c>
      <c r="B53" s="3"/>
      <c r="C53" s="3"/>
      <c r="D53" s="3"/>
      <c r="E53" s="3"/>
      <c r="F53" s="3"/>
    </row>
    <row r="54" spans="1:6" ht="15" customHeight="1" x14ac:dyDescent="0.25">
      <c r="A54" s="3" t="s">
        <v>260</v>
      </c>
      <c r="B54" s="3" t="s">
        <v>261</v>
      </c>
      <c r="C54" s="3" t="s">
        <v>180</v>
      </c>
      <c r="D54" s="3">
        <v>400000</v>
      </c>
      <c r="E54" s="4">
        <v>404.26159999999999</v>
      </c>
      <c r="F54" s="5">
        <v>11.815899999999999</v>
      </c>
    </row>
    <row r="55" spans="1:6" ht="15" customHeight="1" x14ac:dyDescent="0.25">
      <c r="A55" s="3" t="s">
        <v>181</v>
      </c>
      <c r="B55" s="3" t="s">
        <v>182</v>
      </c>
      <c r="C55" s="3" t="s">
        <v>183</v>
      </c>
      <c r="D55" s="3">
        <v>400000</v>
      </c>
      <c r="E55" s="4">
        <v>402.10759999999999</v>
      </c>
      <c r="F55" s="5">
        <v>11.7529</v>
      </c>
    </row>
    <row r="56" spans="1:6" ht="30" customHeight="1" x14ac:dyDescent="0.25">
      <c r="A56" s="3" t="s">
        <v>262</v>
      </c>
      <c r="B56" s="3" t="s">
        <v>263</v>
      </c>
      <c r="C56" s="3" t="s">
        <v>180</v>
      </c>
      <c r="D56" s="3">
        <v>300000</v>
      </c>
      <c r="E56" s="4">
        <v>303.28230000000002</v>
      </c>
      <c r="F56" s="5">
        <v>8.8643999999999998</v>
      </c>
    </row>
    <row r="57" spans="1:6" ht="15" customHeight="1" x14ac:dyDescent="0.25">
      <c r="A57" s="3" t="s">
        <v>241</v>
      </c>
      <c r="B57" s="3" t="s">
        <v>242</v>
      </c>
      <c r="C57" s="3" t="s">
        <v>180</v>
      </c>
      <c r="D57" s="3">
        <v>448</v>
      </c>
      <c r="E57" s="4">
        <v>0.13803550000000001</v>
      </c>
      <c r="F57" s="5">
        <v>4.0000000000000001E-3</v>
      </c>
    </row>
    <row r="58" spans="1:6" ht="15" customHeight="1" x14ac:dyDescent="0.25">
      <c r="A58" s="1" t="s">
        <v>39</v>
      </c>
      <c r="B58" s="3"/>
      <c r="C58" s="3"/>
      <c r="D58" s="3"/>
      <c r="E58" s="6">
        <v>1109.7895355000001</v>
      </c>
      <c r="F58" s="7">
        <v>32.437199999999997</v>
      </c>
    </row>
    <row r="59" spans="1:6" ht="15" customHeight="1" x14ac:dyDescent="0.25">
      <c r="A59" s="3"/>
      <c r="B59" s="3"/>
      <c r="C59" s="3"/>
      <c r="D59" s="3"/>
      <c r="E59" s="3"/>
      <c r="F59" s="3"/>
    </row>
    <row r="60" spans="1:6" ht="15" customHeight="1" x14ac:dyDescent="0.25">
      <c r="A60" s="1" t="s">
        <v>184</v>
      </c>
      <c r="B60" s="3"/>
      <c r="C60" s="3"/>
      <c r="D60" s="3"/>
      <c r="E60" s="4">
        <v>0</v>
      </c>
      <c r="F60" s="5">
        <v>0</v>
      </c>
    </row>
    <row r="61" spans="1:6" ht="15" customHeight="1" x14ac:dyDescent="0.25">
      <c r="A61" s="1" t="s">
        <v>39</v>
      </c>
      <c r="B61" s="3"/>
      <c r="C61" s="3"/>
      <c r="D61" s="3"/>
      <c r="E61" s="6">
        <v>0</v>
      </c>
      <c r="F61" s="7">
        <v>0</v>
      </c>
    </row>
    <row r="62" spans="1:6" ht="15" customHeight="1" x14ac:dyDescent="0.25">
      <c r="A62" s="1" t="s">
        <v>41</v>
      </c>
      <c r="B62" s="3"/>
      <c r="C62" s="3"/>
      <c r="D62" s="3"/>
      <c r="E62" s="6">
        <v>1109.7895355000001</v>
      </c>
      <c r="F62" s="7">
        <v>32.437199999999997</v>
      </c>
    </row>
    <row r="63" spans="1:6" ht="15" customHeight="1" x14ac:dyDescent="0.25">
      <c r="A63" s="1" t="s">
        <v>185</v>
      </c>
      <c r="B63" s="3"/>
      <c r="C63" s="3"/>
      <c r="D63" s="3"/>
      <c r="E63" s="3"/>
      <c r="F63" s="3"/>
    </row>
    <row r="64" spans="1:6" ht="15" customHeight="1" x14ac:dyDescent="0.25">
      <c r="A64" s="1" t="s">
        <v>186</v>
      </c>
      <c r="B64" s="3"/>
      <c r="C64" s="3"/>
      <c r="D64" s="3"/>
      <c r="E64" s="3"/>
      <c r="F64" s="3"/>
    </row>
    <row r="65" spans="1:6" ht="15" customHeight="1" x14ac:dyDescent="0.25">
      <c r="A65" s="3" t="s">
        <v>264</v>
      </c>
      <c r="B65" s="3" t="s">
        <v>194</v>
      </c>
      <c r="C65" s="3" t="s">
        <v>195</v>
      </c>
      <c r="D65" s="3">
        <v>470000</v>
      </c>
      <c r="E65" s="4">
        <v>455.30403999999999</v>
      </c>
      <c r="F65" s="5">
        <v>13.3078</v>
      </c>
    </row>
    <row r="66" spans="1:6" ht="30" customHeight="1" x14ac:dyDescent="0.25">
      <c r="A66" s="3" t="s">
        <v>190</v>
      </c>
      <c r="B66" s="3" t="s">
        <v>191</v>
      </c>
      <c r="C66" s="3" t="s">
        <v>192</v>
      </c>
      <c r="D66" s="3">
        <v>395000</v>
      </c>
      <c r="E66" s="4">
        <v>394.38709679999999</v>
      </c>
      <c r="F66" s="5">
        <v>11.5273</v>
      </c>
    </row>
    <row r="67" spans="1:6" ht="15" customHeight="1" x14ac:dyDescent="0.25">
      <c r="A67" s="3" t="s">
        <v>187</v>
      </c>
      <c r="B67" s="3" t="s">
        <v>188</v>
      </c>
      <c r="C67" s="3" t="s">
        <v>189</v>
      </c>
      <c r="D67" s="3">
        <v>200000</v>
      </c>
      <c r="E67" s="4">
        <v>199.69313510000001</v>
      </c>
      <c r="F67" s="5">
        <v>5.8367000000000004</v>
      </c>
    </row>
    <row r="68" spans="1:6" ht="15" customHeight="1" x14ac:dyDescent="0.25">
      <c r="A68" s="1" t="s">
        <v>39</v>
      </c>
      <c r="B68" s="3"/>
      <c r="C68" s="3"/>
      <c r="D68" s="3"/>
      <c r="E68" s="6">
        <v>1049.3842718999999</v>
      </c>
      <c r="F68" s="7">
        <v>30.671800000000001</v>
      </c>
    </row>
    <row r="69" spans="1:6" ht="15" customHeight="1" x14ac:dyDescent="0.25">
      <c r="A69" s="1" t="s">
        <v>197</v>
      </c>
      <c r="B69" s="3"/>
      <c r="C69" s="3"/>
      <c r="D69" s="3"/>
      <c r="E69" s="3"/>
      <c r="F69" s="3"/>
    </row>
    <row r="70" spans="1:6" ht="15" customHeight="1" x14ac:dyDescent="0.25">
      <c r="A70" s="3" t="s">
        <v>265</v>
      </c>
      <c r="B70" s="3" t="s">
        <v>266</v>
      </c>
      <c r="C70" s="3" t="s">
        <v>192</v>
      </c>
      <c r="D70" s="3">
        <v>180000</v>
      </c>
      <c r="E70" s="4">
        <v>179.49845999999999</v>
      </c>
      <c r="F70" s="5">
        <v>5.2464000000000004</v>
      </c>
    </row>
    <row r="71" spans="1:6" ht="15" customHeight="1" x14ac:dyDescent="0.25">
      <c r="A71" s="1" t="s">
        <v>39</v>
      </c>
      <c r="B71" s="3"/>
      <c r="C71" s="3"/>
      <c r="D71" s="3"/>
      <c r="E71" s="6">
        <v>179.49845999999999</v>
      </c>
      <c r="F71" s="7">
        <v>5.2464000000000004</v>
      </c>
    </row>
    <row r="72" spans="1:6" ht="15" customHeight="1" x14ac:dyDescent="0.25">
      <c r="A72" s="1" t="s">
        <v>41</v>
      </c>
      <c r="B72" s="3"/>
      <c r="C72" s="3"/>
      <c r="D72" s="3"/>
      <c r="E72" s="6">
        <v>1228.8827319</v>
      </c>
      <c r="F72" s="7">
        <v>35.918199999999999</v>
      </c>
    </row>
    <row r="73" spans="1:6" ht="15" customHeight="1" x14ac:dyDescent="0.25">
      <c r="A73" s="3"/>
      <c r="B73" s="3"/>
      <c r="C73" s="3"/>
      <c r="D73" s="3"/>
      <c r="E73" s="3"/>
      <c r="F73" s="3"/>
    </row>
    <row r="74" spans="1:6" s="9" customFormat="1" ht="15" customHeight="1" x14ac:dyDescent="0.25">
      <c r="A74" s="1" t="s">
        <v>247</v>
      </c>
      <c r="B74" s="3"/>
      <c r="C74" s="3"/>
      <c r="D74" s="3"/>
      <c r="E74" s="6"/>
      <c r="F74" s="7"/>
    </row>
    <row r="75" spans="1:6" s="9" customFormat="1" ht="15" customHeight="1" x14ac:dyDescent="0.25">
      <c r="A75" s="3" t="s">
        <v>248</v>
      </c>
      <c r="B75" s="3" t="s">
        <v>249</v>
      </c>
      <c r="C75" s="3" t="s">
        <v>250</v>
      </c>
      <c r="D75" s="3">
        <v>119070</v>
      </c>
      <c r="E75" s="4">
        <v>114.20003699999999</v>
      </c>
      <c r="F75" s="5">
        <v>3.3378000000000001</v>
      </c>
    </row>
    <row r="76" spans="1:6" s="9" customFormat="1" ht="15" customHeight="1" x14ac:dyDescent="0.25">
      <c r="A76" s="1" t="s">
        <v>39</v>
      </c>
      <c r="B76" s="3"/>
      <c r="C76" s="3"/>
      <c r="D76" s="3"/>
      <c r="E76" s="6">
        <f>SUM(E75)</f>
        <v>114.20003699999999</v>
      </c>
      <c r="F76" s="7">
        <f>SUM(F75)</f>
        <v>3.3378000000000001</v>
      </c>
    </row>
    <row r="77" spans="1:6" s="9" customFormat="1" ht="15" customHeight="1" x14ac:dyDescent="0.25">
      <c r="A77" s="1" t="s">
        <v>41</v>
      </c>
      <c r="B77" s="3"/>
      <c r="C77" s="3"/>
      <c r="D77" s="3"/>
      <c r="E77" s="6">
        <f>+E76</f>
        <v>114.20003699999999</v>
      </c>
      <c r="F77" s="7">
        <f>+F76</f>
        <v>3.3378000000000001</v>
      </c>
    </row>
    <row r="78" spans="1:6" ht="15" customHeight="1" x14ac:dyDescent="0.25">
      <c r="A78" s="3"/>
      <c r="B78" s="3"/>
      <c r="C78" s="3"/>
      <c r="D78" s="3"/>
      <c r="E78" s="3"/>
      <c r="F78" s="3"/>
    </row>
    <row r="79" spans="1:6" ht="30" customHeight="1" x14ac:dyDescent="0.25">
      <c r="A79" s="3" t="s">
        <v>54</v>
      </c>
      <c r="B79" s="3"/>
      <c r="C79" s="3"/>
      <c r="D79" s="3"/>
      <c r="E79" s="4">
        <v>362.88594318999998</v>
      </c>
      <c r="F79" s="5">
        <v>10.6066</v>
      </c>
    </row>
    <row r="80" spans="1:6" ht="15" customHeight="1" x14ac:dyDescent="0.25">
      <c r="A80" s="3"/>
      <c r="B80" s="3"/>
      <c r="C80" s="3"/>
      <c r="D80" s="3"/>
      <c r="E80" s="3"/>
      <c r="F80" s="3"/>
    </row>
    <row r="81" spans="1:6" ht="15" customHeight="1" x14ac:dyDescent="0.25">
      <c r="A81" s="3"/>
      <c r="B81" s="3"/>
      <c r="C81" s="3"/>
      <c r="D81" s="3"/>
      <c r="E81" s="3"/>
      <c r="F81" s="3"/>
    </row>
    <row r="82" spans="1:6" ht="15" customHeight="1" x14ac:dyDescent="0.25">
      <c r="A82" s="1" t="s">
        <v>55</v>
      </c>
      <c r="B82" s="3"/>
      <c r="C82" s="3"/>
      <c r="D82" s="3"/>
      <c r="E82" s="6">
        <v>3421.3213840899998</v>
      </c>
      <c r="F82" s="7">
        <v>100</v>
      </c>
    </row>
    <row r="85" spans="1:6" ht="15" customHeight="1" x14ac:dyDescent="0.25">
      <c r="A85" s="8" t="s">
        <v>251</v>
      </c>
    </row>
    <row r="86" spans="1:6" ht="15" customHeight="1" x14ac:dyDescent="0.25">
      <c r="A86" s="8" t="s">
        <v>201</v>
      </c>
    </row>
  </sheetData>
  <mergeCells count="2">
    <mergeCell ref="A1:F1"/>
    <mergeCell ref="A2:F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opLeftCell="A4" workbookViewId="0">
      <selection activeCell="A6" sqref="A6"/>
    </sheetView>
  </sheetViews>
  <sheetFormatPr defaultRowHeight="15" customHeight="1" x14ac:dyDescent="0.25"/>
  <cols>
    <col min="1" max="1" width="57.140625" bestFit="1" customWidth="1"/>
    <col min="2" max="2" width="19" bestFit="1" customWidth="1"/>
    <col min="3" max="3" width="34.28515625" bestFit="1" customWidth="1"/>
    <col min="4" max="6" width="15.28515625" bestFit="1" customWidth="1"/>
  </cols>
  <sheetData>
    <row r="1" spans="1:6" ht="15" customHeight="1" x14ac:dyDescent="0.25">
      <c r="A1" s="10" t="s">
        <v>267</v>
      </c>
      <c r="B1" s="10"/>
      <c r="C1" s="10"/>
      <c r="D1" s="10"/>
      <c r="E1" s="10"/>
      <c r="F1" s="10"/>
    </row>
    <row r="2" spans="1:6" ht="15" customHeight="1" x14ac:dyDescent="0.25">
      <c r="A2" s="10" t="s">
        <v>1</v>
      </c>
      <c r="B2" s="10"/>
      <c r="C2" s="10"/>
      <c r="D2" s="10"/>
      <c r="E2" s="10"/>
      <c r="F2" s="10"/>
    </row>
    <row r="3" spans="1:6" ht="36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15" customHeight="1" x14ac:dyDescent="0.25">
      <c r="A4" s="1" t="s">
        <v>268</v>
      </c>
      <c r="B4" s="3"/>
      <c r="C4" s="3"/>
      <c r="D4" s="3"/>
      <c r="E4" s="3"/>
      <c r="F4" s="3"/>
    </row>
    <row r="5" spans="1:6" ht="15" customHeight="1" x14ac:dyDescent="0.25">
      <c r="A5" s="1" t="s">
        <v>186</v>
      </c>
      <c r="B5" s="3"/>
      <c r="C5" s="3"/>
      <c r="D5" s="3"/>
      <c r="E5" s="3"/>
      <c r="F5" s="3"/>
    </row>
    <row r="6" spans="1:6" ht="30" customHeight="1" x14ac:dyDescent="0.25">
      <c r="A6" s="3" t="s">
        <v>288</v>
      </c>
      <c r="B6" s="3" t="s">
        <v>196</v>
      </c>
      <c r="C6" s="3" t="s">
        <v>192</v>
      </c>
      <c r="D6" s="3">
        <v>585000</v>
      </c>
      <c r="E6" s="4">
        <v>584.08526429999995</v>
      </c>
      <c r="F6" s="5">
        <v>13.057700000000001</v>
      </c>
    </row>
    <row r="7" spans="1:6" ht="30" customHeight="1" x14ac:dyDescent="0.25">
      <c r="A7" s="3" t="s">
        <v>190</v>
      </c>
      <c r="B7" s="3" t="s">
        <v>191</v>
      </c>
      <c r="C7" s="3" t="s">
        <v>192</v>
      </c>
      <c r="D7" s="3">
        <v>580000</v>
      </c>
      <c r="E7" s="4">
        <v>579.10004089999995</v>
      </c>
      <c r="F7" s="5">
        <v>12.946300000000001</v>
      </c>
    </row>
    <row r="8" spans="1:6" ht="15" customHeight="1" x14ac:dyDescent="0.25">
      <c r="A8" s="3" t="s">
        <v>187</v>
      </c>
      <c r="B8" s="3" t="s">
        <v>188</v>
      </c>
      <c r="C8" s="3" t="s">
        <v>189</v>
      </c>
      <c r="D8" s="3">
        <v>572000</v>
      </c>
      <c r="E8" s="4">
        <v>571.12236629999995</v>
      </c>
      <c r="F8" s="5">
        <v>12.767899999999999</v>
      </c>
    </row>
    <row r="9" spans="1:6" ht="15" customHeight="1" x14ac:dyDescent="0.25">
      <c r="A9" s="1" t="s">
        <v>39</v>
      </c>
      <c r="B9" s="3"/>
      <c r="C9" s="3"/>
      <c r="D9" s="3"/>
      <c r="E9" s="6">
        <v>1734.3076715</v>
      </c>
      <c r="F9" s="7">
        <v>38.771900000000002</v>
      </c>
    </row>
    <row r="10" spans="1:6" ht="15" customHeight="1" x14ac:dyDescent="0.25">
      <c r="A10" s="1" t="s">
        <v>197</v>
      </c>
      <c r="B10" s="3"/>
      <c r="C10" s="3"/>
      <c r="D10" s="3"/>
      <c r="E10" s="3"/>
      <c r="F10" s="3"/>
    </row>
    <row r="11" spans="1:6" ht="15" customHeight="1" x14ac:dyDescent="0.25">
      <c r="A11" s="3" t="s">
        <v>198</v>
      </c>
      <c r="B11" s="3" t="s">
        <v>199</v>
      </c>
      <c r="C11" s="3" t="s">
        <v>192</v>
      </c>
      <c r="D11" s="3">
        <v>585000</v>
      </c>
      <c r="E11" s="4">
        <v>583.72387289999995</v>
      </c>
      <c r="F11" s="5">
        <v>13.0497</v>
      </c>
    </row>
    <row r="12" spans="1:6" ht="15" customHeight="1" x14ac:dyDescent="0.25">
      <c r="A12" s="3" t="s">
        <v>265</v>
      </c>
      <c r="B12" s="3" t="s">
        <v>266</v>
      </c>
      <c r="C12" s="3" t="s">
        <v>192</v>
      </c>
      <c r="D12" s="3">
        <v>585000</v>
      </c>
      <c r="E12" s="4">
        <v>583.36999500000002</v>
      </c>
      <c r="F12" s="5">
        <v>13.0418</v>
      </c>
    </row>
    <row r="13" spans="1:6" ht="15" customHeight="1" x14ac:dyDescent="0.25">
      <c r="A13" s="1" t="s">
        <v>39</v>
      </c>
      <c r="B13" s="3"/>
      <c r="C13" s="3"/>
      <c r="D13" s="3"/>
      <c r="E13" s="6">
        <v>1167.0938679000001</v>
      </c>
      <c r="F13" s="7">
        <v>26.0915</v>
      </c>
    </row>
    <row r="14" spans="1:6" ht="15" customHeight="1" x14ac:dyDescent="0.25">
      <c r="A14" s="1" t="s">
        <v>41</v>
      </c>
      <c r="B14" s="3"/>
      <c r="C14" s="3"/>
      <c r="D14" s="3"/>
      <c r="E14" s="6">
        <v>2901.4015393999998</v>
      </c>
      <c r="F14" s="7">
        <v>64.863399999999999</v>
      </c>
    </row>
    <row r="15" spans="1:6" ht="15" customHeight="1" x14ac:dyDescent="0.25">
      <c r="A15" s="3"/>
      <c r="B15" s="3"/>
      <c r="C15" s="3"/>
      <c r="D15" s="3"/>
      <c r="E15" s="3"/>
      <c r="F15" s="3"/>
    </row>
    <row r="16" spans="1:6" ht="15" customHeight="1" x14ac:dyDescent="0.25">
      <c r="A16" s="3"/>
      <c r="B16" s="3"/>
      <c r="C16" s="3"/>
      <c r="D16" s="3"/>
      <c r="E16" s="3"/>
      <c r="F16" s="3"/>
    </row>
    <row r="17" spans="1:6" ht="30" customHeight="1" x14ac:dyDescent="0.25">
      <c r="A17" s="3" t="s">
        <v>54</v>
      </c>
      <c r="B17" s="3"/>
      <c r="C17" s="3"/>
      <c r="D17" s="3"/>
      <c r="E17" s="4">
        <v>1571.6746598899999</v>
      </c>
      <c r="F17" s="5">
        <v>35.136299999999999</v>
      </c>
    </row>
    <row r="18" spans="1:6" ht="15" customHeight="1" x14ac:dyDescent="0.25">
      <c r="A18" s="3"/>
      <c r="B18" s="3"/>
      <c r="C18" s="3"/>
      <c r="D18" s="3"/>
      <c r="E18" s="3"/>
      <c r="F18" s="3"/>
    </row>
    <row r="19" spans="1:6" ht="15" customHeight="1" x14ac:dyDescent="0.25">
      <c r="A19" s="3"/>
      <c r="B19" s="3"/>
      <c r="C19" s="3"/>
      <c r="D19" s="3"/>
      <c r="E19" s="3"/>
      <c r="F19" s="3"/>
    </row>
    <row r="20" spans="1:6" ht="15" customHeight="1" x14ac:dyDescent="0.25">
      <c r="A20" s="1" t="s">
        <v>55</v>
      </c>
      <c r="B20" s="3"/>
      <c r="C20" s="3"/>
      <c r="D20" s="3"/>
      <c r="E20" s="6">
        <v>4473.0761992899997</v>
      </c>
      <c r="F20" s="7">
        <v>100</v>
      </c>
    </row>
    <row r="23" spans="1:6" ht="15" customHeight="1" x14ac:dyDescent="0.25">
      <c r="A23" s="8" t="s">
        <v>269</v>
      </c>
    </row>
    <row r="24" spans="1:6" ht="15" customHeight="1" x14ac:dyDescent="0.25">
      <c r="A24" s="8" t="s">
        <v>201</v>
      </c>
    </row>
  </sheetData>
  <mergeCells count="2">
    <mergeCell ref="A1:F1"/>
    <mergeCell ref="A2:F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topLeftCell="A57" workbookViewId="0">
      <selection activeCell="A80" sqref="A80"/>
    </sheetView>
  </sheetViews>
  <sheetFormatPr defaultRowHeight="15" customHeight="1" x14ac:dyDescent="0.25"/>
  <cols>
    <col min="1" max="1" width="57.140625" bestFit="1" customWidth="1"/>
    <col min="2" max="2" width="19" bestFit="1" customWidth="1"/>
    <col min="3" max="3" width="34.28515625" bestFit="1" customWidth="1"/>
    <col min="4" max="6" width="15.28515625" bestFit="1" customWidth="1"/>
  </cols>
  <sheetData>
    <row r="1" spans="1:6" ht="15" customHeight="1" x14ac:dyDescent="0.25">
      <c r="A1" s="10" t="s">
        <v>270</v>
      </c>
      <c r="B1" s="10"/>
      <c r="C1" s="10"/>
      <c r="D1" s="10"/>
      <c r="E1" s="10"/>
      <c r="F1" s="10"/>
    </row>
    <row r="2" spans="1:6" ht="15" customHeight="1" x14ac:dyDescent="0.25">
      <c r="A2" s="10" t="s">
        <v>1</v>
      </c>
      <c r="B2" s="10"/>
      <c r="C2" s="10"/>
      <c r="D2" s="10"/>
      <c r="E2" s="10"/>
      <c r="F2" s="10"/>
    </row>
    <row r="3" spans="1:6" ht="36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15" customHeight="1" x14ac:dyDescent="0.25">
      <c r="A4" s="1" t="s">
        <v>8</v>
      </c>
      <c r="B4" s="3"/>
      <c r="C4" s="3"/>
      <c r="D4" s="3"/>
      <c r="E4" s="3"/>
      <c r="F4" s="3"/>
    </row>
    <row r="5" spans="1:6" ht="15" customHeight="1" x14ac:dyDescent="0.25">
      <c r="A5" s="1" t="s">
        <v>9</v>
      </c>
      <c r="B5" s="3"/>
      <c r="C5" s="3"/>
      <c r="D5" s="3"/>
      <c r="E5" s="3"/>
      <c r="F5" s="3"/>
    </row>
    <row r="6" spans="1:6" ht="15" customHeight="1" x14ac:dyDescent="0.25">
      <c r="A6" s="3" t="s">
        <v>62</v>
      </c>
      <c r="B6" s="3" t="s">
        <v>63</v>
      </c>
      <c r="C6" s="3" t="s">
        <v>35</v>
      </c>
      <c r="D6" s="3">
        <v>29904</v>
      </c>
      <c r="E6" s="4">
        <v>299.57827200000003</v>
      </c>
      <c r="F6" s="5">
        <v>6.2862</v>
      </c>
    </row>
    <row r="7" spans="1:6" ht="15" customHeight="1" x14ac:dyDescent="0.25">
      <c r="A7" s="3" t="s">
        <v>64</v>
      </c>
      <c r="B7" s="3" t="s">
        <v>65</v>
      </c>
      <c r="C7" s="3" t="s">
        <v>35</v>
      </c>
      <c r="D7" s="3">
        <v>19867</v>
      </c>
      <c r="E7" s="4">
        <v>269.63492400000001</v>
      </c>
      <c r="F7" s="5">
        <v>5.6577999999999999</v>
      </c>
    </row>
    <row r="8" spans="1:6" ht="15" customHeight="1" x14ac:dyDescent="0.25">
      <c r="A8" s="3" t="s">
        <v>57</v>
      </c>
      <c r="B8" s="3" t="s">
        <v>58</v>
      </c>
      <c r="C8" s="3" t="s">
        <v>35</v>
      </c>
      <c r="D8" s="3">
        <v>70755</v>
      </c>
      <c r="E8" s="4">
        <v>268.97513249999997</v>
      </c>
      <c r="F8" s="5">
        <v>5.6440000000000001</v>
      </c>
    </row>
    <row r="9" spans="1:6" ht="15" customHeight="1" x14ac:dyDescent="0.25">
      <c r="A9" s="3" t="s">
        <v>66</v>
      </c>
      <c r="B9" s="3" t="s">
        <v>67</v>
      </c>
      <c r="C9" s="3" t="s">
        <v>68</v>
      </c>
      <c r="D9" s="3">
        <v>10666</v>
      </c>
      <c r="E9" s="4">
        <v>214.86123699999999</v>
      </c>
      <c r="F9" s="5">
        <v>4.5084999999999997</v>
      </c>
    </row>
    <row r="10" spans="1:6" ht="15" customHeight="1" x14ac:dyDescent="0.25">
      <c r="A10" s="3" t="s">
        <v>73</v>
      </c>
      <c r="B10" s="3" t="s">
        <v>74</v>
      </c>
      <c r="C10" s="3" t="s">
        <v>27</v>
      </c>
      <c r="D10" s="3">
        <v>9035</v>
      </c>
      <c r="E10" s="4">
        <v>198.31825000000001</v>
      </c>
      <c r="F10" s="5">
        <v>4.1614000000000004</v>
      </c>
    </row>
    <row r="11" spans="1:6" ht="15" customHeight="1" x14ac:dyDescent="0.25">
      <c r="A11" s="3" t="s">
        <v>22</v>
      </c>
      <c r="B11" s="3" t="s">
        <v>23</v>
      </c>
      <c r="C11" s="3" t="s">
        <v>24</v>
      </c>
      <c r="D11" s="3">
        <v>39575</v>
      </c>
      <c r="E11" s="4">
        <v>166.23478750000001</v>
      </c>
      <c r="F11" s="5">
        <v>3.4881000000000002</v>
      </c>
    </row>
    <row r="12" spans="1:6" ht="15" customHeight="1" x14ac:dyDescent="0.25">
      <c r="A12" s="3" t="s">
        <v>71</v>
      </c>
      <c r="B12" s="3" t="s">
        <v>72</v>
      </c>
      <c r="C12" s="3" t="s">
        <v>35</v>
      </c>
      <c r="D12" s="3">
        <v>36660</v>
      </c>
      <c r="E12" s="4">
        <v>163.10033999999999</v>
      </c>
      <c r="F12" s="5">
        <v>3.4224000000000001</v>
      </c>
    </row>
    <row r="13" spans="1:6" ht="15" customHeight="1" x14ac:dyDescent="0.25">
      <c r="A13" s="3" t="s">
        <v>77</v>
      </c>
      <c r="B13" s="3" t="s">
        <v>78</v>
      </c>
      <c r="C13" s="3" t="s">
        <v>79</v>
      </c>
      <c r="D13" s="3">
        <v>31150</v>
      </c>
      <c r="E13" s="4">
        <v>160.20445000000001</v>
      </c>
      <c r="F13" s="5">
        <v>3.3616000000000001</v>
      </c>
    </row>
    <row r="14" spans="1:6" ht="15" customHeight="1" x14ac:dyDescent="0.25">
      <c r="A14" s="3" t="s">
        <v>117</v>
      </c>
      <c r="B14" s="3" t="s">
        <v>118</v>
      </c>
      <c r="C14" s="3" t="s">
        <v>24</v>
      </c>
      <c r="D14" s="3">
        <v>9503</v>
      </c>
      <c r="E14" s="4">
        <v>151.0549365</v>
      </c>
      <c r="F14" s="5">
        <v>3.1696</v>
      </c>
    </row>
    <row r="15" spans="1:6" ht="15" customHeight="1" x14ac:dyDescent="0.25">
      <c r="A15" s="3" t="s">
        <v>115</v>
      </c>
      <c r="B15" s="3" t="s">
        <v>116</v>
      </c>
      <c r="C15" s="3" t="s">
        <v>82</v>
      </c>
      <c r="D15" s="3">
        <v>28400</v>
      </c>
      <c r="E15" s="4">
        <v>139.72800000000001</v>
      </c>
      <c r="F15" s="5">
        <v>2.9319000000000002</v>
      </c>
    </row>
    <row r="16" spans="1:6" ht="15" customHeight="1" x14ac:dyDescent="0.25">
      <c r="A16" s="3" t="s">
        <v>152</v>
      </c>
      <c r="B16" s="3" t="s">
        <v>153</v>
      </c>
      <c r="C16" s="3" t="s">
        <v>82</v>
      </c>
      <c r="D16" s="3">
        <v>25440</v>
      </c>
      <c r="E16" s="4">
        <v>119.51712000000001</v>
      </c>
      <c r="F16" s="5">
        <v>2.5078</v>
      </c>
    </row>
    <row r="17" spans="1:6" ht="15" customHeight="1" x14ac:dyDescent="0.25">
      <c r="A17" s="3" t="s">
        <v>214</v>
      </c>
      <c r="B17" s="3" t="s">
        <v>215</v>
      </c>
      <c r="C17" s="3" t="s">
        <v>207</v>
      </c>
      <c r="D17" s="3">
        <v>6851</v>
      </c>
      <c r="E17" s="4">
        <v>110.1743565</v>
      </c>
      <c r="F17" s="5">
        <v>2.3117999999999999</v>
      </c>
    </row>
    <row r="18" spans="1:6" ht="15" customHeight="1" x14ac:dyDescent="0.25">
      <c r="A18" s="3" t="s">
        <v>97</v>
      </c>
      <c r="B18" s="3" t="s">
        <v>98</v>
      </c>
      <c r="C18" s="3" t="s">
        <v>82</v>
      </c>
      <c r="D18" s="3">
        <v>19491</v>
      </c>
      <c r="E18" s="4">
        <v>97.6596555</v>
      </c>
      <c r="F18" s="5">
        <v>2.0491999999999999</v>
      </c>
    </row>
    <row r="19" spans="1:6" ht="15" customHeight="1" x14ac:dyDescent="0.25">
      <c r="A19" s="3" t="s">
        <v>94</v>
      </c>
      <c r="B19" s="3" t="s">
        <v>95</v>
      </c>
      <c r="C19" s="3" t="s">
        <v>96</v>
      </c>
      <c r="D19" s="3">
        <v>3945</v>
      </c>
      <c r="E19" s="4">
        <v>94.034992500000001</v>
      </c>
      <c r="F19" s="5">
        <v>1.9731000000000001</v>
      </c>
    </row>
    <row r="20" spans="1:6" ht="15" customHeight="1" x14ac:dyDescent="0.25">
      <c r="A20" s="3" t="s">
        <v>59</v>
      </c>
      <c r="B20" s="3" t="s">
        <v>60</v>
      </c>
      <c r="C20" s="3" t="s">
        <v>61</v>
      </c>
      <c r="D20" s="3">
        <v>6397</v>
      </c>
      <c r="E20" s="4">
        <v>93.780019999999993</v>
      </c>
      <c r="F20" s="5">
        <v>1.9678</v>
      </c>
    </row>
    <row r="21" spans="1:6" ht="15" customHeight="1" x14ac:dyDescent="0.25">
      <c r="A21" s="3" t="s">
        <v>113</v>
      </c>
      <c r="B21" s="3" t="s">
        <v>114</v>
      </c>
      <c r="C21" s="3" t="s">
        <v>68</v>
      </c>
      <c r="D21" s="3">
        <v>16340</v>
      </c>
      <c r="E21" s="4">
        <v>88.816069999999996</v>
      </c>
      <c r="F21" s="5">
        <v>1.8635999999999999</v>
      </c>
    </row>
    <row r="22" spans="1:6" ht="15" customHeight="1" x14ac:dyDescent="0.25">
      <c r="A22" s="3" t="s">
        <v>139</v>
      </c>
      <c r="B22" s="3" t="s">
        <v>140</v>
      </c>
      <c r="C22" s="3" t="s">
        <v>141</v>
      </c>
      <c r="D22" s="3">
        <v>33250</v>
      </c>
      <c r="E22" s="4">
        <v>80.797499999999999</v>
      </c>
      <c r="F22" s="5">
        <v>1.6954</v>
      </c>
    </row>
    <row r="23" spans="1:6" ht="15" customHeight="1" x14ac:dyDescent="0.25">
      <c r="A23" s="3" t="s">
        <v>83</v>
      </c>
      <c r="B23" s="3" t="s">
        <v>84</v>
      </c>
      <c r="C23" s="3" t="s">
        <v>15</v>
      </c>
      <c r="D23" s="3">
        <v>3273</v>
      </c>
      <c r="E23" s="4">
        <v>76.764942000000005</v>
      </c>
      <c r="F23" s="5">
        <v>1.6107</v>
      </c>
    </row>
    <row r="24" spans="1:6" ht="15" customHeight="1" x14ac:dyDescent="0.25">
      <c r="A24" s="3" t="s">
        <v>125</v>
      </c>
      <c r="B24" s="3" t="s">
        <v>126</v>
      </c>
      <c r="C24" s="3" t="s">
        <v>15</v>
      </c>
      <c r="D24" s="3">
        <v>2797</v>
      </c>
      <c r="E24" s="4">
        <v>72.705218000000002</v>
      </c>
      <c r="F24" s="5">
        <v>1.5256000000000001</v>
      </c>
    </row>
    <row r="25" spans="1:6" ht="15" customHeight="1" x14ac:dyDescent="0.25">
      <c r="A25" s="3" t="s">
        <v>142</v>
      </c>
      <c r="B25" s="3" t="s">
        <v>143</v>
      </c>
      <c r="C25" s="3" t="s">
        <v>121</v>
      </c>
      <c r="D25" s="3">
        <v>11000</v>
      </c>
      <c r="E25" s="4">
        <v>69.938000000000002</v>
      </c>
      <c r="F25" s="5">
        <v>1.4675</v>
      </c>
    </row>
    <row r="26" spans="1:6" ht="15" customHeight="1" x14ac:dyDescent="0.25">
      <c r="A26" s="3" t="s">
        <v>237</v>
      </c>
      <c r="B26" s="3" t="s">
        <v>238</v>
      </c>
      <c r="C26" s="3" t="s">
        <v>207</v>
      </c>
      <c r="D26" s="3">
        <v>6333</v>
      </c>
      <c r="E26" s="4">
        <v>69.317851500000003</v>
      </c>
      <c r="F26" s="5">
        <v>1.4544999999999999</v>
      </c>
    </row>
    <row r="27" spans="1:6" ht="15" customHeight="1" x14ac:dyDescent="0.25">
      <c r="A27" s="3" t="s">
        <v>131</v>
      </c>
      <c r="B27" s="3" t="s">
        <v>132</v>
      </c>
      <c r="C27" s="3" t="s">
        <v>18</v>
      </c>
      <c r="D27" s="3">
        <v>9678</v>
      </c>
      <c r="E27" s="4">
        <v>69.038013000000007</v>
      </c>
      <c r="F27" s="5">
        <v>1.4486000000000001</v>
      </c>
    </row>
    <row r="28" spans="1:6" ht="15" customHeight="1" x14ac:dyDescent="0.25">
      <c r="A28" s="3" t="s">
        <v>69</v>
      </c>
      <c r="B28" s="3" t="s">
        <v>70</v>
      </c>
      <c r="C28" s="3" t="s">
        <v>15</v>
      </c>
      <c r="D28" s="3">
        <v>383</v>
      </c>
      <c r="E28" s="4">
        <v>67.908772499999998</v>
      </c>
      <c r="F28" s="5">
        <v>1.4249000000000001</v>
      </c>
    </row>
    <row r="29" spans="1:6" ht="15" customHeight="1" x14ac:dyDescent="0.25">
      <c r="A29" s="3" t="s">
        <v>105</v>
      </c>
      <c r="B29" s="3" t="s">
        <v>106</v>
      </c>
      <c r="C29" s="3" t="s">
        <v>27</v>
      </c>
      <c r="D29" s="3">
        <v>2133</v>
      </c>
      <c r="E29" s="4">
        <v>67.525447499999999</v>
      </c>
      <c r="F29" s="5">
        <v>1.4169</v>
      </c>
    </row>
    <row r="30" spans="1:6" ht="15" customHeight="1" x14ac:dyDescent="0.25">
      <c r="A30" s="3" t="s">
        <v>220</v>
      </c>
      <c r="B30" s="3" t="s">
        <v>221</v>
      </c>
      <c r="C30" s="3" t="s">
        <v>96</v>
      </c>
      <c r="D30" s="3">
        <v>3872</v>
      </c>
      <c r="E30" s="4">
        <v>66.753280000000004</v>
      </c>
      <c r="F30" s="5">
        <v>1.4007000000000001</v>
      </c>
    </row>
    <row r="31" spans="1:6" ht="15" customHeight="1" x14ac:dyDescent="0.25">
      <c r="A31" s="3" t="s">
        <v>103</v>
      </c>
      <c r="B31" s="3" t="s">
        <v>104</v>
      </c>
      <c r="C31" s="3" t="s">
        <v>27</v>
      </c>
      <c r="D31" s="3">
        <v>371</v>
      </c>
      <c r="E31" s="4">
        <v>66.500451499999997</v>
      </c>
      <c r="F31" s="5">
        <v>1.3954</v>
      </c>
    </row>
    <row r="32" spans="1:6" ht="15" customHeight="1" x14ac:dyDescent="0.25">
      <c r="A32" s="3" t="s">
        <v>224</v>
      </c>
      <c r="B32" s="3" t="s">
        <v>225</v>
      </c>
      <c r="C32" s="3" t="s">
        <v>162</v>
      </c>
      <c r="D32" s="3">
        <v>7092</v>
      </c>
      <c r="E32" s="4">
        <v>64.441457999999997</v>
      </c>
      <c r="F32" s="5">
        <v>1.3522000000000001</v>
      </c>
    </row>
    <row r="33" spans="1:6" ht="15" customHeight="1" x14ac:dyDescent="0.25">
      <c r="A33" s="3" t="s">
        <v>129</v>
      </c>
      <c r="B33" s="3" t="s">
        <v>130</v>
      </c>
      <c r="C33" s="3" t="s">
        <v>121</v>
      </c>
      <c r="D33" s="3">
        <v>1263</v>
      </c>
      <c r="E33" s="4">
        <v>57.736781999999998</v>
      </c>
      <c r="F33" s="5">
        <v>1.2115</v>
      </c>
    </row>
    <row r="34" spans="1:6" ht="15" customHeight="1" x14ac:dyDescent="0.25">
      <c r="A34" s="3" t="s">
        <v>122</v>
      </c>
      <c r="B34" s="3" t="s">
        <v>123</v>
      </c>
      <c r="C34" s="3" t="s">
        <v>124</v>
      </c>
      <c r="D34" s="3">
        <v>9541</v>
      </c>
      <c r="E34" s="4">
        <v>56.697392499999999</v>
      </c>
      <c r="F34" s="5">
        <v>1.1897</v>
      </c>
    </row>
    <row r="35" spans="1:6" ht="15" customHeight="1" x14ac:dyDescent="0.25">
      <c r="A35" s="3" t="s">
        <v>99</v>
      </c>
      <c r="B35" s="3" t="s">
        <v>100</v>
      </c>
      <c r="C35" s="3" t="s">
        <v>18</v>
      </c>
      <c r="D35" s="3">
        <v>2135</v>
      </c>
      <c r="E35" s="4">
        <v>56.007455</v>
      </c>
      <c r="F35" s="5">
        <v>1.1752</v>
      </c>
    </row>
    <row r="36" spans="1:6" ht="15" customHeight="1" x14ac:dyDescent="0.25">
      <c r="A36" s="3" t="s">
        <v>28</v>
      </c>
      <c r="B36" s="3" t="s">
        <v>29</v>
      </c>
      <c r="C36" s="3" t="s">
        <v>18</v>
      </c>
      <c r="D36" s="3">
        <v>14670</v>
      </c>
      <c r="E36" s="4">
        <v>53.787554999999998</v>
      </c>
      <c r="F36" s="5">
        <v>1.1286</v>
      </c>
    </row>
    <row r="37" spans="1:6" ht="15" customHeight="1" x14ac:dyDescent="0.25">
      <c r="A37" s="3" t="s">
        <v>75</v>
      </c>
      <c r="B37" s="3" t="s">
        <v>76</v>
      </c>
      <c r="C37" s="3" t="s">
        <v>68</v>
      </c>
      <c r="D37" s="3">
        <v>7500</v>
      </c>
      <c r="E37" s="4">
        <v>53.662500000000001</v>
      </c>
      <c r="F37" s="5">
        <v>1.1259999999999999</v>
      </c>
    </row>
    <row r="38" spans="1:6" ht="15" customHeight="1" x14ac:dyDescent="0.25">
      <c r="A38" s="3" t="s">
        <v>137</v>
      </c>
      <c r="B38" s="3" t="s">
        <v>138</v>
      </c>
      <c r="C38" s="3" t="s">
        <v>27</v>
      </c>
      <c r="D38" s="3">
        <v>3079</v>
      </c>
      <c r="E38" s="4">
        <v>49.525714999999998</v>
      </c>
      <c r="F38" s="5">
        <v>1.0391999999999999</v>
      </c>
    </row>
    <row r="39" spans="1:6" ht="15" customHeight="1" x14ac:dyDescent="0.25">
      <c r="A39" s="3" t="s">
        <v>144</v>
      </c>
      <c r="B39" s="3" t="s">
        <v>145</v>
      </c>
      <c r="C39" s="3" t="s">
        <v>24</v>
      </c>
      <c r="D39" s="3">
        <v>22750</v>
      </c>
      <c r="E39" s="4">
        <v>48.616750000000003</v>
      </c>
      <c r="F39" s="5">
        <v>1.0201</v>
      </c>
    </row>
    <row r="40" spans="1:6" ht="15" customHeight="1" x14ac:dyDescent="0.25">
      <c r="A40" s="3" t="s">
        <v>150</v>
      </c>
      <c r="B40" s="3" t="s">
        <v>151</v>
      </c>
      <c r="C40" s="3" t="s">
        <v>15</v>
      </c>
      <c r="D40" s="3">
        <v>10336</v>
      </c>
      <c r="E40" s="4">
        <v>48.005552000000002</v>
      </c>
      <c r="F40" s="5">
        <v>1.0073000000000001</v>
      </c>
    </row>
    <row r="41" spans="1:6" ht="15" customHeight="1" x14ac:dyDescent="0.25">
      <c r="A41" s="3" t="s">
        <v>109</v>
      </c>
      <c r="B41" s="3" t="s">
        <v>110</v>
      </c>
      <c r="C41" s="3" t="s">
        <v>27</v>
      </c>
      <c r="D41" s="3">
        <v>9341</v>
      </c>
      <c r="E41" s="4">
        <v>45.705513000000003</v>
      </c>
      <c r="F41" s="5">
        <v>0.95899999999999996</v>
      </c>
    </row>
    <row r="42" spans="1:6" ht="15" customHeight="1" x14ac:dyDescent="0.25">
      <c r="A42" s="3" t="s">
        <v>111</v>
      </c>
      <c r="B42" s="3" t="s">
        <v>112</v>
      </c>
      <c r="C42" s="3" t="s">
        <v>82</v>
      </c>
      <c r="D42" s="3">
        <v>1930</v>
      </c>
      <c r="E42" s="4">
        <v>44.739330000000002</v>
      </c>
      <c r="F42" s="5">
        <v>0.93869999999999998</v>
      </c>
    </row>
    <row r="43" spans="1:6" ht="15" customHeight="1" x14ac:dyDescent="0.25">
      <c r="A43" s="3" t="s">
        <v>146</v>
      </c>
      <c r="B43" s="3" t="s">
        <v>147</v>
      </c>
      <c r="C43" s="3" t="s">
        <v>15</v>
      </c>
      <c r="D43" s="3">
        <v>7147</v>
      </c>
      <c r="E43" s="4">
        <v>42.138711999999998</v>
      </c>
      <c r="F43" s="5">
        <v>0.88419999999999999</v>
      </c>
    </row>
    <row r="44" spans="1:6" ht="15" customHeight="1" x14ac:dyDescent="0.25">
      <c r="A44" s="3" t="s">
        <v>148</v>
      </c>
      <c r="B44" s="3" t="s">
        <v>149</v>
      </c>
      <c r="C44" s="3" t="s">
        <v>27</v>
      </c>
      <c r="D44" s="3">
        <v>11532</v>
      </c>
      <c r="E44" s="4">
        <v>40.546512</v>
      </c>
      <c r="F44" s="5">
        <v>0.8508</v>
      </c>
    </row>
    <row r="45" spans="1:6" ht="15" customHeight="1" x14ac:dyDescent="0.25">
      <c r="A45" s="3" t="s">
        <v>16</v>
      </c>
      <c r="B45" s="3" t="s">
        <v>17</v>
      </c>
      <c r="C45" s="3" t="s">
        <v>18</v>
      </c>
      <c r="D45" s="3">
        <v>1693</v>
      </c>
      <c r="E45" s="4">
        <v>36.682231000000002</v>
      </c>
      <c r="F45" s="5">
        <v>0.76970000000000005</v>
      </c>
    </row>
    <row r="46" spans="1:6" ht="15" customHeight="1" x14ac:dyDescent="0.25">
      <c r="A46" s="3" t="s">
        <v>156</v>
      </c>
      <c r="B46" s="3" t="s">
        <v>157</v>
      </c>
      <c r="C46" s="3" t="s">
        <v>61</v>
      </c>
      <c r="D46" s="3">
        <v>9300</v>
      </c>
      <c r="E46" s="4">
        <v>34.409999999999997</v>
      </c>
      <c r="F46" s="5">
        <v>0.72199999999999998</v>
      </c>
    </row>
    <row r="47" spans="1:6" ht="15" customHeight="1" x14ac:dyDescent="0.25">
      <c r="A47" s="3" t="s">
        <v>208</v>
      </c>
      <c r="B47" s="3" t="s">
        <v>209</v>
      </c>
      <c r="C47" s="3" t="s">
        <v>207</v>
      </c>
      <c r="D47" s="3">
        <v>3580</v>
      </c>
      <c r="E47" s="4">
        <v>33.65558</v>
      </c>
      <c r="F47" s="5">
        <v>0.70620000000000005</v>
      </c>
    </row>
    <row r="48" spans="1:6" ht="15" customHeight="1" x14ac:dyDescent="0.25">
      <c r="A48" s="3" t="s">
        <v>169</v>
      </c>
      <c r="B48" s="3" t="s">
        <v>170</v>
      </c>
      <c r="C48" s="3" t="s">
        <v>82</v>
      </c>
      <c r="D48" s="3">
        <v>3520</v>
      </c>
      <c r="E48" s="4">
        <v>30.367039999999999</v>
      </c>
      <c r="F48" s="5">
        <v>0.63719999999999999</v>
      </c>
    </row>
    <row r="49" spans="1:6" ht="15" customHeight="1" x14ac:dyDescent="0.25">
      <c r="A49" s="3" t="s">
        <v>107</v>
      </c>
      <c r="B49" s="3" t="s">
        <v>108</v>
      </c>
      <c r="C49" s="3" t="s">
        <v>27</v>
      </c>
      <c r="D49" s="3">
        <v>1610</v>
      </c>
      <c r="E49" s="4">
        <v>28.315069999999999</v>
      </c>
      <c r="F49" s="5">
        <v>0.59409999999999996</v>
      </c>
    </row>
    <row r="50" spans="1:6" ht="15" customHeight="1" x14ac:dyDescent="0.25">
      <c r="A50" s="3" t="s">
        <v>205</v>
      </c>
      <c r="B50" s="3" t="s">
        <v>206</v>
      </c>
      <c r="C50" s="3" t="s">
        <v>207</v>
      </c>
      <c r="D50" s="3">
        <v>12600</v>
      </c>
      <c r="E50" s="4">
        <v>27.877500000000001</v>
      </c>
      <c r="F50" s="5">
        <v>0.58489999999999998</v>
      </c>
    </row>
    <row r="51" spans="1:6" ht="15" customHeight="1" x14ac:dyDescent="0.25">
      <c r="A51" s="3" t="s">
        <v>127</v>
      </c>
      <c r="B51" s="3" t="s">
        <v>128</v>
      </c>
      <c r="C51" s="3" t="s">
        <v>24</v>
      </c>
      <c r="D51" s="3">
        <v>644</v>
      </c>
      <c r="E51" s="4">
        <v>27.693932</v>
      </c>
      <c r="F51" s="5">
        <v>0.58109999999999995</v>
      </c>
    </row>
    <row r="52" spans="1:6" ht="15" customHeight="1" x14ac:dyDescent="0.25">
      <c r="A52" s="3" t="s">
        <v>160</v>
      </c>
      <c r="B52" s="3" t="s">
        <v>161</v>
      </c>
      <c r="C52" s="3" t="s">
        <v>162</v>
      </c>
      <c r="D52" s="3">
        <v>14700</v>
      </c>
      <c r="E52" s="4">
        <v>26.55555</v>
      </c>
      <c r="F52" s="5">
        <v>0.55720000000000003</v>
      </c>
    </row>
    <row r="53" spans="1:6" ht="15" customHeight="1" x14ac:dyDescent="0.25">
      <c r="A53" s="3" t="s">
        <v>163</v>
      </c>
      <c r="B53" s="3" t="s">
        <v>164</v>
      </c>
      <c r="C53" s="3" t="s">
        <v>141</v>
      </c>
      <c r="D53" s="3">
        <v>5520</v>
      </c>
      <c r="E53" s="4">
        <v>26.31108</v>
      </c>
      <c r="F53" s="5">
        <v>0.55200000000000005</v>
      </c>
    </row>
    <row r="54" spans="1:6" ht="15" customHeight="1" x14ac:dyDescent="0.25">
      <c r="A54" s="3" t="s">
        <v>171</v>
      </c>
      <c r="B54" s="3" t="s">
        <v>172</v>
      </c>
      <c r="C54" s="3" t="s">
        <v>162</v>
      </c>
      <c r="D54" s="3">
        <v>8579</v>
      </c>
      <c r="E54" s="4">
        <v>25.591156999999999</v>
      </c>
      <c r="F54" s="5">
        <v>0.53690000000000004</v>
      </c>
    </row>
    <row r="55" spans="1:6" ht="15" customHeight="1" x14ac:dyDescent="0.25">
      <c r="A55" s="3" t="s">
        <v>165</v>
      </c>
      <c r="B55" s="3" t="s">
        <v>166</v>
      </c>
      <c r="C55" s="3" t="s">
        <v>82</v>
      </c>
      <c r="D55" s="3">
        <v>3500</v>
      </c>
      <c r="E55" s="4">
        <v>25.43975</v>
      </c>
      <c r="F55" s="5">
        <v>0.53380000000000005</v>
      </c>
    </row>
    <row r="56" spans="1:6" ht="15" customHeight="1" x14ac:dyDescent="0.25">
      <c r="A56" s="3" t="s">
        <v>87</v>
      </c>
      <c r="B56" s="3" t="s">
        <v>88</v>
      </c>
      <c r="C56" s="3" t="s">
        <v>21</v>
      </c>
      <c r="D56" s="3">
        <v>126</v>
      </c>
      <c r="E56" s="4">
        <v>24.907554000000001</v>
      </c>
      <c r="F56" s="5">
        <v>0.52259999999999995</v>
      </c>
    </row>
    <row r="57" spans="1:6" ht="15" customHeight="1" x14ac:dyDescent="0.25">
      <c r="A57" s="3" t="s">
        <v>133</v>
      </c>
      <c r="B57" s="3" t="s">
        <v>134</v>
      </c>
      <c r="C57" s="3" t="s">
        <v>15</v>
      </c>
      <c r="D57" s="3">
        <v>566</v>
      </c>
      <c r="E57" s="4">
        <v>22.279458000000002</v>
      </c>
      <c r="F57" s="5">
        <v>0.46750000000000003</v>
      </c>
    </row>
    <row r="58" spans="1:6" ht="15" customHeight="1" x14ac:dyDescent="0.25">
      <c r="A58" s="3" t="s">
        <v>154</v>
      </c>
      <c r="B58" s="3" t="s">
        <v>155</v>
      </c>
      <c r="C58" s="3" t="s">
        <v>27</v>
      </c>
      <c r="D58" s="3">
        <v>3700</v>
      </c>
      <c r="E58" s="4">
        <v>19.85605</v>
      </c>
      <c r="F58" s="5">
        <v>0.41660000000000003</v>
      </c>
    </row>
    <row r="59" spans="1:6" ht="15" customHeight="1" x14ac:dyDescent="0.25">
      <c r="A59" s="3" t="s">
        <v>80</v>
      </c>
      <c r="B59" s="3" t="s">
        <v>81</v>
      </c>
      <c r="C59" s="3" t="s">
        <v>82</v>
      </c>
      <c r="D59" s="3">
        <v>1013</v>
      </c>
      <c r="E59" s="4">
        <v>19.409079999999999</v>
      </c>
      <c r="F59" s="5">
        <v>0.40720000000000001</v>
      </c>
    </row>
    <row r="60" spans="1:6" ht="15" customHeight="1" x14ac:dyDescent="0.25">
      <c r="A60" s="3" t="s">
        <v>135</v>
      </c>
      <c r="B60" s="3" t="s">
        <v>136</v>
      </c>
      <c r="C60" s="3" t="s">
        <v>15</v>
      </c>
      <c r="D60" s="3">
        <v>690</v>
      </c>
      <c r="E60" s="4">
        <v>16.097010000000001</v>
      </c>
      <c r="F60" s="5">
        <v>0.3377</v>
      </c>
    </row>
    <row r="61" spans="1:6" ht="15" customHeight="1" x14ac:dyDescent="0.25">
      <c r="A61" s="3" t="s">
        <v>175</v>
      </c>
      <c r="B61" s="3" t="s">
        <v>176</v>
      </c>
      <c r="C61" s="3" t="s">
        <v>15</v>
      </c>
      <c r="D61" s="3">
        <v>2500</v>
      </c>
      <c r="E61" s="4">
        <v>15.64625</v>
      </c>
      <c r="F61" s="5">
        <v>0.32829999999999998</v>
      </c>
    </row>
    <row r="62" spans="1:6" ht="15" customHeight="1" x14ac:dyDescent="0.25">
      <c r="A62" s="3" t="s">
        <v>271</v>
      </c>
      <c r="B62" s="3" t="s">
        <v>272</v>
      </c>
      <c r="C62" s="3" t="s">
        <v>273</v>
      </c>
      <c r="D62" s="3">
        <v>595</v>
      </c>
      <c r="E62" s="4">
        <v>9.3605400000000003</v>
      </c>
      <c r="F62" s="5">
        <v>0.19639999999999999</v>
      </c>
    </row>
    <row r="63" spans="1:6" ht="15" customHeight="1" x14ac:dyDescent="0.25">
      <c r="A63" s="3" t="s">
        <v>158</v>
      </c>
      <c r="B63" s="3" t="s">
        <v>159</v>
      </c>
      <c r="C63" s="3" t="s">
        <v>15</v>
      </c>
      <c r="D63" s="3">
        <v>740</v>
      </c>
      <c r="E63" s="4">
        <v>4.1284599999999996</v>
      </c>
      <c r="F63" s="5">
        <v>8.6599999999999996E-2</v>
      </c>
    </row>
    <row r="64" spans="1:6" ht="15" customHeight="1" x14ac:dyDescent="0.25">
      <c r="A64" s="3" t="s">
        <v>173</v>
      </c>
      <c r="B64" s="3" t="s">
        <v>174</v>
      </c>
      <c r="C64" s="3" t="s">
        <v>15</v>
      </c>
      <c r="D64" s="3">
        <v>48</v>
      </c>
      <c r="E64" s="4">
        <v>3.733584</v>
      </c>
      <c r="F64" s="5">
        <v>7.8299999999999995E-2</v>
      </c>
    </row>
    <row r="65" spans="1:6" ht="15" customHeight="1" x14ac:dyDescent="0.25">
      <c r="A65" s="3" t="s">
        <v>89</v>
      </c>
      <c r="B65" s="3" t="s">
        <v>90</v>
      </c>
      <c r="C65" s="3" t="s">
        <v>82</v>
      </c>
      <c r="D65" s="3">
        <v>175</v>
      </c>
      <c r="E65" s="4">
        <v>2.2585500000000001</v>
      </c>
      <c r="F65" s="5">
        <v>4.7300000000000002E-2</v>
      </c>
    </row>
    <row r="66" spans="1:6" ht="15" customHeight="1" x14ac:dyDescent="0.25">
      <c r="A66" s="1" t="s">
        <v>39</v>
      </c>
      <c r="B66" s="3"/>
      <c r="C66" s="3"/>
      <c r="D66" s="3"/>
      <c r="E66" s="6">
        <v>4465.1086724999996</v>
      </c>
      <c r="F66" s="7">
        <v>93.691100000000006</v>
      </c>
    </row>
    <row r="67" spans="1:6" ht="15" customHeight="1" x14ac:dyDescent="0.25">
      <c r="A67" s="3"/>
      <c r="B67" s="3"/>
      <c r="C67" s="3"/>
      <c r="D67" s="3"/>
      <c r="E67" s="3"/>
      <c r="F67" s="3"/>
    </row>
    <row r="68" spans="1:6" ht="15" customHeight="1" x14ac:dyDescent="0.25">
      <c r="A68" s="1" t="s">
        <v>40</v>
      </c>
      <c r="B68" s="3"/>
      <c r="C68" s="3"/>
      <c r="D68" s="3"/>
      <c r="E68" s="4">
        <v>0</v>
      </c>
      <c r="F68" s="5">
        <v>0</v>
      </c>
    </row>
    <row r="69" spans="1:6" ht="15" customHeight="1" x14ac:dyDescent="0.25">
      <c r="A69" s="1" t="s">
        <v>39</v>
      </c>
      <c r="B69" s="3"/>
      <c r="C69" s="3"/>
      <c r="D69" s="3"/>
      <c r="E69" s="6">
        <v>0</v>
      </c>
      <c r="F69" s="7">
        <v>0</v>
      </c>
    </row>
    <row r="70" spans="1:6" ht="15" customHeight="1" x14ac:dyDescent="0.25">
      <c r="A70" s="1" t="s">
        <v>41</v>
      </c>
      <c r="B70" s="3"/>
      <c r="C70" s="3"/>
      <c r="D70" s="3"/>
      <c r="E70" s="6">
        <v>4465.1086724999996</v>
      </c>
      <c r="F70" s="7">
        <v>93.691100000000006</v>
      </c>
    </row>
    <row r="71" spans="1:6" ht="15" customHeight="1" x14ac:dyDescent="0.25">
      <c r="A71" s="3"/>
      <c r="B71" s="3"/>
      <c r="C71" s="3"/>
      <c r="D71" s="3"/>
      <c r="E71" s="3"/>
      <c r="F71" s="3"/>
    </row>
    <row r="72" spans="1:6" ht="15" customHeight="1" x14ac:dyDescent="0.25">
      <c r="A72" s="3"/>
      <c r="B72" s="3"/>
      <c r="C72" s="3"/>
      <c r="D72" s="3"/>
      <c r="E72" s="3"/>
      <c r="F72" s="3"/>
    </row>
    <row r="73" spans="1:6" ht="30" customHeight="1" x14ac:dyDescent="0.25">
      <c r="A73" s="3" t="s">
        <v>54</v>
      </c>
      <c r="B73" s="3"/>
      <c r="C73" s="3"/>
      <c r="D73" s="3"/>
      <c r="E73" s="4">
        <v>300.53879389999997</v>
      </c>
      <c r="F73" s="5">
        <v>6.3063000000000002</v>
      </c>
    </row>
    <row r="74" spans="1:6" ht="15" customHeight="1" x14ac:dyDescent="0.25">
      <c r="A74" s="3"/>
      <c r="B74" s="3"/>
      <c r="C74" s="3"/>
      <c r="D74" s="3"/>
      <c r="E74" s="3"/>
      <c r="F74" s="3"/>
    </row>
    <row r="75" spans="1:6" ht="15" customHeight="1" x14ac:dyDescent="0.25">
      <c r="A75" s="3"/>
      <c r="B75" s="3"/>
      <c r="C75" s="3"/>
      <c r="D75" s="3"/>
      <c r="E75" s="3"/>
      <c r="F75" s="3"/>
    </row>
    <row r="76" spans="1:6" ht="15" customHeight="1" x14ac:dyDescent="0.25">
      <c r="A76" s="1" t="s">
        <v>55</v>
      </c>
      <c r="B76" s="3"/>
      <c r="C76" s="3"/>
      <c r="D76" s="3"/>
      <c r="E76" s="6">
        <v>4765.6474663999998</v>
      </c>
      <c r="F76" s="7">
        <v>100</v>
      </c>
    </row>
    <row r="79" spans="1:6" ht="15" customHeight="1" x14ac:dyDescent="0.25">
      <c r="A79" s="8"/>
    </row>
    <row r="80" spans="1:6" ht="15" customHeight="1" x14ac:dyDescent="0.25">
      <c r="A80" s="8"/>
    </row>
  </sheetData>
  <mergeCells count="2">
    <mergeCell ref="A1:F1"/>
    <mergeCell ref="A2:F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topLeftCell="A66" workbookViewId="0">
      <selection activeCell="A89" sqref="A89"/>
    </sheetView>
  </sheetViews>
  <sheetFormatPr defaultRowHeight="15" customHeight="1" x14ac:dyDescent="0.25"/>
  <cols>
    <col min="1" max="1" width="57.140625" bestFit="1" customWidth="1"/>
    <col min="2" max="2" width="19" bestFit="1" customWidth="1"/>
    <col min="3" max="3" width="34.28515625" bestFit="1" customWidth="1"/>
    <col min="4" max="6" width="15.28515625" bestFit="1" customWidth="1"/>
  </cols>
  <sheetData>
    <row r="1" spans="1:6" ht="15" customHeight="1" x14ac:dyDescent="0.25">
      <c r="A1" s="10" t="s">
        <v>274</v>
      </c>
      <c r="B1" s="10"/>
      <c r="C1" s="10"/>
      <c r="D1" s="10"/>
      <c r="E1" s="10"/>
      <c r="F1" s="10"/>
    </row>
    <row r="2" spans="1:6" ht="15" customHeight="1" x14ac:dyDescent="0.25">
      <c r="A2" s="10" t="s">
        <v>1</v>
      </c>
      <c r="B2" s="10"/>
      <c r="C2" s="10"/>
      <c r="D2" s="10"/>
      <c r="E2" s="10"/>
      <c r="F2" s="10"/>
    </row>
    <row r="3" spans="1:6" ht="36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15" customHeight="1" x14ac:dyDescent="0.25">
      <c r="A4" s="1" t="s">
        <v>8</v>
      </c>
      <c r="B4" s="3"/>
      <c r="C4" s="3"/>
      <c r="D4" s="3"/>
      <c r="E4" s="3"/>
      <c r="F4" s="3"/>
    </row>
    <row r="5" spans="1:6" ht="15" customHeight="1" x14ac:dyDescent="0.25">
      <c r="A5" s="1" t="s">
        <v>9</v>
      </c>
      <c r="B5" s="3"/>
      <c r="C5" s="3"/>
      <c r="D5" s="3"/>
      <c r="E5" s="3"/>
      <c r="F5" s="3"/>
    </row>
    <row r="6" spans="1:6" ht="15" customHeight="1" x14ac:dyDescent="0.25">
      <c r="A6" s="3" t="s">
        <v>62</v>
      </c>
      <c r="B6" s="3" t="s">
        <v>63</v>
      </c>
      <c r="C6" s="3" t="s">
        <v>35</v>
      </c>
      <c r="D6" s="3">
        <v>34879</v>
      </c>
      <c r="E6" s="4">
        <v>349.417822</v>
      </c>
      <c r="F6" s="5">
        <v>4.1764999999999999</v>
      </c>
    </row>
    <row r="7" spans="1:6" ht="15" customHeight="1" x14ac:dyDescent="0.25">
      <c r="A7" s="3" t="s">
        <v>125</v>
      </c>
      <c r="B7" s="3" t="s">
        <v>126</v>
      </c>
      <c r="C7" s="3" t="s">
        <v>15</v>
      </c>
      <c r="D7" s="3">
        <v>12800</v>
      </c>
      <c r="E7" s="4">
        <v>332.72320000000002</v>
      </c>
      <c r="F7" s="5">
        <v>3.9769999999999999</v>
      </c>
    </row>
    <row r="8" spans="1:6" ht="15" customHeight="1" x14ac:dyDescent="0.25">
      <c r="A8" s="3" t="s">
        <v>64</v>
      </c>
      <c r="B8" s="3" t="s">
        <v>65</v>
      </c>
      <c r="C8" s="3" t="s">
        <v>35</v>
      </c>
      <c r="D8" s="3">
        <v>23247</v>
      </c>
      <c r="E8" s="4">
        <v>315.508284</v>
      </c>
      <c r="F8" s="5">
        <v>3.7711999999999999</v>
      </c>
    </row>
    <row r="9" spans="1:6" ht="15" customHeight="1" x14ac:dyDescent="0.25">
      <c r="A9" s="3" t="s">
        <v>57</v>
      </c>
      <c r="B9" s="3" t="s">
        <v>58</v>
      </c>
      <c r="C9" s="3" t="s">
        <v>35</v>
      </c>
      <c r="D9" s="3">
        <v>75910</v>
      </c>
      <c r="E9" s="4">
        <v>288.571865</v>
      </c>
      <c r="F9" s="5">
        <v>3.4491999999999998</v>
      </c>
    </row>
    <row r="10" spans="1:6" ht="15" customHeight="1" x14ac:dyDescent="0.25">
      <c r="A10" s="3" t="s">
        <v>152</v>
      </c>
      <c r="B10" s="3" t="s">
        <v>153</v>
      </c>
      <c r="C10" s="3" t="s">
        <v>82</v>
      </c>
      <c r="D10" s="3">
        <v>57684</v>
      </c>
      <c r="E10" s="4">
        <v>270.99943200000001</v>
      </c>
      <c r="F10" s="5">
        <v>3.2391999999999999</v>
      </c>
    </row>
    <row r="11" spans="1:6" ht="15" customHeight="1" x14ac:dyDescent="0.25">
      <c r="A11" s="3" t="s">
        <v>77</v>
      </c>
      <c r="B11" s="3" t="s">
        <v>78</v>
      </c>
      <c r="C11" s="3" t="s">
        <v>79</v>
      </c>
      <c r="D11" s="3">
        <v>51650</v>
      </c>
      <c r="E11" s="4">
        <v>265.63594999999998</v>
      </c>
      <c r="F11" s="5">
        <v>3.1751</v>
      </c>
    </row>
    <row r="12" spans="1:6" ht="15" customHeight="1" x14ac:dyDescent="0.25">
      <c r="A12" s="3" t="s">
        <v>237</v>
      </c>
      <c r="B12" s="3" t="s">
        <v>238</v>
      </c>
      <c r="C12" s="3" t="s">
        <v>207</v>
      </c>
      <c r="D12" s="3">
        <v>23949</v>
      </c>
      <c r="E12" s="4">
        <v>262.1337795</v>
      </c>
      <c r="F12" s="5">
        <v>3.1332</v>
      </c>
    </row>
    <row r="13" spans="1:6" ht="15" customHeight="1" x14ac:dyDescent="0.25">
      <c r="A13" s="3" t="s">
        <v>117</v>
      </c>
      <c r="B13" s="3" t="s">
        <v>118</v>
      </c>
      <c r="C13" s="3" t="s">
        <v>24</v>
      </c>
      <c r="D13" s="3">
        <v>16487</v>
      </c>
      <c r="E13" s="4">
        <v>262.06910850000003</v>
      </c>
      <c r="F13" s="5">
        <v>3.1324999999999998</v>
      </c>
    </row>
    <row r="14" spans="1:6" ht="15" customHeight="1" x14ac:dyDescent="0.25">
      <c r="A14" s="3" t="s">
        <v>66</v>
      </c>
      <c r="B14" s="3" t="s">
        <v>67</v>
      </c>
      <c r="C14" s="3" t="s">
        <v>68</v>
      </c>
      <c r="D14" s="3">
        <v>12371</v>
      </c>
      <c r="E14" s="4">
        <v>249.20760949999999</v>
      </c>
      <c r="F14" s="5">
        <v>2.9786999999999999</v>
      </c>
    </row>
    <row r="15" spans="1:6" ht="15" customHeight="1" x14ac:dyDescent="0.25">
      <c r="A15" s="3" t="s">
        <v>127</v>
      </c>
      <c r="B15" s="3" t="s">
        <v>128</v>
      </c>
      <c r="C15" s="3" t="s">
        <v>24</v>
      </c>
      <c r="D15" s="3">
        <v>5529</v>
      </c>
      <c r="E15" s="4">
        <v>237.763587</v>
      </c>
      <c r="F15" s="5">
        <v>2.8418999999999999</v>
      </c>
    </row>
    <row r="16" spans="1:6" ht="15" customHeight="1" x14ac:dyDescent="0.25">
      <c r="A16" s="3" t="s">
        <v>80</v>
      </c>
      <c r="B16" s="3" t="s">
        <v>81</v>
      </c>
      <c r="C16" s="3" t="s">
        <v>82</v>
      </c>
      <c r="D16" s="3">
        <v>9883</v>
      </c>
      <c r="E16" s="4">
        <v>189.35828000000001</v>
      </c>
      <c r="F16" s="5">
        <v>2.2633000000000001</v>
      </c>
    </row>
    <row r="17" spans="1:6" ht="15" customHeight="1" x14ac:dyDescent="0.25">
      <c r="A17" s="3" t="s">
        <v>73</v>
      </c>
      <c r="B17" s="3" t="s">
        <v>74</v>
      </c>
      <c r="C17" s="3" t="s">
        <v>27</v>
      </c>
      <c r="D17" s="3">
        <v>8547</v>
      </c>
      <c r="E17" s="4">
        <v>187.60665</v>
      </c>
      <c r="F17" s="5">
        <v>2.2423999999999999</v>
      </c>
    </row>
    <row r="18" spans="1:6" ht="15" customHeight="1" x14ac:dyDescent="0.25">
      <c r="A18" s="3" t="s">
        <v>113</v>
      </c>
      <c r="B18" s="3" t="s">
        <v>114</v>
      </c>
      <c r="C18" s="3" t="s">
        <v>68</v>
      </c>
      <c r="D18" s="3">
        <v>34360</v>
      </c>
      <c r="E18" s="4">
        <v>186.76378</v>
      </c>
      <c r="F18" s="5">
        <v>2.2323</v>
      </c>
    </row>
    <row r="19" spans="1:6" ht="15" customHeight="1" x14ac:dyDescent="0.25">
      <c r="A19" s="3" t="s">
        <v>71</v>
      </c>
      <c r="B19" s="3" t="s">
        <v>72</v>
      </c>
      <c r="C19" s="3" t="s">
        <v>35</v>
      </c>
      <c r="D19" s="3">
        <v>41440</v>
      </c>
      <c r="E19" s="4">
        <v>184.36655999999999</v>
      </c>
      <c r="F19" s="5">
        <v>2.2037</v>
      </c>
    </row>
    <row r="20" spans="1:6" ht="15" customHeight="1" x14ac:dyDescent="0.25">
      <c r="A20" s="3" t="s">
        <v>97</v>
      </c>
      <c r="B20" s="3" t="s">
        <v>98</v>
      </c>
      <c r="C20" s="3" t="s">
        <v>82</v>
      </c>
      <c r="D20" s="3">
        <v>34900</v>
      </c>
      <c r="E20" s="4">
        <v>174.86644999999999</v>
      </c>
      <c r="F20" s="5">
        <v>2.0901000000000001</v>
      </c>
    </row>
    <row r="21" spans="1:6" ht="15" customHeight="1" x14ac:dyDescent="0.25">
      <c r="A21" s="3" t="s">
        <v>115</v>
      </c>
      <c r="B21" s="3" t="s">
        <v>116</v>
      </c>
      <c r="C21" s="3" t="s">
        <v>82</v>
      </c>
      <c r="D21" s="3">
        <v>35200</v>
      </c>
      <c r="E21" s="4">
        <v>173.184</v>
      </c>
      <c r="F21" s="5">
        <v>2.0699999999999998</v>
      </c>
    </row>
    <row r="22" spans="1:6" ht="15" customHeight="1" x14ac:dyDescent="0.25">
      <c r="A22" s="3" t="s">
        <v>22</v>
      </c>
      <c r="B22" s="3" t="s">
        <v>23</v>
      </c>
      <c r="C22" s="3" t="s">
        <v>24</v>
      </c>
      <c r="D22" s="3">
        <v>39575</v>
      </c>
      <c r="E22" s="4">
        <v>166.23478750000001</v>
      </c>
      <c r="F22" s="5">
        <v>1.9870000000000001</v>
      </c>
    </row>
    <row r="23" spans="1:6" ht="15" customHeight="1" x14ac:dyDescent="0.25">
      <c r="A23" s="3" t="s">
        <v>144</v>
      </c>
      <c r="B23" s="3" t="s">
        <v>145</v>
      </c>
      <c r="C23" s="3" t="s">
        <v>24</v>
      </c>
      <c r="D23" s="3">
        <v>76750</v>
      </c>
      <c r="E23" s="4">
        <v>164.01474999999999</v>
      </c>
      <c r="F23" s="5">
        <v>1.9603999999999999</v>
      </c>
    </row>
    <row r="24" spans="1:6" ht="15" customHeight="1" x14ac:dyDescent="0.25">
      <c r="A24" s="3" t="s">
        <v>69</v>
      </c>
      <c r="B24" s="3" t="s">
        <v>70</v>
      </c>
      <c r="C24" s="3" t="s">
        <v>15</v>
      </c>
      <c r="D24" s="3">
        <v>836</v>
      </c>
      <c r="E24" s="4">
        <v>148.22907000000001</v>
      </c>
      <c r="F24" s="5">
        <v>1.7717000000000001</v>
      </c>
    </row>
    <row r="25" spans="1:6" ht="15" customHeight="1" x14ac:dyDescent="0.25">
      <c r="A25" s="3" t="s">
        <v>122</v>
      </c>
      <c r="B25" s="3" t="s">
        <v>123</v>
      </c>
      <c r="C25" s="3" t="s">
        <v>124</v>
      </c>
      <c r="D25" s="3">
        <v>24563</v>
      </c>
      <c r="E25" s="4">
        <v>145.96562750000001</v>
      </c>
      <c r="F25" s="5">
        <v>1.7446999999999999</v>
      </c>
    </row>
    <row r="26" spans="1:6" ht="15" customHeight="1" x14ac:dyDescent="0.25">
      <c r="A26" s="3" t="s">
        <v>275</v>
      </c>
      <c r="B26" s="3" t="s">
        <v>276</v>
      </c>
      <c r="C26" s="3" t="s">
        <v>82</v>
      </c>
      <c r="D26" s="3">
        <v>11543</v>
      </c>
      <c r="E26" s="4">
        <v>145.6668885</v>
      </c>
      <c r="F26" s="5">
        <v>1.7411000000000001</v>
      </c>
    </row>
    <row r="27" spans="1:6" ht="15" customHeight="1" x14ac:dyDescent="0.25">
      <c r="A27" s="3" t="s">
        <v>224</v>
      </c>
      <c r="B27" s="3" t="s">
        <v>225</v>
      </c>
      <c r="C27" s="3" t="s">
        <v>162</v>
      </c>
      <c r="D27" s="3">
        <v>15477</v>
      </c>
      <c r="E27" s="4">
        <v>140.63176050000001</v>
      </c>
      <c r="F27" s="5">
        <v>1.6809000000000001</v>
      </c>
    </row>
    <row r="28" spans="1:6" ht="15" customHeight="1" x14ac:dyDescent="0.25">
      <c r="A28" s="3" t="s">
        <v>208</v>
      </c>
      <c r="B28" s="3" t="s">
        <v>209</v>
      </c>
      <c r="C28" s="3" t="s">
        <v>207</v>
      </c>
      <c r="D28" s="3">
        <v>14826</v>
      </c>
      <c r="E28" s="4">
        <v>139.37922599999999</v>
      </c>
      <c r="F28" s="5">
        <v>1.6658999999999999</v>
      </c>
    </row>
    <row r="29" spans="1:6" ht="15" customHeight="1" x14ac:dyDescent="0.25">
      <c r="A29" s="3" t="s">
        <v>163</v>
      </c>
      <c r="B29" s="3" t="s">
        <v>164</v>
      </c>
      <c r="C29" s="3" t="s">
        <v>141</v>
      </c>
      <c r="D29" s="3">
        <v>29090</v>
      </c>
      <c r="E29" s="4">
        <v>138.65748500000001</v>
      </c>
      <c r="F29" s="5">
        <v>1.6573</v>
      </c>
    </row>
    <row r="30" spans="1:6" ht="15" customHeight="1" x14ac:dyDescent="0.25">
      <c r="A30" s="3" t="s">
        <v>83</v>
      </c>
      <c r="B30" s="3" t="s">
        <v>84</v>
      </c>
      <c r="C30" s="3" t="s">
        <v>15</v>
      </c>
      <c r="D30" s="3">
        <v>5797</v>
      </c>
      <c r="E30" s="4">
        <v>135.962838</v>
      </c>
      <c r="F30" s="5">
        <v>1.6251</v>
      </c>
    </row>
    <row r="31" spans="1:6" ht="15" customHeight="1" x14ac:dyDescent="0.25">
      <c r="A31" s="3" t="s">
        <v>94</v>
      </c>
      <c r="B31" s="3" t="s">
        <v>95</v>
      </c>
      <c r="C31" s="3" t="s">
        <v>96</v>
      </c>
      <c r="D31" s="3">
        <v>5683</v>
      </c>
      <c r="E31" s="4">
        <v>135.4628295</v>
      </c>
      <c r="F31" s="5">
        <v>1.6191</v>
      </c>
    </row>
    <row r="32" spans="1:6" ht="15" customHeight="1" x14ac:dyDescent="0.25">
      <c r="A32" s="3" t="s">
        <v>142</v>
      </c>
      <c r="B32" s="3" t="s">
        <v>143</v>
      </c>
      <c r="C32" s="3" t="s">
        <v>121</v>
      </c>
      <c r="D32" s="3">
        <v>21200</v>
      </c>
      <c r="E32" s="4">
        <v>134.78960000000001</v>
      </c>
      <c r="F32" s="5">
        <v>1.6111</v>
      </c>
    </row>
    <row r="33" spans="1:6" ht="15" customHeight="1" x14ac:dyDescent="0.25">
      <c r="A33" s="3" t="s">
        <v>59</v>
      </c>
      <c r="B33" s="3" t="s">
        <v>60</v>
      </c>
      <c r="C33" s="3" t="s">
        <v>61</v>
      </c>
      <c r="D33" s="3">
        <v>9052</v>
      </c>
      <c r="E33" s="4">
        <v>132.70231999999999</v>
      </c>
      <c r="F33" s="5">
        <v>1.5861000000000001</v>
      </c>
    </row>
    <row r="34" spans="1:6" ht="15" customHeight="1" x14ac:dyDescent="0.25">
      <c r="A34" s="3" t="s">
        <v>148</v>
      </c>
      <c r="B34" s="3" t="s">
        <v>149</v>
      </c>
      <c r="C34" s="3" t="s">
        <v>27</v>
      </c>
      <c r="D34" s="3">
        <v>37075</v>
      </c>
      <c r="E34" s="4">
        <v>130.35570000000001</v>
      </c>
      <c r="F34" s="5">
        <v>1.5581</v>
      </c>
    </row>
    <row r="35" spans="1:6" ht="15" customHeight="1" x14ac:dyDescent="0.25">
      <c r="A35" s="3" t="s">
        <v>111</v>
      </c>
      <c r="B35" s="3" t="s">
        <v>112</v>
      </c>
      <c r="C35" s="3" t="s">
        <v>82</v>
      </c>
      <c r="D35" s="3">
        <v>5565</v>
      </c>
      <c r="E35" s="4">
        <v>129.00226499999999</v>
      </c>
      <c r="F35" s="5">
        <v>1.5419</v>
      </c>
    </row>
    <row r="36" spans="1:6" ht="15" customHeight="1" x14ac:dyDescent="0.25">
      <c r="A36" s="3" t="s">
        <v>220</v>
      </c>
      <c r="B36" s="3" t="s">
        <v>221</v>
      </c>
      <c r="C36" s="3" t="s">
        <v>96</v>
      </c>
      <c r="D36" s="3">
        <v>7309</v>
      </c>
      <c r="E36" s="4">
        <v>126.00716</v>
      </c>
      <c r="F36" s="5">
        <v>1.5061</v>
      </c>
    </row>
    <row r="37" spans="1:6" ht="15" customHeight="1" x14ac:dyDescent="0.25">
      <c r="A37" s="3" t="s">
        <v>214</v>
      </c>
      <c r="B37" s="3" t="s">
        <v>215</v>
      </c>
      <c r="C37" s="3" t="s">
        <v>207</v>
      </c>
      <c r="D37" s="3">
        <v>7741</v>
      </c>
      <c r="E37" s="4">
        <v>124.4868915</v>
      </c>
      <c r="F37" s="5">
        <v>1.4879</v>
      </c>
    </row>
    <row r="38" spans="1:6" ht="15" customHeight="1" x14ac:dyDescent="0.25">
      <c r="A38" s="3" t="s">
        <v>131</v>
      </c>
      <c r="B38" s="3" t="s">
        <v>132</v>
      </c>
      <c r="C38" s="3" t="s">
        <v>18</v>
      </c>
      <c r="D38" s="3">
        <v>15958</v>
      </c>
      <c r="E38" s="4">
        <v>113.836393</v>
      </c>
      <c r="F38" s="5">
        <v>1.3606</v>
      </c>
    </row>
    <row r="39" spans="1:6" ht="15" customHeight="1" x14ac:dyDescent="0.25">
      <c r="A39" s="3" t="s">
        <v>137</v>
      </c>
      <c r="B39" s="3" t="s">
        <v>138</v>
      </c>
      <c r="C39" s="3" t="s">
        <v>27</v>
      </c>
      <c r="D39" s="3">
        <v>7016</v>
      </c>
      <c r="E39" s="4">
        <v>112.85236</v>
      </c>
      <c r="F39" s="5">
        <v>1.3489</v>
      </c>
    </row>
    <row r="40" spans="1:6" ht="15" customHeight="1" x14ac:dyDescent="0.25">
      <c r="A40" s="3" t="s">
        <v>139</v>
      </c>
      <c r="B40" s="3" t="s">
        <v>140</v>
      </c>
      <c r="C40" s="3" t="s">
        <v>141</v>
      </c>
      <c r="D40" s="3">
        <v>44650</v>
      </c>
      <c r="E40" s="4">
        <v>108.4995</v>
      </c>
      <c r="F40" s="5">
        <v>1.2968</v>
      </c>
    </row>
    <row r="41" spans="1:6" ht="15" customHeight="1" x14ac:dyDescent="0.25">
      <c r="A41" s="3" t="s">
        <v>109</v>
      </c>
      <c r="B41" s="3" t="s">
        <v>110</v>
      </c>
      <c r="C41" s="3" t="s">
        <v>27</v>
      </c>
      <c r="D41" s="3">
        <v>21233</v>
      </c>
      <c r="E41" s="4">
        <v>103.893069</v>
      </c>
      <c r="F41" s="5">
        <v>1.2418</v>
      </c>
    </row>
    <row r="42" spans="1:6" ht="15" customHeight="1" x14ac:dyDescent="0.25">
      <c r="A42" s="3" t="s">
        <v>99</v>
      </c>
      <c r="B42" s="3" t="s">
        <v>100</v>
      </c>
      <c r="C42" s="3" t="s">
        <v>18</v>
      </c>
      <c r="D42" s="3">
        <v>3770</v>
      </c>
      <c r="E42" s="4">
        <v>98.898409999999998</v>
      </c>
      <c r="F42" s="5">
        <v>1.1820999999999999</v>
      </c>
    </row>
    <row r="43" spans="1:6" ht="15" customHeight="1" x14ac:dyDescent="0.25">
      <c r="A43" s="3" t="s">
        <v>75</v>
      </c>
      <c r="B43" s="3" t="s">
        <v>76</v>
      </c>
      <c r="C43" s="3" t="s">
        <v>68</v>
      </c>
      <c r="D43" s="3">
        <v>13800</v>
      </c>
      <c r="E43" s="4">
        <v>98.739000000000004</v>
      </c>
      <c r="F43" s="5">
        <v>1.1801999999999999</v>
      </c>
    </row>
    <row r="44" spans="1:6" ht="15" customHeight="1" x14ac:dyDescent="0.25">
      <c r="A44" s="3" t="s">
        <v>103</v>
      </c>
      <c r="B44" s="3" t="s">
        <v>104</v>
      </c>
      <c r="C44" s="3" t="s">
        <v>27</v>
      </c>
      <c r="D44" s="3">
        <v>543</v>
      </c>
      <c r="E44" s="4">
        <v>97.330849499999999</v>
      </c>
      <c r="F44" s="5">
        <v>1.1633</v>
      </c>
    </row>
    <row r="45" spans="1:6" ht="15" customHeight="1" x14ac:dyDescent="0.25">
      <c r="A45" s="3" t="s">
        <v>105</v>
      </c>
      <c r="B45" s="3" t="s">
        <v>106</v>
      </c>
      <c r="C45" s="3" t="s">
        <v>27</v>
      </c>
      <c r="D45" s="3">
        <v>2998</v>
      </c>
      <c r="E45" s="4">
        <v>94.909184999999994</v>
      </c>
      <c r="F45" s="5">
        <v>1.1344000000000001</v>
      </c>
    </row>
    <row r="46" spans="1:6" ht="15" customHeight="1" x14ac:dyDescent="0.25">
      <c r="A46" s="3" t="s">
        <v>277</v>
      </c>
      <c r="B46" s="3" t="s">
        <v>278</v>
      </c>
      <c r="C46" s="3" t="s">
        <v>68</v>
      </c>
      <c r="D46" s="3">
        <v>9565</v>
      </c>
      <c r="E46" s="4">
        <v>87.610617500000004</v>
      </c>
      <c r="F46" s="5">
        <v>1.0471999999999999</v>
      </c>
    </row>
    <row r="47" spans="1:6" ht="15" customHeight="1" x14ac:dyDescent="0.25">
      <c r="A47" s="3" t="s">
        <v>28</v>
      </c>
      <c r="B47" s="3" t="s">
        <v>29</v>
      </c>
      <c r="C47" s="3" t="s">
        <v>18</v>
      </c>
      <c r="D47" s="3">
        <v>21519</v>
      </c>
      <c r="E47" s="4">
        <v>78.899413499999994</v>
      </c>
      <c r="F47" s="5">
        <v>0.94299999999999995</v>
      </c>
    </row>
    <row r="48" spans="1:6" ht="15" customHeight="1" x14ac:dyDescent="0.25">
      <c r="A48" s="3" t="s">
        <v>173</v>
      </c>
      <c r="B48" s="3" t="s">
        <v>174</v>
      </c>
      <c r="C48" s="3" t="s">
        <v>15</v>
      </c>
      <c r="D48" s="3">
        <v>951</v>
      </c>
      <c r="E48" s="4">
        <v>73.971632999999997</v>
      </c>
      <c r="F48" s="5">
        <v>0.8841</v>
      </c>
    </row>
    <row r="49" spans="1:6" ht="15" customHeight="1" x14ac:dyDescent="0.25">
      <c r="A49" s="3" t="s">
        <v>218</v>
      </c>
      <c r="B49" s="3" t="s">
        <v>219</v>
      </c>
      <c r="C49" s="3" t="s">
        <v>15</v>
      </c>
      <c r="D49" s="3">
        <v>22695</v>
      </c>
      <c r="E49" s="4">
        <v>73.520452500000005</v>
      </c>
      <c r="F49" s="5">
        <v>0.87870000000000004</v>
      </c>
    </row>
    <row r="50" spans="1:6" ht="15" customHeight="1" x14ac:dyDescent="0.25">
      <c r="A50" s="3" t="s">
        <v>129</v>
      </c>
      <c r="B50" s="3" t="s">
        <v>130</v>
      </c>
      <c r="C50" s="3" t="s">
        <v>121</v>
      </c>
      <c r="D50" s="3">
        <v>1518</v>
      </c>
      <c r="E50" s="4">
        <v>69.393851999999995</v>
      </c>
      <c r="F50" s="5">
        <v>0.82940000000000003</v>
      </c>
    </row>
    <row r="51" spans="1:6" ht="15" customHeight="1" x14ac:dyDescent="0.25">
      <c r="A51" s="3" t="s">
        <v>133</v>
      </c>
      <c r="B51" s="3" t="s">
        <v>134</v>
      </c>
      <c r="C51" s="3" t="s">
        <v>15</v>
      </c>
      <c r="D51" s="3">
        <v>1730</v>
      </c>
      <c r="E51" s="4">
        <v>68.097989999999996</v>
      </c>
      <c r="F51" s="5">
        <v>0.81389999999999996</v>
      </c>
    </row>
    <row r="52" spans="1:6" ht="15" customHeight="1" x14ac:dyDescent="0.25">
      <c r="A52" s="3" t="s">
        <v>146</v>
      </c>
      <c r="B52" s="3" t="s">
        <v>147</v>
      </c>
      <c r="C52" s="3" t="s">
        <v>15</v>
      </c>
      <c r="D52" s="3">
        <v>9447</v>
      </c>
      <c r="E52" s="4">
        <v>55.699511999999999</v>
      </c>
      <c r="F52" s="5">
        <v>0.66569999999999996</v>
      </c>
    </row>
    <row r="53" spans="1:6" ht="15" customHeight="1" x14ac:dyDescent="0.25">
      <c r="A53" s="3" t="s">
        <v>160</v>
      </c>
      <c r="B53" s="3" t="s">
        <v>161</v>
      </c>
      <c r="C53" s="3" t="s">
        <v>162</v>
      </c>
      <c r="D53" s="3">
        <v>29400</v>
      </c>
      <c r="E53" s="4">
        <v>53.1111</v>
      </c>
      <c r="F53" s="5">
        <v>0.63480000000000003</v>
      </c>
    </row>
    <row r="54" spans="1:6" ht="15" customHeight="1" x14ac:dyDescent="0.25">
      <c r="A54" s="3" t="s">
        <v>150</v>
      </c>
      <c r="B54" s="3" t="s">
        <v>151</v>
      </c>
      <c r="C54" s="3" t="s">
        <v>15</v>
      </c>
      <c r="D54" s="3">
        <v>11245</v>
      </c>
      <c r="E54" s="4">
        <v>52.227402499999997</v>
      </c>
      <c r="F54" s="5">
        <v>0.62419999999999998</v>
      </c>
    </row>
    <row r="55" spans="1:6" ht="15" customHeight="1" x14ac:dyDescent="0.25">
      <c r="A55" s="3" t="s">
        <v>16</v>
      </c>
      <c r="B55" s="3" t="s">
        <v>17</v>
      </c>
      <c r="C55" s="3" t="s">
        <v>18</v>
      </c>
      <c r="D55" s="3">
        <v>2195</v>
      </c>
      <c r="E55" s="4">
        <v>47.559064999999997</v>
      </c>
      <c r="F55" s="5">
        <v>0.56840000000000002</v>
      </c>
    </row>
    <row r="56" spans="1:6" ht="15" customHeight="1" x14ac:dyDescent="0.25">
      <c r="A56" s="3" t="s">
        <v>135</v>
      </c>
      <c r="B56" s="3" t="s">
        <v>136</v>
      </c>
      <c r="C56" s="3" t="s">
        <v>15</v>
      </c>
      <c r="D56" s="3">
        <v>1845</v>
      </c>
      <c r="E56" s="4">
        <v>43.042005000000003</v>
      </c>
      <c r="F56" s="5">
        <v>0.51439999999999997</v>
      </c>
    </row>
    <row r="57" spans="1:6" ht="15" customHeight="1" x14ac:dyDescent="0.25">
      <c r="A57" s="3" t="s">
        <v>154</v>
      </c>
      <c r="B57" s="3" t="s">
        <v>155</v>
      </c>
      <c r="C57" s="3" t="s">
        <v>27</v>
      </c>
      <c r="D57" s="3">
        <v>7400</v>
      </c>
      <c r="E57" s="4">
        <v>39.7121</v>
      </c>
      <c r="F57" s="5">
        <v>0.47460000000000002</v>
      </c>
    </row>
    <row r="58" spans="1:6" ht="15" customHeight="1" x14ac:dyDescent="0.25">
      <c r="A58" s="3" t="s">
        <v>175</v>
      </c>
      <c r="B58" s="3" t="s">
        <v>176</v>
      </c>
      <c r="C58" s="3" t="s">
        <v>15</v>
      </c>
      <c r="D58" s="3">
        <v>6300</v>
      </c>
      <c r="E58" s="4">
        <v>39.428550000000001</v>
      </c>
      <c r="F58" s="5">
        <v>0.47120000000000001</v>
      </c>
    </row>
    <row r="59" spans="1:6" ht="15" customHeight="1" x14ac:dyDescent="0.25">
      <c r="A59" s="3" t="s">
        <v>107</v>
      </c>
      <c r="B59" s="3" t="s">
        <v>108</v>
      </c>
      <c r="C59" s="3" t="s">
        <v>27</v>
      </c>
      <c r="D59" s="3">
        <v>2185</v>
      </c>
      <c r="E59" s="4">
        <v>38.427594999999997</v>
      </c>
      <c r="F59" s="5">
        <v>0.45929999999999999</v>
      </c>
    </row>
    <row r="60" spans="1:6" ht="15" customHeight="1" x14ac:dyDescent="0.25">
      <c r="A60" s="3" t="s">
        <v>279</v>
      </c>
      <c r="B60" s="3" t="s">
        <v>280</v>
      </c>
      <c r="C60" s="3" t="s">
        <v>15</v>
      </c>
      <c r="D60" s="3">
        <v>2270</v>
      </c>
      <c r="E60" s="4">
        <v>36.744489999999999</v>
      </c>
      <c r="F60" s="5">
        <v>0.43919999999999998</v>
      </c>
    </row>
    <row r="61" spans="1:6" ht="15" customHeight="1" x14ac:dyDescent="0.25">
      <c r="A61" s="3" t="s">
        <v>156</v>
      </c>
      <c r="B61" s="3" t="s">
        <v>157</v>
      </c>
      <c r="C61" s="3" t="s">
        <v>61</v>
      </c>
      <c r="D61" s="3">
        <v>9300</v>
      </c>
      <c r="E61" s="4">
        <v>34.409999999999997</v>
      </c>
      <c r="F61" s="5">
        <v>0.4113</v>
      </c>
    </row>
    <row r="62" spans="1:6" ht="15" customHeight="1" x14ac:dyDescent="0.25">
      <c r="A62" s="3" t="s">
        <v>87</v>
      </c>
      <c r="B62" s="3" t="s">
        <v>88</v>
      </c>
      <c r="C62" s="3" t="s">
        <v>21</v>
      </c>
      <c r="D62" s="3">
        <v>166</v>
      </c>
      <c r="E62" s="4">
        <v>32.814714000000002</v>
      </c>
      <c r="F62" s="5">
        <v>0.39219999999999999</v>
      </c>
    </row>
    <row r="63" spans="1:6" ht="15" customHeight="1" x14ac:dyDescent="0.25">
      <c r="A63" s="3" t="s">
        <v>158</v>
      </c>
      <c r="B63" s="3" t="s">
        <v>159</v>
      </c>
      <c r="C63" s="3" t="s">
        <v>15</v>
      </c>
      <c r="D63" s="3">
        <v>5790</v>
      </c>
      <c r="E63" s="4">
        <v>32.302410000000002</v>
      </c>
      <c r="F63" s="5">
        <v>0.3861</v>
      </c>
    </row>
    <row r="64" spans="1:6" ht="15" customHeight="1" x14ac:dyDescent="0.25">
      <c r="A64" s="3" t="s">
        <v>169</v>
      </c>
      <c r="B64" s="3" t="s">
        <v>170</v>
      </c>
      <c r="C64" s="3" t="s">
        <v>82</v>
      </c>
      <c r="D64" s="3">
        <v>3520</v>
      </c>
      <c r="E64" s="4">
        <v>30.367039999999999</v>
      </c>
      <c r="F64" s="5">
        <v>0.3629</v>
      </c>
    </row>
    <row r="65" spans="1:6" ht="15" customHeight="1" x14ac:dyDescent="0.25">
      <c r="A65" s="3" t="s">
        <v>119</v>
      </c>
      <c r="B65" s="3" t="s">
        <v>120</v>
      </c>
      <c r="C65" s="3" t="s">
        <v>121</v>
      </c>
      <c r="D65" s="3">
        <v>1300</v>
      </c>
      <c r="E65" s="4">
        <v>26.770250000000001</v>
      </c>
      <c r="F65" s="5">
        <v>0.31990000000000002</v>
      </c>
    </row>
    <row r="66" spans="1:6" ht="15" customHeight="1" x14ac:dyDescent="0.25">
      <c r="A66" s="3" t="s">
        <v>171</v>
      </c>
      <c r="B66" s="3" t="s">
        <v>172</v>
      </c>
      <c r="C66" s="3" t="s">
        <v>162</v>
      </c>
      <c r="D66" s="3">
        <v>8579</v>
      </c>
      <c r="E66" s="4">
        <v>25.591156999999999</v>
      </c>
      <c r="F66" s="5">
        <v>0.30580000000000002</v>
      </c>
    </row>
    <row r="67" spans="1:6" ht="15" customHeight="1" x14ac:dyDescent="0.25">
      <c r="A67" s="3" t="s">
        <v>165</v>
      </c>
      <c r="B67" s="3" t="s">
        <v>166</v>
      </c>
      <c r="C67" s="3" t="s">
        <v>82</v>
      </c>
      <c r="D67" s="3">
        <v>3500</v>
      </c>
      <c r="E67" s="4">
        <v>25.43975</v>
      </c>
      <c r="F67" s="5">
        <v>0.30399999999999999</v>
      </c>
    </row>
    <row r="68" spans="1:6" ht="15" customHeight="1" x14ac:dyDescent="0.25">
      <c r="A68" s="3" t="s">
        <v>167</v>
      </c>
      <c r="B68" s="3" t="s">
        <v>168</v>
      </c>
      <c r="C68" s="3" t="s">
        <v>18</v>
      </c>
      <c r="D68" s="3">
        <v>469</v>
      </c>
      <c r="E68" s="4">
        <v>25.132771999999999</v>
      </c>
      <c r="F68" s="5">
        <v>0.3004</v>
      </c>
    </row>
    <row r="69" spans="1:6" ht="15" customHeight="1" x14ac:dyDescent="0.25">
      <c r="A69" s="3" t="s">
        <v>281</v>
      </c>
      <c r="B69" s="3" t="s">
        <v>282</v>
      </c>
      <c r="C69" s="3" t="s">
        <v>68</v>
      </c>
      <c r="D69" s="3">
        <v>1970</v>
      </c>
      <c r="E69" s="4">
        <v>24.334425</v>
      </c>
      <c r="F69" s="5">
        <v>0.2908</v>
      </c>
    </row>
    <row r="70" spans="1:6" ht="15" customHeight="1" x14ac:dyDescent="0.25">
      <c r="A70" s="3" t="s">
        <v>283</v>
      </c>
      <c r="B70" s="3" t="s">
        <v>284</v>
      </c>
      <c r="C70" s="3" t="s">
        <v>15</v>
      </c>
      <c r="D70" s="3">
        <v>3890</v>
      </c>
      <c r="E70" s="4">
        <v>23.756229999999999</v>
      </c>
      <c r="F70" s="5">
        <v>0.28389999999999999</v>
      </c>
    </row>
    <row r="71" spans="1:6" ht="15" customHeight="1" x14ac:dyDescent="0.25">
      <c r="A71" s="3" t="s">
        <v>271</v>
      </c>
      <c r="B71" s="3" t="s">
        <v>272</v>
      </c>
      <c r="C71" s="3" t="s">
        <v>273</v>
      </c>
      <c r="D71" s="3">
        <v>595</v>
      </c>
      <c r="E71" s="4">
        <v>9.3605400000000003</v>
      </c>
      <c r="F71" s="5">
        <v>0.1118</v>
      </c>
    </row>
    <row r="72" spans="1:6" ht="15" customHeight="1" x14ac:dyDescent="0.25">
      <c r="A72" s="3" t="s">
        <v>205</v>
      </c>
      <c r="B72" s="3" t="s">
        <v>206</v>
      </c>
      <c r="C72" s="3" t="s">
        <v>207</v>
      </c>
      <c r="D72" s="3">
        <v>3733</v>
      </c>
      <c r="E72" s="4">
        <v>8.2592625000000002</v>
      </c>
      <c r="F72" s="5">
        <v>9.8699999999999996E-2</v>
      </c>
    </row>
    <row r="73" spans="1:6" ht="15" customHeight="1" x14ac:dyDescent="0.25">
      <c r="A73" s="3" t="s">
        <v>101</v>
      </c>
      <c r="B73" s="3" t="s">
        <v>102</v>
      </c>
      <c r="C73" s="3" t="s">
        <v>21</v>
      </c>
      <c r="D73" s="3">
        <v>1394</v>
      </c>
      <c r="E73" s="4">
        <v>5.7084299999999999</v>
      </c>
      <c r="F73" s="5">
        <v>6.8199999999999997E-2</v>
      </c>
    </row>
    <row r="74" spans="1:6" ht="15" customHeight="1" x14ac:dyDescent="0.25">
      <c r="A74" s="3" t="s">
        <v>89</v>
      </c>
      <c r="B74" s="3" t="s">
        <v>90</v>
      </c>
      <c r="C74" s="3" t="s">
        <v>82</v>
      </c>
      <c r="D74" s="3">
        <v>175</v>
      </c>
      <c r="E74" s="4">
        <v>2.2585500000000001</v>
      </c>
      <c r="F74" s="5">
        <v>2.69E-2</v>
      </c>
    </row>
    <row r="75" spans="1:6" ht="15" customHeight="1" x14ac:dyDescent="0.25">
      <c r="A75" s="1" t="s">
        <v>39</v>
      </c>
      <c r="B75" s="3"/>
      <c r="C75" s="3"/>
      <c r="D75" s="3"/>
      <c r="E75" s="6">
        <v>8160.6356315000003</v>
      </c>
      <c r="F75" s="7">
        <v>97.5398</v>
      </c>
    </row>
    <row r="76" spans="1:6" ht="15" customHeight="1" x14ac:dyDescent="0.25">
      <c r="A76" s="3"/>
      <c r="B76" s="3"/>
      <c r="C76" s="3"/>
      <c r="D76" s="3"/>
      <c r="E76" s="3"/>
      <c r="F76" s="3"/>
    </row>
    <row r="77" spans="1:6" ht="15" customHeight="1" x14ac:dyDescent="0.25">
      <c r="A77" s="1" t="s">
        <v>40</v>
      </c>
      <c r="B77" s="3"/>
      <c r="C77" s="3"/>
      <c r="D77" s="3"/>
      <c r="E77" s="4">
        <v>0</v>
      </c>
      <c r="F77" s="5">
        <v>0</v>
      </c>
    </row>
    <row r="78" spans="1:6" ht="15" customHeight="1" x14ac:dyDescent="0.25">
      <c r="A78" s="1" t="s">
        <v>39</v>
      </c>
      <c r="B78" s="3"/>
      <c r="C78" s="3"/>
      <c r="D78" s="3"/>
      <c r="E78" s="6">
        <v>0</v>
      </c>
      <c r="F78" s="7">
        <v>0</v>
      </c>
    </row>
    <row r="79" spans="1:6" ht="15" customHeight="1" x14ac:dyDescent="0.25">
      <c r="A79" s="1" t="s">
        <v>41</v>
      </c>
      <c r="B79" s="3"/>
      <c r="C79" s="3"/>
      <c r="D79" s="3"/>
      <c r="E79" s="6">
        <v>8160.6356315000003</v>
      </c>
      <c r="F79" s="7">
        <v>97.5398</v>
      </c>
    </row>
    <row r="80" spans="1:6" ht="15" customHeight="1" x14ac:dyDescent="0.25">
      <c r="A80" s="3"/>
      <c r="B80" s="3"/>
      <c r="C80" s="3"/>
      <c r="D80" s="3"/>
      <c r="E80" s="3"/>
      <c r="F80" s="3"/>
    </row>
    <row r="81" spans="1:6" ht="15" customHeight="1" x14ac:dyDescent="0.25">
      <c r="A81" s="3"/>
      <c r="B81" s="3"/>
      <c r="C81" s="3"/>
      <c r="D81" s="3"/>
      <c r="E81" s="3"/>
      <c r="F81" s="3"/>
    </row>
    <row r="82" spans="1:6" ht="30" customHeight="1" x14ac:dyDescent="0.25">
      <c r="A82" s="3" t="s">
        <v>54</v>
      </c>
      <c r="B82" s="3"/>
      <c r="C82" s="3"/>
      <c r="D82" s="3"/>
      <c r="E82" s="4">
        <v>205.47258339000001</v>
      </c>
      <c r="F82" s="5">
        <v>2.456</v>
      </c>
    </row>
    <row r="83" spans="1:6" ht="15" customHeight="1" x14ac:dyDescent="0.25">
      <c r="A83" s="3"/>
      <c r="B83" s="3"/>
      <c r="C83" s="3"/>
      <c r="D83" s="3"/>
      <c r="E83" s="3"/>
      <c r="F83" s="3"/>
    </row>
    <row r="84" spans="1:6" ht="15" customHeight="1" x14ac:dyDescent="0.25">
      <c r="A84" s="3"/>
      <c r="B84" s="3"/>
      <c r="C84" s="3"/>
      <c r="D84" s="3"/>
      <c r="E84" s="3"/>
      <c r="F84" s="3"/>
    </row>
    <row r="85" spans="1:6" ht="15" customHeight="1" x14ac:dyDescent="0.25">
      <c r="A85" s="1" t="s">
        <v>55</v>
      </c>
      <c r="B85" s="3"/>
      <c r="C85" s="3"/>
      <c r="D85" s="3"/>
      <c r="E85" s="6">
        <v>8366.1082148900005</v>
      </c>
      <c r="F85" s="7">
        <v>100</v>
      </c>
    </row>
    <row r="88" spans="1:6" ht="15" customHeight="1" x14ac:dyDescent="0.25">
      <c r="A88" s="8"/>
    </row>
    <row r="89" spans="1:6" ht="15" customHeight="1" x14ac:dyDescent="0.25">
      <c r="A89" s="8"/>
    </row>
  </sheetData>
  <mergeCells count="2">
    <mergeCell ref="A1:F1"/>
    <mergeCell ref="A2:F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9" workbookViewId="0">
      <selection activeCell="A18" sqref="A18"/>
    </sheetView>
  </sheetViews>
  <sheetFormatPr defaultRowHeight="15" customHeight="1" x14ac:dyDescent="0.25"/>
  <cols>
    <col min="1" max="1" width="57.140625" bestFit="1" customWidth="1"/>
    <col min="2" max="2" width="19" bestFit="1" customWidth="1"/>
    <col min="3" max="3" width="34.28515625" bestFit="1" customWidth="1"/>
    <col min="4" max="6" width="15.28515625" bestFit="1" customWidth="1"/>
  </cols>
  <sheetData>
    <row r="1" spans="1:6" ht="15" customHeight="1" x14ac:dyDescent="0.25">
      <c r="A1" s="10" t="s">
        <v>285</v>
      </c>
      <c r="B1" s="10"/>
      <c r="C1" s="10"/>
      <c r="D1" s="10"/>
      <c r="E1" s="10"/>
      <c r="F1" s="10"/>
    </row>
    <row r="2" spans="1:6" ht="15" customHeight="1" x14ac:dyDescent="0.25">
      <c r="A2" s="10" t="s">
        <v>1</v>
      </c>
      <c r="B2" s="10"/>
      <c r="C2" s="10"/>
      <c r="D2" s="10"/>
      <c r="E2" s="10"/>
      <c r="F2" s="10"/>
    </row>
    <row r="3" spans="1:6" ht="36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15" customHeight="1" x14ac:dyDescent="0.25">
      <c r="A4" s="1" t="s">
        <v>286</v>
      </c>
      <c r="B4" s="3"/>
      <c r="C4" s="3"/>
      <c r="D4" s="3"/>
      <c r="E4" s="3"/>
      <c r="F4" s="3"/>
    </row>
    <row r="5" spans="1:6" ht="15" customHeight="1" x14ac:dyDescent="0.25">
      <c r="A5" s="1" t="s">
        <v>9</v>
      </c>
      <c r="B5" s="3"/>
      <c r="C5" s="3"/>
      <c r="D5" s="3"/>
      <c r="E5" s="3"/>
      <c r="F5" s="3"/>
    </row>
    <row r="6" spans="1:6" ht="30" customHeight="1" x14ac:dyDescent="0.25">
      <c r="A6" s="3" t="s">
        <v>262</v>
      </c>
      <c r="B6" s="3" t="s">
        <v>263</v>
      </c>
      <c r="C6" s="3" t="s">
        <v>180</v>
      </c>
      <c r="D6" s="3">
        <v>200000</v>
      </c>
      <c r="E6" s="4">
        <v>202.18819999999999</v>
      </c>
      <c r="F6" s="5">
        <v>9.5938999999999997</v>
      </c>
    </row>
    <row r="7" spans="1:6" ht="15" customHeight="1" x14ac:dyDescent="0.25">
      <c r="A7" s="3" t="s">
        <v>178</v>
      </c>
      <c r="B7" s="3" t="s">
        <v>179</v>
      </c>
      <c r="C7" s="3" t="s">
        <v>180</v>
      </c>
      <c r="D7" s="3">
        <v>200000</v>
      </c>
      <c r="E7" s="4">
        <v>199.49440000000001</v>
      </c>
      <c r="F7" s="5">
        <v>9.4661000000000008</v>
      </c>
    </row>
    <row r="8" spans="1:6" ht="15" customHeight="1" x14ac:dyDescent="0.25">
      <c r="A8" s="3" t="s">
        <v>260</v>
      </c>
      <c r="B8" s="3" t="s">
        <v>261</v>
      </c>
      <c r="C8" s="3" t="s">
        <v>180</v>
      </c>
      <c r="D8" s="3">
        <v>100000</v>
      </c>
      <c r="E8" s="4">
        <v>101.0654</v>
      </c>
      <c r="F8" s="5">
        <v>4.7956000000000003</v>
      </c>
    </row>
    <row r="9" spans="1:6" ht="15" customHeight="1" x14ac:dyDescent="0.25">
      <c r="A9" s="1" t="s">
        <v>39</v>
      </c>
      <c r="B9" s="3"/>
      <c r="C9" s="3"/>
      <c r="D9" s="3"/>
      <c r="E9" s="6">
        <v>502.74799999999999</v>
      </c>
      <c r="F9" s="7">
        <v>23.855599999999999</v>
      </c>
    </row>
    <row r="10" spans="1:6" ht="15" customHeight="1" x14ac:dyDescent="0.25">
      <c r="A10" s="3"/>
      <c r="B10" s="3"/>
      <c r="C10" s="3"/>
      <c r="D10" s="3"/>
      <c r="E10" s="3"/>
      <c r="F10" s="3"/>
    </row>
    <row r="11" spans="1:6" ht="15" customHeight="1" x14ac:dyDescent="0.25">
      <c r="A11" s="1" t="s">
        <v>184</v>
      </c>
      <c r="B11" s="3"/>
      <c r="C11" s="3"/>
      <c r="D11" s="3"/>
      <c r="E11" s="4">
        <v>0</v>
      </c>
      <c r="F11" s="5">
        <v>0</v>
      </c>
    </row>
    <row r="12" spans="1:6" ht="15" customHeight="1" x14ac:dyDescent="0.25">
      <c r="A12" s="1" t="s">
        <v>39</v>
      </c>
      <c r="B12" s="3"/>
      <c r="C12" s="3"/>
      <c r="D12" s="3"/>
      <c r="E12" s="6">
        <v>0</v>
      </c>
      <c r="F12" s="7">
        <v>0</v>
      </c>
    </row>
    <row r="13" spans="1:6" ht="15" customHeight="1" x14ac:dyDescent="0.25">
      <c r="A13" s="1" t="s">
        <v>41</v>
      </c>
      <c r="B13" s="3"/>
      <c r="C13" s="3"/>
      <c r="D13" s="3"/>
      <c r="E13" s="6">
        <v>502.74799999999999</v>
      </c>
      <c r="F13" s="7">
        <v>23.855599999999999</v>
      </c>
    </row>
    <row r="14" spans="1:6" ht="15" customHeight="1" x14ac:dyDescent="0.25">
      <c r="A14" s="1" t="s">
        <v>287</v>
      </c>
      <c r="B14" s="3"/>
      <c r="C14" s="3"/>
      <c r="D14" s="3"/>
      <c r="E14" s="3"/>
      <c r="F14" s="3"/>
    </row>
    <row r="15" spans="1:6" ht="15" customHeight="1" x14ac:dyDescent="0.25">
      <c r="A15" s="1" t="s">
        <v>186</v>
      </c>
      <c r="B15" s="3"/>
      <c r="C15" s="3"/>
      <c r="D15" s="3"/>
      <c r="E15" s="3"/>
      <c r="F15" s="3"/>
    </row>
    <row r="16" spans="1:6" ht="15" customHeight="1" x14ac:dyDescent="0.25">
      <c r="A16" s="3" t="s">
        <v>264</v>
      </c>
      <c r="B16" s="3" t="s">
        <v>194</v>
      </c>
      <c r="C16" s="3" t="s">
        <v>195</v>
      </c>
      <c r="D16" s="3">
        <v>330000</v>
      </c>
      <c r="E16" s="4">
        <v>319.68155999999999</v>
      </c>
      <c r="F16" s="5">
        <v>15.169</v>
      </c>
    </row>
    <row r="17" spans="1:6" ht="15" customHeight="1" x14ac:dyDescent="0.25">
      <c r="A17" s="3" t="s">
        <v>187</v>
      </c>
      <c r="B17" s="3" t="s">
        <v>188</v>
      </c>
      <c r="C17" s="3" t="s">
        <v>189</v>
      </c>
      <c r="D17" s="3">
        <v>280000</v>
      </c>
      <c r="E17" s="4">
        <v>279.5703891</v>
      </c>
      <c r="F17" s="5">
        <v>13.265700000000001</v>
      </c>
    </row>
    <row r="18" spans="1:6" ht="30" customHeight="1" x14ac:dyDescent="0.25">
      <c r="A18" s="3" t="s">
        <v>288</v>
      </c>
      <c r="B18" s="3" t="s">
        <v>196</v>
      </c>
      <c r="C18" s="3" t="s">
        <v>192</v>
      </c>
      <c r="D18" s="3">
        <v>275000</v>
      </c>
      <c r="E18" s="4">
        <v>274.56999610000003</v>
      </c>
      <c r="F18" s="5">
        <v>13.0284</v>
      </c>
    </row>
    <row r="19" spans="1:6" ht="15" customHeight="1" x14ac:dyDescent="0.25">
      <c r="A19" s="1" t="s">
        <v>39</v>
      </c>
      <c r="B19" s="3"/>
      <c r="C19" s="3"/>
      <c r="D19" s="3"/>
      <c r="E19" s="6">
        <v>873.82194519999996</v>
      </c>
      <c r="F19" s="7">
        <v>41.463099999999997</v>
      </c>
    </row>
    <row r="20" spans="1:6" ht="15" customHeight="1" x14ac:dyDescent="0.25">
      <c r="A20" s="1" t="s">
        <v>197</v>
      </c>
      <c r="B20" s="3"/>
      <c r="C20" s="3"/>
      <c r="D20" s="3"/>
      <c r="E20" s="3"/>
      <c r="F20" s="3"/>
    </row>
    <row r="21" spans="1:6" ht="15" customHeight="1" x14ac:dyDescent="0.25">
      <c r="A21" s="3" t="s">
        <v>198</v>
      </c>
      <c r="B21" s="3" t="s">
        <v>199</v>
      </c>
      <c r="C21" s="3" t="s">
        <v>192</v>
      </c>
      <c r="D21" s="3">
        <v>275000</v>
      </c>
      <c r="E21" s="4">
        <v>274.40011120000003</v>
      </c>
      <c r="F21" s="5">
        <v>13.0204</v>
      </c>
    </row>
    <row r="22" spans="1:6" ht="15" customHeight="1" x14ac:dyDescent="0.25">
      <c r="A22" s="3" t="s">
        <v>265</v>
      </c>
      <c r="B22" s="3" t="s">
        <v>266</v>
      </c>
      <c r="C22" s="3" t="s">
        <v>192</v>
      </c>
      <c r="D22" s="3">
        <v>235000</v>
      </c>
      <c r="E22" s="4">
        <v>234.34521169999999</v>
      </c>
      <c r="F22" s="5">
        <v>11.1198</v>
      </c>
    </row>
    <row r="23" spans="1:6" ht="15" customHeight="1" x14ac:dyDescent="0.25">
      <c r="A23" s="1" t="s">
        <v>39</v>
      </c>
      <c r="B23" s="3"/>
      <c r="C23" s="3"/>
      <c r="D23" s="3"/>
      <c r="E23" s="6">
        <v>508.74532290000002</v>
      </c>
      <c r="F23" s="7">
        <v>24.1402</v>
      </c>
    </row>
    <row r="24" spans="1:6" ht="15" customHeight="1" x14ac:dyDescent="0.25">
      <c r="A24" s="1" t="s">
        <v>41</v>
      </c>
      <c r="B24" s="3"/>
      <c r="C24" s="3"/>
      <c r="D24" s="3"/>
      <c r="E24" s="6">
        <v>1382.5672681000001</v>
      </c>
      <c r="F24" s="7">
        <v>65.603300000000004</v>
      </c>
    </row>
    <row r="25" spans="1:6" ht="15" customHeight="1" x14ac:dyDescent="0.25">
      <c r="A25" s="3"/>
      <c r="B25" s="3"/>
      <c r="C25" s="3"/>
      <c r="D25" s="3"/>
      <c r="E25" s="3"/>
      <c r="F25" s="3"/>
    </row>
    <row r="26" spans="1:6" ht="15" customHeight="1" x14ac:dyDescent="0.25">
      <c r="A26" s="3"/>
      <c r="B26" s="3"/>
      <c r="C26" s="3"/>
      <c r="D26" s="3"/>
      <c r="E26" s="3"/>
      <c r="F26" s="3"/>
    </row>
    <row r="27" spans="1:6" ht="30" customHeight="1" x14ac:dyDescent="0.25">
      <c r="A27" s="3" t="s">
        <v>54</v>
      </c>
      <c r="B27" s="3"/>
      <c r="C27" s="3"/>
      <c r="D27" s="3"/>
      <c r="E27" s="4">
        <v>222.14170358999999</v>
      </c>
      <c r="F27" s="5">
        <v>10.540699999999999</v>
      </c>
    </row>
    <row r="28" spans="1:6" ht="15" customHeight="1" x14ac:dyDescent="0.25">
      <c r="A28" s="3"/>
      <c r="B28" s="3"/>
      <c r="C28" s="3"/>
      <c r="D28" s="3"/>
      <c r="E28" s="3"/>
      <c r="F28" s="3"/>
    </row>
    <row r="29" spans="1:6" ht="15" customHeight="1" x14ac:dyDescent="0.25">
      <c r="A29" s="3"/>
      <c r="B29" s="3"/>
      <c r="C29" s="3"/>
      <c r="D29" s="3"/>
      <c r="E29" s="3"/>
      <c r="F29" s="3"/>
    </row>
    <row r="30" spans="1:6" ht="15" customHeight="1" x14ac:dyDescent="0.25">
      <c r="A30" s="1" t="s">
        <v>55</v>
      </c>
      <c r="B30" s="3"/>
      <c r="C30" s="3"/>
      <c r="D30" s="3"/>
      <c r="E30" s="6">
        <v>2107.45697169</v>
      </c>
      <c r="F30" s="7">
        <v>100</v>
      </c>
    </row>
    <row r="33" spans="1:1" ht="15" customHeight="1" x14ac:dyDescent="0.25">
      <c r="A33" s="8" t="s">
        <v>200</v>
      </c>
    </row>
    <row r="34" spans="1:1" ht="15" customHeight="1" x14ac:dyDescent="0.25">
      <c r="A34" s="8" t="s">
        <v>201</v>
      </c>
    </row>
  </sheetData>
  <mergeCells count="2">
    <mergeCell ref="A1:F1"/>
    <mergeCell ref="A2:F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EAF</vt:lpstr>
      <vt:lpstr>EEHF</vt:lpstr>
      <vt:lpstr>EMF</vt:lpstr>
      <vt:lpstr>PCPF</vt:lpstr>
      <vt:lpstr>PEF</vt:lpstr>
      <vt:lpstr>PIPF</vt:lpstr>
      <vt:lpstr>PLF</vt:lpstr>
      <vt:lpstr>PLTAF</vt:lpstr>
      <vt:lpstr>PMCF</vt:lpstr>
      <vt:lpstr>PUST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Asavari Mahadeshwar</dc:creator>
  <cp:lastModifiedBy>Shubham Joshi</cp:lastModifiedBy>
  <dcterms:created xsi:type="dcterms:W3CDTF">2020-05-07T06:37:15Z</dcterms:created>
  <dcterms:modified xsi:type="dcterms:W3CDTF">2020-05-08T08:49:50Z</dcterms:modified>
</cp:coreProperties>
</file>